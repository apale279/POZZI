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GRAFICA" sheetId="1" r:id="rId5"/>
    <sheet state="visible" name="RUN" sheetId="2" r:id="rId6"/>
    <sheet state="visible" name="EQUIPMENT" sheetId="3" r:id="rId7"/>
    <sheet state="visible" name="DIAGNOSI" sheetId="4" r:id="rId8"/>
    <sheet state="visible" name="CANNULA" sheetId="5" r:id="rId9"/>
    <sheet state="visible" name="PROCEDURES" sheetId="6" r:id="rId10"/>
    <sheet state="visible" name="PRE-ECLS ASSESSMENT" sheetId="7" r:id="rId11"/>
    <sheet state="visible" name="PRE-ECLS SUPPORT" sheetId="8" r:id="rId12"/>
    <sheet state="visible" name="ECLS CARE" sheetId="9" r:id="rId13"/>
    <sheet state="visible" name="24HRS ECLS ASSESSMENT" sheetId="10" r:id="rId14"/>
    <sheet state="visible" name="COMPLICANZE" sheetId="11" r:id="rId15"/>
    <sheet state="visible" name="INFEZIONI" sheetId="12" r:id="rId16"/>
    <sheet state="visible" name="OUTCOME" sheetId="13" r:id="rId17"/>
    <sheet state="visible" name="CARDIAC SURGERY PROCEDURES" sheetId="14" r:id="rId18"/>
    <sheet state="visible" name="CARDIAC" sheetId="15" r:id="rId19"/>
    <sheet state="visible" name="CATH DURING ECMO" sheetId="16" r:id="rId20"/>
    <sheet state="visible" name="ECPR_ANAMNESI" sheetId="17" r:id="rId21"/>
    <sheet state="visible" name="ECPR ACC" sheetId="18" r:id="rId22"/>
    <sheet state="visible" name="ECPR INCANULAMENTO" sheetId="19" r:id="rId23"/>
    <sheet state="visible" name="ECPR 24HRS" sheetId="20" r:id="rId24"/>
    <sheet state="visible" name="TENDINE SLIM" sheetId="21" r:id="rId25"/>
  </sheets>
  <definedNames>
    <definedName hidden="1" localSheetId="0" name="_xlnm._FilterDatabase">ANAGRAFICA!$A$1:$AE$50</definedName>
    <definedName hidden="1" localSheetId="1" name="_xlnm._FilterDatabase">RUN!$B$1:$Z$300</definedName>
    <definedName hidden="1" localSheetId="2" name="_xlnm._FilterDatabase">EQUIPMENT!$A$1:$Z$310</definedName>
    <definedName hidden="1" localSheetId="3" name="_xlnm._FilterDatabase">DIAGNOSI!$A$1:$Z$998</definedName>
    <definedName hidden="1" localSheetId="12" name="_xlnm._FilterDatabase">OUTCOME!$A$1:$AC$308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tc={472e5de3-067d-46db-b056-493422175308}</author>
  </authors>
  <commentList>
    <comment authorId="0" xr:uid="{472e5de3-067d-46db-b056-493422175308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altre diagnosi ICD 10 su sito ELSO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tc={1ef8ed5a-f702-44d6-b5ac-7f12a5fecafc}</author>
  </authors>
  <commentList>
    <comment authorId="0" xr:uid="{1ef8ed5a-f702-44d6-b5ac-7f12a5fecafc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parametri a 24h, ultimi parametri se decesso entro 24h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tc={84fd77e0-3d83-4ca8-9200-fcee6848fa0d}</author>
  </authors>
  <commentList>
    <comment authorId="0" xr:uid="{84fd77e0-3d83-4ca8-9200-fcee6848fa0d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decesso ICU data decesso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tc={52728d08-429f-446a-ba4c-c4eedb1dcf47}</author>
  </authors>
  <commentList>
    <comment authorId="0" xr:uid="{52728d08-429f-446a-ba4c-c4eedb1dcf47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 ECMO
</t>
      </text>
    </comment>
  </commentList>
</comments>
</file>

<file path=xl/sharedStrings.xml><?xml version="1.0" encoding="utf-8"?>
<sst xmlns="http://schemas.openxmlformats.org/spreadsheetml/2006/main" count="9325" uniqueCount="1831">
  <si>
    <t>VERIFICATO</t>
  </si>
  <si>
    <t>SDO</t>
  </si>
  <si>
    <t>COGNOME</t>
  </si>
  <si>
    <t>NOME</t>
  </si>
  <si>
    <t>ECMO LENS</t>
  </si>
  <si>
    <t>NUMERO ELSO</t>
  </si>
  <si>
    <t>ANNO</t>
  </si>
  <si>
    <t>DN</t>
  </si>
  <si>
    <t>SEX</t>
  </si>
  <si>
    <t>DIAGNOSI</t>
  </si>
  <si>
    <t>POSTCARDIOTOMICO</t>
  </si>
  <si>
    <t>PESO</t>
  </si>
  <si>
    <t>ALTEZZA</t>
  </si>
  <si>
    <t>DATA INGRESSO H</t>
  </si>
  <si>
    <t>ORA INGRESSO H</t>
  </si>
  <si>
    <t>DATA INGRESSO ICU</t>
  </si>
  <si>
    <t>ORA INGRESSO ICU</t>
  </si>
  <si>
    <t>NOTE</t>
  </si>
  <si>
    <t>N RUN</t>
  </si>
  <si>
    <t>TEL</t>
  </si>
  <si>
    <t>MAIL</t>
  </si>
  <si>
    <t xml:space="preserve">CHI HA INSERITO </t>
  </si>
  <si>
    <t>CALCOLO ETA</t>
  </si>
  <si>
    <t>ANNI</t>
  </si>
  <si>
    <t>BEATRICE</t>
  </si>
  <si>
    <t>GERARDINA</t>
  </si>
  <si>
    <t>F</t>
  </si>
  <si>
    <t>ECPR IHCA</t>
  </si>
  <si>
    <t>12:00</t>
  </si>
  <si>
    <t>10:40</t>
  </si>
  <si>
    <t>TEL FRATELLO</t>
  </si>
  <si>
    <t>DAVIDE</t>
  </si>
  <si>
    <t>CURTO</t>
  </si>
  <si>
    <t>ROBERTO</t>
  </si>
  <si>
    <t>M</t>
  </si>
  <si>
    <t>FAILURE TO WEAN CPB</t>
  </si>
  <si>
    <t>MOTTA</t>
  </si>
  <si>
    <t>FABIO</t>
  </si>
  <si>
    <t>05:50</t>
  </si>
  <si>
    <t>19:00</t>
  </si>
  <si>
    <t>FIGLIO MOTTA CLAUDIO</t>
  </si>
  <si>
    <t>ISELLA</t>
  </si>
  <si>
    <t>VINCENZO</t>
  </si>
  <si>
    <t>ECPR OHCA</t>
  </si>
  <si>
    <t>11:29</t>
  </si>
  <si>
    <t>15:00</t>
  </si>
  <si>
    <t>sorella</t>
  </si>
  <si>
    <t>LAVANGA</t>
  </si>
  <si>
    <t>DONATO</t>
  </si>
  <si>
    <t>15:25</t>
  </si>
  <si>
    <t>20:00</t>
  </si>
  <si>
    <t>MOGLIE FRANCA</t>
  </si>
  <si>
    <t>TIEGHI</t>
  </si>
  <si>
    <t>MASSIMO</t>
  </si>
  <si>
    <t>08:42</t>
  </si>
  <si>
    <t>BARABRA SORELLA</t>
  </si>
  <si>
    <t>SCHIFANO</t>
  </si>
  <si>
    <t>FRANCESCO</t>
  </si>
  <si>
    <t>11:14</t>
  </si>
  <si>
    <t>13:00</t>
  </si>
  <si>
    <t>moglie</t>
  </si>
  <si>
    <t>VALSECCHI</t>
  </si>
  <si>
    <t>ANDREA</t>
  </si>
  <si>
    <t>SHOCK CARDIOGENO</t>
  </si>
  <si>
    <t>00:00</t>
  </si>
  <si>
    <t xml:space="preserve">fratello </t>
  </si>
  <si>
    <t>RASPANTI</t>
  </si>
  <si>
    <t>9:50</t>
  </si>
  <si>
    <t>14:00</t>
  </si>
  <si>
    <t>CONCA</t>
  </si>
  <si>
    <t>CAMILLA</t>
  </si>
  <si>
    <t>21:00</t>
  </si>
  <si>
    <t>FIGLIA</t>
  </si>
  <si>
    <t>MUHAMMAD</t>
  </si>
  <si>
    <t>SHARIF</t>
  </si>
  <si>
    <t>11:25</t>
  </si>
  <si>
    <t>Moazam</t>
  </si>
  <si>
    <t>Marta</t>
  </si>
  <si>
    <t>TRAMPOLIN</t>
  </si>
  <si>
    <t>10:13</t>
  </si>
  <si>
    <t>SAINCIUC</t>
  </si>
  <si>
    <t>AUREL</t>
  </si>
  <si>
    <t>03:27</t>
  </si>
  <si>
    <t>06:25</t>
  </si>
  <si>
    <t>nick</t>
  </si>
  <si>
    <t>DOSSI</t>
  </si>
  <si>
    <t>MAURIZIO ANTONIO</t>
  </si>
  <si>
    <t>10:00</t>
  </si>
  <si>
    <t>19:30</t>
  </si>
  <si>
    <t>amico (Davide)</t>
  </si>
  <si>
    <t>TARTARELLI</t>
  </si>
  <si>
    <t>GIUSEPPE</t>
  </si>
  <si>
    <t>11:07</t>
  </si>
  <si>
    <t>13:59</t>
  </si>
  <si>
    <t>CONSONNI</t>
  </si>
  <si>
    <t>GIULIO</t>
  </si>
  <si>
    <t>19:20</t>
  </si>
  <si>
    <t>FUMAGALLI</t>
  </si>
  <si>
    <t>PIERO</t>
  </si>
  <si>
    <t>10:05</t>
  </si>
  <si>
    <t>ale</t>
  </si>
  <si>
    <t>MARIANI</t>
  </si>
  <si>
    <t>MARCO</t>
  </si>
  <si>
    <t>INSUFFICIENZA RESPIRATORIA</t>
  </si>
  <si>
    <t>09:00</t>
  </si>
  <si>
    <t>20:49</t>
  </si>
  <si>
    <t>cell moglie</t>
  </si>
  <si>
    <t>BOSSI</t>
  </si>
  <si>
    <t>LUDOVICO</t>
  </si>
  <si>
    <t>758-1</t>
  </si>
  <si>
    <t>23:24</t>
  </si>
  <si>
    <t>02:40</t>
  </si>
  <si>
    <t>ORNAGHI</t>
  </si>
  <si>
    <t>LORENZO</t>
  </si>
  <si>
    <t>758-2</t>
  </si>
  <si>
    <t>14:36</t>
  </si>
  <si>
    <t>15:50</t>
  </si>
  <si>
    <t>BERETTA</t>
  </si>
  <si>
    <t>ENZO LUCIANO</t>
  </si>
  <si>
    <t>758-3</t>
  </si>
  <si>
    <t>22:37</t>
  </si>
  <si>
    <t>FRATINO</t>
  </si>
  <si>
    <t>OLIVIERO</t>
  </si>
  <si>
    <t>758-4</t>
  </si>
  <si>
    <t>22:39</t>
  </si>
  <si>
    <t>D'ANDREA</t>
  </si>
  <si>
    <t>FERNANDO ANTONIO</t>
  </si>
  <si>
    <t>758-5</t>
  </si>
  <si>
    <t>20:30</t>
  </si>
  <si>
    <t>FERRARO</t>
  </si>
  <si>
    <t>DANIELE</t>
  </si>
  <si>
    <t>21:30</t>
  </si>
  <si>
    <t>GARGIONI</t>
  </si>
  <si>
    <t>758-6</t>
  </si>
  <si>
    <t>TARENZI</t>
  </si>
  <si>
    <t>GIACOMO</t>
  </si>
  <si>
    <t>758-7</t>
  </si>
  <si>
    <t>8:54</t>
  </si>
  <si>
    <t>12:00:00</t>
  </si>
  <si>
    <t>cel moglie</t>
  </si>
  <si>
    <t>SGOBBA</t>
  </si>
  <si>
    <t>ANNA</t>
  </si>
  <si>
    <t>758-8</t>
  </si>
  <si>
    <t>PONTIGGIA</t>
  </si>
  <si>
    <t>FLAVIO</t>
  </si>
  <si>
    <t>758-9</t>
  </si>
  <si>
    <t>13:45</t>
  </si>
  <si>
    <t>LUCA</t>
  </si>
  <si>
    <t>758-10</t>
  </si>
  <si>
    <t>SCHIAVON</t>
  </si>
  <si>
    <t>ELIO PAOLO</t>
  </si>
  <si>
    <t>758-11</t>
  </si>
  <si>
    <t>17:23</t>
  </si>
  <si>
    <t>TURNO ARTHEMALLE</t>
  </si>
  <si>
    <t>ALICE</t>
  </si>
  <si>
    <t>758-12</t>
  </si>
  <si>
    <t>cell padre</t>
  </si>
  <si>
    <t>CORIO</t>
  </si>
  <si>
    <t>GIOVANNI</t>
  </si>
  <si>
    <t>758-13</t>
  </si>
  <si>
    <t>13:30</t>
  </si>
  <si>
    <t>consenso</t>
  </si>
  <si>
    <t>finire outcome</t>
  </si>
  <si>
    <t>SALA</t>
  </si>
  <si>
    <t>FELICE</t>
  </si>
  <si>
    <t>758-14</t>
  </si>
  <si>
    <t>17:45</t>
  </si>
  <si>
    <t>tel figlio</t>
  </si>
  <si>
    <t>CARIBONI</t>
  </si>
  <si>
    <t>LORENZA</t>
  </si>
  <si>
    <t>758-15</t>
  </si>
  <si>
    <t>04:30</t>
  </si>
  <si>
    <t>telefono marito</t>
  </si>
  <si>
    <t>AVENIDO</t>
  </si>
  <si>
    <t>DELFIN</t>
  </si>
  <si>
    <t>758-16</t>
  </si>
  <si>
    <t>16:30</t>
  </si>
  <si>
    <t>telefono moglie</t>
  </si>
  <si>
    <t>SERVIDIO</t>
  </si>
  <si>
    <t>758-17</t>
  </si>
  <si>
    <t xml:space="preserve">tel moglie </t>
  </si>
  <si>
    <t>ale (manca outcome)</t>
  </si>
  <si>
    <t>AMIWO</t>
  </si>
  <si>
    <t>REX STEVE</t>
  </si>
  <si>
    <t>758-18</t>
  </si>
  <si>
    <t xml:space="preserve">MAZZARDIS </t>
  </si>
  <si>
    <t>758-19</t>
  </si>
  <si>
    <t>14:30</t>
  </si>
  <si>
    <t>Ale (manca outcome e mobilizzazione max)</t>
  </si>
  <si>
    <t>ROVARIS</t>
  </si>
  <si>
    <t>ANGELO FELICE</t>
  </si>
  <si>
    <t>758-20</t>
  </si>
  <si>
    <t>00:40</t>
  </si>
  <si>
    <t>FAZIO</t>
  </si>
  <si>
    <t>FRANCESCO ANTONIO</t>
  </si>
  <si>
    <t>758-21</t>
  </si>
  <si>
    <t xml:space="preserve">PEDRONI </t>
  </si>
  <si>
    <t>PIERANGELO</t>
  </si>
  <si>
    <t>758-22</t>
  </si>
  <si>
    <t>06:00</t>
  </si>
  <si>
    <t>SLAVKOVA</t>
  </si>
  <si>
    <t>EVELINA PLAMENOVA</t>
  </si>
  <si>
    <t>12:44</t>
  </si>
  <si>
    <t>16:00</t>
  </si>
  <si>
    <t>cell marito</t>
  </si>
  <si>
    <t>Carolina</t>
  </si>
  <si>
    <t>FG</t>
  </si>
  <si>
    <t>ANTIGNANO</t>
  </si>
  <si>
    <t>MAURO</t>
  </si>
  <si>
    <t>758-23</t>
  </si>
  <si>
    <t>Francesca</t>
  </si>
  <si>
    <t>MARCONI</t>
  </si>
  <si>
    <t>PIETRO VITTORIO</t>
  </si>
  <si>
    <t>11:41</t>
  </si>
  <si>
    <t>TREMOLADA</t>
  </si>
  <si>
    <t>758-25</t>
  </si>
  <si>
    <t>18:10</t>
  </si>
  <si>
    <t>Moglie</t>
  </si>
  <si>
    <t>Laura</t>
  </si>
  <si>
    <t>PIETRO V</t>
  </si>
  <si>
    <t>758-24</t>
  </si>
  <si>
    <t>11:30</t>
  </si>
  <si>
    <t>13:10</t>
  </si>
  <si>
    <t>FALVO</t>
  </si>
  <si>
    <t>03:28</t>
  </si>
  <si>
    <t>05:15</t>
  </si>
  <si>
    <t>POOLSE</t>
  </si>
  <si>
    <t>EM</t>
  </si>
  <si>
    <t>GHEZZI</t>
  </si>
  <si>
    <t>758-28</t>
  </si>
  <si>
    <t>08:04</t>
  </si>
  <si>
    <t>ZAPPIA</t>
  </si>
  <si>
    <t>LEONARDO</t>
  </si>
  <si>
    <t>758-29</t>
  </si>
  <si>
    <t>&lt;24</t>
  </si>
  <si>
    <t>POLICARPO</t>
  </si>
  <si>
    <t>758-30</t>
  </si>
  <si>
    <t>ANEURISMA AORTA ASCENDENTE</t>
  </si>
  <si>
    <t>CASSANI</t>
  </si>
  <si>
    <t>DAVIDE VIRGILIO</t>
  </si>
  <si>
    <t>758-31</t>
  </si>
  <si>
    <t>15:28</t>
  </si>
  <si>
    <t>17:30</t>
  </si>
  <si>
    <t>No parenti?</t>
  </si>
  <si>
    <t>VEDUTI</t>
  </si>
  <si>
    <t>758-32</t>
  </si>
  <si>
    <t>01:01</t>
  </si>
  <si>
    <t>3:00</t>
  </si>
  <si>
    <t>339 2415715</t>
  </si>
  <si>
    <t>madre</t>
  </si>
  <si>
    <t>NACCARI</t>
  </si>
  <si>
    <t>758-33</t>
  </si>
  <si>
    <t>14:51</t>
  </si>
  <si>
    <t>16:20</t>
  </si>
  <si>
    <t>Elisa</t>
  </si>
  <si>
    <t>QUARIN</t>
  </si>
  <si>
    <t>FRANCO</t>
  </si>
  <si>
    <t>758-34</t>
  </si>
  <si>
    <t>01:59</t>
  </si>
  <si>
    <t>03:40</t>
  </si>
  <si>
    <t>Simo</t>
  </si>
  <si>
    <t>PRINCIPATO</t>
  </si>
  <si>
    <t>FRANCO ANGELO</t>
  </si>
  <si>
    <t>758-35</t>
  </si>
  <si>
    <t>01:00</t>
  </si>
  <si>
    <t>IANDIORIO</t>
  </si>
  <si>
    <t>ALDO NATALINO</t>
  </si>
  <si>
    <t>758-36</t>
  </si>
  <si>
    <t>Shock cardiogeno</t>
  </si>
  <si>
    <t>03:44</t>
  </si>
  <si>
    <t>17:12</t>
  </si>
  <si>
    <t>Mario</t>
  </si>
  <si>
    <t>BRAIDA</t>
  </si>
  <si>
    <t>ILARIO</t>
  </si>
  <si>
    <t>758-37</t>
  </si>
  <si>
    <t>08:10</t>
  </si>
  <si>
    <t>BAIOCCO</t>
  </si>
  <si>
    <t>RICCARDO</t>
  </si>
  <si>
    <t>shock cardiogeno</t>
  </si>
  <si>
    <t>12:30</t>
  </si>
  <si>
    <t>GILARDI</t>
  </si>
  <si>
    <t>CARLO VIRGINIO</t>
  </si>
  <si>
    <t>758-38</t>
  </si>
  <si>
    <t>03:30</t>
  </si>
  <si>
    <t>MANNINO</t>
  </si>
  <si>
    <t>758-39</t>
  </si>
  <si>
    <t>07:50</t>
  </si>
  <si>
    <t>09:03</t>
  </si>
  <si>
    <t>TODESCATO</t>
  </si>
  <si>
    <t>GIANLUCA</t>
  </si>
  <si>
    <t>758-40</t>
  </si>
  <si>
    <t>rottura di cuore</t>
  </si>
  <si>
    <t>22:00</t>
  </si>
  <si>
    <t>figlia</t>
  </si>
  <si>
    <t>Bianca</t>
  </si>
  <si>
    <t>COLNAGHI</t>
  </si>
  <si>
    <t>EUGENIO PIERO</t>
  </si>
  <si>
    <t>758-41</t>
  </si>
  <si>
    <t>74 anni</t>
  </si>
  <si>
    <t>PESACANE</t>
  </si>
  <si>
    <t>MATTEO VALERIO</t>
  </si>
  <si>
    <t>758-42</t>
  </si>
  <si>
    <t>18:16</t>
  </si>
  <si>
    <t>20:20</t>
  </si>
  <si>
    <t>MADRE</t>
  </si>
  <si>
    <t>47 anni</t>
  </si>
  <si>
    <t>MARKOVIC</t>
  </si>
  <si>
    <t>BRANKO</t>
  </si>
  <si>
    <t>758-43</t>
  </si>
  <si>
    <t>1:58</t>
  </si>
  <si>
    <t>04:07</t>
  </si>
  <si>
    <t>CASILLO</t>
  </si>
  <si>
    <t>SALVATORE</t>
  </si>
  <si>
    <t>758-44</t>
  </si>
  <si>
    <t>19:40</t>
  </si>
  <si>
    <t>CASABURI</t>
  </si>
  <si>
    <t>ERRICO</t>
  </si>
  <si>
    <t>758-45</t>
  </si>
  <si>
    <t>20:10</t>
  </si>
  <si>
    <t>figlio</t>
  </si>
  <si>
    <t>GADDA</t>
  </si>
  <si>
    <t>LILIANA</t>
  </si>
  <si>
    <t>758-46</t>
  </si>
  <si>
    <t>TEP</t>
  </si>
  <si>
    <t>11:00</t>
  </si>
  <si>
    <t>22:20</t>
  </si>
  <si>
    <t>LISSONI</t>
  </si>
  <si>
    <t>ALESSANDRA</t>
  </si>
  <si>
    <t>758-47</t>
  </si>
  <si>
    <t>HU</t>
  </si>
  <si>
    <t>LIBEI</t>
  </si>
  <si>
    <t>758-48</t>
  </si>
  <si>
    <t>00:39</t>
  </si>
  <si>
    <t>03:00</t>
  </si>
  <si>
    <t>amico</t>
  </si>
  <si>
    <t>Cesare</t>
  </si>
  <si>
    <t>33 anni</t>
  </si>
  <si>
    <t>FULVIO</t>
  </si>
  <si>
    <t>19:46</t>
  </si>
  <si>
    <t>RIVA</t>
  </si>
  <si>
    <t>EDOARDO</t>
  </si>
  <si>
    <t>758-49</t>
  </si>
  <si>
    <t>RIERA</t>
  </si>
  <si>
    <t>STEFANO</t>
  </si>
  <si>
    <t>758-50</t>
  </si>
  <si>
    <t>LOREGGIA</t>
  </si>
  <si>
    <t>GIAN MARCO</t>
  </si>
  <si>
    <t>758-51</t>
  </si>
  <si>
    <t>18:04</t>
  </si>
  <si>
    <t>19:03</t>
  </si>
  <si>
    <t>Davide</t>
  </si>
  <si>
    <t>LONGOBARDI</t>
  </si>
  <si>
    <t>758-52</t>
  </si>
  <si>
    <t>17:00</t>
  </si>
  <si>
    <t>18:30</t>
  </si>
  <si>
    <t>Simona</t>
  </si>
  <si>
    <t>63 anni</t>
  </si>
  <si>
    <t>CHIELLO</t>
  </si>
  <si>
    <t>IPPOLITO</t>
  </si>
  <si>
    <t>758-53</t>
  </si>
  <si>
    <t>BIASUTTI</t>
  </si>
  <si>
    <t>PIERGIUSEPPE</t>
  </si>
  <si>
    <t>758-54</t>
  </si>
  <si>
    <t>MONTEVAGO</t>
  </si>
  <si>
    <t>758-55</t>
  </si>
  <si>
    <t>MAIORANO</t>
  </si>
  <si>
    <t>IOLANDA MARIA</t>
  </si>
  <si>
    <t>758-56</t>
  </si>
  <si>
    <t>NO</t>
  </si>
  <si>
    <t>15:36</t>
  </si>
  <si>
    <t>CATALANO</t>
  </si>
  <si>
    <t>ROSALIA</t>
  </si>
  <si>
    <t>758-57</t>
  </si>
  <si>
    <t>MERATI</t>
  </si>
  <si>
    <t>FRANCESCA ADELE</t>
  </si>
  <si>
    <t>ROVERSI</t>
  </si>
  <si>
    <t>ALESSANDRO</t>
  </si>
  <si>
    <t>PANATTI</t>
  </si>
  <si>
    <t>GIANPIERO</t>
  </si>
  <si>
    <t>758-58</t>
  </si>
  <si>
    <t>ROMANO</t>
  </si>
  <si>
    <t>CONCETTA</t>
  </si>
  <si>
    <t>SANTOS</t>
  </si>
  <si>
    <t>BERNARDO</t>
  </si>
  <si>
    <t>18:41</t>
  </si>
  <si>
    <t>ELSO</t>
  </si>
  <si>
    <t>RUN</t>
  </si>
  <si>
    <t>START DATE</t>
  </si>
  <si>
    <t>START TIME</t>
  </si>
  <si>
    <t>END DATE</t>
  </si>
  <si>
    <t>END TIME</t>
  </si>
  <si>
    <t>MODE</t>
  </si>
  <si>
    <t>DATA CONVERSIONE</t>
  </si>
  <si>
    <t>MODO CONVERSIONE</t>
  </si>
  <si>
    <t>07:58</t>
  </si>
  <si>
    <t>VA</t>
  </si>
  <si>
    <t>02:15</t>
  </si>
  <si>
    <t>20:18</t>
  </si>
  <si>
    <t>15:33</t>
  </si>
  <si>
    <t>23:50:00</t>
  </si>
  <si>
    <t>07:25:00</t>
  </si>
  <si>
    <t>21:10</t>
  </si>
  <si>
    <t>23:32</t>
  </si>
  <si>
    <t>16:44</t>
  </si>
  <si>
    <t>03:04</t>
  </si>
  <si>
    <t>10:50</t>
  </si>
  <si>
    <t>12:50</t>
  </si>
  <si>
    <t>00:07</t>
  </si>
  <si>
    <t>11:10</t>
  </si>
  <si>
    <t>20:28</t>
  </si>
  <si>
    <t>22:36</t>
  </si>
  <si>
    <t>13:05</t>
  </si>
  <si>
    <t>17:28</t>
  </si>
  <si>
    <t>22:30</t>
  </si>
  <si>
    <t>15:45</t>
  </si>
  <si>
    <t>23:59</t>
  </si>
  <si>
    <t>16:24</t>
  </si>
  <si>
    <t>12:27</t>
  </si>
  <si>
    <t>16:21</t>
  </si>
  <si>
    <t>21:14:00</t>
  </si>
  <si>
    <t>15:30</t>
  </si>
  <si>
    <t>11:05</t>
  </si>
  <si>
    <t>20:56</t>
  </si>
  <si>
    <t>11:53</t>
  </si>
  <si>
    <t>15:35</t>
  </si>
  <si>
    <t>17:04</t>
  </si>
  <si>
    <t>13:28</t>
  </si>
  <si>
    <t>VV</t>
  </si>
  <si>
    <t>12:06</t>
  </si>
  <si>
    <t>09:40</t>
  </si>
  <si>
    <t>15:55</t>
  </si>
  <si>
    <t>11:39</t>
  </si>
  <si>
    <t>15:40</t>
  </si>
  <si>
    <t>14:47</t>
  </si>
  <si>
    <t>10:15</t>
  </si>
  <si>
    <t>19/12/ 2024</t>
  </si>
  <si>
    <t>16:10</t>
  </si>
  <si>
    <t>11:42</t>
  </si>
  <si>
    <t>18:55</t>
  </si>
  <si>
    <t>18:05</t>
  </si>
  <si>
    <t>va</t>
  </si>
  <si>
    <t>19:50</t>
  </si>
  <si>
    <t>03:45</t>
  </si>
  <si>
    <t>04:46</t>
  </si>
  <si>
    <t>08:15</t>
  </si>
  <si>
    <t>16:55</t>
  </si>
  <si>
    <t>18:00</t>
  </si>
  <si>
    <t>22:35</t>
  </si>
  <si>
    <t>decesso 07/01/2025 10:52</t>
  </si>
  <si>
    <t>09:23:00</t>
  </si>
  <si>
    <t>.</t>
  </si>
  <si>
    <t>09:23</t>
  </si>
  <si>
    <t>12:02</t>
  </si>
  <si>
    <t>21:20</t>
  </si>
  <si>
    <t>09:30</t>
  </si>
  <si>
    <t>10:25</t>
  </si>
  <si>
    <t>14:15</t>
  </si>
  <si>
    <t>10:30</t>
  </si>
  <si>
    <t>18:44</t>
  </si>
  <si>
    <t>trasferito per trapianto H Pavia</t>
  </si>
  <si>
    <t>03:49</t>
  </si>
  <si>
    <t>06:24</t>
  </si>
  <si>
    <t>8:18</t>
  </si>
  <si>
    <t>11:27</t>
  </si>
  <si>
    <t>decesso 25/05/2025</t>
  </si>
  <si>
    <t>11:32</t>
  </si>
  <si>
    <t>13:07</t>
  </si>
  <si>
    <t>decesso 07/06/2025</t>
  </si>
  <si>
    <t>decesso 06/06/2025</t>
  </si>
  <si>
    <t>decesso 16/06/2025</t>
  </si>
  <si>
    <t>01:30</t>
  </si>
  <si>
    <t>12:25</t>
  </si>
  <si>
    <t>decesso 17/06/2025</t>
  </si>
  <si>
    <t>12:39</t>
  </si>
  <si>
    <t>decesso 17/7/2025</t>
  </si>
  <si>
    <t>02:20</t>
  </si>
  <si>
    <t>decesso 20/06/2025</t>
  </si>
  <si>
    <t>23:30</t>
  </si>
  <si>
    <t>decesso 04/07/2025</t>
  </si>
  <si>
    <t>15:47</t>
  </si>
  <si>
    <t>07:18</t>
  </si>
  <si>
    <t>decesso 03/08/2025</t>
  </si>
  <si>
    <t>15:37</t>
  </si>
  <si>
    <t>trasferito H Niguarda</t>
  </si>
  <si>
    <t>06:55</t>
  </si>
  <si>
    <t>decesso 14/09/2025</t>
  </si>
  <si>
    <t>08:05</t>
  </si>
  <si>
    <t>20:08</t>
  </si>
  <si>
    <t>16:43</t>
  </si>
  <si>
    <t>decesso 09/10/2025</t>
  </si>
  <si>
    <t>18:33</t>
  </si>
  <si>
    <t>09:50</t>
  </si>
  <si>
    <t>decesso 04/10/2025</t>
  </si>
  <si>
    <t>2:35</t>
  </si>
  <si>
    <t>17:37</t>
  </si>
  <si>
    <t>decesso 06/11/2025</t>
  </si>
  <si>
    <t>21:25</t>
  </si>
  <si>
    <t>decesso 24/122025</t>
  </si>
  <si>
    <t>13:54</t>
  </si>
  <si>
    <t>00:51</t>
  </si>
  <si>
    <t>15:12</t>
  </si>
  <si>
    <t>20:04</t>
  </si>
  <si>
    <t>20:03</t>
  </si>
  <si>
    <t>17:50</t>
  </si>
  <si>
    <t>decesso 27/01/2026</t>
  </si>
  <si>
    <t>CIRCUIT N°</t>
  </si>
  <si>
    <t>HEAT EXCHANGER</t>
  </si>
  <si>
    <t>MEMBRAN LUNG</t>
  </si>
  <si>
    <t>PUMP</t>
  </si>
  <si>
    <t>REASON FOR CHANGE</t>
  </si>
  <si>
    <t>GETINGE HU35</t>
  </si>
  <si>
    <t>GETINGE PLS SET</t>
  </si>
  <si>
    <t>PLS</t>
  </si>
  <si>
    <t>GETINGE HLS SET</t>
  </si>
  <si>
    <t>HLS</t>
  </si>
  <si>
    <t>16:46</t>
  </si>
  <si>
    <t>NA</t>
  </si>
  <si>
    <t>n/a</t>
  </si>
  <si>
    <t>15:55:00</t>
  </si>
  <si>
    <t>10:30:00</t>
  </si>
  <si>
    <t>Coagulopathy of unknown source</t>
  </si>
  <si>
    <t>11:33</t>
  </si>
  <si>
    <t>N/A</t>
  </si>
  <si>
    <t>EUROSETS</t>
  </si>
  <si>
    <t>11:53:00</t>
  </si>
  <si>
    <t>12:15</t>
  </si>
  <si>
    <t>12:05</t>
  </si>
  <si>
    <t>GETINGE HU37</t>
  </si>
  <si>
    <t>11:50</t>
  </si>
  <si>
    <t>11:01</t>
  </si>
  <si>
    <t>trasferito in ECMO c/o Pavia</t>
  </si>
  <si>
    <t>COLIBRI' EUROSETS</t>
  </si>
  <si>
    <t>1:39</t>
  </si>
  <si>
    <t>Getinge HU36,5</t>
  </si>
  <si>
    <t>ROBRTO</t>
  </si>
  <si>
    <t xml:space="preserve">GILARDI </t>
  </si>
  <si>
    <t>GETINGE PLS</t>
  </si>
  <si>
    <t>flotting clot</t>
  </si>
  <si>
    <t>16:45</t>
  </si>
  <si>
    <t>16:40</t>
  </si>
  <si>
    <t>17:33</t>
  </si>
  <si>
    <t>MARKOVICH</t>
  </si>
  <si>
    <t>DIAGNOSI PRINCIPALE</t>
  </si>
  <si>
    <t>DIAGNOSI 2</t>
  </si>
  <si>
    <t>DIAGNOSI 3</t>
  </si>
  <si>
    <t>DIAGNOSI 4</t>
  </si>
  <si>
    <t>AIM</t>
  </si>
  <si>
    <t>I46.9 Arresto cardiaco non specificato</t>
  </si>
  <si>
    <t>I26.0 Embolia polmonare con menzione di cuore polmonare acuto</t>
  </si>
  <si>
    <t>ECPR</t>
  </si>
  <si>
    <t>R57.0 Shock cardiogeno</t>
  </si>
  <si>
    <t>R57.8 Altre forme di shock</t>
  </si>
  <si>
    <t>CARDIAC</t>
  </si>
  <si>
    <t>I46.0 Arresto cardiaco con efficace rianimazione</t>
  </si>
  <si>
    <t>I51.9 Cardiopatia non specificata</t>
  </si>
  <si>
    <t>I21.0 Infarto miocardico acuto transmurale della parete anteriore</t>
  </si>
  <si>
    <t>Dissection of thoracic aorta,"I71.01"</t>
  </si>
  <si>
    <t>I21.2 Infarto miocardico acuto transmurale di altre sedi</t>
  </si>
  <si>
    <t>I44.2 Blocco atrioventricolare completo</t>
  </si>
  <si>
    <t xml:space="preserve">R65.21 SHOCK SETTICO </t>
  </si>
  <si>
    <t>Dissection of thoracoabdominal aorta,"I71.03"</t>
  </si>
  <si>
    <t>PULMONARY</t>
  </si>
  <si>
    <t>Injury of heart with hemopericardium,"S26.0"</t>
  </si>
  <si>
    <t>M72.6 fascite necrotizzante</t>
  </si>
  <si>
    <t>I21.1 Infarto miocardico acuto transmurale della parete inferiore</t>
  </si>
  <si>
    <t>Stenosis of coronary artery stent,"T82.855"</t>
  </si>
  <si>
    <t>R57.1 Shock ipovolemico</t>
  </si>
  <si>
    <t>I47.2 Tachicardia ventricolare</t>
  </si>
  <si>
    <t>Iperkaliemia grave in rabdomiolisi di ndd</t>
  </si>
  <si>
    <t>I42.9 Cardiomiopatia non specificata</t>
  </si>
  <si>
    <t>ROTTURA PAPILLARE CON IM E SOSTITUZIONE</t>
  </si>
  <si>
    <t>R57.9 Shock non specificato</t>
  </si>
  <si>
    <t>spontaneous coronary artery dissection</t>
  </si>
  <si>
    <t>ROTTURA DI CUORE VDX DOPO INFARTO INFERIORE</t>
  </si>
  <si>
    <t>I51.4 Miocardite non specificata</t>
  </si>
  <si>
    <t>VASO</t>
  </si>
  <si>
    <t>FR</t>
  </si>
  <si>
    <t>MANUFACTURER</t>
  </si>
  <si>
    <t>CANNULA</t>
  </si>
  <si>
    <t>PERCUTANEOUS</t>
  </si>
  <si>
    <t>PRE-EXISTING</t>
  </si>
  <si>
    <t>DRAINAGE</t>
  </si>
  <si>
    <t>5 LFV</t>
  </si>
  <si>
    <t>Getinge</t>
  </si>
  <si>
    <t>RETURN</t>
  </si>
  <si>
    <t>11 RFA</t>
  </si>
  <si>
    <t>Gentinge</t>
  </si>
  <si>
    <t>9 RA</t>
  </si>
  <si>
    <t xml:space="preserve">single stage </t>
  </si>
  <si>
    <t>1 Aorta</t>
  </si>
  <si>
    <t>Edwards</t>
  </si>
  <si>
    <t>12 RFV</t>
  </si>
  <si>
    <t>4 LFA</t>
  </si>
  <si>
    <t>GETINGE</t>
  </si>
  <si>
    <t>17 RSA</t>
  </si>
  <si>
    <t>6 LIJV</t>
  </si>
  <si>
    <t>2316?</t>
  </si>
  <si>
    <t>36/46</t>
  </si>
  <si>
    <t>els dual stage 36/46</t>
  </si>
  <si>
    <t>PROCEDURA</t>
  </si>
  <si>
    <t>DATA</t>
  </si>
  <si>
    <t>ORA</t>
  </si>
  <si>
    <t>TIMING ESATTO</t>
  </si>
  <si>
    <t>99184 Initiation of total body hypothermia</t>
  </si>
  <si>
    <t>90947 Dialysis procedure other than hemodialysis requiring repeated physician evaluations with substantial revision of dialysis prescription</t>
  </si>
  <si>
    <t>33999 Cardiac surgery procedure</t>
  </si>
  <si>
    <t>36823 Removal of arterial and venous cannulas and repair of arteriotomy and venotomy sites</t>
  </si>
  <si>
    <t>93455 Catheter placement in coronary artery(s) for coronary angiography, including intraprocedural injections for coronary angiography, imaging supervision and interpretation with catheter placements in bypass grafts including intraprocedural injections fo</t>
  </si>
  <si>
    <t>13:18</t>
  </si>
  <si>
    <t>95812 EEG extended monitoring</t>
  </si>
  <si>
    <t>93454 Catheter placement in coronary artery(s) for coronary angiography, including intraprocedural injection(s) for coronary angiography, imaging supervision and interpretation</t>
  </si>
  <si>
    <t>16:31</t>
  </si>
  <si>
    <t>70450 CT of head without contrast material</t>
  </si>
  <si>
    <t>71260 CT of thorax with contrast</t>
  </si>
  <si>
    <t>74160 CT of abdomen with contrast</t>
  </si>
  <si>
    <t>33966 Percutaneous removal of peripheral cannula by physician for patient 6 years and older</t>
  </si>
  <si>
    <t>9:30</t>
  </si>
  <si>
    <t>27602 Decompression fasciotomy of lateral and posterior compartment of lower leg</t>
  </si>
  <si>
    <t>92920 Percutaneous transluminal coronary angioplasty</t>
  </si>
  <si>
    <t>31624 Bronchoscopy rigid or flexible including fluoroscopic guidance when performed.</t>
  </si>
  <si>
    <t>11042 Debridement of subcutaneous tissue including epidermis and dermis first 20 square cms or less</t>
  </si>
  <si>
    <t>08:00</t>
  </si>
  <si>
    <t>si</t>
  </si>
  <si>
    <t>74177 CT of abdomen and pelvis with contrast</t>
  </si>
  <si>
    <t>33975","Insertion of extracorporeal single-ventricle ventricular assist device"</t>
  </si>
  <si>
    <t>33977","Removal of extracorporeal single-ventricle ventricular assist device"</t>
  </si>
  <si>
    <t>09:43</t>
  </si>
  <si>
    <t>16:57</t>
  </si>
  <si>
    <t>11:19</t>
  </si>
  <si>
    <t>10:46</t>
  </si>
  <si>
    <t>10:49</t>
  </si>
  <si>
    <t>12:32</t>
  </si>
  <si>
    <t>03:59</t>
  </si>
  <si>
    <t>33968 Percutaneous removal of intra-aortic balloon assist device</t>
  </si>
  <si>
    <t>33986 Thoracotomy with removal of central cannula by physician for patient 6 years and older</t>
  </si>
  <si>
    <t>70460 CT of head with contrast</t>
  </si>
  <si>
    <t>11:26</t>
  </si>
  <si>
    <t>9:11</t>
  </si>
  <si>
    <t>33967 Percutaneous insertion of intra-aortic balloon assist device</t>
  </si>
  <si>
    <t>23:00</t>
  </si>
  <si>
    <t>37799 Vascular surgery procedure</t>
  </si>
  <si>
    <t>12:48</t>
  </si>
  <si>
    <t>17:55</t>
  </si>
  <si>
    <t>10:24</t>
  </si>
  <si>
    <t>10:26</t>
  </si>
  <si>
    <t>31725 Tracheobronchial catheter aspiration using fiberscope</t>
  </si>
  <si>
    <t>76700 Real time ultrasound of entire abdomen with image documentation</t>
  </si>
  <si>
    <t>9:37</t>
  </si>
  <si>
    <t>71045 X-ray of chest single view</t>
  </si>
  <si>
    <t>17:07</t>
  </si>
  <si>
    <t>09:09</t>
  </si>
  <si>
    <t>13:55</t>
  </si>
  <si>
    <t>14:28</t>
  </si>
  <si>
    <t>18:17</t>
  </si>
  <si>
    <t>9:56</t>
  </si>
  <si>
    <t>15:52</t>
  </si>
  <si>
    <t>93503 Insertion and placement of flow directed catheter</t>
  </si>
  <si>
    <t>22:18</t>
  </si>
  <si>
    <t>11:49</t>
  </si>
  <si>
    <t>13:23</t>
  </si>
  <si>
    <t>10:45</t>
  </si>
  <si>
    <t>10:56</t>
  </si>
  <si>
    <t>49002 Reopening of recent laparotomy</t>
  </si>
  <si>
    <t>16:49</t>
  </si>
  <si>
    <t>00:09</t>
  </si>
  <si>
    <t>13:48</t>
  </si>
  <si>
    <t>12:45</t>
  </si>
  <si>
    <t>11:36</t>
  </si>
  <si>
    <t>13:29</t>
  </si>
  <si>
    <t>10:53</t>
  </si>
  <si>
    <t>31600 Tracheostomy</t>
  </si>
  <si>
    <t>17:43</t>
  </si>
  <si>
    <t>5:52</t>
  </si>
  <si>
    <t>74176 CT of abdomen and pelvis without contrast</t>
  </si>
  <si>
    <t>71250 CT of thorax without contrast</t>
  </si>
  <si>
    <t>10:51</t>
  </si>
  <si>
    <t>13:34</t>
  </si>
  <si>
    <t>17:39</t>
  </si>
  <si>
    <t>33010 Initial pericardiocentesis</t>
  </si>
  <si>
    <t>02:52</t>
  </si>
  <si>
    <t>14:21</t>
  </si>
  <si>
    <t>27600 Decompression fasciotomy of lateral compartment of lower leg</t>
  </si>
  <si>
    <t>01:13</t>
  </si>
  <si>
    <t>14:02</t>
  </si>
  <si>
    <t>00:10</t>
  </si>
  <si>
    <t>04:14</t>
  </si>
  <si>
    <t>08:53</t>
  </si>
  <si>
    <t>10:52</t>
  </si>
  <si>
    <t>3:33</t>
  </si>
  <si>
    <t>3:50</t>
  </si>
  <si>
    <t>4:30</t>
  </si>
  <si>
    <t>3272025053</t>
  </si>
  <si>
    <t>19:08</t>
  </si>
  <si>
    <t>05:00</t>
  </si>
  <si>
    <t>11:09</t>
  </si>
  <si>
    <t>09:11</t>
  </si>
  <si>
    <t>18:45</t>
  </si>
  <si>
    <t>15:20</t>
  </si>
  <si>
    <t>9:08</t>
  </si>
  <si>
    <t>71046 X-ray of chest single view</t>
  </si>
  <si>
    <t>9:19</t>
  </si>
  <si>
    <t>71047 X-ray of chest single view</t>
  </si>
  <si>
    <t>8:41</t>
  </si>
  <si>
    <t>9:53</t>
  </si>
  <si>
    <t>14:10</t>
  </si>
  <si>
    <t>9:31</t>
  </si>
  <si>
    <t>17:10</t>
  </si>
  <si>
    <t>14:26</t>
  </si>
  <si>
    <t>7:46</t>
  </si>
  <si>
    <t>09:07</t>
  </si>
  <si>
    <t>08:57</t>
  </si>
  <si>
    <t>10:43</t>
  </si>
  <si>
    <t>14:45</t>
  </si>
  <si>
    <t>09:20</t>
  </si>
  <si>
    <t>9:27</t>
  </si>
  <si>
    <t>8:40</t>
  </si>
  <si>
    <t>8:58</t>
  </si>
  <si>
    <t>8:46</t>
  </si>
  <si>
    <t>11:22</t>
  </si>
  <si>
    <t>11:20</t>
  </si>
  <si>
    <t>08:25</t>
  </si>
  <si>
    <t>08:28</t>
  </si>
  <si>
    <t>TC mdc AAII</t>
  </si>
  <si>
    <t>09:04</t>
  </si>
  <si>
    <t>09:10</t>
  </si>
  <si>
    <t>08:18</t>
  </si>
  <si>
    <t>09:12</t>
  </si>
  <si>
    <t>08:19</t>
  </si>
  <si>
    <t>08:27</t>
  </si>
  <si>
    <t>08:52</t>
  </si>
  <si>
    <t>09:17</t>
  </si>
  <si>
    <t>09:45</t>
  </si>
  <si>
    <t>08:35</t>
  </si>
  <si>
    <t>09:16</t>
  </si>
  <si>
    <t>08:46</t>
  </si>
  <si>
    <t>04:40</t>
  </si>
  <si>
    <t>09:57</t>
  </si>
  <si>
    <t>08:22</t>
  </si>
  <si>
    <t>13:52</t>
  </si>
  <si>
    <t>08:30</t>
  </si>
  <si>
    <t>3272025056</t>
  </si>
  <si>
    <t>2025</t>
  </si>
  <si>
    <t>12:21</t>
  </si>
  <si>
    <t>07:02</t>
  </si>
  <si>
    <t>14:46</t>
  </si>
  <si>
    <t>09:18</t>
  </si>
  <si>
    <t>09:36</t>
  </si>
  <si>
    <t>9:20</t>
  </si>
  <si>
    <t>15:43</t>
  </si>
  <si>
    <t>9:38</t>
  </si>
  <si>
    <t>8:32</t>
  </si>
  <si>
    <t>13:42</t>
  </si>
  <si>
    <t>08:50</t>
  </si>
  <si>
    <t>14:49</t>
  </si>
  <si>
    <t>14:22</t>
  </si>
  <si>
    <t>17:02</t>
  </si>
  <si>
    <t>74150 CT of abdomen without contrast</t>
  </si>
  <si>
    <t>11:15</t>
  </si>
  <si>
    <t>43246 Upper gastrointestinal endoscopy with directed placement of percutaneous gastrostomy tube</t>
  </si>
  <si>
    <t>13:58</t>
  </si>
  <si>
    <t>09:25</t>
  </si>
  <si>
    <t>08:26</t>
  </si>
  <si>
    <t>11:12</t>
  </si>
  <si>
    <t>09:06</t>
  </si>
  <si>
    <t>74018 X-ray of abdomen single view</t>
  </si>
  <si>
    <t>08:59</t>
  </si>
  <si>
    <t>23:02</t>
  </si>
  <si>
    <t>19:07</t>
  </si>
  <si>
    <t>00:04</t>
  </si>
  <si>
    <t>00:11</t>
  </si>
  <si>
    <t>09:32</t>
  </si>
  <si>
    <t>09:44</t>
  </si>
  <si>
    <t>09:34</t>
  </si>
  <si>
    <t>70551 MRI of brain including brain stem without contrast</t>
  </si>
  <si>
    <t>18:12</t>
  </si>
  <si>
    <t>14:04</t>
  </si>
  <si>
    <t>15:14</t>
  </si>
  <si>
    <t>13:31</t>
  </si>
  <si>
    <t>20:58</t>
  </si>
  <si>
    <t>08:49</t>
  </si>
  <si>
    <t>09:27</t>
  </si>
  <si>
    <t>12:29</t>
  </si>
  <si>
    <t>posiziona imepella</t>
  </si>
  <si>
    <t>23:42</t>
  </si>
  <si>
    <t>09:49</t>
  </si>
  <si>
    <t>09:28</t>
  </si>
  <si>
    <t>09:19</t>
  </si>
  <si>
    <t>09:01</t>
  </si>
  <si>
    <t>15:48</t>
  </si>
  <si>
    <t>22:08</t>
  </si>
  <si>
    <t xml:space="preserve">filtro cavale </t>
  </si>
  <si>
    <t>07:52</t>
  </si>
  <si>
    <t>16:09</t>
  </si>
  <si>
    <t>15:05</t>
  </si>
  <si>
    <t>08:56</t>
  </si>
  <si>
    <t>07:57</t>
  </si>
  <si>
    <t>08:51</t>
  </si>
  <si>
    <t>13:47</t>
  </si>
  <si>
    <t>08:47</t>
  </si>
  <si>
    <t>13:35</t>
  </si>
  <si>
    <t>14:56</t>
  </si>
  <si>
    <t>09:55</t>
  </si>
  <si>
    <t>09:24</t>
  </si>
  <si>
    <t>08:41</t>
  </si>
  <si>
    <t>14:59</t>
  </si>
  <si>
    <t>08:14</t>
  </si>
  <si>
    <t>08:13</t>
  </si>
  <si>
    <t>14:31</t>
  </si>
  <si>
    <t>10:57</t>
  </si>
  <si>
    <t>13:15</t>
  </si>
  <si>
    <t>14:01</t>
  </si>
  <si>
    <t>21:32</t>
  </si>
  <si>
    <t>IVC filter</t>
  </si>
  <si>
    <t>03:35</t>
  </si>
  <si>
    <t>14:14</t>
  </si>
  <si>
    <t>14:53</t>
  </si>
  <si>
    <t>12:14</t>
  </si>
  <si>
    <t>09:02</t>
  </si>
  <si>
    <t>13:49</t>
  </si>
  <si>
    <t>15:24</t>
  </si>
  <si>
    <t>09:39</t>
  </si>
  <si>
    <t>04:24</t>
  </si>
  <si>
    <t>08:23</t>
  </si>
  <si>
    <t>14:24</t>
  </si>
  <si>
    <t>22:25</t>
  </si>
  <si>
    <t>09:14</t>
  </si>
  <si>
    <t>09:46</t>
  </si>
  <si>
    <t>08:54</t>
  </si>
  <si>
    <t>10:36</t>
  </si>
  <si>
    <t>15:59</t>
  </si>
  <si>
    <t>15:51</t>
  </si>
  <si>
    <t>22:09</t>
  </si>
  <si>
    <t>14:34</t>
  </si>
  <si>
    <t>22:11</t>
  </si>
  <si>
    <t>21:31</t>
  </si>
  <si>
    <t>19:16</t>
  </si>
  <si>
    <t>14:48</t>
  </si>
  <si>
    <t>9:00</t>
  </si>
  <si>
    <t>8:38</t>
  </si>
  <si>
    <t>8:33</t>
  </si>
  <si>
    <t>9:15</t>
  </si>
  <si>
    <t>22:50</t>
  </si>
  <si>
    <t>12:19</t>
  </si>
  <si>
    <t>19:09</t>
  </si>
  <si>
    <t>08:58</t>
  </si>
  <si>
    <t>17:54</t>
  </si>
  <si>
    <t>16:26</t>
  </si>
  <si>
    <t>11:52</t>
  </si>
  <si>
    <t>16:25</t>
  </si>
  <si>
    <t>22:10</t>
  </si>
  <si>
    <t>22:13</t>
  </si>
  <si>
    <t>37187 Percutaneous transluminal mechanical thrombectomy and thrombolytic injections of veins using fluoroscopic guidance</t>
  </si>
  <si>
    <t>00:20</t>
  </si>
  <si>
    <t>13:24</t>
  </si>
  <si>
    <t>8:35</t>
  </si>
  <si>
    <t>22/12/0205</t>
  </si>
  <si>
    <t>8:36</t>
  </si>
  <si>
    <t>9:05</t>
  </si>
  <si>
    <t>17:35</t>
  </si>
  <si>
    <t>75894 Radiologic supervision and interpretation for transcatheter embolization</t>
  </si>
  <si>
    <t>18:07</t>
  </si>
  <si>
    <t>12:22</t>
  </si>
  <si>
    <t>10:18</t>
  </si>
  <si>
    <t>13:27</t>
  </si>
  <si>
    <t>19:39</t>
  </si>
  <si>
    <t>22:32</t>
  </si>
  <si>
    <t>DATA EGA</t>
  </si>
  <si>
    <t>ORA EGA</t>
  </si>
  <si>
    <t>pH</t>
  </si>
  <si>
    <t>pO2</t>
  </si>
  <si>
    <t>pCO2</t>
  </si>
  <si>
    <t>HCO3-</t>
  </si>
  <si>
    <t>Lac</t>
  </si>
  <si>
    <t>BE</t>
  </si>
  <si>
    <t>Hb</t>
  </si>
  <si>
    <t>HT</t>
  </si>
  <si>
    <t>O2Hb</t>
  </si>
  <si>
    <t>DATA VENT SETTING</t>
  </si>
  <si>
    <t>TIME VENT SETTING</t>
  </si>
  <si>
    <t>TYPE</t>
  </si>
  <si>
    <t>RR</t>
  </si>
  <si>
    <t>PEEP</t>
  </si>
  <si>
    <t>Pmedie</t>
  </si>
  <si>
    <t>Ppicco</t>
  </si>
  <si>
    <t>Pplat</t>
  </si>
  <si>
    <t>TV</t>
  </si>
  <si>
    <t>HEMODINAMIC DATE</t>
  </si>
  <si>
    <t>HEMODINAMIC TIME</t>
  </si>
  <si>
    <t>PAS</t>
  </si>
  <si>
    <t>PAD</t>
  </si>
  <si>
    <t>PAM</t>
  </si>
  <si>
    <t>SVO2</t>
  </si>
  <si>
    <t>CO</t>
  </si>
  <si>
    <t>PAOP</t>
  </si>
  <si>
    <t>PAPs</t>
  </si>
  <si>
    <t>PAPd</t>
  </si>
  <si>
    <t>PAPm</t>
  </si>
  <si>
    <t>CI</t>
  </si>
  <si>
    <t>09:13</t>
  </si>
  <si>
    <t>&lt;7</t>
  </si>
  <si>
    <t>non disp</t>
  </si>
  <si>
    <t>VCV</t>
  </si>
  <si>
    <t>11:45 (VENOSO)</t>
  </si>
  <si>
    <t>15:29</t>
  </si>
  <si>
    <t>12:17</t>
  </si>
  <si>
    <t>na</t>
  </si>
  <si>
    <t>vcv</t>
  </si>
  <si>
    <t>CPAP helmet</t>
  </si>
  <si>
    <t>08/08/2024 (vena)</t>
  </si>
  <si>
    <t>11:37</t>
  </si>
  <si>
    <t>&lt;29</t>
  </si>
  <si>
    <t>&gt;76</t>
  </si>
  <si>
    <t>14:35</t>
  </si>
  <si>
    <t>3.9</t>
  </si>
  <si>
    <t>-11.5</t>
  </si>
  <si>
    <t>8.2</t>
  </si>
  <si>
    <t>97.7</t>
  </si>
  <si>
    <t>20:51</t>
  </si>
  <si>
    <t>10.8</t>
  </si>
  <si>
    <t>14.1</t>
  </si>
  <si>
    <t>-22.9</t>
  </si>
  <si>
    <t>17.5</t>
  </si>
  <si>
    <t>67.7</t>
  </si>
  <si>
    <t>17:22</t>
  </si>
  <si>
    <t>11.9</t>
  </si>
  <si>
    <t>8.8</t>
  </si>
  <si>
    <t>-23.9</t>
  </si>
  <si>
    <t>15.3</t>
  </si>
  <si>
    <t>69.5</t>
  </si>
  <si>
    <t>19:36</t>
  </si>
  <si>
    <t>6.9</t>
  </si>
  <si>
    <t>9.6</t>
  </si>
  <si>
    <t>97.8</t>
  </si>
  <si>
    <t>18??</t>
  </si>
  <si>
    <t>Na</t>
  </si>
  <si>
    <t>ACC</t>
  </si>
  <si>
    <t>00:56</t>
  </si>
  <si>
    <t>PSV</t>
  </si>
  <si>
    <t>11:48</t>
  </si>
  <si>
    <t>6.8</t>
  </si>
  <si>
    <t>INCALCOLABILE</t>
  </si>
  <si>
    <t>&gt;17</t>
  </si>
  <si>
    <t>26/10/2024 vena</t>
  </si>
  <si>
    <t>RS</t>
  </si>
  <si>
    <t>19:22</t>
  </si>
  <si>
    <t>23:51</t>
  </si>
  <si>
    <t>-7.9</t>
  </si>
  <si>
    <t>Hand bagging</t>
  </si>
  <si>
    <t>02:06</t>
  </si>
  <si>
    <t>11:46</t>
  </si>
  <si>
    <t>&lt; 7</t>
  </si>
  <si>
    <t>8:08</t>
  </si>
  <si>
    <t>&lt;6,8</t>
  </si>
  <si>
    <t>6:40</t>
  </si>
  <si>
    <t>-9.7</t>
  </si>
  <si>
    <t>CPAP</t>
  </si>
  <si>
    <t>01:35</t>
  </si>
  <si>
    <t>11.6</t>
  </si>
  <si>
    <t>07:09</t>
  </si>
  <si>
    <t>incalcolabile</t>
  </si>
  <si>
    <t>venturi 50%</t>
  </si>
  <si>
    <t>16:52</t>
  </si>
  <si>
    <t>reservoir</t>
  </si>
  <si>
    <t>17:15</t>
  </si>
  <si>
    <t>17:25</t>
  </si>
  <si>
    <t>18:27</t>
  </si>
  <si>
    <t>18;00</t>
  </si>
  <si>
    <t>02:00</t>
  </si>
  <si>
    <t>14:30 CIRCA VENOSO</t>
  </si>
  <si>
    <t>rs</t>
  </si>
  <si>
    <t>-16.5</t>
  </si>
  <si>
    <t>17:31</t>
  </si>
  <si>
    <t>SUPPORT</t>
  </si>
  <si>
    <t>604 Norepinephrine</t>
  </si>
  <si>
    <t>709 Vasopressin</t>
  </si>
  <si>
    <t>104 Cardiac pacemaker</t>
  </si>
  <si>
    <t>602 Dobutamine</t>
  </si>
  <si>
    <t>613 Systemic steroids</t>
  </si>
  <si>
    <t>401 Narcotics</t>
  </si>
  <si>
    <t>402 Neuromuscular blockers</t>
  </si>
  <si>
    <t>201 Cardiopulmonary bypass</t>
  </si>
  <si>
    <t>603 Epinephrine</t>
  </si>
  <si>
    <t>acc</t>
  </si>
  <si>
    <t>704 Levosimendan</t>
  </si>
  <si>
    <t>302 Nitric oxide</t>
  </si>
  <si>
    <t>103 Intra-aortic balloon</t>
  </si>
  <si>
    <t>708 Nitroglycerin</t>
  </si>
  <si>
    <t>701 Percutaneous Ventricular Assist Device</t>
  </si>
  <si>
    <t>502 Renal Replacement Therapy</t>
  </si>
  <si>
    <t>403 Bicarbonate (Intravenous)</t>
  </si>
  <si>
    <t>202 LVAD</t>
  </si>
  <si>
    <t>601 Dopamine</t>
  </si>
  <si>
    <t>ACC, FV</t>
  </si>
  <si>
    <t>ACC, defibrillabile MSB</t>
  </si>
  <si>
    <t>ACC FV&gt;PEA</t>
  </si>
  <si>
    <t>ACC FV</t>
  </si>
  <si>
    <t>UNITA' DOVE AVVIENE LA MAGGIOR PARTE DELL'ASSISTENZA</t>
  </si>
  <si>
    <t>CONNESSIONE IN SO/CATH LAB</t>
  </si>
  <si>
    <t>ENTERAL FEEDING</t>
  </si>
  <si>
    <t>LEVEL OF MOBILIZATION (AT DAY 7)</t>
  </si>
  <si>
    <t>LEVEL OF MOBILIZATION (MAX)</t>
  </si>
  <si>
    <t>ADULT CARDIAC ICU</t>
  </si>
  <si>
    <t>0 Nothing (lying in bed)</t>
  </si>
  <si>
    <t>2 Passively moved to chair (no standing)</t>
  </si>
  <si>
    <t>1 Sitting in bed, exercises in bed</t>
  </si>
  <si>
    <t>5 Transferring bed to chair</t>
  </si>
  <si>
    <t>3 Sitting over edge of bed</t>
  </si>
  <si>
    <t>3272025059</t>
  </si>
  <si>
    <t>4 Standing (with or without assist)</t>
  </si>
  <si>
    <t>DIMESSA PRIMA DEL GIORNO 7</t>
  </si>
  <si>
    <t>decesso in II giornata</t>
  </si>
  <si>
    <t>FiO2</t>
  </si>
  <si>
    <t>BF - 4HR</t>
  </si>
  <si>
    <t>BF - 24HR</t>
  </si>
  <si>
    <t>UNIT</t>
  </si>
  <si>
    <t>PROCEDURAL ECLS</t>
  </si>
  <si>
    <t>ADULT CARDIAC</t>
  </si>
  <si>
    <t>deceduto</t>
  </si>
  <si>
    <t>v-simv</t>
  </si>
  <si>
    <t>06:14</t>
  </si>
  <si>
    <t>2.9</t>
  </si>
  <si>
    <t>4.3</t>
  </si>
  <si>
    <t>-6.2</t>
  </si>
  <si>
    <t>10.3</t>
  </si>
  <si>
    <t>25.6</t>
  </si>
  <si>
    <t>1.5</t>
  </si>
  <si>
    <t>11.2</t>
  </si>
  <si>
    <t>98.9</t>
  </si>
  <si>
    <t>&lt;1</t>
  </si>
  <si>
    <t>24.8</t>
  </si>
  <si>
    <t>3.2</t>
  </si>
  <si>
    <t>-0.5</t>
  </si>
  <si>
    <t>12.1</t>
  </si>
  <si>
    <t>96.9</t>
  </si>
  <si>
    <t>V-SIMV</t>
  </si>
  <si>
    <t>29.6</t>
  </si>
  <si>
    <t>6.5</t>
  </si>
  <si>
    <t>7.2</t>
  </si>
  <si>
    <t>99.8</t>
  </si>
  <si>
    <t>5.1</t>
  </si>
  <si>
    <t>4.9</t>
  </si>
  <si>
    <t>06:19</t>
  </si>
  <si>
    <t>04:00</t>
  </si>
  <si>
    <t>PRVC</t>
  </si>
  <si>
    <t>CVC</t>
  </si>
  <si>
    <t>1.3</t>
  </si>
  <si>
    <t>3.4</t>
  </si>
  <si>
    <t>9.8</t>
  </si>
  <si>
    <t>3.7</t>
  </si>
  <si>
    <t xml:space="preserve">VCV </t>
  </si>
  <si>
    <t>05:29</t>
  </si>
  <si>
    <t>7.4</t>
  </si>
  <si>
    <t>05:30</t>
  </si>
  <si>
    <t>8:00</t>
  </si>
  <si>
    <t>3.6</t>
  </si>
  <si>
    <t>-4.9</t>
  </si>
  <si>
    <t>04:16</t>
  </si>
  <si>
    <t>19:51</t>
  </si>
  <si>
    <t>VAV</t>
  </si>
  <si>
    <t>5:00</t>
  </si>
  <si>
    <t>6:00</t>
  </si>
  <si>
    <t>4:00</t>
  </si>
  <si>
    <t>-1.6</t>
  </si>
  <si>
    <t>COMPLICATION</t>
  </si>
  <si>
    <t>504-Cardiovascular: Cardiac arrhythmia</t>
  </si>
  <si>
    <t>222-Hemorrhagic: Peripheral cannulation site bleeding</t>
  </si>
  <si>
    <t>325-Neurologic: CNS diffuse ischemia (CT/MRI)</t>
  </si>
  <si>
    <t>401-Renal: Creatinine 1.5 - 3.0</t>
  </si>
  <si>
    <t>203-Hemorrhagic: Surgical site bleeding</t>
  </si>
  <si>
    <t>06/01/0202</t>
  </si>
  <si>
    <t>301-Neurologic: Brain death</t>
  </si>
  <si>
    <t>312-Neurologic: Seizures Confirmed by EEG</t>
  </si>
  <si>
    <t>415-Renal: Renal Replacement Therapy Required</t>
  </si>
  <si>
    <t>402-Renal: Creatinine &gt; 3.0</t>
  </si>
  <si>
    <t>324-Neurologic: Intra/extra parenchymal CNS Hemorrhage (US or CT or MRI)</t>
  </si>
  <si>
    <t>822-Metabolic: Moderate hemolysis</t>
  </si>
  <si>
    <t>132-Mechanical: Circuit change</t>
  </si>
  <si>
    <t>IRC V STADIO NOTA</t>
  </si>
  <si>
    <t>541-Cardiovascular: Tamponade (blood)</t>
  </si>
  <si>
    <t>601-Pulmonary: Pneumothorax requiring treatment</t>
  </si>
  <si>
    <t>602-Pulmonary: Pulmonary hemorrhage</t>
  </si>
  <si>
    <t>104-Mechanical: Pump Failure</t>
  </si>
  <si>
    <t>311-Neurologic: Seizures: clinically determined</t>
  </si>
  <si>
    <t>901-Limb: Ischemia</t>
  </si>
  <si>
    <t>902-Limb: Compartment Syndrome</t>
  </si>
  <si>
    <t>903-Limb: Fasciotomy</t>
  </si>
  <si>
    <t>201-Hemorrhagic: GI hemorrhage</t>
  </si>
  <si>
    <t>101-Mechanical: Oxygenator failure</t>
  </si>
  <si>
    <t>31/012025</t>
  </si>
  <si>
    <t>114-Mechanical: Clots: hemofilter</t>
  </si>
  <si>
    <t>133-Mechanical: Clots and Air Emboli</t>
  </si>
  <si>
    <t>NESSUNA</t>
  </si>
  <si>
    <t>DATA INFEZIONE</t>
  </si>
  <si>
    <t>SITO</t>
  </si>
  <si>
    <t>TIPO DI ORGANISMO</t>
  </si>
  <si>
    <t>ORGANISMO</t>
  </si>
  <si>
    <t>109 Urine</t>
  </si>
  <si>
    <t>1 - Gram positive bacteria</t>
  </si>
  <si>
    <t>13 - Eschericha coli</t>
  </si>
  <si>
    <t>2 - Gram negative bacteria</t>
  </si>
  <si>
    <t>1 - Staphylococcus aureus</t>
  </si>
  <si>
    <t>106 Respiratory tract</t>
  </si>
  <si>
    <t>36 - Streptococcus pneumoniae</t>
  </si>
  <si>
    <t>2024</t>
  </si>
  <si>
    <t>58 - Enterobacter cloacae</t>
  </si>
  <si>
    <t>5 - Viruses and prions</t>
  </si>
  <si>
    <t>43 - Herpes simplex virus (HSV)</t>
  </si>
  <si>
    <t>37 - Serratia marsescens</t>
  </si>
  <si>
    <t>15 - Pseudomonas aerugenosa</t>
  </si>
  <si>
    <t>101 Blood</t>
  </si>
  <si>
    <t>104 Peritoneal fluid</t>
  </si>
  <si>
    <t>16 - Enterococcus</t>
  </si>
  <si>
    <t>115 - Staphylococcus aureus, meth sens</t>
  </si>
  <si>
    <t>4 - Fungus (yeast and molds)</t>
  </si>
  <si>
    <t>21 - Candida albicans</t>
  </si>
  <si>
    <t>82 - Candida tropicalis</t>
  </si>
  <si>
    <t>68 - Moraxella catarrhalis (Branhamella)</t>
  </si>
  <si>
    <t>112 Other 199 Unknown</t>
  </si>
  <si>
    <t>39 - Stenotrophomonas maltophilia (Xanthomonas)</t>
  </si>
  <si>
    <t>105 Pleural fluid</t>
  </si>
  <si>
    <t>99 - Candida sp.</t>
  </si>
  <si>
    <t>53 - Candida parapsilosis</t>
  </si>
  <si>
    <t>263 - Cutibacterium acnes</t>
  </si>
  <si>
    <t>11 - Hemophilus influenza</t>
  </si>
  <si>
    <t>92 - Klebsiella oxytocia</t>
  </si>
  <si>
    <t>61 - Streptococcus, group B</t>
  </si>
  <si>
    <t>19 - Gram negative, other</t>
  </si>
  <si>
    <t>P.stuartii 10^4</t>
  </si>
  <si>
    <t>107 Skin/soft tissue</t>
  </si>
  <si>
    <t>69 - Proteus mirabilis</t>
  </si>
  <si>
    <t>14 - Klebsiella pneumoniae</t>
  </si>
  <si>
    <t>no infezioni</t>
  </si>
  <si>
    <t>85 - Citrobacter sp.</t>
  </si>
  <si>
    <t>C. Koserii</t>
  </si>
  <si>
    <t>0 - Unknown</t>
  </si>
  <si>
    <t>274 - Staphylococcus warneri</t>
  </si>
  <si>
    <t>DISCONTINUATION REASON</t>
  </si>
  <si>
    <t>ESTUBATO</t>
  </si>
  <si>
    <t>DATA ESTUBAZIONE</t>
  </si>
  <si>
    <t>ESTUBAZIONE</t>
  </si>
  <si>
    <t>DIMESSO VIVO</t>
  </si>
  <si>
    <t>DIMESSO IN ECMO</t>
  </si>
  <si>
    <t>DATA DIMISSIONE ICU</t>
  </si>
  <si>
    <t>TIME DIMISSIONE ICU</t>
  </si>
  <si>
    <t>DATA DIMISSIONE OSPEDALIERA</t>
  </si>
  <si>
    <t>TIME DIMISSIONE OSPEDALIERA</t>
  </si>
  <si>
    <t>DIMISSIONE ICU LOCATION</t>
  </si>
  <si>
    <t>DIMISSIONE OSPEDALIERA LOCATION</t>
  </si>
  <si>
    <t>DATA DECESSO</t>
  </si>
  <si>
    <t>ORA DECESSO</t>
  </si>
  <si>
    <t>BRAIN DEATH</t>
  </si>
  <si>
    <t>SOSPENSIONE CURE</t>
  </si>
  <si>
    <t>ALTRA CAUSA</t>
  </si>
  <si>
    <t>ALTRO</t>
  </si>
  <si>
    <t>DONAZIONE ORGANI</t>
  </si>
  <si>
    <t>TIPO DONAZIONE ORGANI</t>
  </si>
  <si>
    <t>DONAZIONE TESSUTI</t>
  </si>
  <si>
    <t>CPC DISCHARGE</t>
  </si>
  <si>
    <t>2 = Poor Prognosis Followed by Death</t>
  </si>
  <si>
    <t>NO: INTUBATO AL DECESSO</t>
  </si>
  <si>
    <t>MOF</t>
  </si>
  <si>
    <t>cDCD</t>
  </si>
  <si>
    <t>NO: TRASFERITO ESTUBATO</t>
  </si>
  <si>
    <t>SICCH</t>
  </si>
  <si>
    <t>HOME</t>
  </si>
  <si>
    <t>09:41</t>
  </si>
  <si>
    <t>DBD</t>
  </si>
  <si>
    <t>UCC</t>
  </si>
  <si>
    <t>REHAB</t>
  </si>
  <si>
    <t>14:19</t>
  </si>
  <si>
    <t>ESTUBATO &gt; 48 ORE</t>
  </si>
  <si>
    <t>OTHER HOSPITAL</t>
  </si>
  <si>
    <t>1 = Expected Recovery</t>
  </si>
  <si>
    <t>REPARTO HSG</t>
  </si>
  <si>
    <t>NO: ALTRO</t>
  </si>
  <si>
    <t>12:36</t>
  </si>
  <si>
    <t>12:23</t>
  </si>
  <si>
    <t>NO: TRACHEOSTOMIA</t>
  </si>
  <si>
    <t>09/10/0202</t>
  </si>
  <si>
    <t>Midriasi fissa non TC</t>
  </si>
  <si>
    <t>11:24</t>
  </si>
  <si>
    <t>Coma postanossico con prognosi neurologica infausta</t>
  </si>
  <si>
    <t>12:43</t>
  </si>
  <si>
    <t>04:47</t>
  </si>
  <si>
    <t>06:27</t>
  </si>
  <si>
    <t>00:25</t>
  </si>
  <si>
    <t xml:space="preserve">Rifiuta tracheo, palliazione </t>
  </si>
  <si>
    <t>shock cardiocirc irreversibile</t>
  </si>
  <si>
    <t>midriasi areag</t>
  </si>
  <si>
    <t>16 = Poor Prognosis Followed by Unexpected Survival</t>
  </si>
  <si>
    <t>00:47</t>
  </si>
  <si>
    <t>shock cardiogeno irreversibile</t>
  </si>
  <si>
    <t>midrisasi areagente</t>
  </si>
  <si>
    <t>12 = Heart Tx</t>
  </si>
  <si>
    <t>ALTRO OSPEDALE TI</t>
  </si>
  <si>
    <t>shock cardiogeno/vasoplegia irreversibile</t>
  </si>
  <si>
    <t>midriasi areagente</t>
  </si>
  <si>
    <t xml:space="preserve">ischemia di gran parte del tratto gastrointestinale </t>
  </si>
  <si>
    <t>11:45</t>
  </si>
  <si>
    <t>shock settico</t>
  </si>
  <si>
    <t>RIABILITAIZONE</t>
  </si>
  <si>
    <t>0 = Unknown</t>
  </si>
  <si>
    <t>0910/2025</t>
  </si>
  <si>
    <t>15:22</t>
  </si>
  <si>
    <t>MAI INTUBATA</t>
  </si>
  <si>
    <t>DA SEGNARE</t>
  </si>
  <si>
    <t>12:20</t>
  </si>
  <si>
    <t>CARDIAC SURGERY PROCEDURE</t>
  </si>
  <si>
    <t>DATE</t>
  </si>
  <si>
    <t>TIME</t>
  </si>
  <si>
    <t>CPB</t>
  </si>
  <si>
    <t>CPB RUNS</t>
  </si>
  <si>
    <t>TIME CLAMP</t>
  </si>
  <si>
    <t>TIME CPB</t>
  </si>
  <si>
    <t>OPEN STERNUM</t>
  </si>
  <si>
    <t>2855,"Great Vessell injury"</t>
  </si>
  <si>
    <t xml:space="preserve">revisione sanguinamento mediastinico </t>
  </si>
  <si>
    <t>rimozione cannule centrali</t>
  </si>
  <si>
    <t>2830,"Coronaries"</t>
  </si>
  <si>
    <t>DISSECAZIONE TIPO A</t>
  </si>
  <si>
    <t xml:space="preserve">BYPASS Ao&gt;VGS&gt;CD </t>
  </si>
  <si>
    <t>2217,"MVR Tissue (Porcine/Bovine)"</t>
  </si>
  <si>
    <t>bypass AMIs&gt;IVA</t>
  </si>
  <si>
    <t>bypass AMIs&gt;IVA, VGS&gt;Ma, VGS&gt;Mo</t>
  </si>
  <si>
    <t>215+35</t>
  </si>
  <si>
    <t>revisione per tamponamento</t>
  </si>
  <si>
    <t>2873,"Pericardectomy"</t>
  </si>
  <si>
    <t xml:space="preserve">revisione </t>
  </si>
  <si>
    <t>2840,"Endocarditis (see TVR, PVR, MVR, AVR)"</t>
  </si>
  <si>
    <t>Tamponamento</t>
  </si>
  <si>
    <t>Revisione per tamponamento</t>
  </si>
  <si>
    <t>2852,"Repair Right Ventricle"</t>
  </si>
  <si>
    <t>21:50</t>
  </si>
  <si>
    <t>rottura di cuore post IMA</t>
  </si>
  <si>
    <t>nessuna</t>
  </si>
  <si>
    <t>NYHA ADMISSION</t>
  </si>
  <si>
    <t>SCAI ADMISSION</t>
  </si>
  <si>
    <t>SCAI PRE-ECMO</t>
  </si>
  <si>
    <t xml:space="preserve">DOSE DOPAMINA </t>
  </si>
  <si>
    <t>DOBUTAMIMNA</t>
  </si>
  <si>
    <t>DOSE ADRENALINA</t>
  </si>
  <si>
    <t>DOSE VASOPRESSINA (UI/KG/MIN)</t>
  </si>
  <si>
    <t>DOSE NORADRENALINA</t>
  </si>
  <si>
    <t>VIS PRE-ECMO</t>
  </si>
  <si>
    <t>CARDIAC CATH PRE-ECMO</t>
  </si>
  <si>
    <t>LMCA</t>
  </si>
  <si>
    <t>LAD</t>
  </si>
  <si>
    <t>RCA</t>
  </si>
  <si>
    <t>Cx</t>
  </si>
  <si>
    <t>DIAGONAL</t>
  </si>
  <si>
    <t>PDA</t>
  </si>
  <si>
    <t>ECLS CANNULATION</t>
  </si>
  <si>
    <t>EVENTO PRECIPITANTE</t>
  </si>
  <si>
    <t>PULMONARY EDEMA</t>
  </si>
  <si>
    <t>PULM HYPERT</t>
  </si>
  <si>
    <t>PULM EMBOLIS</t>
  </si>
  <si>
    <t>TAMPONADE</t>
  </si>
  <si>
    <t>IMA</t>
  </si>
  <si>
    <t>LOW CO</t>
  </si>
  <si>
    <t>ARRHYTMIA</t>
  </si>
  <si>
    <t>HYPOXIA</t>
  </si>
  <si>
    <t>CARIOPATIA ISCHEMICA</t>
  </si>
  <si>
    <t>CARDIOPATIA NON ISCHEMICA</t>
  </si>
  <si>
    <t>TIPO</t>
  </si>
  <si>
    <t>ENDOCARDITE</t>
  </si>
  <si>
    <t>MIOCARDITE</t>
  </si>
  <si>
    <t>SCONOSCIUTA</t>
  </si>
  <si>
    <t>LOCATION</t>
  </si>
  <si>
    <t>UNLOADING LV</t>
  </si>
  <si>
    <t>UNLOADING PROCEDURE</t>
  </si>
  <si>
    <t>DATE UNLOADING</t>
  </si>
  <si>
    <t>TIME UNLOADING</t>
  </si>
  <si>
    <t>RATIONALE UNLOADING</t>
  </si>
  <si>
    <t>CARDIAC SURGERY</t>
  </si>
  <si>
    <t>PROCEDURA CATH LAB</t>
  </si>
  <si>
    <t>IV</t>
  </si>
  <si>
    <t>D - DETERIORATING</t>
  </si>
  <si>
    <t>E - EXTREMIS</t>
  </si>
  <si>
    <t>EMERGENT OR ECPR</t>
  </si>
  <si>
    <t>CARDIAC ARREST</t>
  </si>
  <si>
    <t>ICU</t>
  </si>
  <si>
    <t>LOW CO -  RV/BIV</t>
  </si>
  <si>
    <t>OR</t>
  </si>
  <si>
    <t>EMERGENCY DEPT</t>
  </si>
  <si>
    <t>BOTH</t>
  </si>
  <si>
    <t>CATH LAB</t>
  </si>
  <si>
    <t>IMPELLA</t>
  </si>
  <si>
    <t>dimesso con impella</t>
  </si>
  <si>
    <t>ISCHEMIA</t>
  </si>
  <si>
    <t>17:13</t>
  </si>
  <si>
    <t>PROGRESSION DESPIT OTHER SUPPORT</t>
  </si>
  <si>
    <t>LOW CO - LV</t>
  </si>
  <si>
    <t>PERDITA EIEZIONE</t>
  </si>
  <si>
    <t>OTHER</t>
  </si>
  <si>
    <t>II</t>
  </si>
  <si>
    <t>A - AT RISK</t>
  </si>
  <si>
    <t>VENT APICALE</t>
  </si>
  <si>
    <t>RIDUZIONE PULSATILITA'</t>
  </si>
  <si>
    <t>10:35</t>
  </si>
  <si>
    <t>C - CLASSIC</t>
  </si>
  <si>
    <t>PLANNED</t>
  </si>
  <si>
    <t>00:009</t>
  </si>
  <si>
    <t>B - BEGINNING</t>
  </si>
  <si>
    <t>05:52</t>
  </si>
  <si>
    <t xml:space="preserve">DIAGNOSTIC </t>
  </si>
  <si>
    <t>13:33</t>
  </si>
  <si>
    <t>I</t>
  </si>
  <si>
    <t>UNKNOWN</t>
  </si>
  <si>
    <t>20:41</t>
  </si>
  <si>
    <t>01:27</t>
  </si>
  <si>
    <t>16:56</t>
  </si>
  <si>
    <t>INTERVENTIONAL</t>
  </si>
  <si>
    <t>LOW CO - OTHER</t>
  </si>
  <si>
    <t>III</t>
  </si>
  <si>
    <t>15:15</t>
  </si>
  <si>
    <t>SUB</t>
  </si>
  <si>
    <t>3:18</t>
  </si>
  <si>
    <t>14:50</t>
  </si>
  <si>
    <t>COMBINED CARDIAC AND RESP FAILURE</t>
  </si>
  <si>
    <t>19:29</t>
  </si>
  <si>
    <t>15:00 CIRCA</t>
  </si>
  <si>
    <t>CATH DURING</t>
  </si>
  <si>
    <t>CATH AFTER</t>
  </si>
  <si>
    <t>1:31</t>
  </si>
  <si>
    <t>TENTATIVO INFRUTTUOSO DI RIVASCOLARIZZAZIONE Cdx</t>
  </si>
  <si>
    <t>06/10-72024</t>
  </si>
  <si>
    <t>9:48</t>
  </si>
  <si>
    <t>POSIZIONATO IMPELLA</t>
  </si>
  <si>
    <t>Posizionamento IMPELLA</t>
  </si>
  <si>
    <t>pericardiocentesi</t>
  </si>
  <si>
    <t>1:27</t>
  </si>
  <si>
    <t>10:19</t>
  </si>
  <si>
    <t>PRECIPITATING EVENT_CARDIAC</t>
  </si>
  <si>
    <t>EVENTI ANTECEDENTI CARDIAC (&gt;4 ORE)</t>
  </si>
  <si>
    <t>EVENTI ANTECEDENTI NON-CARDIAC (&gt;4 ORE)</t>
  </si>
  <si>
    <t>EVENTI ANTECEDENTI NEURO (&gt;4 ORE)</t>
  </si>
  <si>
    <t>EVENTI ANTECEDENTI TOXIC (&gt;4 ORE)</t>
  </si>
  <si>
    <t>CO-MORBID CONDITIONS_CARDIAC</t>
  </si>
  <si>
    <t>CO-MORBID CONDITIONS_NON-CARDIAC</t>
  </si>
  <si>
    <t>CO-MORBID CONDITION_NEUROLOGICAL</t>
  </si>
  <si>
    <t>CO-MORBID CONDITION_TOXIC-METABOLIC</t>
  </si>
  <si>
    <t>CO-MORBID CONDITION_INFECTION</t>
  </si>
  <si>
    <t>CO-MORBID CONDITION_OTHER</t>
  </si>
  <si>
    <t>VASOPLEGIA</t>
  </si>
  <si>
    <t>Hypoxemia</t>
  </si>
  <si>
    <t>METABOLIC ACIDOSIS</t>
  </si>
  <si>
    <t>CHF</t>
  </si>
  <si>
    <t>ELECTROLYTE ABNORMALITIES</t>
  </si>
  <si>
    <t>SEPTIC SHOCK</t>
  </si>
  <si>
    <t>LV DYSFUNCTION</t>
  </si>
  <si>
    <t>ACS</t>
  </si>
  <si>
    <t>CHD</t>
  </si>
  <si>
    <t>NON CARDIAC</t>
  </si>
  <si>
    <t>OBSTRUCTIVE SHOCK</t>
  </si>
  <si>
    <t>ARRHYTHMIA</t>
  </si>
  <si>
    <t>LUNG DISEASE</t>
  </si>
  <si>
    <t>CARDAIC TAMPONADE</t>
  </si>
  <si>
    <t>PE</t>
  </si>
  <si>
    <t>ALTRI ARRESTI NELLE 24 ORE PRECEDENTI</t>
  </si>
  <si>
    <t>TESTIMONIATO</t>
  </si>
  <si>
    <t>LOCATION_OHCA</t>
  </si>
  <si>
    <t>LOCATION_IHCA</t>
  </si>
  <si>
    <t>EMS ON SCENE</t>
  </si>
  <si>
    <t>BYSTANDERS CPR</t>
  </si>
  <si>
    <t>BAYSTANDERS PAD</t>
  </si>
  <si>
    <t>CITTA'</t>
  </si>
  <si>
    <t>INDIRIZZO</t>
  </si>
  <si>
    <t>PIANO</t>
  </si>
  <si>
    <t>DATA ACC</t>
  </si>
  <si>
    <t>ORA ACC</t>
  </si>
  <si>
    <t>OTA ARRIVO MSB</t>
  </si>
  <si>
    <t>ARRIVO MSA</t>
  </si>
  <si>
    <t>INIZIO CPR</t>
  </si>
  <si>
    <t>RITMO DI PRESENTAZIONE MSB</t>
  </si>
  <si>
    <t>RITMO DI PRESENTAZIONE MSA</t>
  </si>
  <si>
    <t>RITMO</t>
  </si>
  <si>
    <t>IOT</t>
  </si>
  <si>
    <t>SHOCK DAE</t>
  </si>
  <si>
    <t>SHOCK MSA</t>
  </si>
  <si>
    <t>ADRENALINA</t>
  </si>
  <si>
    <t>AMIODARONE</t>
  </si>
  <si>
    <t>ROSC INTERCORRENTI</t>
  </si>
  <si>
    <t>MCE MECCANICO</t>
  </si>
  <si>
    <t>TRASPORTO</t>
  </si>
  <si>
    <t>ARRIVO IN PS</t>
  </si>
  <si>
    <t>IHCA</t>
  </si>
  <si>
    <t>23:25</t>
  </si>
  <si>
    <t>SHOCK</t>
  </si>
  <si>
    <t>FV</t>
  </si>
  <si>
    <t>OHCA</t>
  </si>
  <si>
    <t>PUBBLIC PLACE</t>
  </si>
  <si>
    <t>SESTO S GIOVANNI</t>
  </si>
  <si>
    <t>VIA MONTE GRAPPA</t>
  </si>
  <si>
    <t>10:47</t>
  </si>
  <si>
    <t>11:04</t>
  </si>
  <si>
    <t>NON SHOCK</t>
  </si>
  <si>
    <t>PEA</t>
  </si>
  <si>
    <t>GOMMA</t>
  </si>
  <si>
    <t>brugherio</t>
  </si>
  <si>
    <t>viale lombardia 225</t>
  </si>
  <si>
    <t>14:27</t>
  </si>
  <si>
    <t>14:40</t>
  </si>
  <si>
    <t>10:10</t>
  </si>
  <si>
    <t>10:06</t>
  </si>
  <si>
    <t>fv</t>
  </si>
  <si>
    <t>11:06</t>
  </si>
  <si>
    <t>PS</t>
  </si>
  <si>
    <t>MARIANO COMENSE</t>
  </si>
  <si>
    <t>14:13</t>
  </si>
  <si>
    <t>15:17</t>
  </si>
  <si>
    <t>Usmate Velate</t>
  </si>
  <si>
    <t xml:space="preserve"> Via Toscanini 32</t>
  </si>
  <si>
    <t>01:43</t>
  </si>
  <si>
    <t>01:53</t>
  </si>
  <si>
    <t>01:56</t>
  </si>
  <si>
    <t>01:44</t>
  </si>
  <si>
    <t>02:46</t>
  </si>
  <si>
    <t>Seregno</t>
  </si>
  <si>
    <t>10:44</t>
  </si>
  <si>
    <t>10:55</t>
  </si>
  <si>
    <t>Cinisello Balsamo</t>
  </si>
  <si>
    <t>via pelizza da volpedo</t>
  </si>
  <si>
    <t>19:54</t>
  </si>
  <si>
    <t>20:05</t>
  </si>
  <si>
    <t>20:45</t>
  </si>
  <si>
    <t>08:50 (circa)</t>
  </si>
  <si>
    <t>Cesano Maderno</t>
  </si>
  <si>
    <t>Via Mortara</t>
  </si>
  <si>
    <t>16:37</t>
  </si>
  <si>
    <t>17:14</t>
  </si>
  <si>
    <t>Monza</t>
  </si>
  <si>
    <t>Via Gian Battista Tiepolo 6</t>
  </si>
  <si>
    <t>13:36</t>
  </si>
  <si>
    <t>Via Scheda 20</t>
  </si>
  <si>
    <t>22:44</t>
  </si>
  <si>
    <t>22:55</t>
  </si>
  <si>
    <t>22:45</t>
  </si>
  <si>
    <t>WARD</t>
  </si>
  <si>
    <t>20:27</t>
  </si>
  <si>
    <t>Briosco</t>
  </si>
  <si>
    <t>Via Donizzetti 13</t>
  </si>
  <si>
    <t>SPORT</t>
  </si>
  <si>
    <t>03:34</t>
  </si>
  <si>
    <t>03:32</t>
  </si>
  <si>
    <t>04:27</t>
  </si>
  <si>
    <t>Cabiate</t>
  </si>
  <si>
    <t>Via montelungo 13</t>
  </si>
  <si>
    <t>09:22</t>
  </si>
  <si>
    <t>10:27</t>
  </si>
  <si>
    <t>Paderno Dugnano</t>
  </si>
  <si>
    <t>via mazzini 104</t>
  </si>
  <si>
    <t>10:41</t>
  </si>
  <si>
    <t>MDZ</t>
  </si>
  <si>
    <t>11:35</t>
  </si>
  <si>
    <t>Muggiò</t>
  </si>
  <si>
    <t>PT</t>
  </si>
  <si>
    <t>23:07</t>
  </si>
  <si>
    <t>23:15</t>
  </si>
  <si>
    <t>23:45</t>
  </si>
  <si>
    <t>Limbiate</t>
  </si>
  <si>
    <t>Via Trieste 9</t>
  </si>
  <si>
    <t>01:11</t>
  </si>
  <si>
    <t>01:22</t>
  </si>
  <si>
    <t>2:00</t>
  </si>
  <si>
    <t>RADIOLOGY</t>
  </si>
  <si>
    <t>Villasanta</t>
  </si>
  <si>
    <t>AMBULATORY MEDICAL CARE</t>
  </si>
  <si>
    <t>HSG</t>
  </si>
  <si>
    <t>Monticello</t>
  </si>
  <si>
    <t>02:25</t>
  </si>
  <si>
    <t>02:41</t>
  </si>
  <si>
    <t>02:45</t>
  </si>
  <si>
    <t>Asistolia</t>
  </si>
  <si>
    <t>Lomagna</t>
  </si>
  <si>
    <t>Via Osnago</t>
  </si>
  <si>
    <t>7:09</t>
  </si>
  <si>
    <t>7:16</t>
  </si>
  <si>
    <t>ELI</t>
  </si>
  <si>
    <t>8:04</t>
  </si>
  <si>
    <t>Bareggio</t>
  </si>
  <si>
    <t>Via Magenta</t>
  </si>
  <si>
    <t>strada</t>
  </si>
  <si>
    <t>14:29</t>
  </si>
  <si>
    <t>14:43</t>
  </si>
  <si>
    <t>Arese</t>
  </si>
  <si>
    <t>00:24</t>
  </si>
  <si>
    <t>00:13</t>
  </si>
  <si>
    <t xml:space="preserve">Monza (MB) </t>
  </si>
  <si>
    <t>Vicolo Borghetto 11</t>
  </si>
  <si>
    <t>01:15</t>
  </si>
  <si>
    <t>01:25</t>
  </si>
  <si>
    <t>01:33</t>
  </si>
  <si>
    <t>24/067205</t>
  </si>
  <si>
    <t>06:40</t>
  </si>
  <si>
    <t>Lissone (MB)</t>
  </si>
  <si>
    <t>Vicolo Rocca, 8</t>
  </si>
  <si>
    <t>07:06</t>
  </si>
  <si>
    <t>07:10</t>
  </si>
  <si>
    <t>17:34</t>
  </si>
  <si>
    <t>AMBULANCE</t>
  </si>
  <si>
    <t>1:45</t>
  </si>
  <si>
    <t>1:15</t>
  </si>
  <si>
    <t>Cantù</t>
  </si>
  <si>
    <t>Via San Giuseppe</t>
  </si>
  <si>
    <t>?</t>
  </si>
  <si>
    <t>Biassono</t>
  </si>
  <si>
    <t>Via della Brughiera 10</t>
  </si>
  <si>
    <t>16:35</t>
  </si>
  <si>
    <t>16:42</t>
  </si>
  <si>
    <t>Desio</t>
  </si>
  <si>
    <t>17:01</t>
  </si>
  <si>
    <t>ORA INIZIO INCANULAMENTO</t>
  </si>
  <si>
    <t>RITMO ALL'ARRIVO</t>
  </si>
  <si>
    <t>ETCO2</t>
  </si>
  <si>
    <t>MAP</t>
  </si>
  <si>
    <t>NIRS</t>
  </si>
  <si>
    <t>SIGN OF LIFE</t>
  </si>
  <si>
    <t>LOCATION CANNULATION</t>
  </si>
  <si>
    <t>ECMO START TIME</t>
  </si>
  <si>
    <t>ROSC PRE-ECMO</t>
  </si>
  <si>
    <t>PULSE PRE-ECMO</t>
  </si>
  <si>
    <t>FIRST EGA DATE</t>
  </si>
  <si>
    <t>FIRST EGA TIME</t>
  </si>
  <si>
    <t>EGA VENOSA</t>
  </si>
  <si>
    <t>23:50</t>
  </si>
  <si>
    <t>13:38</t>
  </si>
  <si>
    <t>-16.8</t>
  </si>
  <si>
    <t>02:48</t>
  </si>
  <si>
    <t>05:06</t>
  </si>
  <si>
    <t>11:34</t>
  </si>
  <si>
    <t>20:47</t>
  </si>
  <si>
    <t>17:18</t>
  </si>
  <si>
    <t>17:19</t>
  </si>
  <si>
    <t>15.4</t>
  </si>
  <si>
    <t>23.8</t>
  </si>
  <si>
    <t>17:17</t>
  </si>
  <si>
    <t>04:37</t>
  </si>
  <si>
    <t xml:space="preserve">NA </t>
  </si>
  <si>
    <t>10:39</t>
  </si>
  <si>
    <t>&gt;56</t>
  </si>
  <si>
    <t>20:33</t>
  </si>
  <si>
    <t>01:38</t>
  </si>
  <si>
    <t>97.6</t>
  </si>
  <si>
    <t>06:01</t>
  </si>
  <si>
    <t>02:30</t>
  </si>
  <si>
    <t>INCALC</t>
  </si>
  <si>
    <t>incalc</t>
  </si>
  <si>
    <t>19:49</t>
  </si>
  <si>
    <t>04:03</t>
  </si>
  <si>
    <t>INCAL</t>
  </si>
  <si>
    <t>3272025058</t>
  </si>
  <si>
    <t>FA</t>
  </si>
  <si>
    <t>16:02</t>
  </si>
  <si>
    <t>asistolia</t>
  </si>
  <si>
    <t>02:04</t>
  </si>
  <si>
    <t>07:30</t>
  </si>
  <si>
    <t>07:21</t>
  </si>
  <si>
    <t>7:32</t>
  </si>
  <si>
    <t>98.4</t>
  </si>
  <si>
    <t>18:20</t>
  </si>
  <si>
    <t>18:15</t>
  </si>
  <si>
    <t>3:52</t>
  </si>
  <si>
    <t>18.9</t>
  </si>
  <si>
    <t>17:42</t>
  </si>
  <si>
    <t>rosc</t>
  </si>
  <si>
    <t>14.6</t>
  </si>
  <si>
    <t>78.1</t>
  </si>
  <si>
    <t>18:14</t>
  </si>
  <si>
    <t>21:02</t>
  </si>
  <si>
    <t>EEG CONTINUO</t>
  </si>
  <si>
    <t>CT</t>
  </si>
  <si>
    <t>RM</t>
  </si>
  <si>
    <t>T TARGET</t>
  </si>
  <si>
    <t>T INGRESSO</t>
  </si>
  <si>
    <t>T MAX</t>
  </si>
  <si>
    <t>T MIN</t>
  </si>
  <si>
    <t>32-36</t>
  </si>
  <si>
    <t>35.3</t>
  </si>
  <si>
    <t>35.0</t>
  </si>
  <si>
    <t>35.5</t>
  </si>
  <si>
    <t>35.9</t>
  </si>
  <si>
    <t>35.2</t>
  </si>
  <si>
    <t>36-37.5</t>
  </si>
  <si>
    <t>32-34</t>
  </si>
  <si>
    <t>Diagnosi</t>
  </si>
  <si>
    <t>PROCEDURE</t>
  </si>
  <si>
    <t>SUPPORTI</t>
  </si>
  <si>
    <t>MOBILIZATION</t>
  </si>
  <si>
    <t>SITE INF</t>
  </si>
  <si>
    <t>TYPE INF</t>
  </si>
  <si>
    <t>ORGANISM</t>
  </si>
  <si>
    <t>REASON FOR STOP</t>
  </si>
  <si>
    <t>CARDIAAC SURGERY PROCEDURES</t>
  </si>
  <si>
    <t>0 Unknown</t>
  </si>
  <si>
    <t>246 - Achromobacter xylosoxidans</t>
  </si>
  <si>
    <t>2100,"Septal Defects"</t>
  </si>
  <si>
    <t>21501 Incision and drainage of hematoma of soft tissue of thorax</t>
  </si>
  <si>
    <t>102-Mechanical: Raceway rupture</t>
  </si>
  <si>
    <t>102 Bone</t>
  </si>
  <si>
    <t>280 - Achromobactor species</t>
  </si>
  <si>
    <t>2110,"Atrial defects"</t>
  </si>
  <si>
    <t>2 LA</t>
  </si>
  <si>
    <t>103-Mechanical: Other tubing rupture</t>
  </si>
  <si>
    <t>103 Cerebrospinal fluid</t>
  </si>
  <si>
    <t>223 - Acinetobacter</t>
  </si>
  <si>
    <t>2111,"Primary closure PFO, ASD"</t>
  </si>
  <si>
    <t>3 LCCA</t>
  </si>
  <si>
    <t>3 - Mycobacterium</t>
  </si>
  <si>
    <t>221 - Acinetobacter baumannii</t>
  </si>
  <si>
    <t>6 = Resource Limitation</t>
  </si>
  <si>
    <t>2119,"Redo Repair ASD"</t>
  </si>
  <si>
    <t>31502 Tracheotomy tube change</t>
  </si>
  <si>
    <t>105-Mechanical: Temperature Regulation Device Malfunction</t>
  </si>
  <si>
    <t>260 - Acinetobacter nosocomialis</t>
  </si>
  <si>
    <t>10 = VAD</t>
  </si>
  <si>
    <t>2120,"Ventricular defects"</t>
  </si>
  <si>
    <t>30 - Acinetobacter sp.</t>
  </si>
  <si>
    <t>11 = Pumpless Lung Assist (PA to LA)</t>
  </si>
  <si>
    <t>2121,"Primary closure VSD"</t>
  </si>
  <si>
    <t>705 Esmolol</t>
  </si>
  <si>
    <t>6 Marching on spot (at bedside)</t>
  </si>
  <si>
    <t>121-Mechanical: Air in circuit</t>
  </si>
  <si>
    <t>6 - Protozoa</t>
  </si>
  <si>
    <t>49 - Adenovirus</t>
  </si>
  <si>
    <t>2129,"Redo Repair VSD"</t>
  </si>
  <si>
    <t>8 PA</t>
  </si>
  <si>
    <t>32120 Thoracotomy</t>
  </si>
  <si>
    <t>307 Inhaled anesthetic</t>
  </si>
  <si>
    <t>7 Walking with assistance of 2 or more people</t>
  </si>
  <si>
    <t>131-Mechanical: Cannula problems</t>
  </si>
  <si>
    <t>108 Stool</t>
  </si>
  <si>
    <t>241 - Alcaligenes xylosoxidans</t>
  </si>
  <si>
    <t>13 = Lung Tx</t>
  </si>
  <si>
    <t>2216,"MVR Allograft"</t>
  </si>
  <si>
    <t>8 Walking with assistance of 1 person</t>
  </si>
  <si>
    <t>50 - Aspergillus fumigatus</t>
  </si>
  <si>
    <t>14 = Heart/Lung Tx</t>
  </si>
  <si>
    <t>10 RCCA</t>
  </si>
  <si>
    <t>33210 Replacement of temporary transvenous single chamber cardiac pacemaker catheter</t>
  </si>
  <si>
    <t>9 Walking independently with a gail aid</t>
  </si>
  <si>
    <t>110 Wound - surgical</t>
  </si>
  <si>
    <t>271 - Aspergillus niger</t>
  </si>
  <si>
    <t>15 = Complication</t>
  </si>
  <si>
    <t>2218,"MVR Mechanical"</t>
  </si>
  <si>
    <t>10 Walking independently without a gait aid</t>
  </si>
  <si>
    <t>134-Mechanical: Thrombosis/Clots: circuit component</t>
  </si>
  <si>
    <t>111 Wound - traumatic</t>
  </si>
  <si>
    <t>51 - Aspergillus sp.</t>
  </si>
  <si>
    <t>2225,"AVR Allograft"</t>
  </si>
  <si>
    <t>79 - Bacillis cereus</t>
  </si>
  <si>
    <t>2226,"AVR stented tissue"</t>
  </si>
  <si>
    <t>13 RIJV</t>
  </si>
  <si>
    <t>80 - Bacillis sp.</t>
  </si>
  <si>
    <t>2227,"AVR unstented tissue"</t>
  </si>
  <si>
    <t>14 RIJVC</t>
  </si>
  <si>
    <t>33971 Removal of intra-aortic balloon assist device and repair of femoral artery without graft</t>
  </si>
  <si>
    <t>238 - Bacteroides Fragilis</t>
  </si>
  <si>
    <t>2228,"AVR Mechanical"</t>
  </si>
  <si>
    <t>15 LSA</t>
  </si>
  <si>
    <t>33973 Insertion of intra-aortic balloon assist device through ascending aorta</t>
  </si>
  <si>
    <t>223-Hemorrhagic: Mediastinal cannulation site bleeding</t>
  </si>
  <si>
    <t>52 - Bacteroides sp.</t>
  </si>
  <si>
    <t>2312,"Repair Tricuspid Valve"</t>
  </si>
  <si>
    <t>16 LSV</t>
  </si>
  <si>
    <t>33984 Removal of peripheral cannula(e) open 6 years and older</t>
  </si>
  <si>
    <t>605 Nitroprusside</t>
  </si>
  <si>
    <t>219 - Blastomycosis</t>
  </si>
  <si>
    <t>2314,"Replace Tricuspid Valve"</t>
  </si>
  <si>
    <t>54 - Bordatella pertussis</t>
  </si>
  <si>
    <t>2328,"Pulmonary Valve Replacement"</t>
  </si>
  <si>
    <t>18 RSV</t>
  </si>
  <si>
    <t>282 - Bourbon Virus</t>
  </si>
  <si>
    <t>2821,"Excision intracardiac tumor"</t>
  </si>
  <si>
    <t>19 LPV</t>
  </si>
  <si>
    <t>35226 Direct repair of blood vessel of lower extremity</t>
  </si>
  <si>
    <t>713 Phenylephrine</t>
  </si>
  <si>
    <t>321-Neurologic: CNS Infarction (US or CT or MRI)</t>
  </si>
  <si>
    <t>222 - Burkholderia cepacia</t>
  </si>
  <si>
    <t>20 LV</t>
  </si>
  <si>
    <t>501 Plasmapheresis</t>
  </si>
  <si>
    <t>323-Neurologic: Intraventricular CNS hemorrhage (US or CT or MRI)</t>
  </si>
  <si>
    <t>21 RAA</t>
  </si>
  <si>
    <t>702 Prone Positioning</t>
  </si>
  <si>
    <t>266 - Candida auris</t>
  </si>
  <si>
    <t>2841,"Debridement of vegetations"</t>
  </si>
  <si>
    <t>22 LAA</t>
  </si>
  <si>
    <t>714 Pulmonary Vasodilators</t>
  </si>
  <si>
    <t>81 - Candida krusei</t>
  </si>
  <si>
    <t>2850,"Trauma"</t>
  </si>
  <si>
    <t>23 IA</t>
  </si>
  <si>
    <t>39499 Procedure on mediastinum</t>
  </si>
  <si>
    <t>326-Neurologic: Neurosurgical intervention performed</t>
  </si>
  <si>
    <t>261 - Candida Lusitaniae</t>
  </si>
  <si>
    <t>2851,"Repair Right Atrium"</t>
  </si>
  <si>
    <t>24 RPTA</t>
  </si>
  <si>
    <t>43235 Diagnostic upper gastrointestinal endoscopy with collection of specimen by washing</t>
  </si>
  <si>
    <t>25 LPTA</t>
  </si>
  <si>
    <t>43239 Upper gastrointestinal endoscopy with biopsy</t>
  </si>
  <si>
    <t>2853,"Repair Left Atrium"</t>
  </si>
  <si>
    <t>26 RSFA</t>
  </si>
  <si>
    <t>2854,"Repair Left Ventricle"</t>
  </si>
  <si>
    <t>27 LSFA</t>
  </si>
  <si>
    <t>43255 Upper gastrointestinal endoscopy with control of bleeding</t>
  </si>
  <si>
    <t>502-Cardiovascular: CPR/Chemical Code Required</t>
  </si>
  <si>
    <t>84 - Chlamydia sp.</t>
  </si>
  <si>
    <t>28 IVC</t>
  </si>
  <si>
    <t>45378 Diagnostic flexible colonoscopy proximal to splenic flexure with collection of specimen by washing and colon decompression</t>
  </si>
  <si>
    <t>83 - Chlamydia trachomatis</t>
  </si>
  <si>
    <t>2859,"Other Cardiac Repair for trauma"</t>
  </si>
  <si>
    <t>29 SVC</t>
  </si>
  <si>
    <t>49000 Exploratory celiotomy with biopsy</t>
  </si>
  <si>
    <t>258 - Chryseobacterium Gleum</t>
  </si>
  <si>
    <t>2861,"Insertion epicardial pacer system"</t>
  </si>
  <si>
    <t>30 LIJVC</t>
  </si>
  <si>
    <t>544-Cardiovascular: Tamponade (not blood)</t>
  </si>
  <si>
    <t>249 - Chryseobacterium indologenes</t>
  </si>
  <si>
    <t>2863,"Insertion of transvenous Pacer"</t>
  </si>
  <si>
    <t>99 Other</t>
  </si>
  <si>
    <t>49320 Diagnostic laparoscopy of abdomen peritoneum and omentum with collection of specimen by washing</t>
  </si>
  <si>
    <t>55 - Citrobacter freundii</t>
  </si>
  <si>
    <t>2871,"Pericardial Biopsy"</t>
  </si>
  <si>
    <t>49440 Percutaneous insertion of gastrostomy tube using fluoroscopic guidance with contrast injection</t>
  </si>
  <si>
    <t>2872,"Pericardial Window"</t>
  </si>
  <si>
    <t>821-Metabolic: Hyperbilirubinemia</t>
  </si>
  <si>
    <t>48 - Clostridium difficile</t>
  </si>
  <si>
    <t>102 - Clostridium perfringes</t>
  </si>
  <si>
    <t>823-Metabolic: Severe hemolysis</t>
  </si>
  <si>
    <t>233 - COCCIDIOIDES IMMITIS/POSADASII</t>
  </si>
  <si>
    <t>220 - Coronavirus</t>
  </si>
  <si>
    <t>86 - Corynebacterium jejunum</t>
  </si>
  <si>
    <t>232 - Corynebacterium striatum</t>
  </si>
  <si>
    <t>904-Limb: Amputation</t>
  </si>
  <si>
    <t>257 - Coryneobacterium amycolatum</t>
  </si>
  <si>
    <t>236 - Coxsackievirus B (CVB) Virus</t>
  </si>
  <si>
    <t>264 - Cryptococcus gattii</t>
  </si>
  <si>
    <t>228 - Cupriavidus metallidurans strain CH34</t>
  </si>
  <si>
    <t>247 - Cutaneotrichosporon dermatis</t>
  </si>
  <si>
    <t>42 - Cytomegalovirus</t>
  </si>
  <si>
    <t>251 - Dematiaceous molds</t>
  </si>
  <si>
    <t>93505 Endomyocardial biopsy</t>
  </si>
  <si>
    <t>56 - Diptheroides</t>
  </si>
  <si>
    <t>230 - Elizabethkingia meningoseptica</t>
  </si>
  <si>
    <t>97605 Negative pressure wound therapy including topical applications wound assessment and instructions for ongoing care</t>
  </si>
  <si>
    <t>59 - Enterobacter sp.</t>
  </si>
  <si>
    <t>74 - Enterovirus</t>
  </si>
  <si>
    <t>108 - Enterovirus D68</t>
  </si>
  <si>
    <t>47 - Epstein-Barr virus (EBV)</t>
  </si>
  <si>
    <t>87 - Flavobacterium sp.</t>
  </si>
  <si>
    <t>268 - Fusarium Species</t>
  </si>
  <si>
    <t>9 - Gram positive, other</t>
  </si>
  <si>
    <t>262 - Hafnia alvei</t>
  </si>
  <si>
    <t>34 - Hantavirus</t>
  </si>
  <si>
    <t>91 - Hemophilus parainfluenzae</t>
  </si>
  <si>
    <t>88 - Hepatitis A</t>
  </si>
  <si>
    <t>89 - Hepatitis B</t>
  </si>
  <si>
    <t>90 - Hepatitis C</t>
  </si>
  <si>
    <t>44 - Herpes genitalis</t>
  </si>
  <si>
    <t>224 - Herpes Virus 6</t>
  </si>
  <si>
    <t>101 - Herpes zoster (varicella-zoster)</t>
  </si>
  <si>
    <t>107 - HIV</t>
  </si>
  <si>
    <t>267 - HTLV AB</t>
  </si>
  <si>
    <t>227 - Human Metapneumovirus (HMPV)</t>
  </si>
  <si>
    <t>63 - Influenza A</t>
  </si>
  <si>
    <t>64 - Influenza B</t>
  </si>
  <si>
    <t>239 - Klebsiella (Enterobacter) aerogenes</t>
  </si>
  <si>
    <t>71 - Klebsiella sp.</t>
  </si>
  <si>
    <t>254 - Kluyveromyces marxianus (Candida kefyr)</t>
  </si>
  <si>
    <t>73 - Lactobacillis sp.</t>
  </si>
  <si>
    <t>242 - Lactobacillus rhamnosus</t>
  </si>
  <si>
    <t>45 - Legionella pneumophilia</t>
  </si>
  <si>
    <t>46 - Legionella sp.</t>
  </si>
  <si>
    <t>235 - Leuconostoc citreum</t>
  </si>
  <si>
    <t>93 - Listeria monocytogenes</t>
  </si>
  <si>
    <t>12 - Meningococcus</t>
  </si>
  <si>
    <t>245 - Micrococcus species</t>
  </si>
  <si>
    <t>234 - Morganella morganii</t>
  </si>
  <si>
    <t>281 - Mucor Circinelloides</t>
  </si>
  <si>
    <t>278 - Mycobacterium avium complex</t>
  </si>
  <si>
    <t>226 - Mycobacterium chimera</t>
  </si>
  <si>
    <t>276 - Mycobacterium kansasii</t>
  </si>
  <si>
    <t>25 - Mycobacterium tuberculosis</t>
  </si>
  <si>
    <t>104 - Mycoplasma pneumoniae</t>
  </si>
  <si>
    <t>259 - Nakaseomyces (Candida) glabrata</t>
  </si>
  <si>
    <t>78 - Neisseria gonorrhea</t>
  </si>
  <si>
    <t>77 - Neisseria meningititis</t>
  </si>
  <si>
    <t>217 - Neisseria sp.</t>
  </si>
  <si>
    <t>243 - Nocardia nova</t>
  </si>
  <si>
    <t>250 - Paenibacillus species</t>
  </si>
  <si>
    <t>231 - Pantoea agglomerans</t>
  </si>
  <si>
    <t>255 - Pantoea septica</t>
  </si>
  <si>
    <t>94 - Parainfluenza</t>
  </si>
  <si>
    <t>225 - Parvo Virus 819</t>
  </si>
  <si>
    <t>256 - Penicillium species</t>
  </si>
  <si>
    <t>248 - Perechovirus in the CSF</t>
  </si>
  <si>
    <t>65 - Pneumocystis carinii</t>
  </si>
  <si>
    <t>253 - Pneumocystis jirovecii</t>
  </si>
  <si>
    <t>270 - Prevotella buccae</t>
  </si>
  <si>
    <t>70 - Proteus sp.</t>
  </si>
  <si>
    <t>95 - Pseudomonas fluorescens</t>
  </si>
  <si>
    <t>277 - Pseudomonas luteola</t>
  </si>
  <si>
    <t>272 - Ralstonia mannitolilytica</t>
  </si>
  <si>
    <t>273 - Ralstonia pickettii</t>
  </si>
  <si>
    <t>244 - Raoultella planticola</t>
  </si>
  <si>
    <t>66 - Respiratory syncytial virus (RSV)</t>
  </si>
  <si>
    <t>218 - Rhinovirus</t>
  </si>
  <si>
    <t>237 - Rhizopus Species</t>
  </si>
  <si>
    <t>72 - Rotavirus</t>
  </si>
  <si>
    <t>106 - Salmonella sp.</t>
  </si>
  <si>
    <t>229 - SARS-CoV-2</t>
  </si>
  <si>
    <t>96 - Serratia liquefaciens</t>
  </si>
  <si>
    <t>38 - Serratia sp.</t>
  </si>
  <si>
    <t>265 - Sphingobium yanoikuyae</t>
  </si>
  <si>
    <t>279 - Sphingomonas paucimobilis</t>
  </si>
  <si>
    <t>35 - Staphylococcus aureus, meth resist</t>
  </si>
  <si>
    <t>275 - Staphylococcus capitis</t>
  </si>
  <si>
    <t>40 - Staphylococcus epidermidis</t>
  </si>
  <si>
    <t>97 - Staphylococcus hominis</t>
  </si>
  <si>
    <t>252 - Staphylococcus lugdunesis</t>
  </si>
  <si>
    <t>98 - Staphylococcus scuiri</t>
  </si>
  <si>
    <t>32 - Staphylococcus, coag neg</t>
  </si>
  <si>
    <t>33 - Streptococcus faecalis</t>
  </si>
  <si>
    <t>67 - Streptococcus viridans</t>
  </si>
  <si>
    <t>2 - Streptococcus, alpha hemolytic</t>
  </si>
  <si>
    <t>31 - Streptococcus, beta hemolytic</t>
  </si>
  <si>
    <t>60 - Streptococcus, group A</t>
  </si>
  <si>
    <t>62 - Streptococcus, group D</t>
  </si>
  <si>
    <t>76 - Torolopsis glabrata</t>
  </si>
  <si>
    <t>103 - Toxoplasma gondii</t>
  </si>
  <si>
    <t>105 - Ureaplasma urealyticum</t>
  </si>
  <si>
    <t>41 - Yeast sp.</t>
  </si>
  <si>
    <t>269 - Zygomycetes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</si>
</sst>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&quot; anni&quot;;;;"/>
    <numFmt numFmtId="165" formatCode="d/m/yyyy"/>
    <numFmt numFmtId="166" formatCode="dd/mm/yyyy"/>
    <numFmt numFmtId="167" formatCode="dd/MM/yyyy"/>
    <numFmt numFmtId="168" formatCode="dd/mm/yy"/>
    <numFmt numFmtId="169" formatCode="d/m/yy"/>
    <numFmt numFmtId="170" formatCode="h.mm"/>
    <numFmt numFmtId="171" formatCode="d mmm yyyy"/>
    <numFmt numFmtId="172" formatCode="dd/mm"/>
    <numFmt numFmtId="173" formatCode="H.mm.ss"/>
  </numFmts>
  <fonts count="38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color theme="1"/>
      <name val="Arial"/>
      <scheme val="minor"/>
    </font>
    <font>
      <color rgb="FFD6DCE4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Arial"/>
    </font>
    <font>
      <sz val="11.0"/>
      <color rgb="FF000000"/>
      <name val="&quot;Aptos Narrow&quot;"/>
    </font>
    <font>
      <sz val="12.0"/>
      <color rgb="FFD6DCE4"/>
      <name val="Calibri"/>
    </font>
    <font>
      <b/>
      <sz val="12.0"/>
      <color rgb="FF000066"/>
      <name val="&quot;Open Sans&quot;"/>
    </font>
    <font>
      <b/>
      <sz val="12.0"/>
      <color rgb="FF000066"/>
      <name val="Open Sans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0.0"/>
      <color rgb="FFD6DCE4"/>
      <name val="Arial"/>
      <scheme val="minor"/>
    </font>
    <font>
      <b/>
      <sz val="11.0"/>
      <color rgb="FFFFFFFF"/>
      <name val="Arial"/>
    </font>
    <font>
      <b/>
      <sz val="11.0"/>
      <color rgb="FFFFFFFF"/>
      <name val="&quot;Aptos Narrow&quot;"/>
    </font>
    <font>
      <b/>
      <color theme="1"/>
      <name val="Arial"/>
      <scheme val="minor"/>
    </font>
    <font>
      <b/>
      <sz val="11.0"/>
      <color theme="0"/>
      <name val="&quot;Aptos Narrow&quot;"/>
    </font>
    <font>
      <b/>
      <sz val="11.0"/>
      <color theme="0"/>
      <name val="Arial"/>
    </font>
    <font>
      <b/>
      <color theme="0"/>
      <name val="Arial"/>
      <scheme val="minor"/>
    </font>
    <font>
      <color rgb="FFFFFFFF"/>
      <name val="Arial"/>
      <scheme val="minor"/>
    </font>
    <font>
      <sz val="11.0"/>
      <color theme="1"/>
      <name val="Aptos Narrow"/>
    </font>
    <font>
      <color theme="1"/>
      <name val="Arial"/>
    </font>
    <font>
      <b/>
      <color rgb="FFFFFFFF"/>
      <name val="Arial"/>
      <scheme val="minor"/>
    </font>
    <font>
      <color rgb="FF000000"/>
      <name val="Arial"/>
    </font>
    <font>
      <b/>
      <sz val="11.0"/>
      <color rgb="FFFF0000"/>
      <name val="&quot;Aptos Narrow&quot;"/>
    </font>
    <font>
      <b/>
      <color rgb="FF000000"/>
      <name val="Arial"/>
      <scheme val="minor"/>
    </font>
    <font>
      <color rgb="FF000000"/>
      <name val="Arial"/>
      <scheme val="minor"/>
    </font>
    <font>
      <b/>
      <sz val="12.0"/>
      <color rgb="FFFFFFFF"/>
      <name val="&quot;Aptos Narrow&quot;"/>
    </font>
    <font>
      <b/>
      <sz val="12.0"/>
      <color rgb="FFFFFFFF"/>
      <name val="Arial"/>
    </font>
    <font>
      <b/>
      <sz val="12.0"/>
      <color rgb="FF000000"/>
      <name val="&quot;Aptos Narrow&quot;"/>
    </font>
    <font>
      <b/>
      <sz val="12.0"/>
      <color rgb="FF000000"/>
      <name val="Arial"/>
    </font>
    <font>
      <sz val="12.0"/>
      <color rgb="FF000000"/>
      <name val="Arial"/>
    </font>
    <font>
      <sz val="12.0"/>
      <color rgb="FF000000"/>
      <name val="&quot;Aptos Narrow&quot;"/>
    </font>
  </fonts>
  <fills count="37">
    <fill>
      <patternFill patternType="none"/>
    </fill>
    <fill>
      <patternFill patternType="lightGray"/>
    </fill>
    <fill>
      <patternFill patternType="solid">
        <fgColor rgb="FFDAE9F8"/>
        <bgColor rgb="FFDAE9F8"/>
      </patternFill>
    </fill>
    <fill>
      <patternFill patternType="solid">
        <fgColor rgb="FFD0D0D0"/>
        <bgColor rgb="FFD0D0D0"/>
      </patternFill>
    </fill>
    <fill>
      <patternFill patternType="solid">
        <fgColor rgb="FF00FFFF"/>
        <bgColor rgb="FF00FFFF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5"/>
        <bgColor theme="5"/>
      </patternFill>
    </fill>
    <fill>
      <patternFill patternType="solid">
        <fgColor rgb="FFCC4125"/>
        <bgColor rgb="FFCC4125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theme="8"/>
        <bgColor theme="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0B5394"/>
        <bgColor rgb="FF0B5394"/>
      </patternFill>
    </fill>
    <fill>
      <patternFill patternType="solid">
        <fgColor rgb="FF356854"/>
        <bgColor rgb="FF356854"/>
      </patternFill>
    </fill>
    <fill>
      <patternFill patternType="solid">
        <fgColor theme="9"/>
        <bgColor theme="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D5A6BD"/>
        <bgColor rgb="FFD5A6BD"/>
      </patternFill>
    </fill>
    <fill>
      <patternFill patternType="solid">
        <fgColor rgb="FF4D93D9"/>
        <bgColor rgb="FF4D93D9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  <fill>
      <patternFill patternType="solid">
        <fgColor rgb="FFCC0000"/>
        <bgColor rgb="FFCC0000"/>
      </patternFill>
    </fill>
    <fill>
      <patternFill patternType="solid">
        <fgColor rgb="FFDD7E6B"/>
        <bgColor rgb="FFDD7E6B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  <fill>
      <patternFill patternType="solid">
        <fgColor rgb="FF93C47D"/>
        <bgColor rgb="FF93C47D"/>
      </patternFill>
    </fill>
    <fill>
      <patternFill patternType="solid">
        <fgColor rgb="FFFBBC04"/>
        <bgColor rgb="FFFBBC04"/>
      </patternFill>
    </fill>
  </fills>
  <borders count="8">
    <border/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ABC3D8"/>
      </left>
      <right style="thin">
        <color rgb="FFABC3D8"/>
      </right>
      <bottom style="thin">
        <color rgb="FFABC3D8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Font="1"/>
    <xf borderId="1" fillId="3" fontId="6" numFmtId="0" xfId="0" applyAlignment="1" applyBorder="1" applyFill="1" applyFont="1">
      <alignment horizontal="right" readingOrder="0"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2" fillId="5" fontId="6" numFmtId="0" xfId="0" applyAlignment="1" applyBorder="1" applyFill="1" applyFont="1">
      <alignment readingOrder="0" shrinkToFit="0" vertical="bottom" wrapText="0"/>
    </xf>
    <xf borderId="1" fillId="0" fontId="6" numFmtId="165" xfId="0" applyAlignment="1" applyBorder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0" fillId="0" fontId="7" numFmtId="165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166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Font="1"/>
    <xf borderId="0" fillId="0" fontId="5" numFmtId="164" xfId="0" applyFont="1" applyNumberFormat="1"/>
    <xf borderId="0" fillId="6" fontId="5" numFmtId="0" xfId="0" applyAlignment="1" applyFill="1" applyFont="1">
      <alignment horizontal="right" readingOrder="0"/>
    </xf>
    <xf borderId="1" fillId="7" fontId="5" numFmtId="0" xfId="0" applyAlignment="1" applyBorder="1" applyFill="1" applyFont="1">
      <alignment readingOrder="0"/>
    </xf>
    <xf borderId="2" fillId="7" fontId="5" numFmtId="0" xfId="0" applyAlignment="1" applyBorder="1" applyFont="1">
      <alignment readingOrder="0"/>
    </xf>
    <xf borderId="0" fillId="8" fontId="10" numFmtId="0" xfId="0" applyAlignment="1" applyFill="1" applyFont="1">
      <alignment horizontal="center" readingOrder="0" shrinkToFit="0" vertical="bottom" wrapText="0"/>
    </xf>
    <xf borderId="1" fillId="0" fontId="5" numFmtId="166" xfId="0" applyAlignment="1" applyBorder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3" fontId="6" numFmtId="0" xfId="0" applyAlignment="1" applyFont="1">
      <alignment horizontal="right" readingOrder="0" shrinkToFit="0" vertical="bottom" wrapText="0"/>
    </xf>
    <xf borderId="1" fillId="0" fontId="6" numFmtId="166" xfId="0" applyAlignment="1" applyBorder="1" applyFont="1" applyNumberFormat="1">
      <alignment horizontal="right" readingOrder="0" shrinkToFit="0" vertical="bottom" wrapText="0"/>
    </xf>
    <xf borderId="0" fillId="6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1" fillId="4" fontId="5" numFmtId="0" xfId="0" applyAlignment="1" applyBorder="1" applyFont="1">
      <alignment readingOrder="0" shrinkToFit="0" vertical="bottom" wrapText="0"/>
    </xf>
    <xf borderId="3" fillId="5" fontId="6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  <xf borderId="0" fillId="5" fontId="6" numFmtId="0" xfId="0" applyAlignment="1" applyFont="1">
      <alignment horizontal="right" readingOrder="0" shrinkToFit="0" vertical="bottom" wrapText="0"/>
    </xf>
    <xf borderId="0" fillId="6" fontId="6" numFmtId="0" xfId="0" applyAlignment="1" applyFont="1">
      <alignment horizontal="right" readingOrder="0" shrinkToFit="0" vertical="bottom" wrapText="0"/>
    </xf>
    <xf borderId="0" fillId="9" fontId="5" numFmtId="0" xfId="0" applyAlignment="1" applyFill="1" applyFont="1">
      <alignment readingOrder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1" fillId="5" fontId="6" numFmtId="0" xfId="0" applyAlignment="1" applyBorder="1" applyFont="1">
      <alignment horizontal="right" readingOrder="0" shrinkToFit="0" vertical="bottom" wrapText="0"/>
    </xf>
    <xf borderId="4" fillId="5" fontId="6" numFmtId="0" xfId="0" applyAlignment="1" applyBorder="1" applyFont="1">
      <alignment horizontal="right" readingOrder="0" shrinkToFit="0" vertical="bottom" wrapText="0"/>
    </xf>
    <xf borderId="4" fillId="4" fontId="6" numFmtId="0" xfId="0" applyAlignment="1" applyBorder="1" applyFont="1">
      <alignment readingOrder="0" shrinkToFit="0" vertical="bottom" wrapText="0"/>
    </xf>
    <xf borderId="4" fillId="5" fontId="6" numFmtId="0" xfId="0" applyAlignment="1" applyBorder="1" applyFont="1">
      <alignment readingOrder="0" shrinkToFit="0" vertical="bottom" wrapText="0"/>
    </xf>
    <xf borderId="4" fillId="0" fontId="6" numFmtId="166" xfId="0" applyAlignment="1" applyBorder="1" applyFont="1" applyNumberFormat="1">
      <alignment horizontal="right"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4" fillId="0" fontId="6" numFmtId="165" xfId="0" applyAlignment="1" applyBorder="1" applyFont="1" applyNumberFormat="1">
      <alignment horizontal="right" readingOrder="0" shrinkToFit="0" vertical="bottom" wrapText="0"/>
    </xf>
    <xf borderId="0" fillId="10" fontId="3" numFmtId="0" xfId="0" applyAlignment="1" applyFill="1" applyFont="1">
      <alignment readingOrder="0"/>
    </xf>
    <xf borderId="0" fillId="11" fontId="6" numFmtId="0" xfId="0" applyAlignment="1" applyFill="1" applyFont="1">
      <alignment horizontal="right"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0" fontId="8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6" numFmtId="166" xfId="0" applyAlignment="1" applyFont="1" applyNumberFormat="1">
      <alignment horizontal="right" readingOrder="0" shrinkToFit="0" vertical="bottom" wrapText="0"/>
    </xf>
    <xf borderId="0" fillId="4" fontId="3" numFmtId="0" xfId="0" applyAlignment="1" applyFont="1">
      <alignment readingOrder="0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/>
    </xf>
    <xf borderId="0" fillId="7" fontId="5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readingOrder="0" vertical="center"/>
    </xf>
    <xf borderId="0" fillId="4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8" numFmtId="168" xfId="0" applyAlignment="1" applyFont="1" applyNumberFormat="1">
      <alignment horizontal="right" readingOrder="0" shrinkToFit="0" vertical="bottom" wrapText="0"/>
    </xf>
    <xf borderId="0" fillId="1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10" fontId="8" numFmtId="0" xfId="0" applyAlignment="1" applyFont="1">
      <alignment horizontal="center" shrinkToFit="0" vertical="bottom" wrapText="0"/>
    </xf>
    <xf borderId="0" fillId="4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right" readingOrder="0"/>
    </xf>
    <xf borderId="0" fillId="0" fontId="11" numFmtId="0" xfId="0" applyAlignment="1" applyFont="1">
      <alignment horizontal="center" readingOrder="0" shrinkToFit="0" vertical="bottom" wrapText="0"/>
    </xf>
    <xf borderId="0" fillId="0" fontId="5" numFmtId="167" xfId="0" applyAlignment="1" applyFont="1" applyNumberFormat="1">
      <alignment readingOrder="0"/>
    </xf>
    <xf borderId="0" fillId="10" fontId="5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4" xfId="0" applyFont="1" applyNumberFormat="1"/>
    <xf borderId="0" fillId="0" fontId="13" numFmtId="165" xfId="0" applyAlignment="1" applyFont="1" applyNumberFormat="1">
      <alignment readingOrder="0"/>
    </xf>
    <xf borderId="0" fillId="0" fontId="14" numFmtId="166" xfId="0" applyAlignment="1" applyFont="1" applyNumberFormat="1">
      <alignment readingOrder="0"/>
    </xf>
    <xf borderId="0" fillId="0" fontId="4" numFmtId="0" xfId="0" applyFont="1"/>
    <xf borderId="0" fillId="0" fontId="6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right" readingOrder="0"/>
    </xf>
    <xf borderId="0" fillId="0" fontId="3" numFmtId="169" xfId="0" applyAlignment="1" applyFont="1" applyNumberFormat="1">
      <alignment readingOrder="0"/>
    </xf>
    <xf borderId="0" fillId="10" fontId="15" numFmtId="0" xfId="0" applyAlignment="1" applyFont="1">
      <alignment horizontal="right" readingOrder="0"/>
    </xf>
    <xf borderId="0" fillId="0" fontId="16" numFmtId="0" xfId="0" applyAlignment="1" applyFont="1">
      <alignment horizontal="right" readingOrder="0" vertical="top"/>
    </xf>
    <xf borderId="0" fillId="6" fontId="6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11" numFmtId="0" xfId="0" applyAlignment="1" applyFont="1">
      <alignment horizontal="center" readingOrder="0" shrinkToFit="0" vertical="top" wrapText="0"/>
    </xf>
    <xf borderId="0" fillId="0" fontId="5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3" numFmtId="170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12" numFmtId="0" xfId="0" applyFont="1"/>
    <xf borderId="0" fillId="0" fontId="0" numFmtId="0" xfId="0" applyAlignment="1" applyFont="1">
      <alignment horizontal="right" readingOrder="0" shrinkToFit="0" vertical="top" wrapText="0"/>
    </xf>
    <xf borderId="0" fillId="0" fontId="0" numFmtId="0" xfId="0" applyAlignment="1" applyFont="1">
      <alignment horizontal="left" readingOrder="0" shrinkToFit="0" vertical="top" wrapText="0"/>
    </xf>
    <xf borderId="0" fillId="0" fontId="12" numFmtId="0" xfId="0" applyAlignment="1" applyFont="1">
      <alignment horizontal="center" readingOrder="0"/>
    </xf>
    <xf borderId="0" fillId="0" fontId="12" numFmtId="166" xfId="0" applyAlignment="1" applyFont="1" applyNumberFormat="1">
      <alignment readingOrder="0"/>
    </xf>
    <xf borderId="0" fillId="0" fontId="17" numFmtId="0" xfId="0" applyFont="1"/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horizontal="center"/>
    </xf>
    <xf borderId="0" fillId="0" fontId="12" numFmtId="164" xfId="0" applyFont="1" applyNumberFormat="1"/>
    <xf borderId="0" fillId="12" fontId="18" numFmtId="0" xfId="0" applyAlignment="1" applyFill="1" applyFont="1">
      <alignment horizontal="center" readingOrder="0" shrinkToFit="0" vertical="bottom" wrapText="0"/>
    </xf>
    <xf borderId="0" fillId="12" fontId="19" numFmtId="0" xfId="0" applyAlignment="1" applyFont="1">
      <alignment horizontal="center" readingOrder="0" shrinkToFit="0" vertical="bottom" wrapText="0"/>
    </xf>
    <xf borderId="0" fillId="12" fontId="18" numFmtId="49" xfId="0" applyAlignment="1" applyFont="1" applyNumberFormat="1">
      <alignment horizontal="center" readingOrder="0" shrinkToFit="0" vertical="bottom" wrapText="0"/>
    </xf>
    <xf borderId="0" fillId="0" fontId="20" numFmtId="0" xfId="0" applyFont="1"/>
    <xf borderId="0" fillId="0" fontId="2" numFmtId="49" xfId="0" applyAlignment="1" applyFont="1" applyNumberFormat="1">
      <alignment horizontal="center" readingOrder="0" shrinkToFit="0" vertical="bottom" wrapText="0"/>
    </xf>
    <xf borderId="0" fillId="0" fontId="8" numFmtId="49" xfId="0" applyAlignment="1" applyFont="1" applyNumberForma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readingOrder="0"/>
    </xf>
    <xf borderId="0" fillId="0" fontId="3" numFmtId="171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170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166" xfId="0" applyAlignment="1" applyFont="1" applyNumberFormat="1">
      <alignment horizontal="center" readingOrder="0" shrinkToFit="0" vertical="bottom" wrapText="0"/>
    </xf>
    <xf borderId="0" fillId="0" fontId="3" numFmtId="0" xfId="0" applyFont="1"/>
    <xf borderId="0" fillId="0" fontId="3" numFmtId="169" xfId="0" applyAlignment="1" applyFont="1" applyNumberFormat="1">
      <alignment horizontal="center" readingOrder="0"/>
    </xf>
    <xf borderId="0" fillId="0" fontId="20" numFmtId="49" xfId="0" applyFont="1" applyNumberFormat="1"/>
    <xf borderId="0" fillId="12" fontId="21" numFmtId="0" xfId="0" applyAlignment="1" applyFont="1">
      <alignment horizontal="center" readingOrder="0" shrinkToFit="0" vertical="bottom" wrapText="0"/>
    </xf>
    <xf borderId="0" fillId="12" fontId="22" numFmtId="49" xfId="0" applyAlignment="1" applyFont="1" applyNumberFormat="1">
      <alignment horizontal="center" readingOrder="0" shrinkToFit="0" vertical="bottom" wrapText="0"/>
    </xf>
    <xf borderId="0" fillId="12" fontId="22" numFmtId="0" xfId="0" applyAlignment="1" applyFont="1">
      <alignment horizontal="center" readingOrder="0" shrinkToFit="0" vertical="bottom" wrapText="0"/>
    </xf>
    <xf borderId="0" fillId="12" fontId="23" numFmtId="0" xfId="0" applyFont="1"/>
    <xf borderId="0" fillId="0" fontId="3" numFmtId="168" xfId="0" applyAlignment="1" applyFont="1" applyNumberFormat="1">
      <alignment horizontal="center" readingOrder="0"/>
    </xf>
    <xf borderId="0" fillId="0" fontId="3" numFmtId="172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left" readingOrder="0" shrinkToFit="0" vertical="bottom" wrapText="0"/>
    </xf>
    <xf borderId="0" fillId="13" fontId="19" numFmtId="0" xfId="0" applyAlignment="1" applyFill="1" applyFont="1">
      <alignment horizontal="center" readingOrder="0" shrinkToFit="0" vertical="bottom" wrapText="0"/>
    </xf>
    <xf borderId="0" fillId="13" fontId="18" numFmtId="49" xfId="0" applyAlignment="1" applyFont="1" applyNumberFormat="1">
      <alignment horizontal="center" readingOrder="0" shrinkToFit="0" vertical="bottom" wrapText="0"/>
    </xf>
    <xf borderId="0" fillId="13" fontId="18" numFmtId="0" xfId="0" applyAlignment="1" applyFont="1">
      <alignment horizontal="center" readingOrder="0" shrinkToFit="0" vertical="bottom" wrapText="0"/>
    </xf>
    <xf borderId="0" fillId="0" fontId="24" numFmtId="0" xfId="0" applyFont="1"/>
    <xf borderId="0" fillId="13" fontId="24" numFmtId="0" xfId="0" applyFont="1"/>
    <xf borderId="0" fillId="10" fontId="3" numFmtId="0" xfId="0" applyFont="1"/>
    <xf borderId="0" fillId="0" fontId="25" numFmtId="49" xfId="0" applyAlignment="1" applyFont="1" applyNumberFormat="1">
      <alignment horizontal="center" vertical="bottom"/>
    </xf>
    <xf borderId="0" fillId="0" fontId="26" numFmtId="49" xfId="0" applyAlignment="1" applyFont="1" applyNumberFormat="1">
      <alignment vertical="bottom"/>
    </xf>
    <xf borderId="0" fillId="0" fontId="3" numFmtId="49" xfId="0" applyFont="1" applyNumberFormat="1"/>
    <xf borderId="0" fillId="14" fontId="19" numFmtId="0" xfId="0" applyAlignment="1" applyFill="1" applyFont="1">
      <alignment horizontal="center" readingOrder="0" shrinkToFit="0" vertical="bottom" wrapText="0"/>
    </xf>
    <xf borderId="0" fillId="14" fontId="18" numFmtId="49" xfId="0" applyAlignment="1" applyFont="1" applyNumberFormat="1">
      <alignment horizontal="center" readingOrder="0" shrinkToFit="0" vertical="bottom" wrapText="0"/>
    </xf>
    <xf borderId="0" fillId="14" fontId="18" numFmtId="0" xfId="0" applyAlignment="1" applyFont="1">
      <alignment horizontal="center" readingOrder="0" shrinkToFit="0" vertical="bottom" wrapText="0"/>
    </xf>
    <xf borderId="0" fillId="14" fontId="27" numFmtId="0" xfId="0" applyFont="1"/>
    <xf borderId="0" fillId="6" fontId="28" numFmtId="0" xfId="0" applyAlignment="1" applyFont="1">
      <alignment horizontal="right" readingOrder="0"/>
    </xf>
    <xf borderId="0" fillId="0" fontId="8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vertical="top"/>
    </xf>
    <xf borderId="0" fillId="15" fontId="19" numFmtId="0" xfId="0" applyAlignment="1" applyFill="1" applyFont="1">
      <alignment horizontal="center" readingOrder="0" shrinkToFit="0" vertical="bottom" wrapText="0"/>
    </xf>
    <xf borderId="0" fillId="15" fontId="18" numFmtId="49" xfId="0" applyAlignment="1" applyFont="1" applyNumberFormat="1">
      <alignment horizontal="center" readingOrder="0" shrinkToFit="0" vertical="bottom" wrapText="0"/>
    </xf>
    <xf borderId="0" fillId="15" fontId="18" numFmtId="0" xfId="0" applyAlignment="1" applyFont="1">
      <alignment horizontal="center" readingOrder="0" shrinkToFit="0" vertical="bottom" wrapText="0"/>
    </xf>
    <xf borderId="0" fillId="15" fontId="19" numFmtId="167" xfId="0" applyAlignment="1" applyFont="1" applyNumberFormat="1">
      <alignment horizontal="center" readingOrder="0" shrinkToFit="0" vertical="bottom" wrapText="0"/>
    </xf>
    <xf borderId="0" fillId="15" fontId="24" numFmtId="0" xfId="0" applyFont="1"/>
    <xf borderId="0" fillId="0" fontId="3" numFmtId="167" xfId="0" applyAlignment="1" applyFont="1" applyNumberFormat="1">
      <alignment readingOrder="0"/>
    </xf>
    <xf borderId="0" fillId="0" fontId="3" numFmtId="173" xfId="0" applyAlignment="1" applyFont="1" applyNumberFormat="1">
      <alignment readingOrder="0"/>
    </xf>
    <xf borderId="0" fillId="0" fontId="8" numFmtId="167" xfId="0" applyAlignment="1" applyFont="1" applyNumberFormat="1">
      <alignment horizontal="center" readingOrder="0" shrinkToFit="0" vertical="bottom" wrapText="0"/>
    </xf>
    <xf borderId="0" fillId="0" fontId="8" numFmtId="173" xfId="0" applyAlignment="1" applyFont="1" applyNumberFormat="1">
      <alignment horizontal="center" readingOrder="0" shrinkToFit="0" vertical="bottom" wrapText="0"/>
    </xf>
    <xf borderId="0" fillId="0" fontId="7" numFmtId="167" xfId="0" applyAlignment="1" applyFont="1" applyNumberFormat="1">
      <alignment horizontal="center" readingOrder="0" shrinkToFit="0" vertical="bottom" wrapText="0"/>
    </xf>
    <xf quotePrefix="1" borderId="0" fillId="0" fontId="3" numFmtId="0" xfId="0" applyAlignment="1" applyFont="1">
      <alignment readingOrder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3" numFmtId="167" xfId="0" applyFont="1" applyNumberFormat="1"/>
    <xf borderId="0" fillId="16" fontId="21" numFmtId="0" xfId="0" applyAlignment="1" applyFill="1" applyFont="1">
      <alignment horizontal="center" readingOrder="0" shrinkToFit="0" vertical="bottom" wrapText="0"/>
    </xf>
    <xf borderId="0" fillId="16" fontId="22" numFmtId="49" xfId="0" applyAlignment="1" applyFont="1" applyNumberFormat="1">
      <alignment horizontal="center" readingOrder="0" shrinkToFit="0" vertical="bottom" wrapText="0"/>
    </xf>
    <xf borderId="0" fillId="16" fontId="22" numFmtId="0" xfId="0" applyAlignment="1" applyFont="1">
      <alignment horizontal="center" readingOrder="0" shrinkToFit="0" vertical="bottom" wrapText="0"/>
    </xf>
    <xf borderId="5" fillId="16" fontId="21" numFmtId="0" xfId="0" applyAlignment="1" applyBorder="1" applyFont="1">
      <alignment horizontal="center" readingOrder="0" shrinkToFit="0" vertical="bottom" wrapText="0"/>
    </xf>
    <xf borderId="6" fillId="16" fontId="21" numFmtId="0" xfId="0" applyAlignment="1" applyBorder="1" applyFont="1">
      <alignment horizontal="center" readingOrder="0" shrinkToFit="0" vertical="bottom" wrapText="0"/>
    </xf>
    <xf borderId="0" fillId="17" fontId="21" numFmtId="0" xfId="0" applyAlignment="1" applyFill="1" applyFont="1">
      <alignment horizontal="center" readingOrder="0" shrinkToFit="0" vertical="bottom" wrapText="0"/>
    </xf>
    <xf borderId="6" fillId="17" fontId="21" numFmtId="0" xfId="0" applyAlignment="1" applyBorder="1" applyFont="1">
      <alignment horizontal="center" readingOrder="0" shrinkToFit="0" vertical="bottom" wrapText="0"/>
    </xf>
    <xf borderId="0" fillId="18" fontId="29" numFmtId="0" xfId="0" applyAlignment="1" applyFill="1" applyFont="1">
      <alignment horizontal="center" readingOrder="0" shrinkToFit="0" vertical="bottom" wrapText="0"/>
    </xf>
    <xf borderId="0" fillId="0" fontId="7" numFmtId="166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19" fontId="19" numFmtId="0" xfId="0" applyAlignment="1" applyFill="1" applyFont="1">
      <alignment horizontal="center" readingOrder="0" shrinkToFit="0" vertical="bottom" wrapText="0"/>
    </xf>
    <xf borderId="0" fillId="19" fontId="18" numFmtId="49" xfId="0" applyAlignment="1" applyFont="1" applyNumberFormat="1">
      <alignment horizontal="center" readingOrder="0" shrinkToFit="0" vertical="bottom" wrapText="0"/>
    </xf>
    <xf borderId="0" fillId="19" fontId="18" numFmtId="0" xfId="0" applyAlignment="1" applyFont="1">
      <alignment horizontal="center" readingOrder="0" shrinkToFit="0" vertical="bottom" wrapText="0"/>
    </xf>
    <xf borderId="0" fillId="19" fontId="24" numFmtId="0" xfId="0" applyFont="1"/>
    <xf borderId="0" fillId="2" fontId="7" numFmtId="0" xfId="0" applyAlignment="1" applyFont="1">
      <alignment horizontal="center" readingOrder="0" shrinkToFit="0" vertical="bottom" wrapText="0"/>
    </xf>
    <xf borderId="0" fillId="20" fontId="19" numFmtId="0" xfId="0" applyAlignment="1" applyFill="1" applyFont="1">
      <alignment horizontal="center" readingOrder="0" shrinkToFit="0" vertical="bottom" wrapText="0"/>
    </xf>
    <xf borderId="0" fillId="20" fontId="18" numFmtId="49" xfId="0" applyAlignment="1" applyFont="1" applyNumberFormat="1">
      <alignment horizontal="center" readingOrder="0" shrinkToFit="0" vertical="bottom" wrapText="0"/>
    </xf>
    <xf borderId="0" fillId="20" fontId="18" numFmtId="0" xfId="0" applyAlignment="1" applyFont="1">
      <alignment horizontal="center" readingOrder="0" shrinkToFit="0" vertical="bottom" wrapText="0"/>
    </xf>
    <xf borderId="0" fillId="20" fontId="19" numFmtId="167" xfId="0" applyAlignment="1" applyFont="1" applyNumberFormat="1">
      <alignment horizontal="center" readingOrder="0" shrinkToFit="0" vertical="bottom" wrapText="0"/>
    </xf>
    <xf borderId="0" fillId="20" fontId="27" numFmtId="0" xfId="0" applyAlignment="1" applyFont="1">
      <alignment horizontal="center" readingOrder="0"/>
    </xf>
    <xf borderId="0" fillId="20" fontId="27" numFmtId="0" xfId="0" applyFont="1"/>
    <xf borderId="0" fillId="6" fontId="28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/>
    </xf>
    <xf borderId="0" fillId="21" fontId="2" numFmtId="0" xfId="0" applyAlignment="1" applyFill="1" applyFont="1">
      <alignment horizontal="center" readingOrder="0" shrinkToFit="0" vertical="bottom" wrapText="0"/>
    </xf>
    <xf borderId="0" fillId="21" fontId="1" numFmtId="49" xfId="0" applyAlignment="1" applyFont="1" applyNumberFormat="1">
      <alignment horizontal="center" readingOrder="0" shrinkToFit="0" vertical="bottom" wrapText="0"/>
    </xf>
    <xf borderId="0" fillId="21" fontId="1" numFmtId="0" xfId="0" applyAlignment="1" applyFont="1">
      <alignment horizontal="center" readingOrder="0" shrinkToFit="0" vertical="bottom" wrapText="0"/>
    </xf>
    <xf borderId="0" fillId="22" fontId="2" numFmtId="0" xfId="0" applyAlignment="1" applyFill="1" applyFont="1">
      <alignment horizontal="center" readingOrder="0" shrinkToFit="0" vertical="bottom" wrapText="0"/>
    </xf>
    <xf borderId="0" fillId="22" fontId="1" numFmtId="0" xfId="0" applyAlignment="1" applyFont="1">
      <alignment horizontal="center" readingOrder="0" shrinkToFit="0" vertical="bottom" wrapText="0"/>
    </xf>
    <xf borderId="0" fillId="23" fontId="2" numFmtId="0" xfId="0" applyAlignment="1" applyFill="1" applyFont="1">
      <alignment horizontal="center" readingOrder="0" shrinkToFit="0" vertical="bottom" wrapText="0"/>
    </xf>
    <xf borderId="0" fillId="10" fontId="3" numFmtId="0" xfId="0" applyAlignment="1" applyFont="1">
      <alignment horizontal="center" readingOrder="0"/>
    </xf>
    <xf borderId="0" fillId="10" fontId="3" numFmtId="166" xfId="0" applyAlignment="1" applyFont="1" applyNumberForma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24" fontId="19" numFmtId="0" xfId="0" applyAlignment="1" applyFill="1" applyFont="1">
      <alignment horizontal="center" readingOrder="0" shrinkToFit="0" vertical="bottom" wrapText="0"/>
    </xf>
    <xf borderId="0" fillId="24" fontId="18" numFmtId="49" xfId="0" applyAlignment="1" applyFont="1" applyNumberFormat="1">
      <alignment horizontal="center" readingOrder="0" shrinkToFit="0" vertical="bottom" wrapText="0"/>
    </xf>
    <xf borderId="0" fillId="24" fontId="18" numFmtId="0" xfId="0" applyAlignment="1" applyFont="1">
      <alignment horizontal="center" readingOrder="0" shrinkToFit="0" vertical="bottom" wrapText="0"/>
    </xf>
    <xf borderId="0" fillId="24" fontId="27" numFmtId="0" xfId="0" applyFont="1"/>
    <xf borderId="0" fillId="0" fontId="3" numFmtId="172" xfId="0" applyAlignment="1" applyFont="1" applyNumberFormat="1">
      <alignment readingOrder="0"/>
    </xf>
    <xf borderId="0" fillId="7" fontId="3" numFmtId="0" xfId="0" applyAlignment="1" applyFont="1">
      <alignment horizontal="center" readingOrder="0"/>
    </xf>
    <xf borderId="0" fillId="7" fontId="8" numFmtId="49" xfId="0" applyAlignment="1" applyFont="1" applyNumberFormat="1">
      <alignment horizontal="center" readingOrder="0" shrinkToFit="0" vertical="bottom" wrapText="0"/>
    </xf>
    <xf borderId="0" fillId="7" fontId="3" numFmtId="0" xfId="0" applyAlignment="1" applyFont="1">
      <alignment readingOrder="0"/>
    </xf>
    <xf borderId="0" fillId="7" fontId="7" numFmtId="0" xfId="0" applyAlignment="1" applyFont="1">
      <alignment readingOrder="0" shrinkToFit="0" vertical="bottom" wrapText="0"/>
    </xf>
    <xf borderId="0" fillId="7" fontId="3" numFmtId="166" xfId="0" applyAlignment="1" applyFont="1" applyNumberFormat="1">
      <alignment readingOrder="0"/>
    </xf>
    <xf borderId="0" fillId="7" fontId="7" numFmtId="0" xfId="0" applyAlignment="1" applyFont="1">
      <alignment horizontal="center" readingOrder="0" shrinkToFit="0" vertical="bottom" wrapText="0"/>
    </xf>
    <xf borderId="0" fillId="7" fontId="3" numFmtId="0" xfId="0" applyFont="1"/>
    <xf borderId="0" fillId="25" fontId="18" numFmtId="0" xfId="0" applyAlignment="1" applyFill="1" applyFont="1">
      <alignment horizontal="center" readingOrder="0" shrinkToFit="0" vertical="bottom" wrapText="0"/>
    </xf>
    <xf borderId="0" fillId="25" fontId="18" numFmtId="49" xfId="0" applyAlignment="1" applyFont="1" applyNumberFormat="1">
      <alignment horizontal="center" readingOrder="0" shrinkToFit="0" vertical="bottom" wrapText="0"/>
    </xf>
    <xf borderId="0" fillId="25" fontId="19" numFmtId="0" xfId="0" applyAlignment="1" applyFont="1">
      <alignment horizontal="center" readingOrder="0" shrinkToFit="0" vertical="bottom" wrapText="0"/>
    </xf>
    <xf borderId="0" fillId="25" fontId="19" numFmtId="0" xfId="0" applyAlignment="1" applyFont="1">
      <alignment readingOrder="0" shrinkToFit="0" vertical="bottom" wrapText="0"/>
    </xf>
    <xf borderId="0" fillId="25" fontId="18" numFmtId="0" xfId="0" applyAlignment="1" applyFont="1">
      <alignment readingOrder="0" shrinkToFit="0" vertical="bottom" wrapText="0"/>
    </xf>
    <xf borderId="0" fillId="0" fontId="27" numFmtId="0" xfId="0" applyFont="1"/>
    <xf borderId="0" fillId="7" fontId="8" numFmtId="0" xfId="0" applyAlignment="1" applyFont="1">
      <alignment shrinkToFit="0" vertical="bottom" wrapText="0"/>
    </xf>
    <xf borderId="0" fillId="10" fontId="2" numFmtId="0" xfId="0" applyAlignment="1" applyFont="1">
      <alignment horizontal="center" readingOrder="0" shrinkToFit="0" vertical="bottom" wrapText="0"/>
    </xf>
    <xf borderId="0" fillId="10" fontId="1" numFmtId="49" xfId="0" applyAlignment="1" applyFont="1" applyNumberFormat="1">
      <alignment horizontal="center" readingOrder="0" shrinkToFit="0" vertical="bottom" wrapText="0"/>
    </xf>
    <xf borderId="0" fillId="10" fontId="1" numFmtId="0" xfId="0" applyAlignment="1" applyFont="1">
      <alignment horizontal="center" readingOrder="0" shrinkToFit="0" vertical="bottom" wrapText="0"/>
    </xf>
    <xf borderId="0" fillId="10" fontId="30" numFmtId="0" xfId="0" applyAlignment="1" applyFont="1">
      <alignment readingOrder="0"/>
    </xf>
    <xf borderId="0" fillId="10" fontId="31" numFmtId="0" xfId="0" applyFont="1"/>
    <xf borderId="0" fillId="2" fontId="8" numFmtId="0" xfId="0" applyAlignment="1" applyFont="1">
      <alignment horizontal="center" readingOrder="0" shrinkToFit="0" vertical="bottom" wrapText="0"/>
    </xf>
    <xf borderId="0" fillId="0" fontId="7" numFmtId="168" xfId="0" applyAlignment="1" applyFont="1" applyNumberFormat="1">
      <alignment horizontal="center" readingOrder="0" shrinkToFit="0" vertical="bottom" wrapText="0"/>
    </xf>
    <xf borderId="0" fillId="0" fontId="7" numFmtId="165" xfId="0" applyAlignment="1" applyFont="1" applyNumberFormat="1">
      <alignment horizontal="center" readingOrder="0" shrinkToFit="0" vertical="bottom" wrapText="0"/>
    </xf>
    <xf borderId="0" fillId="26" fontId="2" numFmtId="0" xfId="0" applyAlignment="1" applyFill="1" applyFont="1">
      <alignment horizontal="center" readingOrder="0" shrinkToFit="0" vertical="bottom" wrapText="0"/>
    </xf>
    <xf borderId="0" fillId="27" fontId="18" numFmtId="0" xfId="0" applyAlignment="1" applyFill="1" applyFont="1">
      <alignment horizontal="center" readingOrder="0" shrinkToFit="0" vertical="bottom" wrapText="0"/>
    </xf>
    <xf borderId="0" fillId="27" fontId="18" numFmtId="49" xfId="0" applyAlignment="1" applyFont="1" applyNumberFormat="1">
      <alignment horizontal="center" readingOrder="0" shrinkToFit="0" vertical="bottom" wrapText="0"/>
    </xf>
    <xf borderId="0" fillId="27" fontId="19" numFmtId="0" xfId="0" applyAlignment="1" applyFont="1">
      <alignment horizontal="center" readingOrder="0" shrinkToFit="0" vertical="bottom" wrapText="0"/>
    </xf>
    <xf borderId="0" fillId="27" fontId="32" numFmtId="0" xfId="0" applyAlignment="1" applyFont="1">
      <alignment horizontal="center" readingOrder="0" shrinkToFit="0" vertical="bottom" wrapText="0"/>
    </xf>
    <xf borderId="0" fillId="28" fontId="32" numFmtId="0" xfId="0" applyAlignment="1" applyFill="1" applyFont="1">
      <alignment horizontal="center" readingOrder="0" shrinkToFit="0" vertical="bottom" wrapText="0"/>
    </xf>
    <xf borderId="0" fillId="27" fontId="33" numFmtId="0" xfId="0" applyAlignment="1" applyFont="1">
      <alignment horizontal="center" readingOrder="0" shrinkToFit="0" vertical="bottom" wrapText="0"/>
    </xf>
    <xf borderId="0" fillId="2" fontId="34" numFmtId="0" xfId="0" applyAlignment="1" applyFont="1">
      <alignment horizontal="center" readingOrder="0" shrinkToFit="0" vertical="bottom" wrapText="0"/>
    </xf>
    <xf borderId="0" fillId="29" fontId="32" numFmtId="0" xfId="0" applyAlignment="1" applyFill="1" applyFont="1">
      <alignment horizontal="center" readingOrder="0" shrinkToFit="0" vertical="bottom" wrapText="0"/>
    </xf>
    <xf borderId="0" fillId="29" fontId="33" numFmtId="0" xfId="0" applyAlignment="1" applyFont="1">
      <alignment horizontal="center" readingOrder="0" shrinkToFit="0" vertical="bottom" wrapText="0"/>
    </xf>
    <xf borderId="0" fillId="30" fontId="34" numFmtId="0" xfId="0" applyAlignment="1" applyFill="1" applyFont="1">
      <alignment horizontal="center" readingOrder="0" shrinkToFit="0" vertical="bottom" wrapText="0"/>
    </xf>
    <xf borderId="0" fillId="31" fontId="34" numFmtId="0" xfId="0" applyAlignment="1" applyFill="1" applyFont="1">
      <alignment horizontal="center" readingOrder="0" shrinkToFit="0" vertical="bottom" wrapText="0"/>
    </xf>
    <xf borderId="0" fillId="31" fontId="35" numFmtId="0" xfId="0" applyAlignment="1" applyFont="1">
      <alignment horizontal="center" readingOrder="0" shrinkToFit="0" vertical="bottom" wrapText="0"/>
    </xf>
    <xf borderId="0" fillId="13" fontId="35" numFmtId="0" xfId="0" applyAlignment="1" applyFont="1">
      <alignment horizontal="center" readingOrder="0" shrinkToFit="0" vertical="bottom" wrapText="0"/>
    </xf>
    <xf borderId="0" fillId="14" fontId="35" numFmtId="0" xfId="0" applyAlignment="1" applyFont="1">
      <alignment horizontal="center" readingOrder="0" shrinkToFit="0" vertical="bottom" wrapText="0"/>
    </xf>
    <xf borderId="0" fillId="14" fontId="34" numFmtId="0" xfId="0" applyAlignment="1" applyFont="1">
      <alignment horizontal="center" readingOrder="0" shrinkToFit="0" vertical="bottom" wrapText="0"/>
    </xf>
    <xf borderId="0" fillId="32" fontId="34" numFmtId="0" xfId="0" applyAlignment="1" applyFill="1" applyFont="1">
      <alignment horizontal="center" readingOrder="0" shrinkToFit="0" vertical="bottom" wrapText="0"/>
    </xf>
    <xf borderId="0" fillId="32" fontId="35" numFmtId="0" xfId="0" applyAlignment="1" applyFont="1">
      <alignment horizontal="center" readingOrder="0" shrinkToFit="0" vertical="bottom" wrapText="0"/>
    </xf>
    <xf borderId="0" fillId="0" fontId="36" numFmtId="0" xfId="0" applyAlignment="1" applyFont="1">
      <alignment horizontal="center" readingOrder="0" shrinkToFit="0" vertical="bottom" wrapText="0"/>
    </xf>
    <xf borderId="0" fillId="0" fontId="37" numFmtId="0" xfId="0" applyAlignment="1" applyFont="1">
      <alignment shrinkToFit="0" vertical="bottom" wrapText="0"/>
    </xf>
    <xf borderId="0" fillId="2" fontId="37" numFmtId="0" xfId="0" applyAlignment="1" applyFont="1">
      <alignment horizontal="right" readingOrder="0" shrinkToFit="0" vertical="bottom" wrapText="0"/>
    </xf>
    <xf borderId="0" fillId="0" fontId="37" numFmtId="0" xfId="0" applyAlignment="1" applyFont="1">
      <alignment readingOrder="0"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36" numFmtId="166" xfId="0" applyAlignment="1" applyFont="1" applyNumberFormat="1">
      <alignment readingOrder="0" shrinkToFit="0" vertical="bottom" wrapText="0"/>
    </xf>
    <xf borderId="0" fillId="0" fontId="36" numFmtId="165" xfId="0" applyAlignment="1" applyFont="1" applyNumberFormat="1">
      <alignment readingOrder="0" shrinkToFit="0" vertical="bottom" wrapText="0"/>
    </xf>
    <xf borderId="0" fillId="0" fontId="36" numFmtId="170" xfId="0" applyAlignment="1" applyFont="1" applyNumberFormat="1">
      <alignment readingOrder="0" shrinkToFit="0" vertical="bottom" wrapText="0"/>
    </xf>
    <xf borderId="0" fillId="2" fontId="37" numFmtId="170" xfId="0" applyAlignment="1" applyFont="1" applyNumberFormat="1">
      <alignment horizontal="right" readingOrder="0" shrinkToFit="0" vertical="bottom" wrapText="0"/>
    </xf>
    <xf borderId="0" fillId="0" fontId="37" numFmtId="0" xfId="0" applyAlignment="1" applyFont="1">
      <alignment horizontal="center" shrinkToFit="0" vertical="bottom" wrapText="0"/>
    </xf>
    <xf borderId="0" fillId="2" fontId="36" numFmtId="0" xfId="0" applyAlignment="1" applyFont="1">
      <alignment horizontal="right" readingOrder="0" shrinkToFit="0" vertical="bottom" wrapText="0"/>
    </xf>
    <xf borderId="0" fillId="7" fontId="18" numFmtId="49" xfId="0" applyAlignment="1" applyFont="1" applyNumberFormat="1">
      <alignment horizontal="center" readingOrder="0" shrinkToFit="0" vertical="bottom" wrapText="0"/>
    </xf>
    <xf borderId="0" fillId="7" fontId="19" numFmtId="0" xfId="0" applyAlignment="1" applyFont="1">
      <alignment horizontal="center" readingOrder="0" shrinkToFit="0" vertical="bottom" wrapText="0"/>
    </xf>
    <xf borderId="0" fillId="7" fontId="18" numFmtId="0" xfId="0" applyAlignment="1" applyFont="1">
      <alignment horizontal="center" readingOrder="0" shrinkToFit="0" vertical="bottom" wrapText="0"/>
    </xf>
    <xf borderId="0" fillId="7" fontId="18" numFmtId="0" xfId="0" applyAlignment="1" applyFont="1">
      <alignment readingOrder="0" shrinkToFit="0" vertical="bottom" wrapText="0"/>
    </xf>
    <xf borderId="0" fillId="7" fontId="33" numFmtId="0" xfId="0" applyAlignment="1" applyFont="1">
      <alignment horizontal="center" readingOrder="0" shrinkToFit="0" vertical="bottom" wrapText="0"/>
    </xf>
    <xf borderId="0" fillId="33" fontId="19" numFmtId="0" xfId="0" applyAlignment="1" applyFill="1" applyFont="1">
      <alignment horizontal="center" readingOrder="0" shrinkToFit="0" vertical="bottom" wrapText="0"/>
    </xf>
    <xf borderId="0" fillId="33" fontId="18" numFmtId="49" xfId="0" applyAlignment="1" applyFont="1" applyNumberFormat="1">
      <alignment horizontal="center" readingOrder="0" shrinkToFit="0" vertical="bottom" wrapText="0"/>
    </xf>
    <xf borderId="0" fillId="33" fontId="18" numFmtId="0" xfId="0" applyAlignment="1" applyFont="1">
      <alignment horizontal="center" readingOrder="0" shrinkToFit="0" vertical="bottom" wrapText="0"/>
    </xf>
    <xf borderId="0" fillId="33" fontId="19" numFmtId="0" xfId="0" applyAlignment="1" applyFont="1">
      <alignment readingOrder="0" shrinkToFit="0" vertical="bottom" wrapText="0"/>
    </xf>
    <xf borderId="0" fillId="33" fontId="18" numFmtId="0" xfId="0" applyAlignment="1" applyFont="1">
      <alignment readingOrder="0" shrinkToFit="0" vertical="bottom" wrapText="0"/>
    </xf>
    <xf borderId="0" fillId="16" fontId="19" numFmtId="0" xfId="0" applyAlignment="1" applyFont="1">
      <alignment horizontal="center" readingOrder="0" shrinkToFit="0" vertical="bottom" wrapText="0"/>
    </xf>
    <xf borderId="0" fillId="16" fontId="18" numFmtId="49" xfId="0" applyAlignment="1" applyFont="1" applyNumberFormat="1">
      <alignment horizontal="center" readingOrder="0" shrinkToFit="0" vertical="bottom" wrapText="0"/>
    </xf>
    <xf borderId="0" fillId="16" fontId="18" numFmtId="0" xfId="0" applyAlignment="1" applyFont="1">
      <alignment horizontal="center" readingOrder="0" shrinkToFit="0" vertical="bottom" wrapText="0"/>
    </xf>
    <xf borderId="0" fillId="16" fontId="27" numFmtId="0" xfId="0" applyAlignment="1" applyFont="1">
      <alignment horizontal="center" readingOrder="0"/>
    </xf>
    <xf borderId="7" fillId="6" fontId="3" numFmtId="0" xfId="0" applyAlignment="1" applyBorder="1" applyFont="1">
      <alignment horizontal="center" readingOrder="0" vertical="top"/>
    </xf>
    <xf borderId="0" fillId="34" fontId="1" numFmtId="0" xfId="0" applyAlignment="1" applyFill="1" applyFont="1">
      <alignment horizontal="center" readingOrder="0" shrinkToFit="0" vertical="bottom" wrapText="0"/>
    </xf>
    <xf borderId="0" fillId="34" fontId="1" numFmtId="49" xfId="0" applyAlignment="1" applyFont="1" applyNumberFormat="1">
      <alignment horizontal="center" readingOrder="0" shrinkToFit="0" vertical="bottom" wrapText="0"/>
    </xf>
    <xf borderId="0" fillId="34" fontId="2" numFmtId="0" xfId="0" applyAlignment="1" applyFont="1">
      <alignment horizontal="center" readingOrder="0" shrinkToFit="0" vertical="bottom" wrapText="0"/>
    </xf>
    <xf borderId="0" fillId="34" fontId="30" numFmtId="0" xfId="0" applyAlignment="1" applyFont="1">
      <alignment horizontal="center" readingOrder="0"/>
    </xf>
    <xf borderId="0" fillId="34" fontId="30" numFmtId="0" xfId="0" applyAlignment="1" applyFont="1">
      <alignment horizontal="center"/>
    </xf>
    <xf borderId="0" fillId="35" fontId="19" numFmtId="0" xfId="0" applyAlignment="1" applyFill="1" applyFont="1">
      <alignment horizontal="center" readingOrder="0" shrinkToFit="0" vertical="bottom" wrapText="0"/>
    </xf>
    <xf borderId="0" fillId="35" fontId="18" numFmtId="49" xfId="0" applyAlignment="1" applyFont="1" applyNumberFormat="1">
      <alignment horizontal="center" readingOrder="0" shrinkToFit="0" vertical="bottom" wrapText="0"/>
    </xf>
    <xf borderId="0" fillId="35" fontId="18" numFmtId="0" xfId="0" applyAlignment="1" applyFont="1">
      <alignment horizontal="center" readingOrder="0" shrinkToFit="0" vertical="bottom" wrapText="0"/>
    </xf>
    <xf borderId="0" fillId="35" fontId="27" numFmtId="0" xfId="0" applyAlignment="1" applyFont="1">
      <alignment horizontal="center" readingOrder="0"/>
    </xf>
    <xf borderId="0" fillId="35" fontId="27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36" fontId="25" numFmtId="0" xfId="0" applyAlignment="1" applyFill="1" applyFont="1">
      <alignment vertical="bottom"/>
    </xf>
    <xf borderId="0" fillId="0" fontId="5" numFmtId="0" xfId="0" applyAlignment="1" applyFont="1">
      <alignment horizontal="left" vertical="bottom"/>
    </xf>
    <xf borderId="0" fillId="36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36" fontId="14" numFmtId="0" xfId="0" applyAlignment="1" applyFont="1">
      <alignment vertical="bottom"/>
    </xf>
    <xf borderId="0" fillId="0" fontId="16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vide Vergallito" id="{ed25b501-84c2-45e1-9314-114a0f3c46d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4-09-06T09:45:18.00" personId="{ed25b501-84c2-45e1-9314-114a0f3c46d0}" id="{472e5de3-067d-46db-b056-493422175308}" done="1">
    <x18tc:text xml:space="preserve">altre diagnosi ICD 10 su sito ELSO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" dT="2024-09-06T09:47:23.00" personId="{ed25b501-84c2-45e1-9314-114a0f3c46d0}" id="{1ef8ed5a-f702-44d6-b5ac-7f12a5fecafc}" done="0">
    <x18tc:text xml:space="preserve">parametri a 24h, ultimi parametri se decesso entro 24h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" dT="2024-09-06T09:50:18.00" personId="{ed25b501-84c2-45e1-9314-114a0f3c46d0}" id="{84fd77e0-3d83-4ca8-9200-fcee6848fa0d}" done="0">
    <x18tc:text xml:space="preserve">se decesso ICU data decesso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" dT="2024-09-06T09:22:42.00" personId="{ed25b501-84c2-45e1-9314-114a0f3c46d0}" id="{52728d08-429f-446a-ba4c-c4eedb1dcf47}" done="0">
    <x18tc:text xml:space="preserve">PRE ECMO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2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7.88"/>
    <col customWidth="1" min="3" max="3" width="25.38"/>
    <col customWidth="1" min="4" max="4" width="26.0"/>
    <col customWidth="1" min="6" max="6" width="18.25"/>
    <col customWidth="1" min="10" max="10" width="23.25"/>
    <col customWidth="1" min="11" max="11" width="26.25"/>
    <col customWidth="1" min="12" max="12" width="17.88"/>
    <col customWidth="1" min="13" max="13" width="52.63"/>
    <col customWidth="1" min="14" max="14" width="23.38"/>
    <col customWidth="1" min="15" max="15" width="22.63"/>
    <col customWidth="1" min="16" max="16" width="23.75"/>
    <col customWidth="1" min="17" max="17" width="18.88"/>
    <col customWidth="1" min="18" max="18" width="18.0"/>
    <col customWidth="1" min="23" max="23" width="20.5"/>
    <col customWidth="1" min="24" max="24" width="22.13"/>
    <col customWidth="1" min="27" max="27" width="11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 t="s">
        <v>17</v>
      </c>
      <c r="T1" s="2" t="s">
        <v>18</v>
      </c>
      <c r="U1" s="2" t="s">
        <v>19</v>
      </c>
      <c r="V1" s="2" t="s">
        <v>20</v>
      </c>
      <c r="W1" s="2" t="s">
        <v>17</v>
      </c>
      <c r="X1" s="3" t="s">
        <v>21</v>
      </c>
      <c r="Z1" s="4" t="s">
        <v>22</v>
      </c>
      <c r="AA1" s="5" t="s">
        <v>23</v>
      </c>
    </row>
    <row r="2">
      <c r="A2" s="6"/>
      <c r="B2" s="7">
        <v>2.123023299E9</v>
      </c>
      <c r="C2" s="8" t="s">
        <v>24</v>
      </c>
      <c r="D2" s="9" t="s">
        <v>25</v>
      </c>
      <c r="F2" s="3">
        <v>3.272024098E9</v>
      </c>
      <c r="G2" s="3">
        <v>2024.0</v>
      </c>
      <c r="H2" s="10">
        <v>19354.0</v>
      </c>
      <c r="I2" s="3" t="s">
        <v>26</v>
      </c>
      <c r="J2" s="11" t="s">
        <v>27</v>
      </c>
      <c r="K2" s="12" t="b">
        <v>0</v>
      </c>
      <c r="L2" s="13"/>
      <c r="M2" s="13"/>
      <c r="N2" s="13">
        <v>45291.0</v>
      </c>
      <c r="O2" s="14" t="s">
        <v>28</v>
      </c>
      <c r="P2" s="15">
        <v>45292.0</v>
      </c>
      <c r="Q2" s="14" t="s">
        <v>29</v>
      </c>
      <c r="R2" s="16"/>
      <c r="T2" s="3">
        <v>1.0</v>
      </c>
      <c r="U2" s="3">
        <v>3.460919383E9</v>
      </c>
      <c r="W2" s="3" t="s">
        <v>30</v>
      </c>
      <c r="X2" s="3" t="s">
        <v>31</v>
      </c>
      <c r="Z2" s="17">
        <f t="shared" ref="Z2:Z46" si="1">DAYS360(H2,N2)</f>
        <v>25565</v>
      </c>
      <c r="AA2" s="18">
        <f t="shared" ref="AA2:AA44" si="2">Z2/360</f>
        <v>71.01388889</v>
      </c>
    </row>
    <row r="3">
      <c r="A3" s="19"/>
      <c r="B3" s="20">
        <v>2.124018611E9</v>
      </c>
      <c r="C3" s="20" t="s">
        <v>32</v>
      </c>
      <c r="D3" s="21" t="s">
        <v>33</v>
      </c>
      <c r="E3" s="22"/>
      <c r="F3" s="3"/>
      <c r="G3" s="12">
        <v>2024.0</v>
      </c>
      <c r="H3" s="23">
        <v>23153.0</v>
      </c>
      <c r="I3" s="12" t="s">
        <v>34</v>
      </c>
      <c r="J3" s="11" t="s">
        <v>35</v>
      </c>
      <c r="K3" s="12" t="b">
        <v>1</v>
      </c>
      <c r="L3" s="24"/>
      <c r="M3" s="24"/>
      <c r="N3" s="24">
        <v>45292.0</v>
      </c>
      <c r="O3" s="6"/>
      <c r="P3" s="24"/>
      <c r="Q3" s="12"/>
      <c r="R3" s="6"/>
      <c r="S3" s="6"/>
      <c r="T3" s="12"/>
      <c r="U3" s="6"/>
      <c r="V3" s="6"/>
      <c r="W3" s="6"/>
      <c r="X3" s="12"/>
      <c r="Y3" s="6"/>
      <c r="Z3" s="17">
        <f t="shared" si="1"/>
        <v>21819</v>
      </c>
      <c r="AA3" s="18">
        <f t="shared" si="2"/>
        <v>60.60833333</v>
      </c>
      <c r="AB3" s="6"/>
      <c r="AC3" s="6"/>
      <c r="AD3" s="6"/>
      <c r="AE3" s="6"/>
    </row>
    <row r="4">
      <c r="A4" s="25"/>
      <c r="B4" s="7">
        <v>2.124000149E9</v>
      </c>
      <c r="C4" s="8" t="s">
        <v>36</v>
      </c>
      <c r="D4" s="9" t="s">
        <v>37</v>
      </c>
      <c r="F4" s="3">
        <v>3.272024051E9</v>
      </c>
      <c r="G4" s="3">
        <v>2024.0</v>
      </c>
      <c r="H4" s="26">
        <v>22447.0</v>
      </c>
      <c r="I4" s="3" t="s">
        <v>34</v>
      </c>
      <c r="J4" s="11" t="s">
        <v>35</v>
      </c>
      <c r="K4" s="12" t="b">
        <v>1</v>
      </c>
      <c r="L4" s="15"/>
      <c r="M4" s="15"/>
      <c r="N4" s="15">
        <v>45295.0</v>
      </c>
      <c r="O4" s="14" t="s">
        <v>38</v>
      </c>
      <c r="P4" s="15">
        <v>45295.0</v>
      </c>
      <c r="Q4" s="14" t="s">
        <v>39</v>
      </c>
      <c r="R4" s="16"/>
      <c r="T4" s="3">
        <v>1.0</v>
      </c>
      <c r="U4" s="3">
        <v>3.339717409E9</v>
      </c>
      <c r="W4" s="3" t="s">
        <v>40</v>
      </c>
      <c r="X4" s="3" t="s">
        <v>31</v>
      </c>
      <c r="Z4" s="17">
        <f t="shared" si="1"/>
        <v>22519</v>
      </c>
      <c r="AA4" s="18">
        <f t="shared" si="2"/>
        <v>62.55277778</v>
      </c>
    </row>
    <row r="5">
      <c r="A5" s="27"/>
      <c r="B5" s="7">
        <v>2.124000241E9</v>
      </c>
      <c r="C5" s="8" t="s">
        <v>41</v>
      </c>
      <c r="D5" s="9" t="s">
        <v>42</v>
      </c>
      <c r="F5" s="3">
        <v>3.272024052E9</v>
      </c>
      <c r="G5" s="3">
        <v>2024.0</v>
      </c>
      <c r="H5" s="26">
        <v>21703.0</v>
      </c>
      <c r="I5" s="3" t="s">
        <v>34</v>
      </c>
      <c r="J5" s="11" t="s">
        <v>43</v>
      </c>
      <c r="K5" s="28" t="b">
        <v>0</v>
      </c>
      <c r="L5" s="15"/>
      <c r="M5" s="15"/>
      <c r="N5" s="15">
        <v>45296.0</v>
      </c>
      <c r="O5" s="14" t="s">
        <v>44</v>
      </c>
      <c r="P5" s="15">
        <v>45296.0</v>
      </c>
      <c r="Q5" s="14" t="s">
        <v>45</v>
      </c>
      <c r="R5" s="16"/>
      <c r="T5" s="3">
        <v>1.0</v>
      </c>
      <c r="U5" s="3">
        <v>3.396444336E9</v>
      </c>
      <c r="W5" s="3" t="s">
        <v>46</v>
      </c>
      <c r="X5" s="3" t="s">
        <v>31</v>
      </c>
      <c r="Z5" s="17">
        <f t="shared" si="1"/>
        <v>23253</v>
      </c>
      <c r="AA5" s="18">
        <f t="shared" si="2"/>
        <v>64.59166667</v>
      </c>
    </row>
    <row r="6">
      <c r="A6" s="25"/>
      <c r="B6" s="7">
        <v>2.124000328E9</v>
      </c>
      <c r="C6" s="8" t="s">
        <v>47</v>
      </c>
      <c r="D6" s="9" t="s">
        <v>48</v>
      </c>
      <c r="F6" s="3">
        <v>3.272024053E9</v>
      </c>
      <c r="G6" s="3">
        <v>2024.0</v>
      </c>
      <c r="H6" s="26">
        <v>21957.0</v>
      </c>
      <c r="I6" s="3" t="s">
        <v>34</v>
      </c>
      <c r="J6" s="11" t="s">
        <v>43</v>
      </c>
      <c r="K6" s="28" t="b">
        <v>0</v>
      </c>
      <c r="L6" s="15"/>
      <c r="M6" s="15"/>
      <c r="N6" s="15">
        <v>45298.0</v>
      </c>
      <c r="O6" s="14" t="s">
        <v>49</v>
      </c>
      <c r="P6" s="15">
        <v>45298.0</v>
      </c>
      <c r="Q6" s="14" t="s">
        <v>50</v>
      </c>
      <c r="R6" s="16"/>
      <c r="T6" s="3">
        <v>1.0</v>
      </c>
      <c r="U6" s="3">
        <v>3.294713274E9</v>
      </c>
      <c r="W6" s="3" t="s">
        <v>51</v>
      </c>
      <c r="X6" s="3" t="s">
        <v>31</v>
      </c>
      <c r="Z6" s="17">
        <f t="shared" si="1"/>
        <v>23006</v>
      </c>
      <c r="AA6" s="18">
        <f t="shared" si="2"/>
        <v>63.90555556</v>
      </c>
    </row>
    <row r="7">
      <c r="A7" s="25"/>
      <c r="B7" s="7">
        <v>2.124001121E9</v>
      </c>
      <c r="C7" s="29" t="s">
        <v>52</v>
      </c>
      <c r="D7" s="30" t="s">
        <v>53</v>
      </c>
      <c r="F7" s="3">
        <v>3.272024054E9</v>
      </c>
      <c r="G7" s="3">
        <v>2024.0</v>
      </c>
      <c r="H7" s="26">
        <v>25745.0</v>
      </c>
      <c r="I7" s="3" t="s">
        <v>34</v>
      </c>
      <c r="J7" s="31" t="s">
        <v>27</v>
      </c>
      <c r="K7" s="28" t="b">
        <v>0</v>
      </c>
      <c r="L7" s="15"/>
      <c r="M7" s="15"/>
      <c r="N7" s="15">
        <v>45309.0</v>
      </c>
      <c r="O7" s="14" t="s">
        <v>54</v>
      </c>
      <c r="P7" s="15">
        <v>45309.0</v>
      </c>
      <c r="Q7" s="14" t="s">
        <v>28</v>
      </c>
      <c r="R7" s="16"/>
      <c r="T7" s="3">
        <v>1.0</v>
      </c>
      <c r="U7" s="3">
        <v>3.479903123E9</v>
      </c>
      <c r="W7" s="3" t="s">
        <v>55</v>
      </c>
      <c r="X7" s="3" t="s">
        <v>31</v>
      </c>
      <c r="Z7" s="17">
        <f t="shared" si="1"/>
        <v>19282</v>
      </c>
      <c r="AA7" s="18">
        <f t="shared" si="2"/>
        <v>53.56111111</v>
      </c>
    </row>
    <row r="8">
      <c r="A8" s="25"/>
      <c r="B8" s="7">
        <v>2.124002215E9</v>
      </c>
      <c r="C8" s="8" t="s">
        <v>56</v>
      </c>
      <c r="D8" s="9" t="s">
        <v>57</v>
      </c>
      <c r="F8" s="3">
        <v>3.272024055E9</v>
      </c>
      <c r="G8" s="3">
        <v>2024.0</v>
      </c>
      <c r="H8" s="26">
        <v>22509.0</v>
      </c>
      <c r="I8" s="3" t="s">
        <v>34</v>
      </c>
      <c r="J8" s="11" t="s">
        <v>27</v>
      </c>
      <c r="K8" s="28" t="b">
        <v>0</v>
      </c>
      <c r="L8" s="15"/>
      <c r="M8" s="15"/>
      <c r="N8" s="15">
        <v>45325.0</v>
      </c>
      <c r="O8" s="14" t="s">
        <v>58</v>
      </c>
      <c r="P8" s="15">
        <v>45325.0</v>
      </c>
      <c r="Q8" s="14" t="s">
        <v>59</v>
      </c>
      <c r="R8" s="16"/>
      <c r="T8" s="3">
        <v>1.0</v>
      </c>
      <c r="U8" s="3">
        <v>3.419548554E9</v>
      </c>
      <c r="W8" s="3" t="s">
        <v>60</v>
      </c>
      <c r="X8" s="3" t="s">
        <v>31</v>
      </c>
      <c r="Z8" s="17">
        <f t="shared" si="1"/>
        <v>22487</v>
      </c>
      <c r="AA8" s="18">
        <f t="shared" si="2"/>
        <v>62.46388889</v>
      </c>
    </row>
    <row r="9">
      <c r="A9" s="32"/>
      <c r="B9" s="7">
        <v>2.124202869E9</v>
      </c>
      <c r="C9" s="8" t="s">
        <v>61</v>
      </c>
      <c r="D9" s="9" t="s">
        <v>62</v>
      </c>
      <c r="F9" s="3">
        <v>3.272024056E9</v>
      </c>
      <c r="G9" s="3">
        <v>2024.0</v>
      </c>
      <c r="H9" s="26">
        <v>27193.0</v>
      </c>
      <c r="I9" s="3" t="s">
        <v>34</v>
      </c>
      <c r="J9" s="11" t="s">
        <v>63</v>
      </c>
      <c r="K9" s="12" t="b">
        <v>1</v>
      </c>
      <c r="L9" s="15"/>
      <c r="M9" s="15"/>
      <c r="N9" s="15">
        <v>45326.0</v>
      </c>
      <c r="O9" s="16"/>
      <c r="P9" s="15">
        <v>45327.0</v>
      </c>
      <c r="Q9" s="14" t="s">
        <v>64</v>
      </c>
      <c r="R9" s="16"/>
      <c r="T9" s="3">
        <v>1.0</v>
      </c>
      <c r="U9" s="3">
        <v>3.48857702E9</v>
      </c>
      <c r="W9" s="3" t="s">
        <v>65</v>
      </c>
      <c r="X9" s="3" t="s">
        <v>31</v>
      </c>
      <c r="Z9" s="17">
        <f t="shared" si="1"/>
        <v>17871</v>
      </c>
      <c r="AA9" s="18">
        <f t="shared" si="2"/>
        <v>49.64166667</v>
      </c>
    </row>
    <row r="10">
      <c r="A10" s="33"/>
      <c r="B10" s="7">
        <v>2.124003531E9</v>
      </c>
      <c r="C10" s="29" t="s">
        <v>66</v>
      </c>
      <c r="D10" s="9" t="s">
        <v>62</v>
      </c>
      <c r="F10" s="3">
        <v>3.272024057E9</v>
      </c>
      <c r="G10" s="3">
        <v>2024.0</v>
      </c>
      <c r="H10" s="26">
        <v>29018.0</v>
      </c>
      <c r="I10" s="3" t="s">
        <v>34</v>
      </c>
      <c r="J10" s="11" t="s">
        <v>63</v>
      </c>
      <c r="K10" s="28" t="b">
        <v>0</v>
      </c>
      <c r="L10" s="15"/>
      <c r="M10" s="15"/>
      <c r="N10" s="15">
        <v>45343.0</v>
      </c>
      <c r="O10" s="14" t="s">
        <v>67</v>
      </c>
      <c r="P10" s="15">
        <v>45343.0</v>
      </c>
      <c r="Q10" s="14" t="s">
        <v>68</v>
      </c>
      <c r="R10" s="16"/>
      <c r="T10" s="3">
        <v>1.0</v>
      </c>
      <c r="U10" s="3">
        <v>3.497118072E9</v>
      </c>
      <c r="W10" s="3" t="s">
        <v>60</v>
      </c>
      <c r="X10" s="3" t="s">
        <v>31</v>
      </c>
      <c r="Z10" s="17">
        <f t="shared" si="1"/>
        <v>16089</v>
      </c>
      <c r="AA10" s="18">
        <f t="shared" si="2"/>
        <v>44.69166667</v>
      </c>
    </row>
    <row r="11">
      <c r="A11" s="25"/>
      <c r="B11" s="7">
        <v>2.124203781E9</v>
      </c>
      <c r="C11" s="8" t="s">
        <v>69</v>
      </c>
      <c r="D11" s="9" t="s">
        <v>70</v>
      </c>
      <c r="F11" s="3">
        <v>3.272024058E9</v>
      </c>
      <c r="G11" s="3">
        <v>2024.0</v>
      </c>
      <c r="H11" s="10">
        <v>17165.0</v>
      </c>
      <c r="I11" s="3" t="s">
        <v>26</v>
      </c>
      <c r="J11" s="11" t="s">
        <v>63</v>
      </c>
      <c r="K11" s="12" t="b">
        <v>1</v>
      </c>
      <c r="L11" s="15"/>
      <c r="M11" s="15"/>
      <c r="N11" s="15">
        <v>45348.0</v>
      </c>
      <c r="O11" s="14" t="s">
        <v>68</v>
      </c>
      <c r="P11" s="15">
        <v>45348.0</v>
      </c>
      <c r="Q11" s="14" t="s">
        <v>71</v>
      </c>
      <c r="R11" s="16"/>
      <c r="T11" s="3">
        <v>1.0</v>
      </c>
      <c r="U11" s="3">
        <v>3.921791959E9</v>
      </c>
      <c r="W11" s="3" t="s">
        <v>72</v>
      </c>
      <c r="X11" s="3" t="s">
        <v>31</v>
      </c>
      <c r="Z11" s="17">
        <f t="shared" si="1"/>
        <v>27777</v>
      </c>
      <c r="AA11" s="18">
        <f t="shared" si="2"/>
        <v>77.15833333</v>
      </c>
    </row>
    <row r="12">
      <c r="A12" s="12"/>
      <c r="B12" s="7">
        <v>2.124003924E9</v>
      </c>
      <c r="C12" s="8" t="s">
        <v>73</v>
      </c>
      <c r="D12" s="9" t="s">
        <v>74</v>
      </c>
      <c r="F12" s="3">
        <v>3.272024059E9</v>
      </c>
      <c r="G12" s="3">
        <v>2024.0</v>
      </c>
      <c r="H12" s="26">
        <v>23633.0</v>
      </c>
      <c r="I12" s="3" t="s">
        <v>34</v>
      </c>
      <c r="J12" s="11" t="s">
        <v>43</v>
      </c>
      <c r="K12" s="28" t="b">
        <v>0</v>
      </c>
      <c r="L12" s="15"/>
      <c r="M12" s="15"/>
      <c r="N12" s="15">
        <v>45349.0</v>
      </c>
      <c r="O12" s="14" t="s">
        <v>75</v>
      </c>
      <c r="P12" s="15">
        <v>45715.0</v>
      </c>
      <c r="Q12" s="14" t="s">
        <v>68</v>
      </c>
      <c r="R12" s="16"/>
      <c r="T12" s="3">
        <v>1.0</v>
      </c>
      <c r="U12" s="3">
        <v>3.274783522E9</v>
      </c>
      <c r="W12" s="3" t="s">
        <v>76</v>
      </c>
      <c r="X12" s="3" t="s">
        <v>77</v>
      </c>
      <c r="Z12" s="17">
        <f t="shared" si="1"/>
        <v>21404</v>
      </c>
      <c r="AA12" s="18">
        <f t="shared" si="2"/>
        <v>59.45555556</v>
      </c>
    </row>
    <row r="13">
      <c r="A13" s="19"/>
      <c r="B13" s="7">
        <v>2.124004761E9</v>
      </c>
      <c r="C13" s="8" t="s">
        <v>78</v>
      </c>
      <c r="D13" s="9" t="s">
        <v>37</v>
      </c>
      <c r="F13" s="3">
        <v>3.27202406E9</v>
      </c>
      <c r="G13" s="3">
        <v>2024.0</v>
      </c>
      <c r="H13" s="26">
        <v>22735.0</v>
      </c>
      <c r="I13" s="3" t="s">
        <v>34</v>
      </c>
      <c r="J13" s="11" t="s">
        <v>43</v>
      </c>
      <c r="K13" s="28" t="b">
        <v>0</v>
      </c>
      <c r="L13" s="15"/>
      <c r="M13" s="15"/>
      <c r="N13" s="15">
        <v>45361.0</v>
      </c>
      <c r="O13" s="14" t="s">
        <v>79</v>
      </c>
      <c r="P13" s="15">
        <v>45361.0</v>
      </c>
      <c r="Q13" s="16"/>
      <c r="R13" s="16"/>
      <c r="T13" s="3">
        <v>1.0</v>
      </c>
      <c r="U13" s="3">
        <v>3.357216616E9</v>
      </c>
      <c r="W13" s="3" t="s">
        <v>60</v>
      </c>
      <c r="X13" s="3" t="s">
        <v>77</v>
      </c>
      <c r="Z13" s="17">
        <f t="shared" si="1"/>
        <v>22300</v>
      </c>
      <c r="AA13" s="18">
        <f t="shared" si="2"/>
        <v>61.94444444</v>
      </c>
    </row>
    <row r="14">
      <c r="A14" s="34"/>
      <c r="B14" s="7">
        <v>2.12400578E9</v>
      </c>
      <c r="C14" s="8" t="s">
        <v>80</v>
      </c>
      <c r="D14" s="9" t="s">
        <v>81</v>
      </c>
      <c r="F14" s="3">
        <v>3.272024061E9</v>
      </c>
      <c r="G14" s="3">
        <v>2024.0</v>
      </c>
      <c r="H14" s="26">
        <v>26884.0</v>
      </c>
      <c r="I14" s="3" t="s">
        <v>34</v>
      </c>
      <c r="J14" s="11" t="s">
        <v>43</v>
      </c>
      <c r="K14" s="28" t="b">
        <v>0</v>
      </c>
      <c r="L14" s="15"/>
      <c r="M14" s="15"/>
      <c r="N14" s="15">
        <v>45376.0</v>
      </c>
      <c r="O14" s="14" t="s">
        <v>82</v>
      </c>
      <c r="P14" s="15">
        <v>45376.0</v>
      </c>
      <c r="Q14" s="14" t="s">
        <v>83</v>
      </c>
      <c r="R14" s="16"/>
      <c r="T14" s="3">
        <v>1.0</v>
      </c>
      <c r="X14" s="3" t="s">
        <v>84</v>
      </c>
      <c r="Z14" s="17">
        <f t="shared" si="1"/>
        <v>18227</v>
      </c>
      <c r="AA14" s="18">
        <f t="shared" si="2"/>
        <v>50.63055556</v>
      </c>
    </row>
    <row r="15">
      <c r="A15" s="25"/>
      <c r="B15" s="7">
        <v>2.124006081E9</v>
      </c>
      <c r="C15" s="8" t="s">
        <v>85</v>
      </c>
      <c r="D15" s="9" t="s">
        <v>86</v>
      </c>
      <c r="F15" s="3">
        <v>3.272024062E9</v>
      </c>
      <c r="G15" s="3">
        <v>2024.0</v>
      </c>
      <c r="H15" s="26">
        <v>19741.0</v>
      </c>
      <c r="I15" s="3" t="s">
        <v>34</v>
      </c>
      <c r="J15" s="11" t="s">
        <v>35</v>
      </c>
      <c r="K15" s="12" t="b">
        <v>1</v>
      </c>
      <c r="L15" s="15"/>
      <c r="M15" s="15"/>
      <c r="N15" s="15">
        <v>45379.0</v>
      </c>
      <c r="O15" s="14" t="s">
        <v>87</v>
      </c>
      <c r="P15" s="15">
        <v>45386.0</v>
      </c>
      <c r="Q15" s="14" t="s">
        <v>88</v>
      </c>
      <c r="R15" s="16"/>
      <c r="T15" s="3">
        <v>1.0</v>
      </c>
      <c r="U15" s="3">
        <v>3.384272584E9</v>
      </c>
      <c r="W15" s="3" t="s">
        <v>89</v>
      </c>
      <c r="X15" s="3" t="s">
        <v>77</v>
      </c>
      <c r="Z15" s="17">
        <f t="shared" si="1"/>
        <v>25271</v>
      </c>
      <c r="AA15" s="18">
        <f t="shared" si="2"/>
        <v>70.19722222</v>
      </c>
    </row>
    <row r="16">
      <c r="A16" s="27"/>
      <c r="B16" s="7">
        <v>2.124007138E9</v>
      </c>
      <c r="C16" s="8" t="s">
        <v>90</v>
      </c>
      <c r="D16" s="9" t="s">
        <v>91</v>
      </c>
      <c r="F16" s="3">
        <v>3.272024063E9</v>
      </c>
      <c r="G16" s="3">
        <v>2024.0</v>
      </c>
      <c r="H16" s="26">
        <v>22006.0</v>
      </c>
      <c r="I16" s="3" t="s">
        <v>34</v>
      </c>
      <c r="J16" s="11" t="s">
        <v>43</v>
      </c>
      <c r="K16" s="28" t="b">
        <v>0</v>
      </c>
      <c r="L16" s="15"/>
      <c r="M16" s="15"/>
      <c r="N16" s="15">
        <v>45395.0</v>
      </c>
      <c r="O16" s="35" t="s">
        <v>92</v>
      </c>
      <c r="P16" s="15">
        <v>45395.0</v>
      </c>
      <c r="Q16" s="36" t="s">
        <v>93</v>
      </c>
      <c r="R16" s="16"/>
      <c r="T16" s="3">
        <v>1.0</v>
      </c>
      <c r="X16" s="3" t="s">
        <v>84</v>
      </c>
      <c r="Z16" s="17">
        <f t="shared" si="1"/>
        <v>23053</v>
      </c>
      <c r="AA16" s="18">
        <f t="shared" si="2"/>
        <v>64.03611111</v>
      </c>
    </row>
    <row r="17">
      <c r="A17" s="34"/>
      <c r="B17" s="37">
        <v>2.124206072E9</v>
      </c>
      <c r="C17" s="8" t="s">
        <v>94</v>
      </c>
      <c r="D17" s="9" t="s">
        <v>95</v>
      </c>
      <c r="F17" s="3">
        <v>3.272024064E9</v>
      </c>
      <c r="G17" s="3">
        <v>2024.0</v>
      </c>
      <c r="H17" s="26">
        <v>19534.0</v>
      </c>
      <c r="I17" s="3" t="s">
        <v>34</v>
      </c>
      <c r="J17" s="11" t="s">
        <v>35</v>
      </c>
      <c r="K17" s="12" t="b">
        <v>1</v>
      </c>
      <c r="L17" s="15"/>
      <c r="M17" s="15"/>
      <c r="N17" s="15">
        <v>45408.0</v>
      </c>
      <c r="O17" s="16"/>
      <c r="P17" s="15">
        <v>45408.0</v>
      </c>
      <c r="Q17" s="36" t="s">
        <v>96</v>
      </c>
      <c r="R17" s="16"/>
      <c r="S17" s="3"/>
      <c r="T17" s="3">
        <v>2.0</v>
      </c>
      <c r="X17" s="3" t="s">
        <v>84</v>
      </c>
      <c r="Z17" s="17">
        <f t="shared" si="1"/>
        <v>25502</v>
      </c>
      <c r="AA17" s="18">
        <f t="shared" si="2"/>
        <v>70.83888889</v>
      </c>
    </row>
    <row r="18">
      <c r="A18" s="34"/>
      <c r="B18" s="38">
        <v>2.124008291E9</v>
      </c>
      <c r="C18" s="39" t="s">
        <v>97</v>
      </c>
      <c r="D18" s="40" t="s">
        <v>98</v>
      </c>
      <c r="F18" s="3">
        <v>3.272024065E9</v>
      </c>
      <c r="G18" s="3">
        <v>2024.0</v>
      </c>
      <c r="H18" s="41">
        <v>18074.0</v>
      </c>
      <c r="I18" s="3" t="s">
        <v>34</v>
      </c>
      <c r="J18" s="11" t="s">
        <v>63</v>
      </c>
      <c r="K18" s="28" t="b">
        <v>0</v>
      </c>
      <c r="L18" s="15"/>
      <c r="M18" s="15"/>
      <c r="N18" s="15">
        <v>45414.0</v>
      </c>
      <c r="O18" s="36"/>
      <c r="P18" s="15">
        <v>45414.0</v>
      </c>
      <c r="Q18" s="36" t="s">
        <v>99</v>
      </c>
      <c r="R18" s="16"/>
      <c r="T18" s="3">
        <v>1.0</v>
      </c>
      <c r="X18" s="3" t="s">
        <v>100</v>
      </c>
      <c r="Z18" s="17">
        <f t="shared" si="1"/>
        <v>26947</v>
      </c>
      <c r="AA18" s="18">
        <f t="shared" si="2"/>
        <v>74.85277778</v>
      </c>
    </row>
    <row r="19">
      <c r="A19" s="25"/>
      <c r="B19" s="32">
        <v>2.124008603E9</v>
      </c>
      <c r="C19" s="42" t="s">
        <v>101</v>
      </c>
      <c r="D19" s="43" t="s">
        <v>102</v>
      </c>
      <c r="F19" s="3">
        <v>3.272024066E9</v>
      </c>
      <c r="G19" s="3">
        <v>2024.0</v>
      </c>
      <c r="H19" s="44">
        <v>22576.0</v>
      </c>
      <c r="J19" s="11" t="s">
        <v>103</v>
      </c>
      <c r="K19" s="12" t="b">
        <v>1</v>
      </c>
      <c r="L19" s="15"/>
      <c r="M19" s="15"/>
      <c r="N19" s="15">
        <v>45419.0</v>
      </c>
      <c r="O19" s="36" t="s">
        <v>104</v>
      </c>
      <c r="P19" s="15">
        <v>45419.0</v>
      </c>
      <c r="Q19" s="36" t="s">
        <v>105</v>
      </c>
      <c r="R19" s="16"/>
      <c r="S19" s="45"/>
      <c r="U19" s="3">
        <v>3.396748793E9</v>
      </c>
      <c r="W19" s="3" t="s">
        <v>106</v>
      </c>
      <c r="X19" s="3" t="s">
        <v>77</v>
      </c>
      <c r="Z19" s="17">
        <f t="shared" si="1"/>
        <v>22515</v>
      </c>
      <c r="AA19" s="18">
        <f t="shared" si="2"/>
        <v>62.54166667</v>
      </c>
    </row>
    <row r="20">
      <c r="A20" s="12"/>
      <c r="B20" s="46">
        <v>2.124009735E9</v>
      </c>
      <c r="C20" s="47" t="s">
        <v>107</v>
      </c>
      <c r="D20" s="48" t="s">
        <v>108</v>
      </c>
      <c r="E20" s="49" t="s">
        <v>109</v>
      </c>
      <c r="F20" s="3">
        <v>3.272024067E9</v>
      </c>
      <c r="G20" s="3">
        <v>2024.0</v>
      </c>
      <c r="H20" s="50">
        <v>25826.0</v>
      </c>
      <c r="I20" s="3" t="s">
        <v>34</v>
      </c>
      <c r="J20" s="11" t="s">
        <v>43</v>
      </c>
      <c r="K20" s="28" t="b">
        <v>0</v>
      </c>
      <c r="L20" s="51"/>
      <c r="M20" s="51"/>
      <c r="N20" s="51">
        <v>45434.0</v>
      </c>
      <c r="O20" s="52" t="s">
        <v>110</v>
      </c>
      <c r="P20" s="51">
        <v>45435.0</v>
      </c>
      <c r="Q20" s="53" t="s">
        <v>111</v>
      </c>
      <c r="R20" s="51"/>
      <c r="T20" s="3">
        <v>1.0</v>
      </c>
      <c r="X20" s="3" t="s">
        <v>84</v>
      </c>
      <c r="Z20" s="17">
        <f t="shared" si="1"/>
        <v>19327</v>
      </c>
      <c r="AA20" s="18">
        <f t="shared" si="2"/>
        <v>53.68611111</v>
      </c>
    </row>
    <row r="21">
      <c r="A21" s="25"/>
      <c r="B21" s="46">
        <v>2.1240107E9</v>
      </c>
      <c r="C21" s="47" t="s">
        <v>112</v>
      </c>
      <c r="D21" s="48" t="s">
        <v>113</v>
      </c>
      <c r="E21" s="49" t="s">
        <v>114</v>
      </c>
      <c r="F21" s="3">
        <v>3.272024068E9</v>
      </c>
      <c r="G21" s="3">
        <v>2024.0</v>
      </c>
      <c r="H21" s="54">
        <v>31213.0</v>
      </c>
      <c r="I21" s="3" t="s">
        <v>34</v>
      </c>
      <c r="J21" s="11" t="s">
        <v>43</v>
      </c>
      <c r="K21" s="28" t="b">
        <v>0</v>
      </c>
      <c r="L21" s="51"/>
      <c r="M21" s="51"/>
      <c r="N21" s="51">
        <v>45448.0</v>
      </c>
      <c r="O21" s="52" t="s">
        <v>115</v>
      </c>
      <c r="P21" s="51">
        <v>45448.0</v>
      </c>
      <c r="Q21" s="36" t="s">
        <v>116</v>
      </c>
      <c r="R21" s="51"/>
      <c r="T21" s="3">
        <v>1.0</v>
      </c>
      <c r="X21" s="3" t="s">
        <v>84</v>
      </c>
      <c r="Z21" s="17">
        <f t="shared" si="1"/>
        <v>14030</v>
      </c>
      <c r="AA21" s="18">
        <f t="shared" si="2"/>
        <v>38.97222222</v>
      </c>
    </row>
    <row r="22">
      <c r="A22" s="19"/>
      <c r="B22" s="46">
        <v>2.124011236E9</v>
      </c>
      <c r="C22" s="55" t="s">
        <v>117</v>
      </c>
      <c r="D22" s="48" t="s">
        <v>118</v>
      </c>
      <c r="E22" s="49" t="s">
        <v>119</v>
      </c>
      <c r="F22" s="3">
        <v>3.272024069E9</v>
      </c>
      <c r="G22" s="3">
        <v>2024.0</v>
      </c>
      <c r="H22" s="54">
        <v>20857.0</v>
      </c>
      <c r="J22" s="31" t="s">
        <v>27</v>
      </c>
      <c r="K22" s="28" t="b">
        <v>0</v>
      </c>
      <c r="L22" s="51"/>
      <c r="M22" s="51"/>
      <c r="N22" s="51">
        <v>45456.0</v>
      </c>
      <c r="P22" s="51">
        <v>45461.0</v>
      </c>
      <c r="Q22" s="53" t="s">
        <v>120</v>
      </c>
      <c r="R22" s="51"/>
      <c r="T22" s="3">
        <v>1.0</v>
      </c>
      <c r="U22" s="3">
        <v>3.464994662E9</v>
      </c>
      <c r="W22" s="3" t="s">
        <v>106</v>
      </c>
      <c r="X22" s="3" t="s">
        <v>77</v>
      </c>
      <c r="Z22" s="17">
        <f t="shared" si="1"/>
        <v>24247</v>
      </c>
      <c r="AA22" s="18">
        <f t="shared" si="2"/>
        <v>67.35277778</v>
      </c>
    </row>
    <row r="23">
      <c r="A23" s="12"/>
      <c r="B23" s="46">
        <v>2.124011588E9</v>
      </c>
      <c r="C23" s="47" t="s">
        <v>121</v>
      </c>
      <c r="D23" s="48" t="s">
        <v>122</v>
      </c>
      <c r="E23" s="49" t="s">
        <v>123</v>
      </c>
      <c r="F23" s="3">
        <v>3.27202407E9</v>
      </c>
      <c r="G23" s="3">
        <v>2024.0</v>
      </c>
      <c r="H23" s="56">
        <v>20421.0</v>
      </c>
      <c r="J23" s="11" t="s">
        <v>35</v>
      </c>
      <c r="K23" s="12" t="b">
        <v>1</v>
      </c>
      <c r="L23" s="51"/>
      <c r="M23" s="51"/>
      <c r="N23" s="51">
        <v>45462.0</v>
      </c>
      <c r="O23" s="52" t="s">
        <v>87</v>
      </c>
      <c r="P23" s="51">
        <v>45462.0</v>
      </c>
      <c r="Q23" s="53" t="s">
        <v>124</v>
      </c>
      <c r="R23" s="51"/>
      <c r="T23" s="3">
        <v>1.0</v>
      </c>
      <c r="U23" s="3">
        <v>3.472265187E9</v>
      </c>
      <c r="W23" s="3" t="s">
        <v>106</v>
      </c>
      <c r="X23" s="3" t="s">
        <v>77</v>
      </c>
      <c r="Z23" s="17">
        <f t="shared" si="1"/>
        <v>24681</v>
      </c>
      <c r="AA23" s="18">
        <f t="shared" si="2"/>
        <v>68.55833333</v>
      </c>
    </row>
    <row r="24">
      <c r="A24" s="46"/>
      <c r="B24" s="46">
        <v>2.124208629E9</v>
      </c>
      <c r="C24" s="47" t="s">
        <v>125</v>
      </c>
      <c r="D24" s="48" t="s">
        <v>126</v>
      </c>
      <c r="E24" s="49" t="s">
        <v>127</v>
      </c>
      <c r="F24" s="3">
        <v>3.272024071E9</v>
      </c>
      <c r="G24" s="3">
        <v>2024.0</v>
      </c>
      <c r="H24" s="56">
        <v>20748.0</v>
      </c>
      <c r="J24" s="11" t="s">
        <v>43</v>
      </c>
      <c r="K24" s="28" t="b">
        <v>0</v>
      </c>
      <c r="L24" s="51"/>
      <c r="M24" s="51"/>
      <c r="N24" s="51">
        <v>45470.0</v>
      </c>
      <c r="P24" s="51">
        <v>45470.0</v>
      </c>
      <c r="Q24" s="53" t="s">
        <v>128</v>
      </c>
      <c r="R24" s="51"/>
      <c r="X24" s="3" t="s">
        <v>100</v>
      </c>
      <c r="Z24" s="17">
        <f t="shared" si="1"/>
        <v>24367</v>
      </c>
      <c r="AA24" s="18">
        <f t="shared" si="2"/>
        <v>67.68611111</v>
      </c>
    </row>
    <row r="25">
      <c r="A25" s="46"/>
      <c r="B25" s="57">
        <v>2.124208975E9</v>
      </c>
      <c r="C25" s="58" t="s">
        <v>129</v>
      </c>
      <c r="D25" s="58" t="s">
        <v>130</v>
      </c>
      <c r="E25" s="22"/>
      <c r="F25" s="3"/>
      <c r="G25" s="12">
        <v>2024.0</v>
      </c>
      <c r="H25" s="28">
        <v>22922.0</v>
      </c>
      <c r="I25" s="12" t="s">
        <v>34</v>
      </c>
      <c r="J25" s="11" t="s">
        <v>63</v>
      </c>
      <c r="K25" s="12" t="b">
        <v>1</v>
      </c>
      <c r="L25" s="24"/>
      <c r="M25" s="24"/>
      <c r="N25" s="24">
        <v>45481.0</v>
      </c>
      <c r="O25" s="12" t="s">
        <v>87</v>
      </c>
      <c r="P25" s="24">
        <v>45481.0</v>
      </c>
      <c r="Q25" s="12" t="s">
        <v>131</v>
      </c>
      <c r="R25" s="6"/>
      <c r="S25" s="6"/>
      <c r="T25" s="12">
        <v>2.0</v>
      </c>
      <c r="U25" s="6"/>
      <c r="V25" s="6"/>
      <c r="W25" s="6"/>
      <c r="X25" s="12"/>
      <c r="Y25" s="6"/>
      <c r="Z25" s="17">
        <f t="shared" si="1"/>
        <v>22235</v>
      </c>
      <c r="AA25" s="18">
        <f t="shared" si="2"/>
        <v>61.76388889</v>
      </c>
      <c r="AB25" s="6"/>
      <c r="AC25" s="6"/>
      <c r="AD25" s="6"/>
      <c r="AE25" s="6"/>
    </row>
    <row r="26">
      <c r="A26" s="46"/>
      <c r="B26" s="46">
        <v>2.124012915E9</v>
      </c>
      <c r="C26" s="47" t="s">
        <v>132</v>
      </c>
      <c r="D26" s="48" t="s">
        <v>95</v>
      </c>
      <c r="E26" s="49" t="s">
        <v>133</v>
      </c>
      <c r="F26" s="3">
        <v>3.272024072E9</v>
      </c>
      <c r="G26" s="3">
        <v>2024.0</v>
      </c>
      <c r="H26" s="56">
        <v>26651.0</v>
      </c>
      <c r="J26" s="11" t="s">
        <v>43</v>
      </c>
      <c r="K26" s="28" t="b">
        <v>0</v>
      </c>
      <c r="L26" s="54"/>
      <c r="M26" s="54"/>
      <c r="N26" s="54">
        <v>45485.0</v>
      </c>
      <c r="P26" s="54">
        <v>26492.0</v>
      </c>
      <c r="R26" s="59"/>
      <c r="W26" s="60"/>
      <c r="X26" s="3" t="s">
        <v>100</v>
      </c>
      <c r="Z26" s="17">
        <f t="shared" si="1"/>
        <v>18564</v>
      </c>
      <c r="AA26" s="18">
        <f t="shared" si="2"/>
        <v>51.56666667</v>
      </c>
    </row>
    <row r="27">
      <c r="A27" s="25"/>
      <c r="B27" s="33">
        <v>2.124012963E9</v>
      </c>
      <c r="C27" s="61" t="s">
        <v>134</v>
      </c>
      <c r="D27" s="62" t="s">
        <v>135</v>
      </c>
      <c r="E27" s="49" t="s">
        <v>136</v>
      </c>
      <c r="F27" s="3">
        <v>3.272024073E9</v>
      </c>
      <c r="G27" s="12">
        <v>2024.0</v>
      </c>
      <c r="H27" s="63">
        <v>24708.0</v>
      </c>
      <c r="I27" s="62" t="s">
        <v>34</v>
      </c>
      <c r="J27" s="31" t="s">
        <v>27</v>
      </c>
      <c r="K27" s="28" t="b">
        <v>0</v>
      </c>
      <c r="L27" s="64"/>
      <c r="M27" s="64"/>
      <c r="N27" s="64">
        <v>45487.0</v>
      </c>
      <c r="O27" s="53" t="s">
        <v>137</v>
      </c>
      <c r="P27" s="64">
        <v>45487.0</v>
      </c>
      <c r="Q27" s="53" t="s">
        <v>138</v>
      </c>
      <c r="R27" s="65"/>
      <c r="S27" s="66"/>
      <c r="T27" s="53">
        <v>1.0</v>
      </c>
      <c r="U27" s="65">
        <v>3.391624889E9</v>
      </c>
      <c r="V27" s="67"/>
      <c r="W27" s="65" t="s">
        <v>139</v>
      </c>
      <c r="X27" s="3" t="s">
        <v>77</v>
      </c>
      <c r="Z27" s="17">
        <f t="shared" si="1"/>
        <v>20480</v>
      </c>
      <c r="AA27" s="18">
        <f t="shared" si="2"/>
        <v>56.88888889</v>
      </c>
    </row>
    <row r="28">
      <c r="A28" s="25"/>
      <c r="B28" s="19">
        <v>2.124013801E9</v>
      </c>
      <c r="C28" s="68" t="s">
        <v>140</v>
      </c>
      <c r="D28" s="12" t="s">
        <v>141</v>
      </c>
      <c r="E28" s="49" t="s">
        <v>142</v>
      </c>
      <c r="F28" s="3">
        <v>3.272024074E9</v>
      </c>
      <c r="G28" s="12">
        <v>2024.0</v>
      </c>
      <c r="H28" s="28">
        <v>18724.0</v>
      </c>
      <c r="I28" s="69" t="s">
        <v>26</v>
      </c>
      <c r="J28" s="11" t="s">
        <v>35</v>
      </c>
      <c r="K28" s="12" t="b">
        <v>1</v>
      </c>
      <c r="L28" s="28"/>
      <c r="M28" s="28"/>
      <c r="N28" s="28">
        <v>45502.0</v>
      </c>
      <c r="O28" s="6"/>
      <c r="P28" s="28">
        <v>45511.0</v>
      </c>
      <c r="Q28" s="6"/>
      <c r="R28" s="6"/>
      <c r="S28" s="6"/>
      <c r="T28" s="12">
        <v>1.0</v>
      </c>
      <c r="U28" s="6"/>
      <c r="V28" s="6"/>
      <c r="W28" s="12"/>
      <c r="X28" s="12" t="s">
        <v>100</v>
      </c>
      <c r="Y28" s="12"/>
      <c r="Z28" s="17">
        <f t="shared" si="1"/>
        <v>26393</v>
      </c>
      <c r="AA28" s="18">
        <f t="shared" si="2"/>
        <v>73.31388889</v>
      </c>
      <c r="AB28" s="6"/>
      <c r="AC28" s="6"/>
      <c r="AD28" s="6"/>
      <c r="AE28" s="6"/>
    </row>
    <row r="29">
      <c r="A29" s="12"/>
      <c r="B29" s="19">
        <v>2.124014334E9</v>
      </c>
      <c r="C29" s="68" t="s">
        <v>143</v>
      </c>
      <c r="D29" s="12" t="s">
        <v>144</v>
      </c>
      <c r="E29" s="49" t="s">
        <v>145</v>
      </c>
      <c r="F29" s="3">
        <v>3.272024075E9</v>
      </c>
      <c r="G29" s="12">
        <v>2024.0</v>
      </c>
      <c r="H29" s="28">
        <v>20088.0</v>
      </c>
      <c r="I29" s="69" t="s">
        <v>34</v>
      </c>
      <c r="J29" s="11" t="s">
        <v>43</v>
      </c>
      <c r="K29" s="28" t="b">
        <v>0</v>
      </c>
      <c r="L29" s="28"/>
      <c r="M29" s="28"/>
      <c r="N29" s="28">
        <v>45512.0</v>
      </c>
      <c r="O29" s="70"/>
      <c r="P29" s="28">
        <v>45512.0</v>
      </c>
      <c r="Q29" s="12" t="s">
        <v>146</v>
      </c>
      <c r="R29" s="6"/>
      <c r="S29" s="6"/>
      <c r="T29" s="12">
        <v>1.0</v>
      </c>
      <c r="U29" s="6"/>
      <c r="V29" s="6"/>
      <c r="W29" s="6"/>
      <c r="X29" s="12" t="s">
        <v>77</v>
      </c>
      <c r="Y29" s="6"/>
      <c r="Z29" s="17">
        <f t="shared" si="1"/>
        <v>25058</v>
      </c>
      <c r="AA29" s="18">
        <f t="shared" si="2"/>
        <v>69.60555556</v>
      </c>
      <c r="AB29" s="6"/>
      <c r="AC29" s="6"/>
      <c r="AD29" s="6"/>
      <c r="AE29" s="6"/>
    </row>
    <row r="30">
      <c r="A30" s="32"/>
      <c r="B30" s="19">
        <v>2.124014461E9</v>
      </c>
      <c r="C30" s="68" t="s">
        <v>97</v>
      </c>
      <c r="D30" s="12" t="s">
        <v>147</v>
      </c>
      <c r="E30" s="49" t="s">
        <v>148</v>
      </c>
      <c r="F30" s="3">
        <v>3.272024076E9</v>
      </c>
      <c r="G30" s="12">
        <v>2024.0</v>
      </c>
      <c r="H30" s="28">
        <v>27062.0</v>
      </c>
      <c r="I30" s="69" t="s">
        <v>34</v>
      </c>
      <c r="J30" s="11" t="s">
        <v>63</v>
      </c>
      <c r="K30" s="12" t="b">
        <v>1</v>
      </c>
      <c r="L30" s="6"/>
      <c r="M30" s="6"/>
      <c r="N30" s="28">
        <v>45515.0</v>
      </c>
      <c r="O30" s="6"/>
      <c r="P30" s="28">
        <v>45515.0</v>
      </c>
      <c r="Q30" s="12" t="s">
        <v>39</v>
      </c>
      <c r="R30" s="6"/>
      <c r="S30" s="6"/>
      <c r="T30" s="12">
        <v>1.0</v>
      </c>
      <c r="U30" s="12">
        <v>3.299603838E9</v>
      </c>
      <c r="V30" s="6"/>
      <c r="W30" s="12" t="s">
        <v>106</v>
      </c>
      <c r="X30" s="12" t="s">
        <v>77</v>
      </c>
      <c r="Y30" s="6"/>
      <c r="Z30" s="17">
        <f t="shared" si="1"/>
        <v>18189</v>
      </c>
      <c r="AA30" s="18">
        <f t="shared" si="2"/>
        <v>50.525</v>
      </c>
      <c r="AB30" s="6"/>
      <c r="AC30" s="6"/>
      <c r="AD30" s="6"/>
      <c r="AE30" s="6"/>
    </row>
    <row r="31">
      <c r="A31" s="25"/>
      <c r="B31" s="27">
        <v>2.124015827E9</v>
      </c>
      <c r="C31" s="68" t="s">
        <v>149</v>
      </c>
      <c r="D31" s="12" t="s">
        <v>150</v>
      </c>
      <c r="E31" s="71" t="s">
        <v>151</v>
      </c>
      <c r="F31" s="3">
        <v>3.272024077E9</v>
      </c>
      <c r="G31" s="12">
        <v>2024.0</v>
      </c>
      <c r="H31" s="28">
        <v>19537.0</v>
      </c>
      <c r="I31" s="69" t="s">
        <v>34</v>
      </c>
      <c r="J31" s="31" t="s">
        <v>27</v>
      </c>
      <c r="K31" s="28" t="b">
        <v>0</v>
      </c>
      <c r="L31" s="28"/>
      <c r="M31" s="28"/>
      <c r="N31" s="28">
        <v>45543.0</v>
      </c>
      <c r="O31" s="12" t="s">
        <v>28</v>
      </c>
      <c r="P31" s="28">
        <v>45543.0</v>
      </c>
      <c r="Q31" s="12" t="s">
        <v>152</v>
      </c>
      <c r="R31" s="6"/>
      <c r="S31" s="12"/>
      <c r="T31" s="12">
        <v>1.0</v>
      </c>
      <c r="U31" s="6"/>
      <c r="V31" s="6"/>
      <c r="W31" s="6"/>
      <c r="X31" s="12" t="s">
        <v>84</v>
      </c>
      <c r="Y31" s="6"/>
      <c r="Z31" s="17">
        <f t="shared" si="1"/>
        <v>25631</v>
      </c>
      <c r="AA31" s="18">
        <f t="shared" si="2"/>
        <v>71.19722222</v>
      </c>
      <c r="AB31" s="6"/>
      <c r="AC31" s="6"/>
      <c r="AD31" s="6"/>
      <c r="AE31" s="6"/>
    </row>
    <row r="32">
      <c r="A32" s="25"/>
      <c r="B32" s="27">
        <v>2.124016781E9</v>
      </c>
      <c r="C32" s="68" t="s">
        <v>153</v>
      </c>
      <c r="D32" s="12" t="s">
        <v>154</v>
      </c>
      <c r="E32" s="49" t="s">
        <v>155</v>
      </c>
      <c r="F32" s="3">
        <v>3.272024078E9</v>
      </c>
      <c r="G32" s="12">
        <v>2024.0</v>
      </c>
      <c r="H32" s="28">
        <v>38392.0</v>
      </c>
      <c r="I32" s="69" t="s">
        <v>26</v>
      </c>
      <c r="J32" s="11" t="s">
        <v>27</v>
      </c>
      <c r="K32" s="28" t="b">
        <v>0</v>
      </c>
      <c r="L32" s="28"/>
      <c r="M32" s="28"/>
      <c r="N32" s="28">
        <v>45557.0</v>
      </c>
      <c r="O32" s="6"/>
      <c r="P32" s="28">
        <v>45557.0</v>
      </c>
      <c r="Q32" s="12" t="s">
        <v>50</v>
      </c>
      <c r="R32" s="6"/>
      <c r="S32" s="6"/>
      <c r="T32" s="12">
        <v>1.0</v>
      </c>
      <c r="U32" s="12">
        <v>3.899626473E9</v>
      </c>
      <c r="V32" s="6"/>
      <c r="W32" s="12" t="s">
        <v>156</v>
      </c>
      <c r="X32" s="12" t="s">
        <v>77</v>
      </c>
      <c r="Y32" s="6"/>
      <c r="Z32" s="17">
        <f t="shared" si="1"/>
        <v>7063</v>
      </c>
      <c r="AA32" s="18">
        <f t="shared" si="2"/>
        <v>19.61944444</v>
      </c>
      <c r="AB32" s="6"/>
      <c r="AC32" s="6"/>
      <c r="AD32" s="6"/>
      <c r="AE32" s="6"/>
    </row>
    <row r="33">
      <c r="A33" s="25"/>
      <c r="B33" s="34">
        <v>2.124211722E9</v>
      </c>
      <c r="C33" s="68" t="s">
        <v>157</v>
      </c>
      <c r="D33" s="12" t="s">
        <v>158</v>
      </c>
      <c r="E33" s="22" t="s">
        <v>159</v>
      </c>
      <c r="F33" s="3">
        <v>3.272024079E9</v>
      </c>
      <c r="G33" s="12">
        <v>2024.0</v>
      </c>
      <c r="H33" s="24">
        <v>19355.0</v>
      </c>
      <c r="I33" s="69" t="s">
        <v>34</v>
      </c>
      <c r="J33" s="11" t="s">
        <v>63</v>
      </c>
      <c r="K33" s="28" t="b">
        <v>0</v>
      </c>
      <c r="L33" s="28"/>
      <c r="M33" s="28"/>
      <c r="N33" s="28">
        <v>45570.0</v>
      </c>
      <c r="O33" s="70"/>
      <c r="P33" s="28">
        <v>45570.0</v>
      </c>
      <c r="Q33" s="12" t="s">
        <v>160</v>
      </c>
      <c r="R33" s="6"/>
      <c r="S33" s="6"/>
      <c r="T33" s="12">
        <v>1.0</v>
      </c>
      <c r="U33" s="70">
        <v>3.397102222E9</v>
      </c>
      <c r="V33" s="6"/>
      <c r="W33" s="68" t="s">
        <v>161</v>
      </c>
      <c r="X33" s="12" t="s">
        <v>77</v>
      </c>
      <c r="Y33" s="12" t="s">
        <v>162</v>
      </c>
      <c r="Z33" s="17">
        <f t="shared" si="1"/>
        <v>25838</v>
      </c>
      <c r="AA33" s="18">
        <f t="shared" si="2"/>
        <v>71.77222222</v>
      </c>
      <c r="AB33" s="6"/>
      <c r="AC33" s="6"/>
      <c r="AD33" s="6"/>
      <c r="AE33" s="6"/>
    </row>
    <row r="34">
      <c r="A34" s="46"/>
      <c r="B34" s="34">
        <v>2.124017757E9</v>
      </c>
      <c r="C34" s="68" t="s">
        <v>163</v>
      </c>
      <c r="D34" s="12" t="s">
        <v>164</v>
      </c>
      <c r="E34" s="49" t="s">
        <v>165</v>
      </c>
      <c r="F34" s="3">
        <v>3.27202408E9</v>
      </c>
      <c r="G34" s="12">
        <v>2024.0</v>
      </c>
      <c r="H34" s="28">
        <v>15908.0</v>
      </c>
      <c r="I34" s="69" t="s">
        <v>34</v>
      </c>
      <c r="J34" s="11" t="s">
        <v>63</v>
      </c>
      <c r="K34" s="28" t="b">
        <v>0</v>
      </c>
      <c r="L34" s="28"/>
      <c r="M34" s="28"/>
      <c r="N34" s="28">
        <v>45572.0</v>
      </c>
      <c r="O34" s="6"/>
      <c r="P34" s="28">
        <v>45572.0</v>
      </c>
      <c r="Q34" s="12" t="s">
        <v>166</v>
      </c>
      <c r="R34" s="6"/>
      <c r="S34" s="6"/>
      <c r="T34" s="12">
        <v>1.0</v>
      </c>
      <c r="U34" s="12">
        <v>3.387481549E9</v>
      </c>
      <c r="V34" s="6"/>
      <c r="W34" s="12" t="s">
        <v>167</v>
      </c>
      <c r="X34" s="12" t="s">
        <v>100</v>
      </c>
      <c r="Y34" s="6"/>
      <c r="Z34" s="17">
        <f t="shared" si="1"/>
        <v>29236</v>
      </c>
      <c r="AA34" s="18">
        <f t="shared" si="2"/>
        <v>81.21111111</v>
      </c>
      <c r="AB34" s="6"/>
      <c r="AC34" s="6"/>
      <c r="AD34" s="6"/>
      <c r="AE34" s="6"/>
    </row>
    <row r="35">
      <c r="A35" s="32"/>
      <c r="B35" s="34">
        <v>2.124018637E9</v>
      </c>
      <c r="C35" s="68" t="s">
        <v>168</v>
      </c>
      <c r="D35" s="12" t="s">
        <v>169</v>
      </c>
      <c r="E35" s="49" t="s">
        <v>170</v>
      </c>
      <c r="F35" s="3">
        <v>3.272024081E9</v>
      </c>
      <c r="G35" s="12">
        <v>2024.0</v>
      </c>
      <c r="H35" s="72">
        <v>23512.0</v>
      </c>
      <c r="I35" s="12" t="s">
        <v>26</v>
      </c>
      <c r="J35" s="11" t="s">
        <v>43</v>
      </c>
      <c r="K35" s="28" t="b">
        <v>0</v>
      </c>
      <c r="L35" s="24"/>
      <c r="M35" s="24"/>
      <c r="N35" s="24">
        <v>45584.0</v>
      </c>
      <c r="O35" s="6"/>
      <c r="P35" s="24">
        <v>45584.0</v>
      </c>
      <c r="Q35" s="12" t="s">
        <v>171</v>
      </c>
      <c r="R35" s="6"/>
      <c r="S35" s="6"/>
      <c r="T35" s="12">
        <v>1.0</v>
      </c>
      <c r="U35" s="12">
        <v>3.352485509E9</v>
      </c>
      <c r="V35" s="6"/>
      <c r="W35" s="12" t="s">
        <v>172</v>
      </c>
      <c r="X35" s="12" t="s">
        <v>100</v>
      </c>
      <c r="Y35" s="6"/>
      <c r="Z35" s="17">
        <f t="shared" si="1"/>
        <v>21754</v>
      </c>
      <c r="AA35" s="18">
        <f t="shared" si="2"/>
        <v>60.42777778</v>
      </c>
      <c r="AB35" s="6"/>
      <c r="AC35" s="6"/>
      <c r="AD35" s="6"/>
      <c r="AE35" s="6"/>
    </row>
    <row r="36">
      <c r="A36" s="46"/>
      <c r="B36" s="34">
        <v>2.12401869E9</v>
      </c>
      <c r="C36" s="68" t="s">
        <v>173</v>
      </c>
      <c r="D36" s="12" t="s">
        <v>174</v>
      </c>
      <c r="E36" s="49" t="s">
        <v>175</v>
      </c>
      <c r="F36" s="3">
        <v>3.272024082E9</v>
      </c>
      <c r="G36" s="12">
        <v>2024.0</v>
      </c>
      <c r="H36" s="24">
        <v>22639.0</v>
      </c>
      <c r="I36" s="12" t="s">
        <v>34</v>
      </c>
      <c r="J36" s="11" t="s">
        <v>43</v>
      </c>
      <c r="K36" s="28" t="b">
        <v>0</v>
      </c>
      <c r="L36" s="24"/>
      <c r="M36" s="24"/>
      <c r="N36" s="24">
        <v>45585.0</v>
      </c>
      <c r="O36" s="6"/>
      <c r="P36" s="24">
        <v>45585.0</v>
      </c>
      <c r="Q36" s="12" t="s">
        <v>176</v>
      </c>
      <c r="R36" s="6"/>
      <c r="S36" s="6"/>
      <c r="T36" s="12">
        <v>1.0</v>
      </c>
      <c r="U36" s="12">
        <v>3.203804205E9</v>
      </c>
      <c r="V36" s="6"/>
      <c r="W36" s="12" t="s">
        <v>177</v>
      </c>
      <c r="X36" s="12" t="s">
        <v>100</v>
      </c>
      <c r="Y36" s="6"/>
      <c r="Z36" s="17">
        <f t="shared" si="1"/>
        <v>22616</v>
      </c>
      <c r="AA36" s="18">
        <f t="shared" si="2"/>
        <v>62.82222222</v>
      </c>
      <c r="AB36" s="6"/>
      <c r="AC36" s="6"/>
      <c r="AD36" s="6"/>
      <c r="AE36" s="6"/>
    </row>
    <row r="37">
      <c r="A37" s="57"/>
      <c r="B37" s="34">
        <v>2.124019184E9</v>
      </c>
      <c r="C37" s="73" t="s">
        <v>178</v>
      </c>
      <c r="D37" s="12" t="s">
        <v>158</v>
      </c>
      <c r="E37" s="22" t="s">
        <v>179</v>
      </c>
      <c r="F37" s="3">
        <v>3.272024083E9</v>
      </c>
      <c r="G37" s="12">
        <v>2024.0</v>
      </c>
      <c r="H37" s="28">
        <v>20145.0</v>
      </c>
      <c r="I37" s="12" t="s">
        <v>34</v>
      </c>
      <c r="J37" s="11" t="s">
        <v>35</v>
      </c>
      <c r="K37" s="12" t="b">
        <v>1</v>
      </c>
      <c r="L37" s="24"/>
      <c r="M37" s="24"/>
      <c r="N37" s="24">
        <v>45593.0</v>
      </c>
      <c r="O37" s="6"/>
      <c r="P37" s="24">
        <v>45594.0</v>
      </c>
      <c r="Q37" s="12" t="s">
        <v>176</v>
      </c>
      <c r="R37" s="6"/>
      <c r="S37" s="6"/>
      <c r="T37" s="12">
        <v>1.0</v>
      </c>
      <c r="U37" s="12">
        <v>3.334590946E9</v>
      </c>
      <c r="V37" s="12" t="s">
        <v>180</v>
      </c>
      <c r="W37" s="68" t="s">
        <v>161</v>
      </c>
      <c r="X37" s="12" t="s">
        <v>181</v>
      </c>
      <c r="Y37" s="6"/>
      <c r="Z37" s="17">
        <f t="shared" si="1"/>
        <v>25083</v>
      </c>
      <c r="AA37" s="18">
        <f t="shared" si="2"/>
        <v>69.675</v>
      </c>
      <c r="AB37" s="6"/>
      <c r="AC37" s="6"/>
      <c r="AD37" s="6"/>
      <c r="AE37" s="6"/>
    </row>
    <row r="38">
      <c r="A38" s="12"/>
      <c r="B38" s="12">
        <v>2.124019725E9</v>
      </c>
      <c r="C38" s="68" t="s">
        <v>182</v>
      </c>
      <c r="D38" s="12" t="s">
        <v>183</v>
      </c>
      <c r="E38" s="49" t="s">
        <v>184</v>
      </c>
      <c r="F38" s="3">
        <v>3.272024084E9</v>
      </c>
      <c r="G38" s="12">
        <v>2024.0</v>
      </c>
      <c r="H38" s="28">
        <v>34815.0</v>
      </c>
      <c r="I38" s="12" t="s">
        <v>34</v>
      </c>
      <c r="J38" s="11" t="s">
        <v>63</v>
      </c>
      <c r="K38" s="28" t="b">
        <v>0</v>
      </c>
      <c r="L38" s="28"/>
      <c r="M38" s="28"/>
      <c r="N38" s="28">
        <v>45601.0</v>
      </c>
      <c r="O38" s="6"/>
      <c r="P38" s="28">
        <v>45601.0</v>
      </c>
      <c r="Q38" s="12" t="s">
        <v>87</v>
      </c>
      <c r="R38" s="6"/>
      <c r="S38" s="6"/>
      <c r="T38" s="12">
        <v>1.0</v>
      </c>
      <c r="U38" s="6"/>
      <c r="V38" s="6"/>
      <c r="W38" s="6"/>
      <c r="X38" s="12" t="s">
        <v>84</v>
      </c>
      <c r="Y38" s="6"/>
      <c r="Z38" s="17">
        <f t="shared" si="1"/>
        <v>10629</v>
      </c>
      <c r="AA38" s="18">
        <f t="shared" si="2"/>
        <v>29.525</v>
      </c>
      <c r="AB38" s="6"/>
      <c r="AC38" s="6"/>
      <c r="AD38" s="6"/>
      <c r="AE38" s="6"/>
    </row>
    <row r="39">
      <c r="A39" s="25"/>
      <c r="B39" s="12">
        <v>2.124023603E9</v>
      </c>
      <c r="C39" s="73" t="s">
        <v>185</v>
      </c>
      <c r="D39" s="12" t="s">
        <v>31</v>
      </c>
      <c r="E39" s="22" t="s">
        <v>186</v>
      </c>
      <c r="F39" s="3">
        <v>3.272024085E9</v>
      </c>
      <c r="G39" s="12">
        <v>2024.0</v>
      </c>
      <c r="H39" s="28">
        <v>26916.0</v>
      </c>
      <c r="I39" s="12" t="s">
        <v>34</v>
      </c>
      <c r="J39" s="11" t="s">
        <v>43</v>
      </c>
      <c r="K39" s="28" t="b">
        <v>0</v>
      </c>
      <c r="L39" s="24"/>
      <c r="M39" s="24"/>
      <c r="N39" s="24">
        <v>45622.0</v>
      </c>
      <c r="O39" s="6"/>
      <c r="P39" s="24">
        <v>45622.0</v>
      </c>
      <c r="Q39" s="12" t="s">
        <v>187</v>
      </c>
      <c r="R39" s="6"/>
      <c r="S39" s="6"/>
      <c r="T39" s="12">
        <v>1.0</v>
      </c>
      <c r="U39" s="6"/>
      <c r="V39" s="6"/>
      <c r="W39" s="6"/>
      <c r="X39" s="12" t="s">
        <v>188</v>
      </c>
      <c r="Y39" s="6"/>
      <c r="Z39" s="17">
        <f t="shared" si="1"/>
        <v>18437</v>
      </c>
      <c r="AA39" s="18">
        <f t="shared" si="2"/>
        <v>51.21388889</v>
      </c>
      <c r="AB39" s="6"/>
      <c r="AC39" s="6"/>
      <c r="AD39" s="6"/>
      <c r="AE39" s="6"/>
    </row>
    <row r="40">
      <c r="A40" s="46"/>
      <c r="B40" s="12">
        <v>2.124024078E9</v>
      </c>
      <c r="C40" s="68" t="s">
        <v>189</v>
      </c>
      <c r="D40" s="12" t="s">
        <v>190</v>
      </c>
      <c r="E40" s="22" t="s">
        <v>191</v>
      </c>
      <c r="F40" s="3">
        <v>3.272024086E9</v>
      </c>
      <c r="G40" s="12">
        <v>2024.0</v>
      </c>
      <c r="H40" s="28">
        <v>21280.0</v>
      </c>
      <c r="I40" s="12" t="s">
        <v>34</v>
      </c>
      <c r="J40" s="11" t="s">
        <v>63</v>
      </c>
      <c r="K40" s="28" t="b">
        <v>0</v>
      </c>
      <c r="L40" s="24"/>
      <c r="M40" s="24"/>
      <c r="N40" s="24">
        <v>45624.0</v>
      </c>
      <c r="O40" s="6"/>
      <c r="P40" s="24">
        <v>45625.0</v>
      </c>
      <c r="Q40" s="12" t="s">
        <v>192</v>
      </c>
      <c r="R40" s="6"/>
      <c r="S40" s="6"/>
      <c r="T40" s="12">
        <v>1.0</v>
      </c>
      <c r="U40" s="6"/>
      <c r="V40" s="6"/>
      <c r="W40" s="6"/>
      <c r="X40" s="6"/>
      <c r="Y40" s="6"/>
      <c r="Z40" s="17">
        <f t="shared" si="1"/>
        <v>23993</v>
      </c>
      <c r="AA40" s="18">
        <f t="shared" si="2"/>
        <v>66.64722222</v>
      </c>
      <c r="AB40" s="6"/>
      <c r="AC40" s="6"/>
      <c r="AD40" s="6"/>
      <c r="AE40" s="6"/>
    </row>
    <row r="41" ht="17.25" customHeight="1">
      <c r="A41" s="58"/>
      <c r="B41" s="12">
        <v>2.124025195E9</v>
      </c>
      <c r="C41" s="68" t="s">
        <v>193</v>
      </c>
      <c r="D41" s="12" t="s">
        <v>194</v>
      </c>
      <c r="E41" s="49" t="s">
        <v>195</v>
      </c>
      <c r="F41" s="74">
        <v>3.272024087E9</v>
      </c>
      <c r="G41" s="12">
        <v>2024.0</v>
      </c>
      <c r="H41" s="28">
        <v>26190.0</v>
      </c>
      <c r="I41" s="12" t="s">
        <v>34</v>
      </c>
      <c r="J41" s="11" t="s">
        <v>43</v>
      </c>
      <c r="K41" s="28" t="b">
        <v>0</v>
      </c>
      <c r="L41" s="28"/>
      <c r="M41" s="28"/>
      <c r="N41" s="28">
        <v>45631.0</v>
      </c>
      <c r="O41" s="6"/>
      <c r="P41" s="28">
        <v>45632.0</v>
      </c>
      <c r="Q41" s="12" t="s">
        <v>171</v>
      </c>
      <c r="R41" s="6"/>
      <c r="S41" s="6"/>
      <c r="T41" s="12">
        <v>1.0</v>
      </c>
      <c r="U41" s="6"/>
      <c r="V41" s="6"/>
      <c r="W41" s="6"/>
      <c r="X41" s="6"/>
      <c r="Y41" s="6"/>
      <c r="Z41" s="17">
        <f t="shared" si="1"/>
        <v>19161</v>
      </c>
      <c r="AA41" s="18">
        <f t="shared" si="2"/>
        <v>53.225</v>
      </c>
      <c r="AB41" s="6"/>
      <c r="AC41" s="6"/>
      <c r="AD41" s="6"/>
      <c r="AE41" s="6"/>
    </row>
    <row r="42" ht="17.25" customHeight="1">
      <c r="A42" s="34"/>
      <c r="B42" s="12">
        <v>2.124025878E9</v>
      </c>
      <c r="C42" s="12" t="s">
        <v>196</v>
      </c>
      <c r="D42" s="12" t="s">
        <v>197</v>
      </c>
      <c r="E42" s="22" t="s">
        <v>198</v>
      </c>
      <c r="F42" s="74">
        <v>3.272024088E9</v>
      </c>
      <c r="G42" s="12">
        <v>2024.0</v>
      </c>
      <c r="H42" s="28">
        <v>20161.0</v>
      </c>
      <c r="I42" s="12" t="s">
        <v>34</v>
      </c>
      <c r="J42" s="31" t="s">
        <v>27</v>
      </c>
      <c r="K42" s="28" t="b">
        <v>0</v>
      </c>
      <c r="L42" s="12">
        <v>80.0</v>
      </c>
      <c r="M42" s="12">
        <v>175.0</v>
      </c>
      <c r="N42" s="28">
        <v>45635.0</v>
      </c>
      <c r="O42" s="12" t="s">
        <v>199</v>
      </c>
      <c r="P42" s="24">
        <v>45636.0</v>
      </c>
      <c r="Q42" s="12" t="s">
        <v>71</v>
      </c>
      <c r="R42" s="6"/>
      <c r="S42" s="6"/>
      <c r="T42" s="12">
        <v>1.0</v>
      </c>
      <c r="U42" s="12">
        <v>3.296485918E9</v>
      </c>
      <c r="V42" s="6"/>
      <c r="W42" s="12" t="s">
        <v>106</v>
      </c>
      <c r="X42" s="12" t="s">
        <v>77</v>
      </c>
      <c r="Y42" s="6"/>
      <c r="Z42" s="17">
        <f t="shared" si="1"/>
        <v>25106</v>
      </c>
      <c r="AA42" s="18">
        <f t="shared" si="2"/>
        <v>69.73888889</v>
      </c>
      <c r="AB42" s="6"/>
      <c r="AC42" s="6"/>
      <c r="AD42" s="6"/>
      <c r="AE42" s="6"/>
    </row>
    <row r="43">
      <c r="A43" s="34"/>
      <c r="B43" s="12">
        <v>2.125000348E9</v>
      </c>
      <c r="C43" s="12" t="s">
        <v>200</v>
      </c>
      <c r="D43" s="69" t="s">
        <v>201</v>
      </c>
      <c r="E43" s="6"/>
      <c r="F43" s="12">
        <v>3.272025051E9</v>
      </c>
      <c r="G43" s="12">
        <v>2025.0</v>
      </c>
      <c r="H43" s="28">
        <v>30863.0</v>
      </c>
      <c r="I43" s="12" t="s">
        <v>26</v>
      </c>
      <c r="J43" s="11" t="s">
        <v>63</v>
      </c>
      <c r="K43" s="28" t="b">
        <v>0</v>
      </c>
      <c r="L43" s="12">
        <v>70.0</v>
      </c>
      <c r="M43" s="6"/>
      <c r="N43" s="28">
        <v>45662.0</v>
      </c>
      <c r="O43" s="12" t="s">
        <v>202</v>
      </c>
      <c r="P43" s="28">
        <v>45662.0</v>
      </c>
      <c r="Q43" s="12" t="s">
        <v>203</v>
      </c>
      <c r="R43" s="6"/>
      <c r="S43" s="6"/>
      <c r="T43" s="12">
        <v>1.0</v>
      </c>
      <c r="U43" s="12">
        <v>3.296253446E9</v>
      </c>
      <c r="V43" s="6"/>
      <c r="W43" s="12" t="s">
        <v>204</v>
      </c>
      <c r="X43" s="12" t="s">
        <v>205</v>
      </c>
      <c r="Y43" s="6"/>
      <c r="Z43" s="17">
        <f t="shared" si="1"/>
        <v>14585</v>
      </c>
      <c r="AA43" s="18">
        <f t="shared" si="2"/>
        <v>40.51388889</v>
      </c>
      <c r="AB43" s="6"/>
      <c r="AC43" s="12" t="s">
        <v>206</v>
      </c>
      <c r="AD43" s="6"/>
      <c r="AE43" s="6"/>
    </row>
    <row r="44">
      <c r="A44" s="12"/>
      <c r="B44" s="70">
        <v>2.125004454E9</v>
      </c>
      <c r="C44" s="12" t="s">
        <v>207</v>
      </c>
      <c r="D44" s="12" t="s">
        <v>208</v>
      </c>
      <c r="E44" s="75" t="s">
        <v>209</v>
      </c>
      <c r="F44" s="12">
        <v>3.272025052E9</v>
      </c>
      <c r="G44" s="12">
        <v>2025.0</v>
      </c>
      <c r="H44" s="28">
        <v>24178.0</v>
      </c>
      <c r="I44" s="12" t="s">
        <v>34</v>
      </c>
      <c r="J44" s="11" t="s">
        <v>43</v>
      </c>
      <c r="K44" s="12" t="b">
        <v>0</v>
      </c>
      <c r="L44" s="12">
        <v>90.0</v>
      </c>
      <c r="M44" s="12">
        <v>180.0</v>
      </c>
      <c r="N44" s="28">
        <v>45688.0</v>
      </c>
      <c r="O44" s="12"/>
      <c r="P44" s="28">
        <v>45688.0</v>
      </c>
      <c r="Q44" s="12" t="s">
        <v>171</v>
      </c>
      <c r="R44" s="6"/>
      <c r="S44" s="6"/>
      <c r="T44" s="12">
        <v>1.0</v>
      </c>
      <c r="U44" s="12">
        <v>3.492524051E9</v>
      </c>
      <c r="V44" s="6"/>
      <c r="W44" s="12" t="s">
        <v>60</v>
      </c>
      <c r="X44" s="12" t="s">
        <v>210</v>
      </c>
      <c r="Y44" s="6"/>
      <c r="Z44" s="17">
        <f t="shared" si="1"/>
        <v>21199</v>
      </c>
      <c r="AA44" s="18">
        <f t="shared" si="2"/>
        <v>58.88611111</v>
      </c>
      <c r="AB44" s="6"/>
      <c r="AC44" s="12" t="s">
        <v>206</v>
      </c>
      <c r="AD44" s="6"/>
      <c r="AE44" s="6"/>
    </row>
    <row r="45">
      <c r="B45" s="70">
        <v>2.125004867E9</v>
      </c>
      <c r="C45" s="3" t="s">
        <v>211</v>
      </c>
      <c r="D45" s="3" t="s">
        <v>212</v>
      </c>
      <c r="F45" s="3">
        <v>3.272025053E9</v>
      </c>
      <c r="G45" s="3">
        <v>2025.0</v>
      </c>
      <c r="H45" s="76">
        <v>24064.0</v>
      </c>
      <c r="I45" s="3" t="s">
        <v>34</v>
      </c>
      <c r="J45" s="11" t="s">
        <v>43</v>
      </c>
      <c r="K45" s="12" t="b">
        <v>0</v>
      </c>
      <c r="L45" s="3">
        <v>120.0</v>
      </c>
      <c r="M45" s="3">
        <v>180.0</v>
      </c>
      <c r="N45" s="77">
        <v>45691.0</v>
      </c>
      <c r="O45" s="3" t="s">
        <v>213</v>
      </c>
      <c r="P45" s="77">
        <v>45691.0</v>
      </c>
      <c r="Q45" s="3" t="s">
        <v>146</v>
      </c>
      <c r="T45" s="3">
        <v>1.0</v>
      </c>
      <c r="U45" s="3">
        <v>3.332139952E9</v>
      </c>
      <c r="W45" s="3" t="s">
        <v>60</v>
      </c>
      <c r="X45" s="3" t="s">
        <v>210</v>
      </c>
      <c r="Z45" s="17">
        <f t="shared" si="1"/>
        <v>21315</v>
      </c>
      <c r="AA45" s="78">
        <f t="shared" ref="AA45:AA46" si="3">AVERAGE(AA8:AA35)</f>
        <v>61.16428571</v>
      </c>
      <c r="AC45" s="3" t="s">
        <v>206</v>
      </c>
    </row>
    <row r="46">
      <c r="A46" s="6"/>
      <c r="B46" s="70">
        <v>2.025010247E9</v>
      </c>
      <c r="C46" s="12" t="s">
        <v>214</v>
      </c>
      <c r="D46" s="12" t="s">
        <v>102</v>
      </c>
      <c r="E46" s="75" t="s">
        <v>215</v>
      </c>
      <c r="F46" s="12">
        <v>3.272025054E9</v>
      </c>
      <c r="G46" s="12">
        <v>2025.0</v>
      </c>
      <c r="H46" s="28">
        <v>23491.0</v>
      </c>
      <c r="I46" s="12" t="s">
        <v>34</v>
      </c>
      <c r="J46" s="31" t="s">
        <v>27</v>
      </c>
      <c r="K46" s="12" t="b">
        <v>0</v>
      </c>
      <c r="L46" s="12">
        <v>110.0</v>
      </c>
      <c r="M46" s="12">
        <v>180.0</v>
      </c>
      <c r="N46" s="28">
        <v>45720.0</v>
      </c>
      <c r="O46" s="12" t="s">
        <v>93</v>
      </c>
      <c r="P46" s="28">
        <v>45720.0</v>
      </c>
      <c r="Q46" s="12" t="s">
        <v>216</v>
      </c>
      <c r="R46" s="6"/>
      <c r="S46" s="6"/>
      <c r="T46" s="12">
        <v>1.0</v>
      </c>
      <c r="U46" s="12">
        <v>3.391567871E9</v>
      </c>
      <c r="V46" s="6"/>
      <c r="W46" s="12" t="s">
        <v>217</v>
      </c>
      <c r="X46" s="12" t="s">
        <v>218</v>
      </c>
      <c r="Y46" s="6"/>
      <c r="Z46" s="17">
        <f t="shared" si="1"/>
        <v>21910</v>
      </c>
      <c r="AA46" s="78">
        <f t="shared" si="3"/>
        <v>61.17708333</v>
      </c>
      <c r="AB46" s="6"/>
      <c r="AC46" s="12" t="s">
        <v>206</v>
      </c>
      <c r="AD46" s="6"/>
      <c r="AE46" s="6"/>
    </row>
    <row r="47">
      <c r="B47" s="70">
        <v>2.125004867E9</v>
      </c>
      <c r="C47" s="12" t="s">
        <v>211</v>
      </c>
      <c r="D47" s="12" t="s">
        <v>219</v>
      </c>
      <c r="E47" s="75" t="s">
        <v>220</v>
      </c>
      <c r="G47" s="74">
        <v>2025.0</v>
      </c>
      <c r="H47" s="79">
        <v>24064.0</v>
      </c>
      <c r="I47" s="3" t="s">
        <v>34</v>
      </c>
      <c r="J47" s="11" t="s">
        <v>43</v>
      </c>
      <c r="K47" s="12" t="b">
        <v>0</v>
      </c>
      <c r="L47" s="3">
        <v>120.0</v>
      </c>
      <c r="M47" s="3">
        <v>180.0</v>
      </c>
      <c r="N47" s="28">
        <v>45691.0</v>
      </c>
      <c r="O47" s="3" t="s">
        <v>221</v>
      </c>
      <c r="P47" s="80">
        <v>45691.0</v>
      </c>
      <c r="Q47" s="3" t="s">
        <v>222</v>
      </c>
      <c r="T47" s="3">
        <v>1.0</v>
      </c>
      <c r="Z47" s="17"/>
      <c r="AA47" s="18">
        <f>Z47/360</f>
        <v>0</v>
      </c>
    </row>
    <row r="48">
      <c r="B48" s="70">
        <v>2.125020858E9</v>
      </c>
      <c r="C48" s="12" t="s">
        <v>223</v>
      </c>
      <c r="D48" s="12" t="s">
        <v>57</v>
      </c>
      <c r="F48" s="3">
        <v>3.272025055E9</v>
      </c>
      <c r="G48" s="3">
        <v>2025.0</v>
      </c>
      <c r="H48" s="28">
        <v>25192.0</v>
      </c>
      <c r="I48" s="12" t="s">
        <v>34</v>
      </c>
      <c r="J48" s="11" t="s">
        <v>43</v>
      </c>
      <c r="K48" s="12" t="b">
        <v>0</v>
      </c>
      <c r="L48" s="3">
        <v>90.0</v>
      </c>
      <c r="M48" s="12">
        <v>180.0</v>
      </c>
      <c r="N48" s="28">
        <v>45787.0</v>
      </c>
      <c r="O48" s="12" t="s">
        <v>224</v>
      </c>
      <c r="P48" s="28">
        <v>45787.0</v>
      </c>
      <c r="Q48" s="12" t="s">
        <v>225</v>
      </c>
      <c r="S48" s="3" t="s">
        <v>226</v>
      </c>
      <c r="T48" s="3">
        <v>1.0</v>
      </c>
      <c r="U48" s="12"/>
      <c r="W48" s="12"/>
      <c r="X48" s="12"/>
      <c r="Z48" s="81"/>
      <c r="AA48" s="5">
        <v>56.0</v>
      </c>
      <c r="AC48" s="3" t="s">
        <v>227</v>
      </c>
    </row>
    <row r="49">
      <c r="A49" s="6"/>
      <c r="B49" s="70">
        <v>2.125023093E9</v>
      </c>
      <c r="C49" s="12" t="s">
        <v>228</v>
      </c>
      <c r="D49" s="12" t="s">
        <v>37</v>
      </c>
      <c r="E49" s="75" t="s">
        <v>229</v>
      </c>
      <c r="F49" s="12">
        <v>3.272025056E9</v>
      </c>
      <c r="G49" s="12">
        <v>2025.0</v>
      </c>
      <c r="H49" s="24">
        <v>24100.0</v>
      </c>
      <c r="I49" s="12" t="s">
        <v>34</v>
      </c>
      <c r="J49" s="11" t="s">
        <v>43</v>
      </c>
      <c r="K49" s="12" t="b">
        <v>0</v>
      </c>
      <c r="L49" s="12">
        <v>85.0</v>
      </c>
      <c r="M49" s="12">
        <v>175.0</v>
      </c>
      <c r="N49" s="28">
        <v>45800.0</v>
      </c>
      <c r="O49" s="12" t="s">
        <v>230</v>
      </c>
      <c r="P49" s="28">
        <v>45800.0</v>
      </c>
      <c r="Q49" s="12" t="s">
        <v>28</v>
      </c>
      <c r="R49" s="6"/>
      <c r="S49" s="12" t="s">
        <v>226</v>
      </c>
      <c r="T49" s="12">
        <v>1.0</v>
      </c>
      <c r="U49" s="6"/>
      <c r="V49" s="6"/>
      <c r="W49" s="6"/>
      <c r="X49" s="6"/>
      <c r="Y49" s="6"/>
      <c r="Z49" s="17"/>
      <c r="AA49" s="5"/>
      <c r="AB49" s="6"/>
      <c r="AC49" s="12" t="s">
        <v>227</v>
      </c>
      <c r="AD49" s="6"/>
      <c r="AE49" s="6"/>
    </row>
    <row r="50">
      <c r="A50" s="6"/>
      <c r="B50" s="12">
        <v>2.125024608E9</v>
      </c>
      <c r="C50" s="12" t="s">
        <v>231</v>
      </c>
      <c r="D50" s="12" t="s">
        <v>232</v>
      </c>
      <c r="E50" s="75" t="s">
        <v>233</v>
      </c>
      <c r="F50" s="12">
        <v>3.272025057E9</v>
      </c>
      <c r="G50" s="12">
        <v>2025.0</v>
      </c>
      <c r="H50" s="28">
        <v>23079.0</v>
      </c>
      <c r="I50" s="12" t="s">
        <v>34</v>
      </c>
      <c r="J50" s="82" t="s">
        <v>63</v>
      </c>
      <c r="K50" s="12" t="b">
        <v>0</v>
      </c>
      <c r="L50" s="12">
        <v>80.0</v>
      </c>
      <c r="M50" s="12">
        <v>170.0</v>
      </c>
      <c r="N50" s="28">
        <v>45811.0</v>
      </c>
      <c r="O50" s="6"/>
      <c r="P50" s="28">
        <v>45811.0</v>
      </c>
      <c r="Q50" s="12" t="s">
        <v>160</v>
      </c>
      <c r="R50" s="6"/>
      <c r="S50" s="6"/>
      <c r="T50" s="12">
        <v>1.0</v>
      </c>
      <c r="U50" s="6"/>
      <c r="V50" s="6"/>
      <c r="W50" s="6"/>
      <c r="X50" s="12" t="s">
        <v>205</v>
      </c>
      <c r="Y50" s="6"/>
      <c r="Z50" s="17"/>
      <c r="AA50" s="5">
        <v>60.0</v>
      </c>
      <c r="AB50" s="6"/>
      <c r="AC50" s="12" t="s">
        <v>206</v>
      </c>
      <c r="AD50" s="6"/>
      <c r="AE50" s="6"/>
    </row>
    <row r="51">
      <c r="A51" s="12" t="s">
        <v>234</v>
      </c>
      <c r="B51" s="12">
        <v>2.125024565E9</v>
      </c>
      <c r="C51" s="12" t="s">
        <v>235</v>
      </c>
      <c r="D51" s="12" t="s">
        <v>57</v>
      </c>
      <c r="E51" s="75" t="s">
        <v>236</v>
      </c>
      <c r="F51" s="12"/>
      <c r="G51" s="12">
        <v>2025.0</v>
      </c>
      <c r="H51" s="28">
        <v>22057.0</v>
      </c>
      <c r="I51" s="12" t="s">
        <v>34</v>
      </c>
      <c r="J51" s="31" t="s">
        <v>237</v>
      </c>
      <c r="K51" s="12" t="b">
        <v>0</v>
      </c>
      <c r="L51" s="12">
        <v>103.0</v>
      </c>
      <c r="M51" s="12">
        <v>175.0</v>
      </c>
      <c r="N51" s="28">
        <v>45811.0</v>
      </c>
      <c r="O51" s="6"/>
      <c r="P51" s="28">
        <v>45811.0</v>
      </c>
      <c r="Q51" s="12" t="s">
        <v>111</v>
      </c>
      <c r="R51" s="6"/>
      <c r="S51" s="6"/>
      <c r="T51" s="12">
        <v>1.0</v>
      </c>
      <c r="U51" s="6"/>
      <c r="V51" s="6"/>
      <c r="W51" s="6"/>
      <c r="X51" s="12" t="s">
        <v>218</v>
      </c>
      <c r="Y51" s="6"/>
      <c r="Z51" s="17"/>
      <c r="AA51" s="5"/>
      <c r="AB51" s="6"/>
      <c r="AC51" s="12" t="s">
        <v>227</v>
      </c>
      <c r="AD51" s="6"/>
      <c r="AE51" s="6"/>
    </row>
    <row r="52">
      <c r="B52" s="83">
        <v>2.125025861E9</v>
      </c>
      <c r="C52" s="3" t="s">
        <v>238</v>
      </c>
      <c r="D52" s="3" t="s">
        <v>239</v>
      </c>
      <c r="E52" s="75" t="s">
        <v>240</v>
      </c>
      <c r="F52" s="3">
        <v>3.272025058E9</v>
      </c>
      <c r="G52" s="3">
        <v>2025.0</v>
      </c>
      <c r="H52" s="77">
        <v>24945.0</v>
      </c>
      <c r="I52" s="3" t="s">
        <v>34</v>
      </c>
      <c r="J52" s="57" t="s">
        <v>43</v>
      </c>
      <c r="K52" s="12" t="b">
        <v>0</v>
      </c>
      <c r="L52" s="3">
        <v>120.0</v>
      </c>
      <c r="M52" s="3">
        <v>185.0</v>
      </c>
      <c r="N52" s="77">
        <v>45818.0</v>
      </c>
      <c r="O52" s="3" t="s">
        <v>241</v>
      </c>
      <c r="P52" s="77">
        <v>45818.0</v>
      </c>
      <c r="Q52" s="3" t="s">
        <v>242</v>
      </c>
      <c r="T52" s="3">
        <v>1.0</v>
      </c>
      <c r="W52" s="3" t="s">
        <v>243</v>
      </c>
      <c r="X52" s="3" t="s">
        <v>218</v>
      </c>
      <c r="Z52" s="81"/>
      <c r="AA52" s="5">
        <v>57.0</v>
      </c>
    </row>
    <row r="53">
      <c r="B53" s="83">
        <v>2.125026559E9</v>
      </c>
      <c r="C53" s="3" t="s">
        <v>244</v>
      </c>
      <c r="D53" s="3" t="s">
        <v>113</v>
      </c>
      <c r="E53" s="75" t="s">
        <v>245</v>
      </c>
      <c r="F53" s="3">
        <v>3.272025059E9</v>
      </c>
      <c r="G53" s="3">
        <v>2025.0</v>
      </c>
      <c r="H53" s="77">
        <v>38002.0</v>
      </c>
      <c r="I53" s="3" t="s">
        <v>34</v>
      </c>
      <c r="J53" s="57" t="s">
        <v>43</v>
      </c>
      <c r="K53" s="12" t="b">
        <v>0</v>
      </c>
      <c r="L53" s="3">
        <v>90.0</v>
      </c>
      <c r="M53" s="3">
        <v>185.0</v>
      </c>
      <c r="N53" s="77">
        <v>45824.0</v>
      </c>
      <c r="O53" s="3" t="s">
        <v>246</v>
      </c>
      <c r="P53" s="77">
        <v>45824.0</v>
      </c>
      <c r="Q53" s="3" t="s">
        <v>247</v>
      </c>
      <c r="T53" s="3">
        <v>1.0</v>
      </c>
      <c r="U53" s="3" t="s">
        <v>248</v>
      </c>
      <c r="W53" s="3" t="s">
        <v>249</v>
      </c>
      <c r="X53" s="3" t="s">
        <v>205</v>
      </c>
      <c r="Z53" s="81"/>
      <c r="AA53" s="5">
        <v>21.0</v>
      </c>
    </row>
    <row r="54">
      <c r="B54" s="83">
        <v>2.125026869E9</v>
      </c>
      <c r="C54" s="3" t="s">
        <v>250</v>
      </c>
      <c r="D54" s="3" t="s">
        <v>33</v>
      </c>
      <c r="E54" s="75" t="s">
        <v>251</v>
      </c>
      <c r="F54" s="3">
        <v>3.27202506E9</v>
      </c>
      <c r="G54" s="3">
        <v>2025.0</v>
      </c>
      <c r="H54" s="77">
        <v>24133.0</v>
      </c>
      <c r="I54" s="3" t="s">
        <v>34</v>
      </c>
      <c r="J54" s="57" t="s">
        <v>63</v>
      </c>
      <c r="K54" s="12" t="b">
        <v>0</v>
      </c>
      <c r="L54" s="3">
        <v>110.0</v>
      </c>
      <c r="M54" s="3">
        <v>175.0</v>
      </c>
      <c r="N54" s="77">
        <v>45825.0</v>
      </c>
      <c r="O54" s="3" t="s">
        <v>252</v>
      </c>
      <c r="P54" s="77">
        <v>45825.0</v>
      </c>
      <c r="Q54" s="3" t="s">
        <v>253</v>
      </c>
      <c r="T54" s="3">
        <v>1.0</v>
      </c>
      <c r="X54" s="3" t="s">
        <v>254</v>
      </c>
      <c r="Z54" s="81"/>
      <c r="AA54" s="5">
        <v>59.0</v>
      </c>
    </row>
    <row r="55">
      <c r="A55" s="3" t="s">
        <v>234</v>
      </c>
      <c r="B55" s="83">
        <v>2.125027331E9</v>
      </c>
      <c r="C55" s="3" t="s">
        <v>255</v>
      </c>
      <c r="D55" s="3" t="s">
        <v>256</v>
      </c>
      <c r="E55" s="75" t="s">
        <v>257</v>
      </c>
      <c r="G55" s="3">
        <v>2025.0</v>
      </c>
      <c r="H55" s="77">
        <v>20830.0</v>
      </c>
      <c r="I55" s="3" t="s">
        <v>34</v>
      </c>
      <c r="J55" s="57" t="s">
        <v>43</v>
      </c>
      <c r="K55" s="12" t="b">
        <v>0</v>
      </c>
      <c r="L55" s="3">
        <v>120.0</v>
      </c>
      <c r="M55" s="3">
        <v>180.0</v>
      </c>
      <c r="N55" s="77">
        <v>45828.0</v>
      </c>
      <c r="O55" s="3" t="s">
        <v>258</v>
      </c>
      <c r="P55" s="77">
        <v>45828.0</v>
      </c>
      <c r="Q55" s="3" t="s">
        <v>259</v>
      </c>
      <c r="T55" s="3">
        <v>1.0</v>
      </c>
      <c r="X55" s="3" t="s">
        <v>260</v>
      </c>
      <c r="Z55" s="81"/>
      <c r="AA55" s="5">
        <v>68.0</v>
      </c>
    </row>
    <row r="56">
      <c r="B56" s="83">
        <v>2.125026384E9</v>
      </c>
      <c r="C56" s="3" t="s">
        <v>261</v>
      </c>
      <c r="D56" s="3" t="s">
        <v>262</v>
      </c>
      <c r="E56" s="75" t="s">
        <v>263</v>
      </c>
      <c r="F56" s="3">
        <v>3.272025061E9</v>
      </c>
      <c r="G56" s="3">
        <v>2025.0</v>
      </c>
      <c r="H56" s="77">
        <v>19665.0</v>
      </c>
      <c r="I56" s="3" t="s">
        <v>34</v>
      </c>
      <c r="J56" s="57" t="s">
        <v>27</v>
      </c>
      <c r="K56" s="12" t="b">
        <v>0</v>
      </c>
      <c r="L56" s="3">
        <v>85.0</v>
      </c>
      <c r="M56" s="3">
        <v>175.0</v>
      </c>
      <c r="N56" s="77">
        <v>45821.0</v>
      </c>
      <c r="O56" s="3" t="s">
        <v>203</v>
      </c>
      <c r="P56" s="77">
        <v>45833.0</v>
      </c>
      <c r="Q56" s="3" t="s">
        <v>264</v>
      </c>
      <c r="T56" s="3">
        <v>1.0</v>
      </c>
      <c r="X56" s="3" t="s">
        <v>254</v>
      </c>
      <c r="Z56" s="81"/>
      <c r="AA56" s="5">
        <v>71.0</v>
      </c>
    </row>
    <row r="57">
      <c r="B57" s="83">
        <v>2.125029623E9</v>
      </c>
      <c r="C57" s="3" t="s">
        <v>265</v>
      </c>
      <c r="D57" s="3" t="s">
        <v>266</v>
      </c>
      <c r="E57" s="75" t="s">
        <v>267</v>
      </c>
      <c r="F57" s="3">
        <v>3.272025062E9</v>
      </c>
      <c r="G57" s="3">
        <v>2025.0</v>
      </c>
      <c r="H57" s="76">
        <v>23370.0</v>
      </c>
      <c r="I57" s="3" t="s">
        <v>34</v>
      </c>
      <c r="J57" s="57" t="s">
        <v>268</v>
      </c>
      <c r="K57" s="12" t="b">
        <v>0</v>
      </c>
      <c r="L57" s="3">
        <v>78.0</v>
      </c>
      <c r="M57" s="3">
        <v>173.0</v>
      </c>
      <c r="N57" s="84">
        <v>45845.0</v>
      </c>
      <c r="O57" s="3" t="s">
        <v>269</v>
      </c>
      <c r="P57" s="77">
        <v>45845.0</v>
      </c>
      <c r="Q57" s="3" t="s">
        <v>270</v>
      </c>
      <c r="T57" s="3">
        <v>1.0</v>
      </c>
      <c r="U57" s="3">
        <v>3.387877466E9</v>
      </c>
      <c r="X57" s="3" t="s">
        <v>271</v>
      </c>
      <c r="Z57" s="81"/>
      <c r="AA57" s="5">
        <v>61.0</v>
      </c>
    </row>
    <row r="58">
      <c r="B58" s="83">
        <v>2.125032902E9</v>
      </c>
      <c r="C58" s="3" t="s">
        <v>272</v>
      </c>
      <c r="D58" s="3" t="s">
        <v>273</v>
      </c>
      <c r="E58" s="75" t="s">
        <v>274</v>
      </c>
      <c r="F58" s="3">
        <v>3.272025063E9</v>
      </c>
      <c r="G58" s="3">
        <v>2025.0</v>
      </c>
      <c r="H58" s="77">
        <v>34546.0</v>
      </c>
      <c r="I58" s="3" t="s">
        <v>34</v>
      </c>
      <c r="J58" s="11" t="s">
        <v>43</v>
      </c>
      <c r="K58" s="12" t="b">
        <v>0</v>
      </c>
      <c r="L58" s="3">
        <v>80.0</v>
      </c>
      <c r="M58" s="3">
        <v>178.0</v>
      </c>
      <c r="N58" s="77">
        <v>45869.0</v>
      </c>
      <c r="P58" s="77">
        <v>45870.0</v>
      </c>
      <c r="Q58" s="3" t="s">
        <v>275</v>
      </c>
      <c r="T58" s="3">
        <v>1.0</v>
      </c>
      <c r="X58" s="3" t="s">
        <v>260</v>
      </c>
      <c r="Z58" s="81"/>
      <c r="AA58" s="5">
        <v>31.0</v>
      </c>
    </row>
    <row r="59">
      <c r="B59" s="85">
        <v>2.125032653E9</v>
      </c>
      <c r="C59" s="45" t="s">
        <v>276</v>
      </c>
      <c r="D59" s="45" t="s">
        <v>277</v>
      </c>
      <c r="E59" s="75"/>
      <c r="F59" s="3">
        <v>3.272025064E9</v>
      </c>
      <c r="G59" s="3">
        <v>2025.0</v>
      </c>
      <c r="H59" s="77">
        <v>39847.0</v>
      </c>
      <c r="I59" s="3" t="s">
        <v>34</v>
      </c>
      <c r="J59" s="57" t="s">
        <v>278</v>
      </c>
      <c r="K59" s="12" t="b">
        <v>0</v>
      </c>
      <c r="L59" s="3">
        <v>85.0</v>
      </c>
      <c r="M59" s="3">
        <v>178.0</v>
      </c>
      <c r="N59" s="77">
        <v>45868.0</v>
      </c>
      <c r="P59" s="77">
        <v>45839.0</v>
      </c>
      <c r="Q59" s="3" t="s">
        <v>279</v>
      </c>
      <c r="T59" s="3">
        <v>1.0</v>
      </c>
      <c r="U59" s="3">
        <v>2.47051886E9</v>
      </c>
      <c r="W59" s="3" t="s">
        <v>249</v>
      </c>
      <c r="X59" s="3" t="s">
        <v>254</v>
      </c>
      <c r="Z59" s="81"/>
      <c r="AA59" s="5">
        <v>16.0</v>
      </c>
    </row>
    <row r="60">
      <c r="B60" s="86">
        <v>2.125037782E9</v>
      </c>
      <c r="C60" s="87" t="s">
        <v>280</v>
      </c>
      <c r="D60" s="88" t="s">
        <v>281</v>
      </c>
      <c r="E60" s="75" t="s">
        <v>282</v>
      </c>
      <c r="F60" s="3">
        <v>3.272025065E9</v>
      </c>
      <c r="G60" s="3">
        <v>2025.0</v>
      </c>
      <c r="H60" s="77">
        <v>17358.0</v>
      </c>
      <c r="I60" s="3" t="s">
        <v>34</v>
      </c>
      <c r="J60" s="57" t="s">
        <v>278</v>
      </c>
      <c r="K60" s="12" t="b">
        <v>0</v>
      </c>
      <c r="L60" s="3">
        <v>60.0</v>
      </c>
      <c r="M60" s="3">
        <v>165.0</v>
      </c>
      <c r="N60" s="77">
        <v>45911.0</v>
      </c>
      <c r="P60" s="77">
        <v>45912.0</v>
      </c>
      <c r="Q60" s="3" t="s">
        <v>283</v>
      </c>
      <c r="T60" s="3">
        <v>1.0</v>
      </c>
      <c r="X60" s="3" t="s">
        <v>260</v>
      </c>
      <c r="Z60" s="81"/>
      <c r="AA60" s="78"/>
    </row>
    <row r="61">
      <c r="B61" s="86">
        <v>2.125037955E9</v>
      </c>
      <c r="C61" s="87" t="s">
        <v>284</v>
      </c>
      <c r="D61" s="88" t="s">
        <v>62</v>
      </c>
      <c r="E61" s="89" t="s">
        <v>285</v>
      </c>
      <c r="F61" s="3">
        <v>3.272025066E9</v>
      </c>
      <c r="G61" s="3">
        <v>2025.0</v>
      </c>
      <c r="H61" s="76">
        <v>38666.0</v>
      </c>
      <c r="I61" s="3" t="s">
        <v>34</v>
      </c>
      <c r="J61" s="57" t="s">
        <v>43</v>
      </c>
      <c r="K61" s="12" t="b">
        <v>0</v>
      </c>
      <c r="L61" s="3">
        <v>70.0</v>
      </c>
      <c r="M61" s="3">
        <v>165.0</v>
      </c>
      <c r="N61" s="77">
        <v>45913.0</v>
      </c>
      <c r="O61" s="3" t="s">
        <v>286</v>
      </c>
      <c r="P61" s="77">
        <v>45913.0</v>
      </c>
      <c r="Q61" s="3" t="s">
        <v>287</v>
      </c>
      <c r="T61" s="3">
        <v>1.0</v>
      </c>
      <c r="U61" s="3">
        <v>3.473449273E9</v>
      </c>
      <c r="W61" s="3" t="s">
        <v>249</v>
      </c>
      <c r="X61" s="3" t="s">
        <v>77</v>
      </c>
      <c r="Z61" s="81"/>
      <c r="AA61" s="5">
        <v>19.0</v>
      </c>
    </row>
    <row r="62">
      <c r="A62" s="6"/>
      <c r="B62" s="83">
        <v>2.125040052E9</v>
      </c>
      <c r="C62" s="12" t="s">
        <v>288</v>
      </c>
      <c r="D62" s="12" t="s">
        <v>289</v>
      </c>
      <c r="E62" s="89" t="s">
        <v>290</v>
      </c>
      <c r="F62" s="12">
        <v>3.272025067E9</v>
      </c>
      <c r="G62" s="12">
        <v>2025.0</v>
      </c>
      <c r="H62" s="28">
        <v>21776.0</v>
      </c>
      <c r="I62" s="12" t="s">
        <v>34</v>
      </c>
      <c r="J62" s="31" t="s">
        <v>291</v>
      </c>
      <c r="K62" s="12" t="b">
        <v>0</v>
      </c>
      <c r="L62" s="12">
        <v>80.0</v>
      </c>
      <c r="M62" s="12">
        <v>180.0</v>
      </c>
      <c r="N62" s="28">
        <v>45926.0</v>
      </c>
      <c r="O62" s="12" t="s">
        <v>28</v>
      </c>
      <c r="P62" s="28">
        <v>45926.0</v>
      </c>
      <c r="Q62" s="12" t="s">
        <v>292</v>
      </c>
      <c r="R62" s="6"/>
      <c r="S62" s="6"/>
      <c r="T62" s="12">
        <v>1.0</v>
      </c>
      <c r="U62" s="12">
        <v>3.313892708E9</v>
      </c>
      <c r="V62" s="6"/>
      <c r="W62" s="12" t="s">
        <v>293</v>
      </c>
      <c r="X62" s="12" t="s">
        <v>294</v>
      </c>
      <c r="Y62" s="6"/>
      <c r="Z62" s="17"/>
      <c r="AA62" s="90">
        <v>66.0</v>
      </c>
      <c r="AB62" s="6"/>
      <c r="AC62" s="6"/>
      <c r="AD62" s="6"/>
      <c r="AE62" s="6"/>
    </row>
    <row r="63">
      <c r="B63" s="83">
        <v>2.125040106E9</v>
      </c>
      <c r="C63" s="3" t="s">
        <v>295</v>
      </c>
      <c r="D63" s="3" t="s">
        <v>296</v>
      </c>
      <c r="E63" s="89" t="s">
        <v>297</v>
      </c>
      <c r="F63" s="91">
        <v>3.272025068E9</v>
      </c>
      <c r="G63" s="3">
        <v>2025.0</v>
      </c>
      <c r="H63" s="77">
        <v>18687.0</v>
      </c>
      <c r="I63" s="3" t="s">
        <v>34</v>
      </c>
      <c r="J63" s="57" t="s">
        <v>27</v>
      </c>
      <c r="K63" s="12" t="b">
        <v>0</v>
      </c>
      <c r="L63" s="3">
        <v>65.0</v>
      </c>
      <c r="M63" s="3">
        <v>170.0</v>
      </c>
      <c r="N63" s="77">
        <v>45930.0</v>
      </c>
      <c r="O63" s="3">
        <v>1500.0</v>
      </c>
      <c r="P63" s="77">
        <v>45930.0</v>
      </c>
      <c r="Q63" s="3" t="s">
        <v>71</v>
      </c>
      <c r="T63" s="3">
        <v>1.0</v>
      </c>
      <c r="U63" s="3">
        <v>3.288596807E9</v>
      </c>
      <c r="W63" s="3" t="s">
        <v>46</v>
      </c>
      <c r="X63" s="3" t="s">
        <v>294</v>
      </c>
      <c r="Z63" s="81"/>
      <c r="AA63" s="92" t="s">
        <v>298</v>
      </c>
    </row>
    <row r="64">
      <c r="B64" s="83">
        <v>2.125040835E9</v>
      </c>
      <c r="C64" s="3" t="s">
        <v>299</v>
      </c>
      <c r="D64" s="3" t="s">
        <v>300</v>
      </c>
      <c r="E64" s="89" t="s">
        <v>301</v>
      </c>
      <c r="F64" s="3">
        <v>3.272025069E9</v>
      </c>
      <c r="G64" s="3">
        <v>2025.0</v>
      </c>
      <c r="H64" s="77">
        <v>28632.0</v>
      </c>
      <c r="I64" s="3" t="s">
        <v>34</v>
      </c>
      <c r="J64" s="57" t="s">
        <v>43</v>
      </c>
      <c r="K64" s="12" t="b">
        <v>0</v>
      </c>
      <c r="L64" s="3">
        <v>85.0</v>
      </c>
      <c r="M64" s="3">
        <v>175.0</v>
      </c>
      <c r="N64" s="77">
        <v>45931.0</v>
      </c>
      <c r="O64" s="3" t="s">
        <v>302</v>
      </c>
      <c r="P64" s="77">
        <v>45931.0</v>
      </c>
      <c r="Q64" s="3" t="s">
        <v>303</v>
      </c>
      <c r="T64" s="3">
        <v>1.0</v>
      </c>
      <c r="U64" s="3">
        <v>3.3333358E9</v>
      </c>
      <c r="W64" s="3" t="s">
        <v>304</v>
      </c>
      <c r="X64" s="3" t="s">
        <v>294</v>
      </c>
      <c r="Z64" s="81"/>
      <c r="AA64" s="5" t="s">
        <v>305</v>
      </c>
    </row>
    <row r="65">
      <c r="B65" s="83">
        <v>2.125042368E9</v>
      </c>
      <c r="C65" s="3" t="s">
        <v>306</v>
      </c>
      <c r="D65" s="3" t="s">
        <v>307</v>
      </c>
      <c r="E65" s="89" t="s">
        <v>308</v>
      </c>
      <c r="F65" s="3">
        <v>3.27202507E9</v>
      </c>
      <c r="G65" s="3">
        <v>2025.0</v>
      </c>
      <c r="H65" s="77">
        <v>25596.0</v>
      </c>
      <c r="I65" s="3" t="s">
        <v>34</v>
      </c>
      <c r="J65" s="57" t="s">
        <v>43</v>
      </c>
      <c r="K65" s="12" t="b">
        <v>0</v>
      </c>
      <c r="L65" s="3">
        <v>90.0</v>
      </c>
      <c r="M65" s="3">
        <v>170.0</v>
      </c>
      <c r="N65" s="76">
        <v>45941.0</v>
      </c>
      <c r="O65" s="3" t="s">
        <v>309</v>
      </c>
      <c r="P65" s="76">
        <v>45941.0</v>
      </c>
      <c r="Q65" s="3" t="s">
        <v>310</v>
      </c>
      <c r="T65" s="3">
        <v>1.0</v>
      </c>
      <c r="U65" s="3">
        <v>3.803706542E9</v>
      </c>
      <c r="W65" s="3" t="s">
        <v>217</v>
      </c>
      <c r="X65" s="3" t="s">
        <v>254</v>
      </c>
      <c r="Z65" s="81"/>
      <c r="AA65" s="5">
        <v>55.0</v>
      </c>
    </row>
    <row r="66">
      <c r="B66" s="83">
        <v>2.125046195E9</v>
      </c>
      <c r="C66" s="3" t="s">
        <v>311</v>
      </c>
      <c r="D66" s="3" t="s">
        <v>312</v>
      </c>
      <c r="E66" s="89" t="s">
        <v>313</v>
      </c>
      <c r="F66" s="3">
        <v>3.272025071E9</v>
      </c>
      <c r="G66" s="3">
        <v>2025.0</v>
      </c>
      <c r="H66" s="77">
        <v>20615.0</v>
      </c>
      <c r="I66" s="3" t="s">
        <v>34</v>
      </c>
      <c r="J66" s="57" t="s">
        <v>43</v>
      </c>
      <c r="K66" s="12" t="b">
        <v>0</v>
      </c>
      <c r="L66" s="3">
        <v>90.0</v>
      </c>
      <c r="M66" s="3">
        <v>180.0</v>
      </c>
      <c r="N66" s="77">
        <v>45964.0</v>
      </c>
      <c r="O66" s="93">
        <v>0.71875</v>
      </c>
      <c r="P66" s="77">
        <v>45964.0</v>
      </c>
      <c r="Q66" s="3" t="s">
        <v>314</v>
      </c>
      <c r="T66" s="3">
        <v>1.0</v>
      </c>
      <c r="U66" s="3">
        <v>3.470611079E9</v>
      </c>
      <c r="W66" s="3" t="s">
        <v>217</v>
      </c>
      <c r="X66" s="3" t="s">
        <v>77</v>
      </c>
      <c r="Z66" s="81"/>
      <c r="AA66" s="5">
        <v>69.0</v>
      </c>
    </row>
    <row r="67">
      <c r="B67" s="3">
        <v>2.125051424E9</v>
      </c>
      <c r="C67" s="3" t="s">
        <v>315</v>
      </c>
      <c r="D67" s="3" t="s">
        <v>316</v>
      </c>
      <c r="E67" s="75" t="s">
        <v>317</v>
      </c>
      <c r="F67" s="3">
        <v>3.272025072E9</v>
      </c>
      <c r="G67" s="3">
        <v>2025.0</v>
      </c>
      <c r="H67" s="77">
        <v>23435.0</v>
      </c>
      <c r="I67" s="3" t="s">
        <v>34</v>
      </c>
      <c r="J67" s="57" t="s">
        <v>278</v>
      </c>
      <c r="K67" s="12" t="b">
        <v>0</v>
      </c>
      <c r="L67" s="3">
        <v>110.0</v>
      </c>
      <c r="M67" s="3">
        <v>178.0</v>
      </c>
      <c r="N67" s="76">
        <v>45996.0</v>
      </c>
      <c r="O67" s="3" t="s">
        <v>28</v>
      </c>
      <c r="P67" s="76">
        <v>45999.0</v>
      </c>
      <c r="Q67" s="3" t="s">
        <v>318</v>
      </c>
      <c r="T67" s="3">
        <v>1.0</v>
      </c>
      <c r="U67" s="3">
        <v>3.924496089E9</v>
      </c>
      <c r="W67" s="3" t="s">
        <v>319</v>
      </c>
      <c r="X67" s="3" t="s">
        <v>254</v>
      </c>
      <c r="Z67" s="81"/>
      <c r="AA67" s="5">
        <v>61.0</v>
      </c>
    </row>
    <row r="68">
      <c r="B68" s="3">
        <v>2.1250527E9</v>
      </c>
      <c r="C68" s="3" t="s">
        <v>320</v>
      </c>
      <c r="D68" s="3" t="s">
        <v>321</v>
      </c>
      <c r="E68" s="75" t="s">
        <v>322</v>
      </c>
      <c r="F68" s="3">
        <v>3.272025073E9</v>
      </c>
      <c r="G68" s="3">
        <v>2025.0</v>
      </c>
      <c r="H68" s="77">
        <v>18994.0</v>
      </c>
      <c r="I68" s="3" t="s">
        <v>26</v>
      </c>
      <c r="J68" s="57" t="s">
        <v>323</v>
      </c>
      <c r="K68" s="12" t="b">
        <v>0</v>
      </c>
      <c r="L68" s="3">
        <v>100.0</v>
      </c>
      <c r="M68" s="3">
        <v>165.0</v>
      </c>
      <c r="N68" s="76">
        <v>46006.0</v>
      </c>
      <c r="O68" s="3" t="s">
        <v>324</v>
      </c>
      <c r="P68" s="76">
        <v>46006.0</v>
      </c>
      <c r="Q68" s="3" t="s">
        <v>325</v>
      </c>
      <c r="T68" s="3">
        <v>1.0</v>
      </c>
      <c r="U68" s="3">
        <v>3.337856544E9</v>
      </c>
      <c r="W68" s="3" t="s">
        <v>319</v>
      </c>
      <c r="X68" s="3" t="s">
        <v>254</v>
      </c>
      <c r="Z68" s="81"/>
      <c r="AA68" s="5">
        <v>73.0</v>
      </c>
    </row>
    <row r="69">
      <c r="B69" s="3">
        <v>2.125053097E9</v>
      </c>
      <c r="C69" s="3" t="s">
        <v>326</v>
      </c>
      <c r="D69" s="3" t="s">
        <v>327</v>
      </c>
      <c r="E69" s="75" t="s">
        <v>328</v>
      </c>
      <c r="F69" s="3">
        <v>3.272025074E9</v>
      </c>
      <c r="G69" s="3">
        <v>2025.0</v>
      </c>
      <c r="H69" s="77">
        <v>29276.0</v>
      </c>
      <c r="I69" s="3" t="s">
        <v>26</v>
      </c>
      <c r="J69" s="57" t="s">
        <v>278</v>
      </c>
      <c r="K69" s="12" t="b">
        <v>0</v>
      </c>
      <c r="L69" s="3">
        <v>55.0</v>
      </c>
      <c r="M69" s="3">
        <v>165.0</v>
      </c>
      <c r="N69" s="76">
        <v>46008.0</v>
      </c>
      <c r="P69" s="76">
        <v>46009.0</v>
      </c>
      <c r="T69" s="3">
        <v>1.0</v>
      </c>
      <c r="Z69" s="81"/>
      <c r="AA69" s="78"/>
    </row>
    <row r="70">
      <c r="B70" s="3">
        <v>2.125053589E9</v>
      </c>
      <c r="C70" s="3" t="s">
        <v>329</v>
      </c>
      <c r="D70" s="3" t="s">
        <v>330</v>
      </c>
      <c r="E70" s="75" t="s">
        <v>331</v>
      </c>
      <c r="G70" s="3">
        <v>2025.0</v>
      </c>
      <c r="H70" s="76">
        <v>33918.0</v>
      </c>
      <c r="I70" s="3" t="s">
        <v>34</v>
      </c>
      <c r="J70" s="57" t="s">
        <v>43</v>
      </c>
      <c r="L70" s="3">
        <v>90.0</v>
      </c>
      <c r="M70" s="3">
        <v>175.0</v>
      </c>
      <c r="N70" s="76">
        <v>46013.0</v>
      </c>
      <c r="O70" s="3" t="s">
        <v>332</v>
      </c>
      <c r="P70" s="76">
        <v>46013.0</v>
      </c>
      <c r="Q70" s="3" t="s">
        <v>333</v>
      </c>
      <c r="T70" s="3">
        <v>1.0</v>
      </c>
      <c r="U70" s="3">
        <v>3.343666031E9</v>
      </c>
      <c r="W70" s="3" t="s">
        <v>334</v>
      </c>
      <c r="X70" s="3" t="s">
        <v>335</v>
      </c>
      <c r="Z70" s="81"/>
      <c r="AA70" s="5" t="s">
        <v>336</v>
      </c>
    </row>
    <row r="71">
      <c r="B71" s="3">
        <v>2.12505375E9</v>
      </c>
      <c r="C71" s="3" t="s">
        <v>117</v>
      </c>
      <c r="D71" s="3" t="s">
        <v>337</v>
      </c>
      <c r="G71" s="3">
        <v>2025.0</v>
      </c>
      <c r="I71" s="3" t="s">
        <v>34</v>
      </c>
      <c r="J71" s="57" t="s">
        <v>43</v>
      </c>
      <c r="L71" s="3">
        <v>110.0</v>
      </c>
      <c r="M71" s="3">
        <v>170.0</v>
      </c>
      <c r="N71" s="76">
        <v>46013.0</v>
      </c>
      <c r="O71" s="3" t="s">
        <v>338</v>
      </c>
      <c r="P71" s="76">
        <v>46013.0</v>
      </c>
      <c r="Q71" s="3" t="s">
        <v>292</v>
      </c>
      <c r="T71" s="3">
        <v>1.0</v>
      </c>
      <c r="U71" s="3">
        <v>3.421921268E9</v>
      </c>
      <c r="W71" s="3" t="s">
        <v>319</v>
      </c>
      <c r="Z71" s="81"/>
      <c r="AA71" s="78"/>
    </row>
    <row r="72">
      <c r="B72" s="3">
        <v>2.125054451E9</v>
      </c>
      <c r="C72" s="3" t="s">
        <v>339</v>
      </c>
      <c r="D72" s="3" t="s">
        <v>340</v>
      </c>
      <c r="E72" s="75" t="s">
        <v>341</v>
      </c>
      <c r="J72" s="94"/>
      <c r="Z72" s="81"/>
      <c r="AA72" s="78"/>
    </row>
    <row r="73">
      <c r="B73" s="3">
        <v>2.126001052E9</v>
      </c>
      <c r="C73" s="3" t="s">
        <v>342</v>
      </c>
      <c r="D73" s="3" t="s">
        <v>343</v>
      </c>
      <c r="E73" s="75" t="s">
        <v>344</v>
      </c>
      <c r="G73" s="3">
        <v>2026.0</v>
      </c>
      <c r="I73" s="3" t="s">
        <v>34</v>
      </c>
      <c r="J73" s="94"/>
      <c r="Z73" s="81"/>
      <c r="AA73" s="78"/>
    </row>
    <row r="74">
      <c r="B74" s="3">
        <v>2.126001104E9</v>
      </c>
      <c r="C74" s="3" t="s">
        <v>345</v>
      </c>
      <c r="D74" s="3" t="s">
        <v>346</v>
      </c>
      <c r="E74" s="75" t="s">
        <v>347</v>
      </c>
      <c r="G74" s="3">
        <v>2026.0</v>
      </c>
      <c r="I74" s="3" t="s">
        <v>34</v>
      </c>
      <c r="J74" s="57" t="s">
        <v>43</v>
      </c>
      <c r="L74" s="3">
        <v>80.0</v>
      </c>
      <c r="M74" s="3">
        <v>175.0</v>
      </c>
      <c r="N74" s="77">
        <v>46033.0</v>
      </c>
      <c r="O74" s="3" t="s">
        <v>348</v>
      </c>
      <c r="P74" s="77">
        <v>46033.0</v>
      </c>
      <c r="Q74" s="3" t="s">
        <v>349</v>
      </c>
      <c r="T74" s="3">
        <v>1.0</v>
      </c>
      <c r="U74" s="3">
        <v>3.356363636E9</v>
      </c>
      <c r="X74" s="3" t="s">
        <v>350</v>
      </c>
      <c r="Z74" s="81"/>
      <c r="AA74" s="78"/>
    </row>
    <row r="75">
      <c r="A75" s="95"/>
      <c r="B75" s="96">
        <v>2.126002771E9</v>
      </c>
      <c r="C75" s="97" t="s">
        <v>351</v>
      </c>
      <c r="D75" s="97" t="s">
        <v>57</v>
      </c>
      <c r="E75" s="75" t="s">
        <v>352</v>
      </c>
      <c r="F75" s="95"/>
      <c r="G75" s="3">
        <v>2026.0</v>
      </c>
      <c r="H75" s="95"/>
      <c r="I75" s="3" t="s">
        <v>34</v>
      </c>
      <c r="J75" s="98" t="s">
        <v>43</v>
      </c>
      <c r="K75" s="95"/>
      <c r="L75" s="74">
        <v>85.0</v>
      </c>
      <c r="M75" s="74">
        <v>175.0</v>
      </c>
      <c r="N75" s="99">
        <v>46043.0</v>
      </c>
      <c r="O75" s="74" t="s">
        <v>353</v>
      </c>
      <c r="P75" s="99">
        <v>46043.0</v>
      </c>
      <c r="Q75" s="74" t="s">
        <v>354</v>
      </c>
      <c r="R75" s="95"/>
      <c r="S75" s="95"/>
      <c r="T75" s="74">
        <v>1.0</v>
      </c>
      <c r="U75" s="74">
        <v>3.391888613E9</v>
      </c>
      <c r="V75" s="95"/>
      <c r="W75" s="74" t="s">
        <v>60</v>
      </c>
      <c r="X75" s="74" t="s">
        <v>355</v>
      </c>
      <c r="Y75" s="95"/>
      <c r="Z75" s="100"/>
      <c r="AA75" s="101" t="s">
        <v>356</v>
      </c>
      <c r="AB75" s="95"/>
      <c r="AC75" s="95"/>
      <c r="AD75" s="95"/>
      <c r="AE75" s="95"/>
    </row>
    <row r="76">
      <c r="A76" s="95"/>
      <c r="B76" s="96">
        <v>2.126003199E9</v>
      </c>
      <c r="C76" s="97" t="s">
        <v>357</v>
      </c>
      <c r="D76" s="97" t="s">
        <v>358</v>
      </c>
      <c r="E76" s="75" t="s">
        <v>359</v>
      </c>
      <c r="F76" s="95"/>
      <c r="G76" s="74">
        <v>2026.0</v>
      </c>
      <c r="H76" s="95"/>
      <c r="I76" s="74" t="s">
        <v>34</v>
      </c>
      <c r="J76" s="102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100"/>
      <c r="AA76" s="103"/>
      <c r="AB76" s="95"/>
      <c r="AC76" s="95"/>
      <c r="AD76" s="95"/>
      <c r="AE76" s="95"/>
    </row>
    <row r="77">
      <c r="B77" s="3">
        <v>2.126000935E9</v>
      </c>
      <c r="C77" s="3" t="s">
        <v>360</v>
      </c>
      <c r="D77" s="3" t="s">
        <v>361</v>
      </c>
      <c r="E77" s="75" t="s">
        <v>362</v>
      </c>
      <c r="G77" s="3">
        <v>2026.0</v>
      </c>
      <c r="I77" s="3" t="s">
        <v>34</v>
      </c>
      <c r="J77" s="94"/>
      <c r="Z77" s="81"/>
      <c r="AA77" s="78"/>
    </row>
    <row r="78">
      <c r="B78" s="3">
        <v>2.126005558E9</v>
      </c>
      <c r="C78" s="3" t="s">
        <v>363</v>
      </c>
      <c r="D78" s="3" t="s">
        <v>232</v>
      </c>
      <c r="E78" s="75" t="s">
        <v>364</v>
      </c>
      <c r="G78" s="3">
        <v>2026.0</v>
      </c>
      <c r="I78" s="3" t="s">
        <v>34</v>
      </c>
      <c r="J78" s="94"/>
      <c r="Z78" s="81"/>
      <c r="AA78" s="78"/>
    </row>
    <row r="79">
      <c r="B79" s="3">
        <v>2.126005799E9</v>
      </c>
      <c r="C79" s="3" t="s">
        <v>365</v>
      </c>
      <c r="D79" s="3" t="s">
        <v>366</v>
      </c>
      <c r="E79" s="75" t="s">
        <v>367</v>
      </c>
      <c r="G79" s="3">
        <v>2026.0</v>
      </c>
      <c r="H79" s="76">
        <v>25142.0</v>
      </c>
      <c r="I79" s="3" t="s">
        <v>26</v>
      </c>
      <c r="J79" s="57" t="s">
        <v>63</v>
      </c>
      <c r="K79" s="3" t="s">
        <v>368</v>
      </c>
      <c r="L79" s="3">
        <v>56.0</v>
      </c>
      <c r="M79" s="3">
        <v>151.0</v>
      </c>
      <c r="N79" s="77">
        <v>46063.0</v>
      </c>
      <c r="O79" s="3" t="s">
        <v>104</v>
      </c>
      <c r="P79" s="77">
        <v>46063.0</v>
      </c>
      <c r="Q79" s="3" t="s">
        <v>369</v>
      </c>
      <c r="T79" s="3">
        <v>1.0</v>
      </c>
      <c r="X79" s="3" t="s">
        <v>335</v>
      </c>
      <c r="Z79" s="81"/>
      <c r="AA79" s="78"/>
    </row>
    <row r="80">
      <c r="B80" s="3">
        <v>2.126010635E9</v>
      </c>
      <c r="C80" s="3" t="s">
        <v>370</v>
      </c>
      <c r="D80" s="3" t="s">
        <v>371</v>
      </c>
      <c r="E80" s="75" t="s">
        <v>372</v>
      </c>
      <c r="G80" s="3">
        <v>2026.0</v>
      </c>
      <c r="H80" s="77">
        <v>26858.0</v>
      </c>
      <c r="I80" s="3" t="s">
        <v>26</v>
      </c>
      <c r="J80" s="94"/>
      <c r="Z80" s="81"/>
      <c r="AA80" s="78"/>
    </row>
    <row r="81">
      <c r="B81" s="57"/>
      <c r="C81" s="3" t="s">
        <v>373</v>
      </c>
      <c r="D81" s="3" t="s">
        <v>374</v>
      </c>
      <c r="E81" s="75"/>
      <c r="G81" s="3">
        <v>2026.0</v>
      </c>
      <c r="H81" s="76"/>
      <c r="I81" s="3" t="s">
        <v>26</v>
      </c>
      <c r="J81" s="94"/>
      <c r="Z81" s="81"/>
      <c r="AA81" s="78"/>
    </row>
    <row r="82">
      <c r="B82" s="57">
        <v>2.126013712E9</v>
      </c>
      <c r="C82" s="45" t="s">
        <v>375</v>
      </c>
      <c r="D82" s="3" t="s">
        <v>376</v>
      </c>
      <c r="E82" s="75"/>
      <c r="G82" s="3">
        <v>2026.0</v>
      </c>
      <c r="H82" s="76"/>
      <c r="I82" s="3" t="s">
        <v>34</v>
      </c>
      <c r="J82" s="94"/>
      <c r="Z82" s="81"/>
      <c r="AA82" s="78"/>
    </row>
    <row r="83">
      <c r="B83" s="57">
        <v>2.126016647E9</v>
      </c>
      <c r="C83" s="3" t="s">
        <v>377</v>
      </c>
      <c r="D83" s="3" t="s">
        <v>378</v>
      </c>
      <c r="E83" s="75" t="s">
        <v>379</v>
      </c>
      <c r="G83" s="3">
        <v>2026.0</v>
      </c>
      <c r="H83" s="76">
        <v>23364.0</v>
      </c>
      <c r="I83" s="3" t="s">
        <v>34</v>
      </c>
      <c r="J83" s="94"/>
      <c r="Z83" s="81"/>
      <c r="AA83" s="78"/>
    </row>
    <row r="84">
      <c r="B84" s="57">
        <v>2.126017049E9</v>
      </c>
      <c r="C84" s="45" t="s">
        <v>380</v>
      </c>
      <c r="D84" s="3" t="s">
        <v>381</v>
      </c>
      <c r="G84" s="3">
        <v>2026.0</v>
      </c>
      <c r="H84" s="77"/>
      <c r="I84" s="3"/>
      <c r="J84" s="94"/>
      <c r="Z84" s="81"/>
      <c r="AA84" s="78"/>
    </row>
    <row r="85">
      <c r="B85" s="57">
        <v>2.12601764E9</v>
      </c>
      <c r="C85" s="3" t="s">
        <v>382</v>
      </c>
      <c r="D85" s="3" t="s">
        <v>383</v>
      </c>
      <c r="E85" s="75"/>
      <c r="G85" s="3">
        <v>2026.0</v>
      </c>
      <c r="H85" s="77">
        <v>24011.0</v>
      </c>
      <c r="I85" s="3" t="s">
        <v>34</v>
      </c>
      <c r="J85" s="94"/>
      <c r="Z85" s="81"/>
      <c r="AA85" s="78"/>
    </row>
    <row r="86">
      <c r="J86" s="94"/>
      <c r="Z86" s="81"/>
      <c r="AA86" s="78"/>
    </row>
    <row r="87">
      <c r="J87" s="94"/>
      <c r="Z87" s="81"/>
      <c r="AA87" s="78"/>
    </row>
    <row r="88">
      <c r="J88" s="94"/>
      <c r="Z88" s="81"/>
      <c r="AA88" s="78"/>
    </row>
    <row r="89">
      <c r="J89" s="94"/>
      <c r="Z89" s="81"/>
      <c r="AA89" s="78"/>
    </row>
    <row r="90">
      <c r="J90" s="94"/>
      <c r="Z90" s="81"/>
      <c r="AA90" s="78"/>
    </row>
    <row r="91">
      <c r="J91" s="94"/>
      <c r="Z91" s="81"/>
      <c r="AA91" s="78"/>
    </row>
    <row r="92">
      <c r="J92" s="94"/>
      <c r="Z92" s="81"/>
      <c r="AA92" s="78"/>
    </row>
    <row r="93">
      <c r="J93" s="94"/>
      <c r="Z93" s="81"/>
      <c r="AA93" s="78"/>
    </row>
    <row r="94">
      <c r="J94" s="94"/>
      <c r="Z94" s="81"/>
      <c r="AA94" s="78"/>
    </row>
    <row r="95">
      <c r="J95" s="94"/>
      <c r="Z95" s="81"/>
      <c r="AA95" s="78"/>
    </row>
    <row r="96">
      <c r="J96" s="94"/>
      <c r="Z96" s="81"/>
      <c r="AA96" s="78"/>
    </row>
    <row r="97">
      <c r="J97" s="94"/>
      <c r="Z97" s="81"/>
      <c r="AA97" s="78"/>
    </row>
    <row r="98">
      <c r="J98" s="94"/>
      <c r="Z98" s="81"/>
      <c r="AA98" s="78"/>
    </row>
    <row r="99">
      <c r="J99" s="94"/>
      <c r="Z99" s="81"/>
      <c r="AA99" s="78"/>
    </row>
    <row r="100">
      <c r="J100" s="94"/>
      <c r="Z100" s="81"/>
      <c r="AA100" s="78"/>
    </row>
    <row r="101">
      <c r="J101" s="94"/>
      <c r="Z101" s="81"/>
      <c r="AA101" s="78"/>
    </row>
    <row r="102">
      <c r="J102" s="94"/>
      <c r="Z102" s="81"/>
      <c r="AA102" s="78"/>
    </row>
    <row r="103">
      <c r="J103" s="94"/>
      <c r="Z103" s="81"/>
      <c r="AA103" s="78"/>
    </row>
    <row r="104">
      <c r="J104" s="94"/>
      <c r="Z104" s="81"/>
      <c r="AA104" s="78"/>
    </row>
    <row r="105">
      <c r="J105" s="94"/>
      <c r="Z105" s="81"/>
      <c r="AA105" s="78"/>
    </row>
    <row r="106">
      <c r="J106" s="94"/>
      <c r="Z106" s="81"/>
      <c r="AA106" s="78"/>
    </row>
    <row r="107">
      <c r="J107" s="94"/>
      <c r="Z107" s="81"/>
      <c r="AA107" s="78"/>
    </row>
    <row r="108">
      <c r="J108" s="94"/>
      <c r="Z108" s="81"/>
      <c r="AA108" s="78"/>
    </row>
    <row r="109">
      <c r="J109" s="94"/>
      <c r="Z109" s="81"/>
      <c r="AA109" s="78"/>
    </row>
    <row r="110">
      <c r="J110" s="94"/>
      <c r="Z110" s="81"/>
      <c r="AA110" s="78"/>
    </row>
    <row r="111">
      <c r="J111" s="94"/>
      <c r="Z111" s="81"/>
      <c r="AA111" s="78"/>
    </row>
    <row r="112">
      <c r="J112" s="94"/>
      <c r="Z112" s="81"/>
      <c r="AA112" s="78"/>
    </row>
    <row r="113">
      <c r="J113" s="94"/>
      <c r="Z113" s="81"/>
      <c r="AA113" s="78"/>
    </row>
    <row r="114">
      <c r="J114" s="94"/>
      <c r="Z114" s="81"/>
      <c r="AA114" s="78"/>
    </row>
    <row r="115">
      <c r="J115" s="94"/>
      <c r="Z115" s="81"/>
      <c r="AA115" s="78"/>
    </row>
    <row r="116">
      <c r="J116" s="94"/>
      <c r="Z116" s="81"/>
      <c r="AA116" s="78"/>
    </row>
    <row r="117">
      <c r="J117" s="94"/>
      <c r="Z117" s="81"/>
      <c r="AA117" s="78"/>
    </row>
    <row r="118">
      <c r="J118" s="94"/>
      <c r="Z118" s="81"/>
      <c r="AA118" s="78"/>
    </row>
    <row r="119">
      <c r="J119" s="94"/>
      <c r="Z119" s="81"/>
      <c r="AA119" s="78"/>
    </row>
    <row r="120">
      <c r="J120" s="94"/>
      <c r="Z120" s="81"/>
      <c r="AA120" s="78"/>
    </row>
    <row r="121">
      <c r="J121" s="94"/>
      <c r="Z121" s="81"/>
      <c r="AA121" s="78"/>
    </row>
    <row r="122">
      <c r="J122" s="94"/>
      <c r="Z122" s="81"/>
      <c r="AA122" s="78"/>
    </row>
    <row r="123">
      <c r="J123" s="94"/>
      <c r="Z123" s="81"/>
      <c r="AA123" s="78"/>
    </row>
    <row r="124">
      <c r="J124" s="94"/>
      <c r="Z124" s="81"/>
      <c r="AA124" s="78"/>
    </row>
    <row r="125">
      <c r="J125" s="94"/>
      <c r="Z125" s="81"/>
      <c r="AA125" s="78"/>
    </row>
    <row r="126">
      <c r="J126" s="94"/>
      <c r="Z126" s="81"/>
      <c r="AA126" s="78"/>
    </row>
    <row r="127">
      <c r="J127" s="94"/>
      <c r="Z127" s="81"/>
      <c r="AA127" s="78"/>
    </row>
    <row r="128">
      <c r="J128" s="94"/>
      <c r="Z128" s="81"/>
      <c r="AA128" s="78"/>
    </row>
    <row r="129">
      <c r="J129" s="94"/>
      <c r="Z129" s="81"/>
      <c r="AA129" s="78"/>
    </row>
    <row r="130">
      <c r="J130" s="94"/>
      <c r="Z130" s="81"/>
      <c r="AA130" s="78"/>
    </row>
    <row r="131">
      <c r="J131" s="94"/>
      <c r="Z131" s="81"/>
      <c r="AA131" s="78"/>
    </row>
    <row r="132">
      <c r="J132" s="94"/>
      <c r="Z132" s="81"/>
      <c r="AA132" s="78"/>
    </row>
    <row r="133">
      <c r="J133" s="94"/>
      <c r="Z133" s="81"/>
      <c r="AA133" s="78"/>
    </row>
    <row r="134">
      <c r="J134" s="94"/>
      <c r="Z134" s="81"/>
      <c r="AA134" s="78"/>
    </row>
    <row r="135">
      <c r="J135" s="94"/>
      <c r="Z135" s="81"/>
      <c r="AA135" s="78"/>
    </row>
    <row r="136">
      <c r="J136" s="94"/>
      <c r="Z136" s="81"/>
      <c r="AA136" s="78"/>
    </row>
    <row r="137">
      <c r="J137" s="94"/>
      <c r="Z137" s="81"/>
      <c r="AA137" s="78"/>
    </row>
    <row r="138">
      <c r="J138" s="94"/>
      <c r="Z138" s="81"/>
      <c r="AA138" s="78"/>
    </row>
    <row r="139">
      <c r="J139" s="94"/>
      <c r="Z139" s="81"/>
      <c r="AA139" s="78"/>
    </row>
    <row r="140">
      <c r="J140" s="94"/>
      <c r="Z140" s="81"/>
      <c r="AA140" s="78"/>
    </row>
    <row r="141">
      <c r="J141" s="94"/>
      <c r="Z141" s="81"/>
      <c r="AA141" s="78"/>
    </row>
    <row r="142">
      <c r="J142" s="94"/>
      <c r="Z142" s="81"/>
      <c r="AA142" s="78"/>
    </row>
    <row r="143">
      <c r="J143" s="94"/>
      <c r="Z143" s="81"/>
      <c r="AA143" s="78"/>
    </row>
    <row r="144">
      <c r="J144" s="94"/>
      <c r="Z144" s="81"/>
      <c r="AA144" s="78"/>
    </row>
    <row r="145">
      <c r="J145" s="94"/>
      <c r="Z145" s="81"/>
      <c r="AA145" s="78"/>
    </row>
    <row r="146">
      <c r="J146" s="94"/>
      <c r="Z146" s="81"/>
      <c r="AA146" s="78"/>
    </row>
    <row r="147">
      <c r="J147" s="94"/>
      <c r="Z147" s="81"/>
      <c r="AA147" s="78"/>
    </row>
    <row r="148">
      <c r="J148" s="94"/>
      <c r="Z148" s="81"/>
      <c r="AA148" s="78"/>
    </row>
    <row r="149">
      <c r="J149" s="94"/>
      <c r="Z149" s="81"/>
      <c r="AA149" s="78"/>
    </row>
    <row r="150">
      <c r="J150" s="94"/>
      <c r="Z150" s="81"/>
      <c r="AA150" s="78"/>
    </row>
    <row r="151">
      <c r="J151" s="94"/>
      <c r="Z151" s="81"/>
      <c r="AA151" s="78"/>
    </row>
    <row r="152">
      <c r="J152" s="94"/>
      <c r="Z152" s="81"/>
      <c r="AA152" s="78"/>
    </row>
    <row r="153">
      <c r="J153" s="94"/>
      <c r="Z153" s="81"/>
      <c r="AA153" s="78"/>
    </row>
    <row r="154">
      <c r="J154" s="94"/>
      <c r="Z154" s="81"/>
      <c r="AA154" s="78"/>
    </row>
    <row r="155">
      <c r="J155" s="94"/>
      <c r="Z155" s="81"/>
      <c r="AA155" s="78"/>
    </row>
    <row r="156">
      <c r="J156" s="94"/>
      <c r="Z156" s="81"/>
      <c r="AA156" s="78"/>
    </row>
    <row r="157">
      <c r="J157" s="94"/>
      <c r="Z157" s="81"/>
      <c r="AA157" s="78"/>
    </row>
    <row r="158">
      <c r="J158" s="94"/>
      <c r="Z158" s="81"/>
      <c r="AA158" s="78"/>
    </row>
    <row r="159">
      <c r="J159" s="94"/>
      <c r="Z159" s="81"/>
      <c r="AA159" s="78"/>
    </row>
    <row r="160">
      <c r="J160" s="94"/>
      <c r="Z160" s="81"/>
      <c r="AA160" s="78"/>
    </row>
    <row r="161">
      <c r="J161" s="94"/>
      <c r="Z161" s="81"/>
      <c r="AA161" s="78"/>
    </row>
    <row r="162">
      <c r="J162" s="94"/>
      <c r="Z162" s="81"/>
      <c r="AA162" s="78"/>
    </row>
    <row r="163">
      <c r="J163" s="94"/>
      <c r="Z163" s="81"/>
      <c r="AA163" s="78"/>
    </row>
    <row r="164">
      <c r="J164" s="94"/>
      <c r="Z164" s="81"/>
      <c r="AA164" s="78"/>
    </row>
    <row r="165">
      <c r="J165" s="94"/>
      <c r="Z165" s="81"/>
      <c r="AA165" s="78"/>
    </row>
    <row r="166">
      <c r="J166" s="94"/>
      <c r="Z166" s="81"/>
      <c r="AA166" s="78"/>
    </row>
    <row r="167">
      <c r="J167" s="94"/>
      <c r="Z167" s="81"/>
      <c r="AA167" s="78"/>
    </row>
    <row r="168">
      <c r="J168" s="94"/>
      <c r="Z168" s="81"/>
      <c r="AA168" s="78"/>
    </row>
    <row r="169">
      <c r="J169" s="94"/>
      <c r="Z169" s="81"/>
      <c r="AA169" s="78"/>
    </row>
    <row r="170">
      <c r="J170" s="94"/>
      <c r="Z170" s="81"/>
      <c r="AA170" s="78"/>
    </row>
    <row r="171">
      <c r="J171" s="94"/>
      <c r="Z171" s="81"/>
      <c r="AA171" s="78"/>
    </row>
    <row r="172">
      <c r="J172" s="94"/>
      <c r="Z172" s="81"/>
      <c r="AA172" s="78"/>
    </row>
    <row r="173">
      <c r="J173" s="94"/>
      <c r="Z173" s="81"/>
      <c r="AA173" s="78"/>
    </row>
    <row r="174">
      <c r="J174" s="94"/>
      <c r="Z174" s="81"/>
      <c r="AA174" s="78"/>
    </row>
    <row r="175">
      <c r="J175" s="94"/>
      <c r="Z175" s="81"/>
      <c r="AA175" s="78"/>
    </row>
    <row r="176">
      <c r="J176" s="94"/>
      <c r="Z176" s="81"/>
      <c r="AA176" s="78"/>
    </row>
    <row r="177">
      <c r="J177" s="94"/>
      <c r="Z177" s="81"/>
      <c r="AA177" s="78"/>
    </row>
    <row r="178">
      <c r="J178" s="94"/>
      <c r="Z178" s="81"/>
      <c r="AA178" s="78"/>
    </row>
    <row r="179">
      <c r="J179" s="94"/>
      <c r="Z179" s="81"/>
      <c r="AA179" s="78"/>
    </row>
    <row r="180">
      <c r="J180" s="94"/>
      <c r="Z180" s="81"/>
      <c r="AA180" s="78"/>
    </row>
    <row r="181">
      <c r="J181" s="94"/>
      <c r="Z181" s="81"/>
      <c r="AA181" s="78"/>
    </row>
    <row r="182">
      <c r="J182" s="94"/>
      <c r="Z182" s="81"/>
      <c r="AA182" s="78"/>
    </row>
    <row r="183">
      <c r="J183" s="94"/>
      <c r="Z183" s="81"/>
      <c r="AA183" s="78"/>
    </row>
    <row r="184">
      <c r="J184" s="94"/>
      <c r="Z184" s="81"/>
      <c r="AA184" s="78"/>
    </row>
    <row r="185">
      <c r="J185" s="94"/>
      <c r="Z185" s="81"/>
      <c r="AA185" s="78"/>
    </row>
    <row r="186">
      <c r="J186" s="94"/>
      <c r="Z186" s="81"/>
      <c r="AA186" s="78"/>
    </row>
    <row r="187">
      <c r="J187" s="94"/>
      <c r="Z187" s="81"/>
      <c r="AA187" s="78"/>
    </row>
    <row r="188">
      <c r="J188" s="94"/>
      <c r="Z188" s="81"/>
      <c r="AA188" s="78"/>
    </row>
    <row r="189">
      <c r="J189" s="94"/>
      <c r="Z189" s="81"/>
      <c r="AA189" s="78"/>
    </row>
    <row r="190">
      <c r="J190" s="94"/>
      <c r="Z190" s="81"/>
      <c r="AA190" s="78"/>
    </row>
    <row r="191">
      <c r="J191" s="94"/>
      <c r="Z191" s="81"/>
      <c r="AA191" s="78"/>
    </row>
    <row r="192">
      <c r="J192" s="94"/>
      <c r="Z192" s="81"/>
      <c r="AA192" s="78"/>
    </row>
    <row r="193">
      <c r="J193" s="94"/>
      <c r="Z193" s="81"/>
      <c r="AA193" s="78"/>
    </row>
    <row r="194">
      <c r="J194" s="94"/>
      <c r="Z194" s="81"/>
      <c r="AA194" s="78"/>
    </row>
    <row r="195">
      <c r="J195" s="94"/>
      <c r="Z195" s="81"/>
      <c r="AA195" s="78"/>
    </row>
    <row r="196">
      <c r="J196" s="94"/>
      <c r="Z196" s="81"/>
      <c r="AA196" s="78"/>
    </row>
    <row r="197">
      <c r="J197" s="94"/>
      <c r="Z197" s="81"/>
      <c r="AA197" s="78"/>
    </row>
    <row r="198">
      <c r="J198" s="94"/>
      <c r="Z198" s="81"/>
      <c r="AA198" s="78"/>
    </row>
    <row r="199">
      <c r="J199" s="94"/>
      <c r="Z199" s="81"/>
      <c r="AA199" s="78"/>
    </row>
    <row r="200">
      <c r="J200" s="94"/>
      <c r="Z200" s="81"/>
      <c r="AA200" s="78"/>
    </row>
    <row r="201">
      <c r="J201" s="94"/>
      <c r="Z201" s="81"/>
      <c r="AA201" s="78"/>
    </row>
    <row r="202">
      <c r="J202" s="94"/>
      <c r="Z202" s="81"/>
      <c r="AA202" s="78"/>
    </row>
    <row r="203">
      <c r="J203" s="94"/>
      <c r="Z203" s="81"/>
      <c r="AA203" s="78"/>
    </row>
    <row r="204">
      <c r="J204" s="94"/>
      <c r="Z204" s="81"/>
      <c r="AA204" s="78"/>
    </row>
    <row r="205">
      <c r="J205" s="94"/>
      <c r="Z205" s="81"/>
      <c r="AA205" s="78"/>
    </row>
    <row r="206">
      <c r="J206" s="94"/>
      <c r="Z206" s="81"/>
      <c r="AA206" s="78"/>
    </row>
    <row r="207">
      <c r="J207" s="94"/>
      <c r="Z207" s="81"/>
      <c r="AA207" s="78"/>
    </row>
    <row r="208">
      <c r="J208" s="94"/>
      <c r="Z208" s="81"/>
      <c r="AA208" s="78"/>
    </row>
    <row r="209">
      <c r="J209" s="94"/>
      <c r="Z209" s="81"/>
      <c r="AA209" s="78"/>
    </row>
    <row r="210">
      <c r="J210" s="94"/>
      <c r="Z210" s="81"/>
      <c r="AA210" s="78"/>
    </row>
    <row r="211">
      <c r="J211" s="94"/>
      <c r="Z211" s="81"/>
      <c r="AA211" s="78"/>
    </row>
    <row r="212">
      <c r="J212" s="94"/>
      <c r="Z212" s="81"/>
      <c r="AA212" s="78"/>
    </row>
    <row r="213">
      <c r="J213" s="94"/>
      <c r="Z213" s="81"/>
      <c r="AA213" s="78"/>
    </row>
    <row r="214">
      <c r="J214" s="94"/>
      <c r="Z214" s="81"/>
      <c r="AA214" s="78"/>
    </row>
    <row r="215">
      <c r="J215" s="94"/>
      <c r="Z215" s="81"/>
      <c r="AA215" s="78"/>
    </row>
    <row r="216">
      <c r="J216" s="94"/>
      <c r="Z216" s="81"/>
      <c r="AA216" s="78"/>
    </row>
    <row r="217">
      <c r="J217" s="94"/>
      <c r="Z217" s="81"/>
      <c r="AA217" s="78"/>
    </row>
    <row r="218">
      <c r="J218" s="94"/>
      <c r="Z218" s="81"/>
      <c r="AA218" s="78"/>
    </row>
    <row r="219">
      <c r="J219" s="94"/>
      <c r="Z219" s="81"/>
      <c r="AA219" s="78"/>
    </row>
    <row r="220">
      <c r="J220" s="94"/>
      <c r="Z220" s="81"/>
      <c r="AA220" s="78"/>
    </row>
    <row r="221">
      <c r="J221" s="94"/>
      <c r="Z221" s="81"/>
      <c r="AA221" s="78"/>
    </row>
    <row r="222">
      <c r="J222" s="94"/>
      <c r="Z222" s="81"/>
      <c r="AA222" s="78"/>
    </row>
    <row r="223">
      <c r="J223" s="94"/>
      <c r="Z223" s="81"/>
      <c r="AA223" s="78"/>
    </row>
    <row r="224">
      <c r="J224" s="94"/>
      <c r="Z224" s="81"/>
      <c r="AA224" s="78"/>
    </row>
    <row r="225">
      <c r="J225" s="94"/>
      <c r="Z225" s="81"/>
      <c r="AA225" s="78"/>
    </row>
    <row r="226">
      <c r="J226" s="94"/>
      <c r="Z226" s="81"/>
      <c r="AA226" s="78"/>
    </row>
    <row r="227">
      <c r="J227" s="94"/>
      <c r="Z227" s="81"/>
      <c r="AA227" s="78"/>
    </row>
    <row r="228">
      <c r="J228" s="94"/>
      <c r="Z228" s="81"/>
      <c r="AA228" s="78"/>
    </row>
    <row r="229">
      <c r="J229" s="94"/>
      <c r="Z229" s="81"/>
      <c r="AA229" s="78"/>
    </row>
    <row r="230">
      <c r="J230" s="94"/>
      <c r="Z230" s="81"/>
      <c r="AA230" s="78"/>
    </row>
    <row r="231">
      <c r="J231" s="94"/>
      <c r="Z231" s="81"/>
      <c r="AA231" s="78"/>
    </row>
    <row r="232">
      <c r="J232" s="94"/>
      <c r="Z232" s="81"/>
      <c r="AA232" s="78"/>
    </row>
    <row r="233">
      <c r="J233" s="94"/>
      <c r="Z233" s="81"/>
      <c r="AA233" s="78"/>
    </row>
    <row r="234">
      <c r="J234" s="94"/>
      <c r="Z234" s="81"/>
      <c r="AA234" s="78"/>
    </row>
    <row r="235">
      <c r="J235" s="94"/>
      <c r="Z235" s="81"/>
      <c r="AA235" s="78"/>
    </row>
    <row r="236">
      <c r="J236" s="94"/>
      <c r="Z236" s="81"/>
      <c r="AA236" s="78"/>
    </row>
    <row r="237">
      <c r="J237" s="94"/>
      <c r="Z237" s="81"/>
      <c r="AA237" s="78"/>
    </row>
    <row r="238">
      <c r="J238" s="94"/>
      <c r="Z238" s="81"/>
      <c r="AA238" s="78"/>
    </row>
    <row r="239">
      <c r="J239" s="94"/>
      <c r="Z239" s="81"/>
      <c r="AA239" s="78"/>
    </row>
    <row r="240">
      <c r="J240" s="94"/>
      <c r="Z240" s="81"/>
      <c r="AA240" s="78"/>
    </row>
    <row r="241">
      <c r="J241" s="94"/>
      <c r="Z241" s="81"/>
      <c r="AA241" s="78"/>
    </row>
    <row r="242">
      <c r="J242" s="94"/>
      <c r="Z242" s="81"/>
      <c r="AA242" s="78"/>
    </row>
    <row r="243">
      <c r="J243" s="94"/>
      <c r="Z243" s="81"/>
      <c r="AA243" s="78"/>
    </row>
    <row r="244">
      <c r="J244" s="94"/>
      <c r="Z244" s="81"/>
      <c r="AA244" s="78"/>
    </row>
    <row r="245">
      <c r="J245" s="94"/>
      <c r="Z245" s="81"/>
      <c r="AA245" s="78"/>
    </row>
    <row r="246">
      <c r="J246" s="94"/>
      <c r="Z246" s="81"/>
      <c r="AA246" s="78"/>
    </row>
    <row r="247">
      <c r="J247" s="94"/>
      <c r="Z247" s="81"/>
      <c r="AA247" s="78"/>
    </row>
    <row r="248">
      <c r="J248" s="94"/>
      <c r="Z248" s="81"/>
      <c r="AA248" s="78"/>
    </row>
    <row r="249">
      <c r="J249" s="94"/>
      <c r="Z249" s="81"/>
      <c r="AA249" s="78"/>
    </row>
    <row r="250">
      <c r="J250" s="94"/>
      <c r="Z250" s="81"/>
      <c r="AA250" s="78"/>
    </row>
    <row r="251">
      <c r="J251" s="94"/>
      <c r="Z251" s="81"/>
      <c r="AA251" s="78"/>
    </row>
    <row r="252">
      <c r="J252" s="94"/>
      <c r="Z252" s="81"/>
      <c r="AA252" s="78"/>
    </row>
    <row r="253">
      <c r="J253" s="94"/>
      <c r="Z253" s="81"/>
      <c r="AA253" s="78"/>
    </row>
    <row r="254">
      <c r="J254" s="94"/>
      <c r="Z254" s="81"/>
      <c r="AA254" s="78"/>
    </row>
    <row r="255">
      <c r="J255" s="94"/>
      <c r="Z255" s="81"/>
      <c r="AA255" s="78"/>
    </row>
    <row r="256">
      <c r="J256" s="94"/>
      <c r="Z256" s="81"/>
      <c r="AA256" s="78"/>
    </row>
    <row r="257">
      <c r="J257" s="94"/>
      <c r="Z257" s="81"/>
      <c r="AA257" s="78"/>
    </row>
    <row r="258">
      <c r="J258" s="94"/>
      <c r="Z258" s="81"/>
      <c r="AA258" s="78"/>
    </row>
    <row r="259">
      <c r="J259" s="94"/>
      <c r="Z259" s="81"/>
      <c r="AA259" s="78"/>
    </row>
    <row r="260">
      <c r="J260" s="94"/>
      <c r="Z260" s="81"/>
      <c r="AA260" s="78"/>
    </row>
    <row r="261">
      <c r="J261" s="94"/>
      <c r="Z261" s="81"/>
      <c r="AA261" s="78"/>
    </row>
    <row r="262">
      <c r="J262" s="94"/>
      <c r="Z262" s="81"/>
      <c r="AA262" s="78"/>
    </row>
    <row r="263">
      <c r="J263" s="94"/>
      <c r="Z263" s="81"/>
      <c r="AA263" s="78"/>
    </row>
    <row r="264">
      <c r="J264" s="94"/>
      <c r="Z264" s="81"/>
      <c r="AA264" s="78"/>
    </row>
    <row r="265">
      <c r="J265" s="94"/>
      <c r="Z265" s="81"/>
      <c r="AA265" s="78"/>
    </row>
    <row r="266">
      <c r="J266" s="94"/>
      <c r="Z266" s="81"/>
      <c r="AA266" s="78"/>
    </row>
    <row r="267">
      <c r="J267" s="94"/>
      <c r="Z267" s="81"/>
      <c r="AA267" s="78"/>
    </row>
    <row r="268">
      <c r="J268" s="94"/>
      <c r="Z268" s="81"/>
      <c r="AA268" s="78"/>
    </row>
    <row r="269">
      <c r="J269" s="94"/>
      <c r="Z269" s="81"/>
      <c r="AA269" s="78"/>
    </row>
    <row r="270">
      <c r="J270" s="94"/>
      <c r="Z270" s="81"/>
      <c r="AA270" s="78"/>
    </row>
    <row r="271">
      <c r="J271" s="94"/>
      <c r="Z271" s="81"/>
      <c r="AA271" s="78"/>
    </row>
    <row r="272">
      <c r="J272" s="94"/>
      <c r="Z272" s="81"/>
      <c r="AA272" s="78"/>
    </row>
    <row r="273">
      <c r="J273" s="94"/>
      <c r="Z273" s="81"/>
      <c r="AA273" s="78"/>
    </row>
    <row r="274">
      <c r="J274" s="94"/>
      <c r="Z274" s="81"/>
      <c r="AA274" s="78"/>
    </row>
    <row r="275">
      <c r="J275" s="94"/>
      <c r="Z275" s="81"/>
      <c r="AA275" s="78"/>
    </row>
    <row r="276">
      <c r="J276" s="94"/>
      <c r="Z276" s="81"/>
      <c r="AA276" s="78"/>
    </row>
    <row r="277">
      <c r="J277" s="94"/>
      <c r="Z277" s="81"/>
      <c r="AA277" s="78"/>
    </row>
    <row r="278">
      <c r="J278" s="94"/>
      <c r="Z278" s="81"/>
      <c r="AA278" s="78"/>
    </row>
    <row r="279">
      <c r="J279" s="94"/>
      <c r="Z279" s="81"/>
      <c r="AA279" s="78"/>
    </row>
    <row r="280">
      <c r="J280" s="94"/>
      <c r="Z280" s="81"/>
      <c r="AA280" s="78"/>
    </row>
    <row r="281">
      <c r="J281" s="94"/>
      <c r="Z281" s="81"/>
      <c r="AA281" s="78"/>
    </row>
    <row r="282">
      <c r="J282" s="94"/>
      <c r="Z282" s="81"/>
      <c r="AA282" s="78"/>
    </row>
    <row r="283">
      <c r="J283" s="94"/>
      <c r="Z283" s="81"/>
      <c r="AA283" s="78"/>
    </row>
    <row r="284">
      <c r="J284" s="94"/>
      <c r="Z284" s="81"/>
      <c r="AA284" s="78"/>
    </row>
    <row r="285">
      <c r="J285" s="94"/>
      <c r="Z285" s="81"/>
      <c r="AA285" s="78"/>
    </row>
    <row r="286">
      <c r="J286" s="94"/>
      <c r="Z286" s="81"/>
      <c r="AA286" s="78"/>
    </row>
    <row r="287">
      <c r="J287" s="94"/>
      <c r="Z287" s="81"/>
      <c r="AA287" s="78"/>
    </row>
    <row r="288">
      <c r="J288" s="94"/>
      <c r="Z288" s="81"/>
      <c r="AA288" s="78"/>
    </row>
    <row r="289">
      <c r="J289" s="94"/>
      <c r="Z289" s="81"/>
      <c r="AA289" s="78"/>
    </row>
    <row r="290">
      <c r="J290" s="94"/>
      <c r="Z290" s="81"/>
      <c r="AA290" s="78"/>
    </row>
    <row r="291">
      <c r="J291" s="94"/>
      <c r="Z291" s="81"/>
      <c r="AA291" s="78"/>
    </row>
    <row r="292">
      <c r="J292" s="94"/>
      <c r="Z292" s="81"/>
      <c r="AA292" s="78"/>
    </row>
    <row r="293">
      <c r="J293" s="94"/>
      <c r="Z293" s="81"/>
      <c r="AA293" s="78"/>
    </row>
    <row r="294">
      <c r="J294" s="94"/>
      <c r="Z294" s="81"/>
      <c r="AA294" s="78"/>
    </row>
    <row r="295">
      <c r="J295" s="94"/>
      <c r="Z295" s="81"/>
      <c r="AA295" s="78"/>
    </row>
    <row r="296">
      <c r="J296" s="94"/>
      <c r="Z296" s="81"/>
      <c r="AA296" s="78"/>
    </row>
    <row r="297">
      <c r="J297" s="94"/>
      <c r="Z297" s="81"/>
      <c r="AA297" s="78"/>
    </row>
    <row r="298">
      <c r="J298" s="94"/>
      <c r="Z298" s="81"/>
      <c r="AA298" s="78"/>
    </row>
    <row r="299">
      <c r="J299" s="94"/>
      <c r="Z299" s="81"/>
      <c r="AA299" s="78"/>
    </row>
    <row r="300">
      <c r="J300" s="94"/>
      <c r="Z300" s="81"/>
      <c r="AA300" s="78"/>
    </row>
    <row r="301">
      <c r="J301" s="94"/>
      <c r="Z301" s="81"/>
      <c r="AA301" s="78"/>
    </row>
    <row r="302">
      <c r="J302" s="94"/>
      <c r="Z302" s="81"/>
      <c r="AA302" s="78"/>
    </row>
    <row r="303">
      <c r="J303" s="94"/>
      <c r="Z303" s="81"/>
      <c r="AA303" s="78"/>
    </row>
    <row r="304">
      <c r="J304" s="94"/>
      <c r="Z304" s="81"/>
      <c r="AA304" s="78"/>
    </row>
    <row r="305">
      <c r="J305" s="94"/>
      <c r="Z305" s="81"/>
      <c r="AA305" s="78"/>
    </row>
    <row r="306">
      <c r="J306" s="94"/>
      <c r="Z306" s="81"/>
      <c r="AA306" s="78"/>
    </row>
    <row r="307">
      <c r="J307" s="94"/>
      <c r="Z307" s="81"/>
      <c r="AA307" s="78"/>
    </row>
    <row r="308">
      <c r="J308" s="94"/>
      <c r="Z308" s="81"/>
      <c r="AA308" s="78"/>
    </row>
    <row r="309">
      <c r="J309" s="94"/>
      <c r="Z309" s="81"/>
      <c r="AA309" s="78"/>
    </row>
    <row r="310">
      <c r="J310" s="94"/>
      <c r="Z310" s="81"/>
      <c r="AA310" s="78"/>
    </row>
    <row r="311">
      <c r="J311" s="94"/>
      <c r="Z311" s="81"/>
      <c r="AA311" s="78"/>
    </row>
    <row r="312">
      <c r="J312" s="94"/>
      <c r="Z312" s="81"/>
      <c r="AA312" s="78"/>
    </row>
    <row r="313">
      <c r="J313" s="94"/>
      <c r="Z313" s="81"/>
      <c r="AA313" s="78"/>
    </row>
    <row r="314">
      <c r="J314" s="94"/>
      <c r="Z314" s="81"/>
      <c r="AA314" s="78"/>
    </row>
    <row r="315">
      <c r="J315" s="94"/>
      <c r="Z315" s="81"/>
      <c r="AA315" s="78"/>
    </row>
    <row r="316">
      <c r="J316" s="94"/>
      <c r="Z316" s="81"/>
      <c r="AA316" s="78"/>
    </row>
    <row r="317">
      <c r="J317" s="94"/>
      <c r="Z317" s="81"/>
      <c r="AA317" s="78"/>
    </row>
    <row r="318">
      <c r="J318" s="94"/>
      <c r="Z318" s="81"/>
      <c r="AA318" s="78"/>
    </row>
    <row r="319">
      <c r="J319" s="94"/>
      <c r="Z319" s="81"/>
      <c r="AA319" s="78"/>
    </row>
    <row r="320">
      <c r="J320" s="94"/>
      <c r="Z320" s="81"/>
      <c r="AA320" s="78"/>
    </row>
    <row r="321">
      <c r="J321" s="94"/>
      <c r="Z321" s="81"/>
      <c r="AA321" s="78"/>
    </row>
    <row r="322">
      <c r="J322" s="94"/>
      <c r="Z322" s="81"/>
      <c r="AA322" s="78"/>
    </row>
    <row r="323">
      <c r="J323" s="94"/>
      <c r="Z323" s="81"/>
      <c r="AA323" s="78"/>
    </row>
    <row r="324">
      <c r="J324" s="94"/>
      <c r="Z324" s="81"/>
      <c r="AA324" s="78"/>
    </row>
    <row r="325">
      <c r="J325" s="94"/>
      <c r="Z325" s="81"/>
      <c r="AA325" s="78"/>
    </row>
    <row r="326">
      <c r="J326" s="94"/>
      <c r="Z326" s="81"/>
      <c r="AA326" s="78"/>
    </row>
    <row r="327">
      <c r="J327" s="94"/>
      <c r="Z327" s="81"/>
      <c r="AA327" s="78"/>
    </row>
    <row r="328">
      <c r="J328" s="94"/>
      <c r="Z328" s="81"/>
      <c r="AA328" s="78"/>
    </row>
    <row r="329">
      <c r="J329" s="94"/>
      <c r="Z329" s="81"/>
      <c r="AA329" s="78"/>
    </row>
    <row r="330">
      <c r="J330" s="94"/>
      <c r="Z330" s="81"/>
      <c r="AA330" s="78"/>
    </row>
    <row r="331">
      <c r="J331" s="94"/>
      <c r="Z331" s="81"/>
      <c r="AA331" s="78"/>
    </row>
    <row r="332">
      <c r="J332" s="94"/>
      <c r="Z332" s="81"/>
      <c r="AA332" s="78"/>
    </row>
    <row r="333">
      <c r="J333" s="94"/>
      <c r="Z333" s="81"/>
      <c r="AA333" s="78"/>
    </row>
    <row r="334">
      <c r="J334" s="94"/>
      <c r="Z334" s="81"/>
      <c r="AA334" s="78"/>
    </row>
    <row r="335">
      <c r="J335" s="94"/>
      <c r="Z335" s="81"/>
      <c r="AA335" s="78"/>
    </row>
    <row r="336">
      <c r="J336" s="94"/>
      <c r="Z336" s="81"/>
      <c r="AA336" s="78"/>
    </row>
    <row r="337">
      <c r="J337" s="94"/>
      <c r="Z337" s="81"/>
      <c r="AA337" s="78"/>
    </row>
    <row r="338">
      <c r="J338" s="94"/>
      <c r="Z338" s="81"/>
      <c r="AA338" s="78"/>
    </row>
    <row r="339">
      <c r="J339" s="94"/>
      <c r="Z339" s="81"/>
      <c r="AA339" s="78"/>
    </row>
    <row r="340">
      <c r="J340" s="94"/>
      <c r="Z340" s="81"/>
      <c r="AA340" s="78"/>
    </row>
    <row r="341">
      <c r="J341" s="94"/>
      <c r="Z341" s="81"/>
      <c r="AA341" s="78"/>
    </row>
    <row r="342">
      <c r="J342" s="94"/>
      <c r="Z342" s="81"/>
      <c r="AA342" s="78"/>
    </row>
    <row r="343">
      <c r="J343" s="94"/>
      <c r="Z343" s="81"/>
      <c r="AA343" s="78"/>
    </row>
    <row r="344">
      <c r="J344" s="94"/>
      <c r="Z344" s="81"/>
      <c r="AA344" s="78"/>
    </row>
    <row r="345">
      <c r="J345" s="94"/>
      <c r="Z345" s="81"/>
      <c r="AA345" s="78"/>
    </row>
    <row r="346">
      <c r="J346" s="94"/>
      <c r="Z346" s="81"/>
      <c r="AA346" s="78"/>
    </row>
    <row r="347">
      <c r="J347" s="94"/>
      <c r="Z347" s="81"/>
      <c r="AA347" s="78"/>
    </row>
    <row r="348">
      <c r="J348" s="94"/>
      <c r="Z348" s="81"/>
      <c r="AA348" s="78"/>
    </row>
    <row r="349">
      <c r="J349" s="94"/>
      <c r="Z349" s="81"/>
      <c r="AA349" s="78"/>
    </row>
    <row r="350">
      <c r="J350" s="94"/>
      <c r="Z350" s="81"/>
      <c r="AA350" s="78"/>
    </row>
    <row r="351">
      <c r="J351" s="94"/>
      <c r="Z351" s="81"/>
      <c r="AA351" s="78"/>
    </row>
    <row r="352">
      <c r="J352" s="94"/>
      <c r="Z352" s="81"/>
      <c r="AA352" s="78"/>
    </row>
    <row r="353">
      <c r="J353" s="94"/>
      <c r="Z353" s="81"/>
      <c r="AA353" s="78"/>
    </row>
    <row r="354">
      <c r="J354" s="94"/>
      <c r="Z354" s="81"/>
      <c r="AA354" s="78"/>
    </row>
    <row r="355">
      <c r="J355" s="94"/>
      <c r="Z355" s="81"/>
      <c r="AA355" s="78"/>
    </row>
    <row r="356">
      <c r="J356" s="94"/>
      <c r="Z356" s="81"/>
      <c r="AA356" s="78"/>
    </row>
    <row r="357">
      <c r="J357" s="94"/>
      <c r="Z357" s="81"/>
      <c r="AA357" s="78"/>
    </row>
    <row r="358">
      <c r="J358" s="94"/>
      <c r="Z358" s="81"/>
      <c r="AA358" s="78"/>
    </row>
    <row r="359">
      <c r="J359" s="94"/>
      <c r="Z359" s="81"/>
      <c r="AA359" s="78"/>
    </row>
    <row r="360">
      <c r="J360" s="94"/>
      <c r="Z360" s="81"/>
      <c r="AA360" s="78"/>
    </row>
    <row r="361">
      <c r="J361" s="94"/>
      <c r="Z361" s="81"/>
      <c r="AA361" s="78"/>
    </row>
    <row r="362">
      <c r="J362" s="94"/>
      <c r="Z362" s="81"/>
      <c r="AA362" s="78"/>
    </row>
    <row r="363">
      <c r="J363" s="94"/>
      <c r="Z363" s="81"/>
      <c r="AA363" s="78"/>
    </row>
    <row r="364">
      <c r="J364" s="94"/>
      <c r="Z364" s="81"/>
      <c r="AA364" s="78"/>
    </row>
    <row r="365">
      <c r="J365" s="94"/>
      <c r="Z365" s="81"/>
      <c r="AA365" s="78"/>
    </row>
    <row r="366">
      <c r="J366" s="94"/>
      <c r="Z366" s="81"/>
      <c r="AA366" s="78"/>
    </row>
    <row r="367">
      <c r="J367" s="94"/>
      <c r="Z367" s="81"/>
      <c r="AA367" s="78"/>
    </row>
    <row r="368">
      <c r="J368" s="94"/>
      <c r="Z368" s="81"/>
      <c r="AA368" s="78"/>
    </row>
    <row r="369">
      <c r="J369" s="94"/>
      <c r="Z369" s="81"/>
      <c r="AA369" s="78"/>
    </row>
    <row r="370">
      <c r="J370" s="94"/>
      <c r="Z370" s="81"/>
      <c r="AA370" s="78"/>
    </row>
    <row r="371">
      <c r="J371" s="94"/>
      <c r="Z371" s="81"/>
      <c r="AA371" s="78"/>
    </row>
    <row r="372">
      <c r="J372" s="94"/>
      <c r="Z372" s="81"/>
      <c r="AA372" s="78"/>
    </row>
    <row r="373">
      <c r="J373" s="94"/>
      <c r="Z373" s="81"/>
      <c r="AA373" s="78"/>
    </row>
    <row r="374">
      <c r="J374" s="94"/>
      <c r="Z374" s="81"/>
      <c r="AA374" s="78"/>
    </row>
    <row r="375">
      <c r="J375" s="94"/>
      <c r="Z375" s="81"/>
      <c r="AA375" s="78"/>
    </row>
    <row r="376">
      <c r="J376" s="94"/>
      <c r="Z376" s="81"/>
      <c r="AA376" s="78"/>
    </row>
    <row r="377">
      <c r="J377" s="94"/>
      <c r="Z377" s="81"/>
      <c r="AA377" s="78"/>
    </row>
    <row r="378">
      <c r="J378" s="94"/>
      <c r="Z378" s="81"/>
      <c r="AA378" s="78"/>
    </row>
    <row r="379">
      <c r="J379" s="94"/>
      <c r="Z379" s="81"/>
      <c r="AA379" s="78"/>
    </row>
    <row r="380">
      <c r="J380" s="94"/>
      <c r="Z380" s="81"/>
      <c r="AA380" s="78"/>
    </row>
    <row r="381">
      <c r="J381" s="94"/>
      <c r="Z381" s="81"/>
      <c r="AA381" s="78"/>
    </row>
    <row r="382">
      <c r="J382" s="94"/>
      <c r="Z382" s="81"/>
      <c r="AA382" s="78"/>
    </row>
    <row r="383">
      <c r="J383" s="94"/>
      <c r="Z383" s="81"/>
      <c r="AA383" s="78"/>
    </row>
    <row r="384">
      <c r="J384" s="94"/>
      <c r="Z384" s="81"/>
      <c r="AA384" s="78"/>
    </row>
    <row r="385">
      <c r="J385" s="94"/>
      <c r="Z385" s="81"/>
      <c r="AA385" s="78"/>
    </row>
    <row r="386">
      <c r="J386" s="94"/>
      <c r="Z386" s="81"/>
      <c r="AA386" s="78"/>
    </row>
    <row r="387">
      <c r="J387" s="94"/>
      <c r="Z387" s="81"/>
      <c r="AA387" s="78"/>
    </row>
    <row r="388">
      <c r="J388" s="94"/>
      <c r="Z388" s="81"/>
      <c r="AA388" s="78"/>
    </row>
    <row r="389">
      <c r="J389" s="94"/>
      <c r="Z389" s="81"/>
      <c r="AA389" s="78"/>
    </row>
    <row r="390">
      <c r="J390" s="94"/>
      <c r="Z390" s="81"/>
      <c r="AA390" s="78"/>
    </row>
    <row r="391">
      <c r="J391" s="94"/>
      <c r="Z391" s="81"/>
      <c r="AA391" s="78"/>
    </row>
    <row r="392">
      <c r="J392" s="94"/>
      <c r="Z392" s="81"/>
      <c r="AA392" s="78"/>
    </row>
    <row r="393">
      <c r="J393" s="94"/>
      <c r="Z393" s="81"/>
      <c r="AA393" s="78"/>
    </row>
    <row r="394">
      <c r="J394" s="94"/>
      <c r="Z394" s="81"/>
      <c r="AA394" s="78"/>
    </row>
    <row r="395">
      <c r="J395" s="94"/>
      <c r="Z395" s="81"/>
      <c r="AA395" s="78"/>
    </row>
    <row r="396">
      <c r="J396" s="94"/>
      <c r="Z396" s="81"/>
      <c r="AA396" s="78"/>
    </row>
    <row r="397">
      <c r="J397" s="94"/>
      <c r="Z397" s="81"/>
      <c r="AA397" s="78"/>
    </row>
    <row r="398">
      <c r="J398" s="94"/>
      <c r="Z398" s="81"/>
      <c r="AA398" s="78"/>
    </row>
    <row r="399">
      <c r="J399" s="94"/>
      <c r="Z399" s="81"/>
      <c r="AA399" s="78"/>
    </row>
    <row r="400">
      <c r="J400" s="94"/>
      <c r="Z400" s="81"/>
      <c r="AA400" s="78"/>
    </row>
    <row r="401">
      <c r="J401" s="94"/>
      <c r="Z401" s="81"/>
      <c r="AA401" s="78"/>
    </row>
    <row r="402">
      <c r="J402" s="94"/>
      <c r="Z402" s="81"/>
      <c r="AA402" s="78"/>
    </row>
    <row r="403">
      <c r="J403" s="94"/>
      <c r="Z403" s="81"/>
      <c r="AA403" s="78"/>
    </row>
    <row r="404">
      <c r="J404" s="94"/>
      <c r="Z404" s="81"/>
      <c r="AA404" s="78"/>
    </row>
    <row r="405">
      <c r="J405" s="94"/>
      <c r="Z405" s="81"/>
      <c r="AA405" s="78"/>
    </row>
    <row r="406">
      <c r="J406" s="94"/>
      <c r="Z406" s="81"/>
      <c r="AA406" s="78"/>
    </row>
    <row r="407">
      <c r="J407" s="94"/>
      <c r="Z407" s="81"/>
      <c r="AA407" s="78"/>
    </row>
    <row r="408">
      <c r="J408" s="94"/>
      <c r="Z408" s="81"/>
      <c r="AA408" s="78"/>
    </row>
    <row r="409">
      <c r="J409" s="94"/>
      <c r="Z409" s="81"/>
      <c r="AA409" s="78"/>
    </row>
    <row r="410">
      <c r="J410" s="94"/>
      <c r="Z410" s="81"/>
      <c r="AA410" s="78"/>
    </row>
    <row r="411">
      <c r="J411" s="94"/>
      <c r="Z411" s="81"/>
      <c r="AA411" s="78"/>
    </row>
    <row r="412">
      <c r="J412" s="94"/>
      <c r="Z412" s="81"/>
      <c r="AA412" s="78"/>
    </row>
    <row r="413">
      <c r="J413" s="94"/>
      <c r="Z413" s="81"/>
      <c r="AA413" s="78"/>
    </row>
    <row r="414">
      <c r="J414" s="94"/>
      <c r="Z414" s="81"/>
      <c r="AA414" s="78"/>
    </row>
    <row r="415">
      <c r="J415" s="94"/>
      <c r="Z415" s="81"/>
      <c r="AA415" s="78"/>
    </row>
    <row r="416">
      <c r="J416" s="94"/>
      <c r="Z416" s="81"/>
      <c r="AA416" s="78"/>
    </row>
    <row r="417">
      <c r="J417" s="94"/>
      <c r="Z417" s="81"/>
      <c r="AA417" s="78"/>
    </row>
    <row r="418">
      <c r="J418" s="94"/>
      <c r="Z418" s="81"/>
      <c r="AA418" s="78"/>
    </row>
    <row r="419">
      <c r="J419" s="94"/>
      <c r="Z419" s="81"/>
      <c r="AA419" s="78"/>
    </row>
    <row r="420">
      <c r="J420" s="94"/>
      <c r="Z420" s="81"/>
      <c r="AA420" s="78"/>
    </row>
    <row r="421">
      <c r="J421" s="94"/>
      <c r="Z421" s="81"/>
      <c r="AA421" s="78"/>
    </row>
    <row r="422">
      <c r="J422" s="94"/>
      <c r="Z422" s="81"/>
      <c r="AA422" s="78"/>
    </row>
    <row r="423">
      <c r="J423" s="94"/>
      <c r="Z423" s="81"/>
      <c r="AA423" s="78"/>
    </row>
    <row r="424">
      <c r="J424" s="94"/>
      <c r="Z424" s="81"/>
      <c r="AA424" s="78"/>
    </row>
    <row r="425">
      <c r="J425" s="94"/>
      <c r="Z425" s="81"/>
      <c r="AA425" s="78"/>
    </row>
    <row r="426">
      <c r="J426" s="94"/>
      <c r="Z426" s="81"/>
      <c r="AA426" s="78"/>
    </row>
    <row r="427">
      <c r="J427" s="94"/>
      <c r="Z427" s="81"/>
      <c r="AA427" s="78"/>
    </row>
    <row r="428">
      <c r="J428" s="94"/>
      <c r="Z428" s="81"/>
      <c r="AA428" s="78"/>
    </row>
    <row r="429">
      <c r="J429" s="94"/>
      <c r="Z429" s="81"/>
      <c r="AA429" s="78"/>
    </row>
    <row r="430">
      <c r="J430" s="94"/>
      <c r="Z430" s="81"/>
      <c r="AA430" s="78"/>
    </row>
    <row r="431">
      <c r="J431" s="94"/>
      <c r="Z431" s="81"/>
      <c r="AA431" s="78"/>
    </row>
    <row r="432">
      <c r="J432" s="94"/>
      <c r="Z432" s="81"/>
      <c r="AA432" s="78"/>
    </row>
    <row r="433">
      <c r="J433" s="94"/>
      <c r="Z433" s="81"/>
      <c r="AA433" s="78"/>
    </row>
    <row r="434">
      <c r="J434" s="94"/>
      <c r="Z434" s="81"/>
      <c r="AA434" s="78"/>
    </row>
    <row r="435">
      <c r="J435" s="94"/>
      <c r="Z435" s="81"/>
      <c r="AA435" s="78"/>
    </row>
    <row r="436">
      <c r="J436" s="94"/>
      <c r="Z436" s="81"/>
      <c r="AA436" s="78"/>
    </row>
    <row r="437">
      <c r="J437" s="94"/>
      <c r="Z437" s="81"/>
      <c r="AA437" s="78"/>
    </row>
    <row r="438">
      <c r="J438" s="94"/>
      <c r="Z438" s="81"/>
      <c r="AA438" s="78"/>
    </row>
    <row r="439">
      <c r="J439" s="94"/>
      <c r="Z439" s="81"/>
      <c r="AA439" s="78"/>
    </row>
    <row r="440">
      <c r="J440" s="94"/>
      <c r="Z440" s="81"/>
      <c r="AA440" s="78"/>
    </row>
    <row r="441">
      <c r="J441" s="94"/>
      <c r="Z441" s="81"/>
      <c r="AA441" s="78"/>
    </row>
    <row r="442">
      <c r="J442" s="94"/>
      <c r="Z442" s="81"/>
      <c r="AA442" s="78"/>
    </row>
    <row r="443">
      <c r="J443" s="94"/>
      <c r="Z443" s="81"/>
      <c r="AA443" s="78"/>
    </row>
    <row r="444">
      <c r="J444" s="94"/>
      <c r="Z444" s="81"/>
      <c r="AA444" s="78"/>
    </row>
    <row r="445">
      <c r="J445" s="94"/>
      <c r="Z445" s="81"/>
      <c r="AA445" s="78"/>
    </row>
    <row r="446">
      <c r="J446" s="94"/>
      <c r="Z446" s="81"/>
      <c r="AA446" s="78"/>
    </row>
    <row r="447">
      <c r="J447" s="94"/>
      <c r="Z447" s="81"/>
      <c r="AA447" s="78"/>
    </row>
    <row r="448">
      <c r="J448" s="94"/>
      <c r="Z448" s="81"/>
      <c r="AA448" s="78"/>
    </row>
    <row r="449">
      <c r="J449" s="94"/>
      <c r="Z449" s="81"/>
      <c r="AA449" s="78"/>
    </row>
    <row r="450">
      <c r="J450" s="94"/>
      <c r="Z450" s="81"/>
      <c r="AA450" s="78"/>
    </row>
    <row r="451">
      <c r="J451" s="94"/>
      <c r="Z451" s="81"/>
      <c r="AA451" s="78"/>
    </row>
    <row r="452">
      <c r="J452" s="94"/>
      <c r="Z452" s="81"/>
      <c r="AA452" s="78"/>
    </row>
    <row r="453">
      <c r="J453" s="94"/>
      <c r="Z453" s="81"/>
      <c r="AA453" s="78"/>
    </row>
    <row r="454">
      <c r="J454" s="94"/>
      <c r="Z454" s="81"/>
      <c r="AA454" s="78"/>
    </row>
    <row r="455">
      <c r="J455" s="94"/>
      <c r="Z455" s="81"/>
      <c r="AA455" s="78"/>
    </row>
    <row r="456">
      <c r="J456" s="94"/>
      <c r="Z456" s="81"/>
      <c r="AA456" s="78"/>
    </row>
    <row r="457">
      <c r="J457" s="94"/>
      <c r="Z457" s="81"/>
      <c r="AA457" s="78"/>
    </row>
    <row r="458">
      <c r="J458" s="94"/>
      <c r="Z458" s="81"/>
      <c r="AA458" s="78"/>
    </row>
    <row r="459">
      <c r="J459" s="94"/>
      <c r="Z459" s="81"/>
      <c r="AA459" s="78"/>
    </row>
    <row r="460">
      <c r="J460" s="94"/>
      <c r="Z460" s="81"/>
      <c r="AA460" s="78"/>
    </row>
    <row r="461">
      <c r="J461" s="94"/>
      <c r="Z461" s="81"/>
      <c r="AA461" s="78"/>
    </row>
    <row r="462">
      <c r="J462" s="94"/>
      <c r="Z462" s="81"/>
      <c r="AA462" s="78"/>
    </row>
    <row r="463">
      <c r="J463" s="94"/>
      <c r="Z463" s="81"/>
      <c r="AA463" s="78"/>
    </row>
    <row r="464">
      <c r="J464" s="94"/>
      <c r="Z464" s="81"/>
      <c r="AA464" s="78"/>
    </row>
    <row r="465">
      <c r="J465" s="94"/>
      <c r="Z465" s="81"/>
      <c r="AA465" s="78"/>
    </row>
    <row r="466">
      <c r="J466" s="94"/>
      <c r="Z466" s="81"/>
      <c r="AA466" s="78"/>
    </row>
    <row r="467">
      <c r="J467" s="94"/>
      <c r="Z467" s="81"/>
      <c r="AA467" s="78"/>
    </row>
    <row r="468">
      <c r="J468" s="94"/>
      <c r="Z468" s="81"/>
      <c r="AA468" s="78"/>
    </row>
    <row r="469">
      <c r="J469" s="94"/>
      <c r="Z469" s="81"/>
      <c r="AA469" s="78"/>
    </row>
    <row r="470">
      <c r="J470" s="94"/>
      <c r="Z470" s="81"/>
      <c r="AA470" s="78"/>
    </row>
    <row r="471">
      <c r="J471" s="94"/>
      <c r="Z471" s="81"/>
      <c r="AA471" s="78"/>
    </row>
    <row r="472">
      <c r="J472" s="94"/>
      <c r="Z472" s="81"/>
      <c r="AA472" s="78"/>
    </row>
    <row r="473">
      <c r="J473" s="94"/>
      <c r="Z473" s="81"/>
      <c r="AA473" s="78"/>
    </row>
    <row r="474">
      <c r="J474" s="94"/>
      <c r="Z474" s="81"/>
      <c r="AA474" s="78"/>
    </row>
    <row r="475">
      <c r="J475" s="94"/>
      <c r="Z475" s="81"/>
      <c r="AA475" s="78"/>
    </row>
    <row r="476">
      <c r="J476" s="94"/>
      <c r="Z476" s="81"/>
      <c r="AA476" s="78"/>
    </row>
    <row r="477">
      <c r="J477" s="94"/>
      <c r="Z477" s="81"/>
      <c r="AA477" s="78"/>
    </row>
    <row r="478">
      <c r="J478" s="94"/>
      <c r="Z478" s="81"/>
      <c r="AA478" s="78"/>
    </row>
    <row r="479">
      <c r="J479" s="94"/>
      <c r="Z479" s="81"/>
      <c r="AA479" s="78"/>
    </row>
    <row r="480">
      <c r="J480" s="94"/>
      <c r="Z480" s="81"/>
      <c r="AA480" s="78"/>
    </row>
    <row r="481">
      <c r="J481" s="94"/>
      <c r="Z481" s="81"/>
      <c r="AA481" s="78"/>
    </row>
    <row r="482">
      <c r="J482" s="94"/>
      <c r="Z482" s="81"/>
      <c r="AA482" s="78"/>
    </row>
    <row r="483">
      <c r="J483" s="94"/>
      <c r="Z483" s="81"/>
      <c r="AA483" s="78"/>
    </row>
    <row r="484">
      <c r="J484" s="94"/>
      <c r="Z484" s="81"/>
      <c r="AA484" s="78"/>
    </row>
    <row r="485">
      <c r="J485" s="94"/>
      <c r="Z485" s="81"/>
      <c r="AA485" s="78"/>
    </row>
    <row r="486">
      <c r="J486" s="94"/>
      <c r="Z486" s="81"/>
      <c r="AA486" s="78"/>
    </row>
    <row r="487">
      <c r="J487" s="94"/>
      <c r="Z487" s="81"/>
      <c r="AA487" s="78"/>
    </row>
    <row r="488">
      <c r="J488" s="94"/>
      <c r="Z488" s="81"/>
      <c r="AA488" s="78"/>
    </row>
    <row r="489">
      <c r="J489" s="94"/>
      <c r="Z489" s="81"/>
      <c r="AA489" s="78"/>
    </row>
    <row r="490">
      <c r="J490" s="94"/>
      <c r="Z490" s="81"/>
      <c r="AA490" s="78"/>
    </row>
    <row r="491">
      <c r="J491" s="94"/>
      <c r="Z491" s="81"/>
      <c r="AA491" s="78"/>
    </row>
    <row r="492">
      <c r="J492" s="94"/>
      <c r="Z492" s="81"/>
      <c r="AA492" s="78"/>
    </row>
    <row r="493">
      <c r="J493" s="94"/>
      <c r="Z493" s="81"/>
      <c r="AA493" s="78"/>
    </row>
    <row r="494">
      <c r="J494" s="94"/>
      <c r="Z494" s="81"/>
      <c r="AA494" s="78"/>
    </row>
    <row r="495">
      <c r="J495" s="94"/>
      <c r="Z495" s="81"/>
      <c r="AA495" s="78"/>
    </row>
    <row r="496">
      <c r="J496" s="94"/>
      <c r="Z496" s="81"/>
      <c r="AA496" s="78"/>
    </row>
    <row r="497">
      <c r="J497" s="94"/>
      <c r="Z497" s="81"/>
      <c r="AA497" s="78"/>
    </row>
    <row r="498">
      <c r="J498" s="94"/>
      <c r="Z498" s="81"/>
      <c r="AA498" s="78"/>
    </row>
    <row r="499">
      <c r="J499" s="94"/>
      <c r="Z499" s="81"/>
      <c r="AA499" s="78"/>
    </row>
    <row r="500">
      <c r="J500" s="94"/>
      <c r="Z500" s="81"/>
      <c r="AA500" s="78"/>
    </row>
    <row r="501">
      <c r="J501" s="94"/>
      <c r="Z501" s="81"/>
      <c r="AA501" s="78"/>
    </row>
    <row r="502">
      <c r="J502" s="94"/>
      <c r="Z502" s="81"/>
      <c r="AA502" s="78"/>
    </row>
    <row r="503">
      <c r="J503" s="94"/>
      <c r="Z503" s="81"/>
      <c r="AA503" s="78"/>
    </row>
    <row r="504">
      <c r="J504" s="94"/>
      <c r="Z504" s="81"/>
      <c r="AA504" s="78"/>
    </row>
    <row r="505">
      <c r="J505" s="94"/>
      <c r="Z505" s="81"/>
      <c r="AA505" s="78"/>
    </row>
    <row r="506">
      <c r="J506" s="94"/>
      <c r="Z506" s="81"/>
      <c r="AA506" s="78"/>
    </row>
    <row r="507">
      <c r="J507" s="94"/>
      <c r="Z507" s="81"/>
      <c r="AA507" s="78"/>
    </row>
    <row r="508">
      <c r="J508" s="94"/>
      <c r="Z508" s="81"/>
      <c r="AA508" s="78"/>
    </row>
    <row r="509">
      <c r="J509" s="94"/>
      <c r="Z509" s="81"/>
      <c r="AA509" s="78"/>
    </row>
    <row r="510">
      <c r="J510" s="94"/>
      <c r="Z510" s="81"/>
      <c r="AA510" s="78"/>
    </row>
    <row r="511">
      <c r="J511" s="94"/>
      <c r="Z511" s="81"/>
      <c r="AA511" s="78"/>
    </row>
    <row r="512">
      <c r="J512" s="94"/>
      <c r="Z512" s="81"/>
      <c r="AA512" s="78"/>
    </row>
    <row r="513">
      <c r="J513" s="94"/>
      <c r="Z513" s="81"/>
      <c r="AA513" s="78"/>
    </row>
    <row r="514">
      <c r="J514" s="94"/>
      <c r="Z514" s="81"/>
      <c r="AA514" s="78"/>
    </row>
    <row r="515">
      <c r="J515" s="94"/>
      <c r="Z515" s="81"/>
      <c r="AA515" s="78"/>
    </row>
    <row r="516">
      <c r="J516" s="94"/>
      <c r="Z516" s="81"/>
      <c r="AA516" s="78"/>
    </row>
    <row r="517">
      <c r="J517" s="94"/>
      <c r="Z517" s="81"/>
      <c r="AA517" s="78"/>
    </row>
    <row r="518">
      <c r="J518" s="94"/>
      <c r="Z518" s="81"/>
      <c r="AA518" s="78"/>
    </row>
    <row r="519">
      <c r="J519" s="94"/>
      <c r="Z519" s="81"/>
      <c r="AA519" s="78"/>
    </row>
    <row r="520">
      <c r="J520" s="94"/>
      <c r="Z520" s="81"/>
      <c r="AA520" s="78"/>
    </row>
    <row r="521">
      <c r="J521" s="94"/>
      <c r="Z521" s="81"/>
      <c r="AA521" s="78"/>
    </row>
    <row r="522">
      <c r="J522" s="94"/>
      <c r="Z522" s="81"/>
      <c r="AA522" s="78"/>
    </row>
    <row r="523">
      <c r="J523" s="94"/>
      <c r="Z523" s="81"/>
      <c r="AA523" s="78"/>
    </row>
    <row r="524">
      <c r="J524" s="94"/>
      <c r="Z524" s="81"/>
      <c r="AA524" s="78"/>
    </row>
    <row r="525">
      <c r="J525" s="94"/>
      <c r="Z525" s="81"/>
      <c r="AA525" s="78"/>
    </row>
    <row r="526">
      <c r="J526" s="94"/>
      <c r="Z526" s="81"/>
      <c r="AA526" s="78"/>
    </row>
    <row r="527">
      <c r="J527" s="94"/>
      <c r="Z527" s="81"/>
      <c r="AA527" s="78"/>
    </row>
    <row r="528">
      <c r="J528" s="94"/>
      <c r="Z528" s="81"/>
      <c r="AA528" s="78"/>
    </row>
    <row r="529">
      <c r="J529" s="94"/>
      <c r="Z529" s="81"/>
      <c r="AA529" s="78"/>
    </row>
    <row r="530">
      <c r="J530" s="94"/>
      <c r="Z530" s="81"/>
      <c r="AA530" s="78"/>
    </row>
    <row r="531">
      <c r="J531" s="94"/>
      <c r="Z531" s="81"/>
      <c r="AA531" s="78"/>
    </row>
    <row r="532">
      <c r="J532" s="94"/>
      <c r="Z532" s="81"/>
      <c r="AA532" s="78"/>
    </row>
    <row r="533">
      <c r="J533" s="94"/>
      <c r="Z533" s="81"/>
      <c r="AA533" s="78"/>
    </row>
    <row r="534">
      <c r="J534" s="94"/>
      <c r="Z534" s="81"/>
      <c r="AA534" s="78"/>
    </row>
    <row r="535">
      <c r="J535" s="94"/>
      <c r="Z535" s="81"/>
      <c r="AA535" s="78"/>
    </row>
    <row r="536">
      <c r="J536" s="94"/>
      <c r="Z536" s="81"/>
      <c r="AA536" s="78"/>
    </row>
    <row r="537">
      <c r="J537" s="94"/>
      <c r="Z537" s="81"/>
      <c r="AA537" s="78"/>
    </row>
    <row r="538">
      <c r="J538" s="94"/>
      <c r="Z538" s="81"/>
      <c r="AA538" s="78"/>
    </row>
    <row r="539">
      <c r="J539" s="94"/>
      <c r="Z539" s="81"/>
      <c r="AA539" s="78"/>
    </row>
    <row r="540">
      <c r="J540" s="94"/>
      <c r="Z540" s="81"/>
      <c r="AA540" s="78"/>
    </row>
    <row r="541">
      <c r="J541" s="94"/>
      <c r="Z541" s="81"/>
      <c r="AA541" s="78"/>
    </row>
    <row r="542">
      <c r="J542" s="94"/>
      <c r="Z542" s="81"/>
      <c r="AA542" s="78"/>
    </row>
    <row r="543">
      <c r="J543" s="94"/>
      <c r="Z543" s="81"/>
      <c r="AA543" s="78"/>
    </row>
    <row r="544">
      <c r="J544" s="94"/>
      <c r="Z544" s="81"/>
      <c r="AA544" s="78"/>
    </row>
    <row r="545">
      <c r="J545" s="94"/>
      <c r="Z545" s="81"/>
      <c r="AA545" s="78"/>
    </row>
    <row r="546">
      <c r="J546" s="94"/>
      <c r="Z546" s="81"/>
      <c r="AA546" s="78"/>
    </row>
    <row r="547">
      <c r="J547" s="94"/>
      <c r="Z547" s="81"/>
      <c r="AA547" s="78"/>
    </row>
    <row r="548">
      <c r="J548" s="94"/>
      <c r="Z548" s="81"/>
      <c r="AA548" s="78"/>
    </row>
    <row r="549">
      <c r="J549" s="94"/>
      <c r="Z549" s="81"/>
      <c r="AA549" s="78"/>
    </row>
    <row r="550">
      <c r="J550" s="94"/>
      <c r="Z550" s="81"/>
      <c r="AA550" s="78"/>
    </row>
    <row r="551">
      <c r="J551" s="94"/>
      <c r="Z551" s="81"/>
      <c r="AA551" s="78"/>
    </row>
    <row r="552">
      <c r="J552" s="94"/>
      <c r="Z552" s="81"/>
      <c r="AA552" s="78"/>
    </row>
    <row r="553">
      <c r="J553" s="94"/>
      <c r="Z553" s="81"/>
      <c r="AA553" s="78"/>
    </row>
    <row r="554">
      <c r="J554" s="94"/>
      <c r="Z554" s="81"/>
      <c r="AA554" s="78"/>
    </row>
    <row r="555">
      <c r="J555" s="94"/>
      <c r="Z555" s="81"/>
      <c r="AA555" s="78"/>
    </row>
    <row r="556">
      <c r="J556" s="94"/>
      <c r="Z556" s="81"/>
      <c r="AA556" s="78"/>
    </row>
    <row r="557">
      <c r="J557" s="94"/>
      <c r="Z557" s="81"/>
      <c r="AA557" s="78"/>
    </row>
    <row r="558">
      <c r="J558" s="94"/>
      <c r="Z558" s="81"/>
      <c r="AA558" s="78"/>
    </row>
    <row r="559">
      <c r="J559" s="94"/>
      <c r="Z559" s="81"/>
      <c r="AA559" s="78"/>
    </row>
    <row r="560">
      <c r="J560" s="94"/>
      <c r="Z560" s="81"/>
      <c r="AA560" s="78"/>
    </row>
    <row r="561">
      <c r="J561" s="94"/>
      <c r="Z561" s="81"/>
      <c r="AA561" s="78"/>
    </row>
    <row r="562">
      <c r="J562" s="94"/>
      <c r="Z562" s="81"/>
      <c r="AA562" s="78"/>
    </row>
    <row r="563">
      <c r="J563" s="94"/>
      <c r="Z563" s="81"/>
      <c r="AA563" s="78"/>
    </row>
    <row r="564">
      <c r="J564" s="94"/>
      <c r="Z564" s="81"/>
      <c r="AA564" s="78"/>
    </row>
    <row r="565">
      <c r="J565" s="94"/>
      <c r="Z565" s="81"/>
      <c r="AA565" s="78"/>
    </row>
    <row r="566">
      <c r="J566" s="94"/>
      <c r="Z566" s="81"/>
      <c r="AA566" s="78"/>
    </row>
    <row r="567">
      <c r="J567" s="94"/>
      <c r="Z567" s="81"/>
      <c r="AA567" s="78"/>
    </row>
    <row r="568">
      <c r="J568" s="94"/>
      <c r="Z568" s="81"/>
      <c r="AA568" s="78"/>
    </row>
    <row r="569">
      <c r="J569" s="94"/>
      <c r="Z569" s="81"/>
      <c r="AA569" s="78"/>
    </row>
    <row r="570">
      <c r="J570" s="94"/>
      <c r="Z570" s="81"/>
      <c r="AA570" s="78"/>
    </row>
    <row r="571">
      <c r="J571" s="94"/>
      <c r="Z571" s="81"/>
      <c r="AA571" s="78"/>
    </row>
    <row r="572">
      <c r="J572" s="94"/>
      <c r="Z572" s="81"/>
      <c r="AA572" s="78"/>
    </row>
    <row r="573">
      <c r="J573" s="94"/>
      <c r="Z573" s="81"/>
      <c r="AA573" s="78"/>
    </row>
    <row r="574">
      <c r="J574" s="94"/>
      <c r="Z574" s="81"/>
      <c r="AA574" s="78"/>
    </row>
    <row r="575">
      <c r="J575" s="94"/>
      <c r="Z575" s="81"/>
      <c r="AA575" s="78"/>
    </row>
    <row r="576">
      <c r="J576" s="94"/>
      <c r="Z576" s="81"/>
      <c r="AA576" s="78"/>
    </row>
    <row r="577">
      <c r="J577" s="94"/>
      <c r="Z577" s="81"/>
      <c r="AA577" s="78"/>
    </row>
    <row r="578">
      <c r="J578" s="94"/>
      <c r="Z578" s="81"/>
      <c r="AA578" s="78"/>
    </row>
    <row r="579">
      <c r="J579" s="94"/>
      <c r="Z579" s="81"/>
      <c r="AA579" s="78"/>
    </row>
    <row r="580">
      <c r="J580" s="94"/>
      <c r="Z580" s="81"/>
      <c r="AA580" s="78"/>
    </row>
    <row r="581">
      <c r="J581" s="94"/>
      <c r="Z581" s="81"/>
      <c r="AA581" s="78"/>
    </row>
    <row r="582">
      <c r="J582" s="94"/>
      <c r="Z582" s="81"/>
      <c r="AA582" s="78"/>
    </row>
    <row r="583">
      <c r="J583" s="94"/>
      <c r="Z583" s="81"/>
      <c r="AA583" s="78"/>
    </row>
    <row r="584">
      <c r="J584" s="94"/>
      <c r="Z584" s="81"/>
      <c r="AA584" s="78"/>
    </row>
    <row r="585">
      <c r="J585" s="94"/>
      <c r="Z585" s="81"/>
      <c r="AA585" s="78"/>
    </row>
    <row r="586">
      <c r="J586" s="94"/>
      <c r="Z586" s="81"/>
      <c r="AA586" s="78"/>
    </row>
    <row r="587">
      <c r="J587" s="94"/>
      <c r="Z587" s="81"/>
      <c r="AA587" s="78"/>
    </row>
    <row r="588">
      <c r="J588" s="94"/>
      <c r="Z588" s="81"/>
      <c r="AA588" s="78"/>
    </row>
    <row r="589">
      <c r="J589" s="94"/>
      <c r="Z589" s="81"/>
      <c r="AA589" s="78"/>
    </row>
    <row r="590">
      <c r="J590" s="94"/>
      <c r="Z590" s="81"/>
      <c r="AA590" s="78"/>
    </row>
    <row r="591">
      <c r="J591" s="94"/>
      <c r="Z591" s="81"/>
      <c r="AA591" s="78"/>
    </row>
    <row r="592">
      <c r="J592" s="94"/>
      <c r="Z592" s="81"/>
      <c r="AA592" s="78"/>
    </row>
    <row r="593">
      <c r="J593" s="94"/>
      <c r="Z593" s="81"/>
      <c r="AA593" s="78"/>
    </row>
    <row r="594">
      <c r="J594" s="94"/>
      <c r="Z594" s="81"/>
      <c r="AA594" s="78"/>
    </row>
    <row r="595">
      <c r="J595" s="94"/>
      <c r="Z595" s="81"/>
      <c r="AA595" s="78"/>
    </row>
    <row r="596">
      <c r="J596" s="94"/>
      <c r="Z596" s="81"/>
      <c r="AA596" s="78"/>
    </row>
    <row r="597">
      <c r="J597" s="94"/>
      <c r="Z597" s="81"/>
      <c r="AA597" s="78"/>
    </row>
    <row r="598">
      <c r="J598" s="94"/>
      <c r="Z598" s="81"/>
      <c r="AA598" s="78"/>
    </row>
    <row r="599">
      <c r="J599" s="94"/>
      <c r="Z599" s="81"/>
      <c r="AA599" s="78"/>
    </row>
    <row r="600">
      <c r="J600" s="94"/>
      <c r="Z600" s="81"/>
      <c r="AA600" s="78"/>
    </row>
    <row r="601">
      <c r="J601" s="94"/>
      <c r="Z601" s="81"/>
      <c r="AA601" s="78"/>
    </row>
    <row r="602">
      <c r="J602" s="94"/>
      <c r="Z602" s="81"/>
      <c r="AA602" s="78"/>
    </row>
    <row r="603">
      <c r="J603" s="94"/>
      <c r="Z603" s="81"/>
      <c r="AA603" s="78"/>
    </row>
    <row r="604">
      <c r="J604" s="94"/>
      <c r="Z604" s="81"/>
      <c r="AA604" s="78"/>
    </row>
    <row r="605">
      <c r="J605" s="94"/>
      <c r="Z605" s="81"/>
      <c r="AA605" s="78"/>
    </row>
    <row r="606">
      <c r="J606" s="94"/>
      <c r="Z606" s="81"/>
      <c r="AA606" s="78"/>
    </row>
    <row r="607">
      <c r="J607" s="94"/>
      <c r="Z607" s="81"/>
      <c r="AA607" s="78"/>
    </row>
    <row r="608">
      <c r="J608" s="94"/>
      <c r="Z608" s="81"/>
      <c r="AA608" s="78"/>
    </row>
    <row r="609">
      <c r="J609" s="94"/>
      <c r="Z609" s="81"/>
      <c r="AA609" s="78"/>
    </row>
    <row r="610">
      <c r="J610" s="94"/>
      <c r="Z610" s="81"/>
      <c r="AA610" s="78"/>
    </row>
    <row r="611">
      <c r="J611" s="94"/>
      <c r="Z611" s="81"/>
      <c r="AA611" s="78"/>
    </row>
    <row r="612">
      <c r="J612" s="94"/>
      <c r="Z612" s="81"/>
      <c r="AA612" s="78"/>
    </row>
    <row r="613">
      <c r="J613" s="94"/>
      <c r="Z613" s="81"/>
      <c r="AA613" s="78"/>
    </row>
    <row r="614">
      <c r="J614" s="94"/>
      <c r="Z614" s="81"/>
      <c r="AA614" s="78"/>
    </row>
    <row r="615">
      <c r="J615" s="94"/>
      <c r="Z615" s="81"/>
      <c r="AA615" s="78"/>
    </row>
    <row r="616">
      <c r="J616" s="94"/>
      <c r="Z616" s="81"/>
      <c r="AA616" s="78"/>
    </row>
    <row r="617">
      <c r="J617" s="94"/>
      <c r="Z617" s="81"/>
      <c r="AA617" s="78"/>
    </row>
    <row r="618">
      <c r="J618" s="94"/>
      <c r="Z618" s="81"/>
      <c r="AA618" s="78"/>
    </row>
    <row r="619">
      <c r="J619" s="94"/>
      <c r="Z619" s="81"/>
      <c r="AA619" s="78"/>
    </row>
    <row r="620">
      <c r="J620" s="94"/>
      <c r="Z620" s="81"/>
      <c r="AA620" s="78"/>
    </row>
    <row r="621">
      <c r="J621" s="94"/>
      <c r="Z621" s="81"/>
      <c r="AA621" s="78"/>
    </row>
    <row r="622">
      <c r="J622" s="94"/>
      <c r="Z622" s="81"/>
      <c r="AA622" s="78"/>
    </row>
    <row r="623">
      <c r="J623" s="94"/>
      <c r="Z623" s="81"/>
      <c r="AA623" s="78"/>
    </row>
    <row r="624">
      <c r="J624" s="94"/>
      <c r="Z624" s="81"/>
      <c r="AA624" s="78"/>
    </row>
    <row r="625">
      <c r="J625" s="94"/>
      <c r="Z625" s="81"/>
      <c r="AA625" s="78"/>
    </row>
    <row r="626">
      <c r="J626" s="94"/>
      <c r="Z626" s="81"/>
      <c r="AA626" s="78"/>
    </row>
    <row r="627">
      <c r="J627" s="94"/>
      <c r="Z627" s="81"/>
      <c r="AA627" s="78"/>
    </row>
    <row r="628">
      <c r="J628" s="94"/>
      <c r="Z628" s="81"/>
      <c r="AA628" s="78"/>
    </row>
    <row r="629">
      <c r="J629" s="94"/>
      <c r="Z629" s="81"/>
      <c r="AA629" s="78"/>
    </row>
    <row r="630">
      <c r="J630" s="94"/>
      <c r="Z630" s="81"/>
      <c r="AA630" s="78"/>
    </row>
    <row r="631">
      <c r="J631" s="94"/>
      <c r="Z631" s="81"/>
      <c r="AA631" s="78"/>
    </row>
    <row r="632">
      <c r="J632" s="94"/>
      <c r="Z632" s="81"/>
      <c r="AA632" s="78"/>
    </row>
    <row r="633">
      <c r="J633" s="94"/>
      <c r="Z633" s="81"/>
      <c r="AA633" s="78"/>
    </row>
    <row r="634">
      <c r="J634" s="94"/>
      <c r="Z634" s="81"/>
      <c r="AA634" s="78"/>
    </row>
    <row r="635">
      <c r="J635" s="94"/>
      <c r="Z635" s="81"/>
      <c r="AA635" s="78"/>
    </row>
    <row r="636">
      <c r="J636" s="94"/>
      <c r="Z636" s="81"/>
      <c r="AA636" s="78"/>
    </row>
    <row r="637">
      <c r="J637" s="94"/>
      <c r="Z637" s="81"/>
      <c r="AA637" s="78"/>
    </row>
    <row r="638">
      <c r="J638" s="94"/>
      <c r="Z638" s="81"/>
      <c r="AA638" s="78"/>
    </row>
    <row r="639">
      <c r="J639" s="94"/>
      <c r="Z639" s="81"/>
      <c r="AA639" s="78"/>
    </row>
    <row r="640">
      <c r="J640" s="94"/>
      <c r="Z640" s="81"/>
      <c r="AA640" s="78"/>
    </row>
    <row r="641">
      <c r="J641" s="94"/>
      <c r="Z641" s="81"/>
      <c r="AA641" s="78"/>
    </row>
    <row r="642">
      <c r="J642" s="94"/>
      <c r="Z642" s="81"/>
      <c r="AA642" s="78"/>
    </row>
    <row r="643">
      <c r="J643" s="94"/>
      <c r="Z643" s="81"/>
      <c r="AA643" s="78"/>
    </row>
    <row r="644">
      <c r="J644" s="94"/>
      <c r="Z644" s="81"/>
      <c r="AA644" s="78"/>
    </row>
    <row r="645">
      <c r="J645" s="94"/>
      <c r="Z645" s="81"/>
      <c r="AA645" s="78"/>
    </row>
    <row r="646">
      <c r="J646" s="94"/>
      <c r="Z646" s="81"/>
      <c r="AA646" s="78"/>
    </row>
    <row r="647">
      <c r="J647" s="94"/>
      <c r="Z647" s="81"/>
      <c r="AA647" s="78"/>
    </row>
    <row r="648">
      <c r="J648" s="94"/>
      <c r="Z648" s="81"/>
      <c r="AA648" s="78"/>
    </row>
    <row r="649">
      <c r="J649" s="94"/>
      <c r="Z649" s="81"/>
      <c r="AA649" s="78"/>
    </row>
    <row r="650">
      <c r="J650" s="94"/>
      <c r="Z650" s="81"/>
      <c r="AA650" s="78"/>
    </row>
    <row r="651">
      <c r="J651" s="94"/>
      <c r="Z651" s="81"/>
      <c r="AA651" s="78"/>
    </row>
    <row r="652">
      <c r="J652" s="94"/>
      <c r="Z652" s="81"/>
      <c r="AA652" s="78"/>
    </row>
    <row r="653">
      <c r="J653" s="94"/>
      <c r="Z653" s="81"/>
      <c r="AA653" s="78"/>
    </row>
    <row r="654">
      <c r="J654" s="94"/>
      <c r="Z654" s="81"/>
      <c r="AA654" s="78"/>
    </row>
    <row r="655">
      <c r="J655" s="94"/>
      <c r="Z655" s="81"/>
      <c r="AA655" s="78"/>
    </row>
    <row r="656">
      <c r="J656" s="94"/>
      <c r="Z656" s="81"/>
      <c r="AA656" s="78"/>
    </row>
    <row r="657">
      <c r="J657" s="94"/>
      <c r="Z657" s="81"/>
      <c r="AA657" s="78"/>
    </row>
    <row r="658">
      <c r="J658" s="94"/>
      <c r="Z658" s="81"/>
      <c r="AA658" s="78"/>
    </row>
    <row r="659">
      <c r="J659" s="94"/>
      <c r="Z659" s="81"/>
      <c r="AA659" s="78"/>
    </row>
    <row r="660">
      <c r="J660" s="94"/>
      <c r="Z660" s="81"/>
      <c r="AA660" s="78"/>
    </row>
    <row r="661">
      <c r="J661" s="94"/>
      <c r="Z661" s="81"/>
      <c r="AA661" s="78"/>
    </row>
    <row r="662">
      <c r="J662" s="94"/>
      <c r="Z662" s="81"/>
      <c r="AA662" s="78"/>
    </row>
    <row r="663">
      <c r="J663" s="94"/>
      <c r="Z663" s="81"/>
      <c r="AA663" s="78"/>
    </row>
    <row r="664">
      <c r="J664" s="94"/>
      <c r="Z664" s="81"/>
      <c r="AA664" s="78"/>
    </row>
    <row r="665">
      <c r="J665" s="94"/>
      <c r="Z665" s="81"/>
      <c r="AA665" s="78"/>
    </row>
    <row r="666">
      <c r="J666" s="94"/>
      <c r="Z666" s="81"/>
      <c r="AA666" s="78"/>
    </row>
    <row r="667">
      <c r="J667" s="94"/>
      <c r="Z667" s="81"/>
      <c r="AA667" s="78"/>
    </row>
    <row r="668">
      <c r="J668" s="94"/>
      <c r="Z668" s="81"/>
      <c r="AA668" s="78"/>
    </row>
    <row r="669">
      <c r="J669" s="94"/>
      <c r="Z669" s="81"/>
      <c r="AA669" s="78"/>
    </row>
    <row r="670">
      <c r="J670" s="94"/>
      <c r="Z670" s="81"/>
      <c r="AA670" s="78"/>
    </row>
    <row r="671">
      <c r="J671" s="94"/>
      <c r="Z671" s="81"/>
      <c r="AA671" s="78"/>
    </row>
    <row r="672">
      <c r="J672" s="94"/>
      <c r="Z672" s="81"/>
      <c r="AA672" s="78"/>
    </row>
    <row r="673">
      <c r="J673" s="94"/>
      <c r="Z673" s="81"/>
      <c r="AA673" s="78"/>
    </row>
    <row r="674">
      <c r="J674" s="94"/>
      <c r="Z674" s="81"/>
      <c r="AA674" s="78"/>
    </row>
    <row r="675">
      <c r="J675" s="94"/>
      <c r="Z675" s="81"/>
      <c r="AA675" s="78"/>
    </row>
    <row r="676">
      <c r="J676" s="94"/>
      <c r="Z676" s="81"/>
      <c r="AA676" s="78"/>
    </row>
    <row r="677">
      <c r="J677" s="94"/>
      <c r="Z677" s="81"/>
      <c r="AA677" s="78"/>
    </row>
    <row r="678">
      <c r="J678" s="94"/>
      <c r="Z678" s="81"/>
      <c r="AA678" s="78"/>
    </row>
    <row r="679">
      <c r="J679" s="94"/>
      <c r="Z679" s="81"/>
      <c r="AA679" s="78"/>
    </row>
    <row r="680">
      <c r="J680" s="94"/>
      <c r="Z680" s="81"/>
      <c r="AA680" s="78"/>
    </row>
    <row r="681">
      <c r="J681" s="94"/>
      <c r="Z681" s="81"/>
      <c r="AA681" s="78"/>
    </row>
    <row r="682">
      <c r="J682" s="94"/>
      <c r="Z682" s="81"/>
      <c r="AA682" s="78"/>
    </row>
    <row r="683">
      <c r="J683" s="94"/>
      <c r="Z683" s="81"/>
      <c r="AA683" s="78"/>
    </row>
    <row r="684">
      <c r="J684" s="94"/>
      <c r="Z684" s="81"/>
      <c r="AA684" s="78"/>
    </row>
    <row r="685">
      <c r="J685" s="94"/>
      <c r="Z685" s="81"/>
      <c r="AA685" s="78"/>
    </row>
    <row r="686">
      <c r="J686" s="94"/>
      <c r="Z686" s="81"/>
      <c r="AA686" s="78"/>
    </row>
    <row r="687">
      <c r="J687" s="94"/>
      <c r="Z687" s="81"/>
      <c r="AA687" s="78"/>
    </row>
    <row r="688">
      <c r="J688" s="94"/>
      <c r="Z688" s="81"/>
      <c r="AA688" s="78"/>
    </row>
    <row r="689">
      <c r="J689" s="94"/>
      <c r="Z689" s="81"/>
      <c r="AA689" s="78"/>
    </row>
    <row r="690">
      <c r="J690" s="94"/>
      <c r="Z690" s="81"/>
      <c r="AA690" s="78"/>
    </row>
    <row r="691">
      <c r="J691" s="94"/>
      <c r="Z691" s="81"/>
      <c r="AA691" s="78"/>
    </row>
    <row r="692">
      <c r="J692" s="94"/>
      <c r="Z692" s="81"/>
      <c r="AA692" s="78"/>
    </row>
    <row r="693">
      <c r="J693" s="94"/>
      <c r="Z693" s="81"/>
      <c r="AA693" s="78"/>
    </row>
    <row r="694">
      <c r="J694" s="94"/>
      <c r="Z694" s="81"/>
      <c r="AA694" s="78"/>
    </row>
    <row r="695">
      <c r="J695" s="94"/>
      <c r="Z695" s="81"/>
      <c r="AA695" s="78"/>
    </row>
    <row r="696">
      <c r="J696" s="94"/>
      <c r="Z696" s="81"/>
      <c r="AA696" s="78"/>
    </row>
    <row r="697">
      <c r="J697" s="94"/>
      <c r="Z697" s="81"/>
      <c r="AA697" s="78"/>
    </row>
    <row r="698">
      <c r="J698" s="94"/>
      <c r="Z698" s="81"/>
      <c r="AA698" s="78"/>
    </row>
    <row r="699">
      <c r="J699" s="94"/>
      <c r="Z699" s="81"/>
      <c r="AA699" s="78"/>
    </row>
    <row r="700">
      <c r="J700" s="94"/>
      <c r="Z700" s="81"/>
      <c r="AA700" s="78"/>
    </row>
    <row r="701">
      <c r="J701" s="94"/>
      <c r="Z701" s="81"/>
      <c r="AA701" s="78"/>
    </row>
    <row r="702">
      <c r="J702" s="94"/>
      <c r="Z702" s="81"/>
      <c r="AA702" s="78"/>
    </row>
    <row r="703">
      <c r="J703" s="94"/>
      <c r="Z703" s="81"/>
      <c r="AA703" s="78"/>
    </row>
    <row r="704">
      <c r="J704" s="94"/>
      <c r="Z704" s="81"/>
      <c r="AA704" s="78"/>
    </row>
    <row r="705">
      <c r="J705" s="94"/>
      <c r="Z705" s="81"/>
      <c r="AA705" s="78"/>
    </row>
    <row r="706">
      <c r="J706" s="94"/>
      <c r="Z706" s="81"/>
      <c r="AA706" s="78"/>
    </row>
    <row r="707">
      <c r="J707" s="94"/>
      <c r="Z707" s="81"/>
      <c r="AA707" s="78"/>
    </row>
    <row r="708">
      <c r="J708" s="94"/>
      <c r="Z708" s="81"/>
      <c r="AA708" s="78"/>
    </row>
    <row r="709">
      <c r="J709" s="94"/>
      <c r="Z709" s="81"/>
      <c r="AA709" s="78"/>
    </row>
    <row r="710">
      <c r="J710" s="94"/>
      <c r="Z710" s="81"/>
      <c r="AA710" s="78"/>
    </row>
    <row r="711">
      <c r="J711" s="94"/>
      <c r="Z711" s="81"/>
      <c r="AA711" s="78"/>
    </row>
    <row r="712">
      <c r="J712" s="94"/>
      <c r="Z712" s="81"/>
      <c r="AA712" s="78"/>
    </row>
    <row r="713">
      <c r="J713" s="94"/>
      <c r="Z713" s="81"/>
      <c r="AA713" s="78"/>
    </row>
    <row r="714">
      <c r="J714" s="94"/>
      <c r="Z714" s="81"/>
      <c r="AA714" s="78"/>
    </row>
    <row r="715">
      <c r="J715" s="94"/>
      <c r="Z715" s="81"/>
      <c r="AA715" s="78"/>
    </row>
    <row r="716">
      <c r="J716" s="94"/>
      <c r="Z716" s="81"/>
      <c r="AA716" s="78"/>
    </row>
    <row r="717">
      <c r="J717" s="94"/>
      <c r="Z717" s="81"/>
      <c r="AA717" s="78"/>
    </row>
    <row r="718">
      <c r="J718" s="94"/>
      <c r="Z718" s="81"/>
      <c r="AA718" s="78"/>
    </row>
    <row r="719">
      <c r="J719" s="94"/>
      <c r="Z719" s="81"/>
      <c r="AA719" s="78"/>
    </row>
    <row r="720">
      <c r="J720" s="94"/>
      <c r="Z720" s="81"/>
      <c r="AA720" s="78"/>
    </row>
    <row r="721">
      <c r="J721" s="94"/>
      <c r="Z721" s="81"/>
      <c r="AA721" s="78"/>
    </row>
    <row r="722">
      <c r="J722" s="94"/>
      <c r="Z722" s="81"/>
      <c r="AA722" s="78"/>
    </row>
    <row r="723">
      <c r="J723" s="94"/>
      <c r="Z723" s="81"/>
      <c r="AA723" s="78"/>
    </row>
    <row r="724">
      <c r="J724" s="94"/>
      <c r="Z724" s="81"/>
      <c r="AA724" s="78"/>
    </row>
    <row r="725">
      <c r="J725" s="94"/>
      <c r="Z725" s="81"/>
      <c r="AA725" s="78"/>
    </row>
    <row r="726">
      <c r="J726" s="94"/>
      <c r="Z726" s="81"/>
      <c r="AA726" s="78"/>
    </row>
    <row r="727">
      <c r="J727" s="94"/>
      <c r="Z727" s="81"/>
      <c r="AA727" s="78"/>
    </row>
    <row r="728">
      <c r="J728" s="94"/>
      <c r="Z728" s="81"/>
      <c r="AA728" s="78"/>
    </row>
    <row r="729">
      <c r="J729" s="94"/>
      <c r="Z729" s="81"/>
      <c r="AA729" s="78"/>
    </row>
    <row r="730">
      <c r="J730" s="94"/>
      <c r="Z730" s="81"/>
      <c r="AA730" s="78"/>
    </row>
    <row r="731">
      <c r="J731" s="94"/>
      <c r="Z731" s="81"/>
      <c r="AA731" s="78"/>
    </row>
    <row r="732">
      <c r="J732" s="94"/>
      <c r="Z732" s="81"/>
      <c r="AA732" s="78"/>
    </row>
    <row r="733">
      <c r="J733" s="94"/>
      <c r="Z733" s="81"/>
      <c r="AA733" s="78"/>
    </row>
    <row r="734">
      <c r="J734" s="94"/>
      <c r="Z734" s="81"/>
      <c r="AA734" s="78"/>
    </row>
    <row r="735">
      <c r="J735" s="94"/>
      <c r="Z735" s="81"/>
      <c r="AA735" s="78"/>
    </row>
    <row r="736">
      <c r="J736" s="94"/>
      <c r="Z736" s="81"/>
      <c r="AA736" s="78"/>
    </row>
    <row r="737">
      <c r="J737" s="94"/>
      <c r="Z737" s="81"/>
      <c r="AA737" s="78"/>
    </row>
    <row r="738">
      <c r="J738" s="94"/>
      <c r="Z738" s="81"/>
      <c r="AA738" s="78"/>
    </row>
    <row r="739">
      <c r="J739" s="94"/>
      <c r="Z739" s="81"/>
      <c r="AA739" s="78"/>
    </row>
    <row r="740">
      <c r="J740" s="94"/>
      <c r="Z740" s="81"/>
      <c r="AA740" s="78"/>
    </row>
    <row r="741">
      <c r="J741" s="94"/>
      <c r="Z741" s="81"/>
      <c r="AA741" s="78"/>
    </row>
    <row r="742">
      <c r="J742" s="94"/>
      <c r="Z742" s="81"/>
      <c r="AA742" s="78"/>
    </row>
    <row r="743">
      <c r="J743" s="94"/>
      <c r="Z743" s="81"/>
      <c r="AA743" s="78"/>
    </row>
    <row r="744">
      <c r="J744" s="94"/>
      <c r="Z744" s="81"/>
      <c r="AA744" s="78"/>
    </row>
    <row r="745">
      <c r="J745" s="94"/>
      <c r="Z745" s="81"/>
      <c r="AA745" s="78"/>
    </row>
    <row r="746">
      <c r="J746" s="94"/>
      <c r="Z746" s="81"/>
      <c r="AA746" s="78"/>
    </row>
    <row r="747">
      <c r="J747" s="94"/>
      <c r="Z747" s="81"/>
      <c r="AA747" s="78"/>
    </row>
    <row r="748">
      <c r="J748" s="94"/>
      <c r="Z748" s="81"/>
      <c r="AA748" s="78"/>
    </row>
    <row r="749">
      <c r="J749" s="94"/>
      <c r="Z749" s="81"/>
      <c r="AA749" s="78"/>
    </row>
    <row r="750">
      <c r="J750" s="94"/>
      <c r="Z750" s="81"/>
      <c r="AA750" s="78"/>
    </row>
    <row r="751">
      <c r="J751" s="94"/>
      <c r="Z751" s="81"/>
      <c r="AA751" s="78"/>
    </row>
    <row r="752">
      <c r="J752" s="94"/>
      <c r="Z752" s="81"/>
      <c r="AA752" s="78"/>
    </row>
    <row r="753">
      <c r="J753" s="94"/>
      <c r="Z753" s="81"/>
      <c r="AA753" s="78"/>
    </row>
    <row r="754">
      <c r="J754" s="94"/>
      <c r="Z754" s="81"/>
      <c r="AA754" s="78"/>
    </row>
    <row r="755">
      <c r="J755" s="94"/>
      <c r="Z755" s="81"/>
      <c r="AA755" s="78"/>
    </row>
    <row r="756">
      <c r="J756" s="94"/>
      <c r="Z756" s="81"/>
      <c r="AA756" s="78"/>
    </row>
    <row r="757">
      <c r="J757" s="94"/>
      <c r="Z757" s="81"/>
      <c r="AA757" s="78"/>
    </row>
    <row r="758">
      <c r="J758" s="94"/>
      <c r="Z758" s="81"/>
      <c r="AA758" s="78"/>
    </row>
    <row r="759">
      <c r="J759" s="94"/>
      <c r="Z759" s="81"/>
      <c r="AA759" s="78"/>
    </row>
    <row r="760">
      <c r="J760" s="94"/>
      <c r="Z760" s="81"/>
      <c r="AA760" s="78"/>
    </row>
    <row r="761">
      <c r="J761" s="94"/>
      <c r="Z761" s="81"/>
      <c r="AA761" s="78"/>
    </row>
    <row r="762">
      <c r="J762" s="94"/>
      <c r="Z762" s="81"/>
      <c r="AA762" s="78"/>
    </row>
    <row r="763">
      <c r="J763" s="94"/>
      <c r="Z763" s="81"/>
      <c r="AA763" s="78"/>
    </row>
    <row r="764">
      <c r="J764" s="94"/>
      <c r="Z764" s="81"/>
      <c r="AA764" s="78"/>
    </row>
    <row r="765">
      <c r="J765" s="94"/>
      <c r="Z765" s="81"/>
      <c r="AA765" s="78"/>
    </row>
    <row r="766">
      <c r="J766" s="94"/>
      <c r="Z766" s="81"/>
      <c r="AA766" s="78"/>
    </row>
    <row r="767">
      <c r="J767" s="94"/>
      <c r="Z767" s="81"/>
      <c r="AA767" s="78"/>
    </row>
    <row r="768">
      <c r="J768" s="94"/>
      <c r="Z768" s="81"/>
      <c r="AA768" s="78"/>
    </row>
    <row r="769">
      <c r="J769" s="94"/>
      <c r="Z769" s="81"/>
      <c r="AA769" s="78"/>
    </row>
    <row r="770">
      <c r="J770" s="94"/>
      <c r="Z770" s="81"/>
      <c r="AA770" s="78"/>
    </row>
    <row r="771">
      <c r="J771" s="94"/>
      <c r="Z771" s="81"/>
      <c r="AA771" s="78"/>
    </row>
    <row r="772">
      <c r="J772" s="94"/>
      <c r="Z772" s="81"/>
      <c r="AA772" s="78"/>
    </row>
    <row r="773">
      <c r="J773" s="94"/>
      <c r="Z773" s="81"/>
      <c r="AA773" s="78"/>
    </row>
    <row r="774">
      <c r="J774" s="94"/>
      <c r="Z774" s="81"/>
      <c r="AA774" s="78"/>
    </row>
    <row r="775">
      <c r="J775" s="94"/>
      <c r="Z775" s="81"/>
      <c r="AA775" s="78"/>
    </row>
    <row r="776">
      <c r="J776" s="94"/>
      <c r="Z776" s="81"/>
      <c r="AA776" s="78"/>
    </row>
    <row r="777">
      <c r="J777" s="94"/>
      <c r="Z777" s="81"/>
      <c r="AA777" s="78"/>
    </row>
    <row r="778">
      <c r="J778" s="94"/>
      <c r="Z778" s="81"/>
      <c r="AA778" s="78"/>
    </row>
    <row r="779">
      <c r="J779" s="94"/>
      <c r="Z779" s="81"/>
      <c r="AA779" s="78"/>
    </row>
    <row r="780">
      <c r="J780" s="94"/>
      <c r="Z780" s="81"/>
      <c r="AA780" s="78"/>
    </row>
    <row r="781">
      <c r="J781" s="94"/>
      <c r="Z781" s="81"/>
      <c r="AA781" s="78"/>
    </row>
    <row r="782">
      <c r="J782" s="94"/>
      <c r="Z782" s="81"/>
      <c r="AA782" s="78"/>
    </row>
    <row r="783">
      <c r="J783" s="94"/>
      <c r="Z783" s="81"/>
      <c r="AA783" s="78"/>
    </row>
    <row r="784">
      <c r="J784" s="94"/>
      <c r="Z784" s="81"/>
      <c r="AA784" s="78"/>
    </row>
    <row r="785">
      <c r="J785" s="94"/>
      <c r="Z785" s="81"/>
      <c r="AA785" s="78"/>
    </row>
    <row r="786">
      <c r="J786" s="94"/>
      <c r="Z786" s="81"/>
      <c r="AA786" s="78"/>
    </row>
    <row r="787">
      <c r="J787" s="94"/>
      <c r="Z787" s="81"/>
      <c r="AA787" s="78"/>
    </row>
    <row r="788">
      <c r="J788" s="94"/>
      <c r="Z788" s="81"/>
      <c r="AA788" s="78"/>
    </row>
    <row r="789">
      <c r="J789" s="94"/>
      <c r="Z789" s="81"/>
      <c r="AA789" s="78"/>
    </row>
    <row r="790">
      <c r="J790" s="94"/>
      <c r="Z790" s="81"/>
      <c r="AA790" s="78"/>
    </row>
    <row r="791">
      <c r="J791" s="94"/>
      <c r="Z791" s="81"/>
      <c r="AA791" s="78"/>
    </row>
    <row r="792">
      <c r="J792" s="94"/>
      <c r="Z792" s="81"/>
      <c r="AA792" s="78"/>
    </row>
    <row r="793">
      <c r="J793" s="94"/>
      <c r="Z793" s="81"/>
      <c r="AA793" s="78"/>
    </row>
    <row r="794">
      <c r="J794" s="94"/>
      <c r="Z794" s="81"/>
      <c r="AA794" s="78"/>
    </row>
    <row r="795">
      <c r="J795" s="94"/>
      <c r="Z795" s="81"/>
      <c r="AA795" s="78"/>
    </row>
    <row r="796">
      <c r="J796" s="94"/>
      <c r="Z796" s="81"/>
      <c r="AA796" s="78"/>
    </row>
    <row r="797">
      <c r="J797" s="94"/>
      <c r="Z797" s="81"/>
      <c r="AA797" s="78"/>
    </row>
    <row r="798">
      <c r="J798" s="94"/>
      <c r="Z798" s="81"/>
      <c r="AA798" s="78"/>
    </row>
    <row r="799">
      <c r="J799" s="94"/>
      <c r="Z799" s="81"/>
      <c r="AA799" s="78"/>
    </row>
    <row r="800">
      <c r="J800" s="94"/>
      <c r="Z800" s="81"/>
      <c r="AA800" s="78"/>
    </row>
    <row r="801">
      <c r="J801" s="94"/>
      <c r="Z801" s="81"/>
      <c r="AA801" s="78"/>
    </row>
    <row r="802">
      <c r="J802" s="94"/>
      <c r="Z802" s="81"/>
      <c r="AA802" s="78"/>
    </row>
    <row r="803">
      <c r="J803" s="94"/>
      <c r="Z803" s="81"/>
      <c r="AA803" s="78"/>
    </row>
    <row r="804">
      <c r="J804" s="94"/>
      <c r="Z804" s="81"/>
      <c r="AA804" s="78"/>
    </row>
    <row r="805">
      <c r="J805" s="94"/>
      <c r="Z805" s="81"/>
      <c r="AA805" s="78"/>
    </row>
    <row r="806">
      <c r="J806" s="94"/>
      <c r="Z806" s="81"/>
      <c r="AA806" s="78"/>
    </row>
    <row r="807">
      <c r="J807" s="94"/>
      <c r="Z807" s="81"/>
      <c r="AA807" s="78"/>
    </row>
    <row r="808">
      <c r="J808" s="94"/>
      <c r="Z808" s="81"/>
      <c r="AA808" s="78"/>
    </row>
    <row r="809">
      <c r="J809" s="94"/>
      <c r="Z809" s="81"/>
      <c r="AA809" s="78"/>
    </row>
    <row r="810">
      <c r="J810" s="94"/>
      <c r="Z810" s="81"/>
      <c r="AA810" s="78"/>
    </row>
    <row r="811">
      <c r="J811" s="94"/>
      <c r="Z811" s="81"/>
      <c r="AA811" s="78"/>
    </row>
    <row r="812">
      <c r="J812" s="94"/>
      <c r="Z812" s="81"/>
      <c r="AA812" s="78"/>
    </row>
    <row r="813">
      <c r="J813" s="94"/>
      <c r="Z813" s="81"/>
      <c r="AA813" s="78"/>
    </row>
    <row r="814">
      <c r="J814" s="94"/>
      <c r="Z814" s="81"/>
      <c r="AA814" s="78"/>
    </row>
    <row r="815">
      <c r="J815" s="94"/>
      <c r="Z815" s="81"/>
      <c r="AA815" s="78"/>
    </row>
    <row r="816">
      <c r="J816" s="94"/>
      <c r="Z816" s="81"/>
      <c r="AA816" s="78"/>
    </row>
    <row r="817">
      <c r="J817" s="94"/>
      <c r="Z817" s="81"/>
      <c r="AA817" s="78"/>
    </row>
    <row r="818">
      <c r="J818" s="94"/>
      <c r="Z818" s="81"/>
      <c r="AA818" s="78"/>
    </row>
    <row r="819">
      <c r="J819" s="94"/>
      <c r="Z819" s="81"/>
      <c r="AA819" s="78"/>
    </row>
    <row r="820">
      <c r="J820" s="94"/>
      <c r="Z820" s="81"/>
      <c r="AA820" s="78"/>
    </row>
    <row r="821">
      <c r="J821" s="94"/>
      <c r="Z821" s="81"/>
      <c r="AA821" s="78"/>
    </row>
    <row r="822">
      <c r="J822" s="94"/>
      <c r="Z822" s="81"/>
      <c r="AA822" s="78"/>
    </row>
    <row r="823">
      <c r="J823" s="94"/>
      <c r="Z823" s="81"/>
      <c r="AA823" s="78"/>
    </row>
    <row r="824">
      <c r="J824" s="94"/>
      <c r="Z824" s="81"/>
      <c r="AA824" s="78"/>
    </row>
    <row r="825">
      <c r="J825" s="94"/>
      <c r="Z825" s="81"/>
      <c r="AA825" s="78"/>
    </row>
    <row r="826">
      <c r="J826" s="94"/>
      <c r="Z826" s="81"/>
      <c r="AA826" s="78"/>
    </row>
    <row r="827">
      <c r="J827" s="94"/>
      <c r="Z827" s="81"/>
      <c r="AA827" s="78"/>
    </row>
    <row r="828">
      <c r="J828" s="94"/>
      <c r="Z828" s="81"/>
      <c r="AA828" s="78"/>
    </row>
    <row r="829">
      <c r="J829" s="94"/>
      <c r="Z829" s="81"/>
      <c r="AA829" s="78"/>
    </row>
    <row r="830">
      <c r="J830" s="94"/>
      <c r="Z830" s="81"/>
      <c r="AA830" s="78"/>
    </row>
    <row r="831">
      <c r="J831" s="94"/>
      <c r="Z831" s="81"/>
      <c r="AA831" s="78"/>
    </row>
    <row r="832">
      <c r="J832" s="94"/>
      <c r="Z832" s="81"/>
      <c r="AA832" s="78"/>
    </row>
    <row r="833">
      <c r="J833" s="94"/>
      <c r="Z833" s="81"/>
      <c r="AA833" s="78"/>
    </row>
    <row r="834">
      <c r="J834" s="94"/>
      <c r="Z834" s="81"/>
      <c r="AA834" s="78"/>
    </row>
    <row r="835">
      <c r="J835" s="94"/>
      <c r="Z835" s="81"/>
      <c r="AA835" s="78"/>
    </row>
    <row r="836">
      <c r="J836" s="94"/>
      <c r="Z836" s="81"/>
      <c r="AA836" s="78"/>
    </row>
    <row r="837">
      <c r="J837" s="94"/>
      <c r="Z837" s="81"/>
      <c r="AA837" s="78"/>
    </row>
    <row r="838">
      <c r="J838" s="94"/>
      <c r="Z838" s="81"/>
      <c r="AA838" s="78"/>
    </row>
    <row r="839">
      <c r="J839" s="94"/>
      <c r="Z839" s="81"/>
      <c r="AA839" s="78"/>
    </row>
    <row r="840">
      <c r="J840" s="94"/>
      <c r="Z840" s="81"/>
      <c r="AA840" s="78"/>
    </row>
    <row r="841">
      <c r="J841" s="94"/>
      <c r="Z841" s="81"/>
      <c r="AA841" s="78"/>
    </row>
    <row r="842">
      <c r="J842" s="94"/>
      <c r="Z842" s="81"/>
      <c r="AA842" s="78"/>
    </row>
    <row r="843">
      <c r="J843" s="94"/>
      <c r="Z843" s="81"/>
      <c r="AA843" s="78"/>
    </row>
    <row r="844">
      <c r="J844" s="94"/>
      <c r="Z844" s="81"/>
      <c r="AA844" s="78"/>
    </row>
    <row r="845">
      <c r="J845" s="94"/>
      <c r="Z845" s="81"/>
      <c r="AA845" s="78"/>
    </row>
    <row r="846">
      <c r="J846" s="94"/>
      <c r="Z846" s="81"/>
      <c r="AA846" s="78"/>
    </row>
    <row r="847">
      <c r="J847" s="94"/>
      <c r="Z847" s="81"/>
      <c r="AA847" s="78"/>
    </row>
    <row r="848">
      <c r="J848" s="94"/>
      <c r="Z848" s="81"/>
      <c r="AA848" s="78"/>
    </row>
    <row r="849">
      <c r="J849" s="94"/>
      <c r="Z849" s="81"/>
      <c r="AA849" s="78"/>
    </row>
    <row r="850">
      <c r="J850" s="94"/>
      <c r="Z850" s="81"/>
      <c r="AA850" s="78"/>
    </row>
    <row r="851">
      <c r="J851" s="94"/>
      <c r="Z851" s="81"/>
      <c r="AA851" s="78"/>
    </row>
    <row r="852">
      <c r="J852" s="94"/>
      <c r="Z852" s="81"/>
      <c r="AA852" s="78"/>
    </row>
    <row r="853">
      <c r="J853" s="94"/>
      <c r="Z853" s="81"/>
      <c r="AA853" s="78"/>
    </row>
    <row r="854">
      <c r="J854" s="94"/>
      <c r="Z854" s="81"/>
      <c r="AA854" s="78"/>
    </row>
    <row r="855">
      <c r="J855" s="94"/>
      <c r="Z855" s="81"/>
      <c r="AA855" s="78"/>
    </row>
    <row r="856">
      <c r="J856" s="94"/>
      <c r="Z856" s="81"/>
      <c r="AA856" s="78"/>
    </row>
    <row r="857">
      <c r="J857" s="94"/>
      <c r="Z857" s="81"/>
      <c r="AA857" s="78"/>
    </row>
    <row r="858">
      <c r="J858" s="94"/>
      <c r="Z858" s="81"/>
      <c r="AA858" s="78"/>
    </row>
    <row r="859">
      <c r="J859" s="94"/>
      <c r="Z859" s="81"/>
      <c r="AA859" s="78"/>
    </row>
    <row r="860">
      <c r="J860" s="94"/>
      <c r="Z860" s="81"/>
      <c r="AA860" s="78"/>
    </row>
    <row r="861">
      <c r="J861" s="94"/>
      <c r="Z861" s="81"/>
      <c r="AA861" s="78"/>
    </row>
    <row r="862">
      <c r="J862" s="94"/>
      <c r="Z862" s="81"/>
      <c r="AA862" s="78"/>
    </row>
    <row r="863">
      <c r="J863" s="94"/>
      <c r="Z863" s="81"/>
      <c r="AA863" s="78"/>
    </row>
    <row r="864">
      <c r="J864" s="94"/>
      <c r="Z864" s="81"/>
      <c r="AA864" s="78"/>
    </row>
    <row r="865">
      <c r="J865" s="94"/>
      <c r="Z865" s="81"/>
      <c r="AA865" s="78"/>
    </row>
    <row r="866">
      <c r="J866" s="94"/>
      <c r="Z866" s="81"/>
      <c r="AA866" s="78"/>
    </row>
    <row r="867">
      <c r="J867" s="94"/>
      <c r="Z867" s="81"/>
      <c r="AA867" s="78"/>
    </row>
    <row r="868">
      <c r="J868" s="94"/>
      <c r="Z868" s="81"/>
      <c r="AA868" s="78"/>
    </row>
    <row r="869">
      <c r="J869" s="94"/>
      <c r="Z869" s="81"/>
      <c r="AA869" s="78"/>
    </row>
    <row r="870">
      <c r="J870" s="94"/>
      <c r="Z870" s="81"/>
      <c r="AA870" s="78"/>
    </row>
    <row r="871">
      <c r="J871" s="94"/>
      <c r="Z871" s="81"/>
      <c r="AA871" s="78"/>
    </row>
    <row r="872">
      <c r="J872" s="94"/>
      <c r="Z872" s="81"/>
      <c r="AA872" s="78"/>
    </row>
    <row r="873">
      <c r="J873" s="94"/>
      <c r="Z873" s="81"/>
      <c r="AA873" s="78"/>
    </row>
    <row r="874">
      <c r="J874" s="94"/>
      <c r="Z874" s="81"/>
      <c r="AA874" s="78"/>
    </row>
    <row r="875">
      <c r="J875" s="94"/>
      <c r="Z875" s="81"/>
      <c r="AA875" s="78"/>
    </row>
    <row r="876">
      <c r="J876" s="94"/>
      <c r="Z876" s="81"/>
      <c r="AA876" s="78"/>
    </row>
    <row r="877">
      <c r="J877" s="94"/>
      <c r="Z877" s="81"/>
      <c r="AA877" s="78"/>
    </row>
    <row r="878">
      <c r="J878" s="94"/>
      <c r="Z878" s="81"/>
      <c r="AA878" s="78"/>
    </row>
    <row r="879">
      <c r="J879" s="94"/>
      <c r="Z879" s="81"/>
      <c r="AA879" s="78"/>
    </row>
    <row r="880">
      <c r="J880" s="94"/>
      <c r="Z880" s="81"/>
      <c r="AA880" s="78"/>
    </row>
    <row r="881">
      <c r="J881" s="94"/>
      <c r="Z881" s="81"/>
      <c r="AA881" s="78"/>
    </row>
    <row r="882">
      <c r="J882" s="94"/>
      <c r="Z882" s="81"/>
      <c r="AA882" s="78"/>
    </row>
    <row r="883">
      <c r="J883" s="94"/>
      <c r="Z883" s="81"/>
      <c r="AA883" s="78"/>
    </row>
    <row r="884">
      <c r="J884" s="94"/>
      <c r="Z884" s="81"/>
      <c r="AA884" s="78"/>
    </row>
    <row r="885">
      <c r="J885" s="94"/>
      <c r="Z885" s="81"/>
      <c r="AA885" s="78"/>
    </row>
    <row r="886">
      <c r="J886" s="94"/>
      <c r="Z886" s="81"/>
      <c r="AA886" s="78"/>
    </row>
    <row r="887">
      <c r="J887" s="94"/>
      <c r="Z887" s="81"/>
      <c r="AA887" s="78"/>
    </row>
    <row r="888">
      <c r="J888" s="94"/>
      <c r="Z888" s="81"/>
      <c r="AA888" s="78"/>
    </row>
    <row r="889">
      <c r="J889" s="94"/>
      <c r="Z889" s="81"/>
      <c r="AA889" s="78"/>
    </row>
    <row r="890">
      <c r="J890" s="94"/>
      <c r="Z890" s="81"/>
      <c r="AA890" s="78"/>
    </row>
    <row r="891">
      <c r="J891" s="94"/>
      <c r="Z891" s="81"/>
      <c r="AA891" s="78"/>
    </row>
    <row r="892">
      <c r="J892" s="94"/>
      <c r="Z892" s="81"/>
      <c r="AA892" s="78"/>
    </row>
    <row r="893">
      <c r="J893" s="94"/>
      <c r="Z893" s="81"/>
      <c r="AA893" s="78"/>
    </row>
    <row r="894">
      <c r="J894" s="94"/>
      <c r="Z894" s="81"/>
      <c r="AA894" s="78"/>
    </row>
    <row r="895">
      <c r="J895" s="94"/>
      <c r="Z895" s="81"/>
      <c r="AA895" s="78"/>
    </row>
    <row r="896">
      <c r="J896" s="94"/>
      <c r="Z896" s="81"/>
      <c r="AA896" s="78"/>
    </row>
    <row r="897">
      <c r="J897" s="94"/>
      <c r="Z897" s="81"/>
      <c r="AA897" s="78"/>
    </row>
    <row r="898">
      <c r="J898" s="94"/>
      <c r="Z898" s="81"/>
      <c r="AA898" s="78"/>
    </row>
    <row r="899">
      <c r="J899" s="94"/>
      <c r="Z899" s="81"/>
      <c r="AA899" s="78"/>
    </row>
    <row r="900">
      <c r="J900" s="94"/>
      <c r="Z900" s="81"/>
      <c r="AA900" s="78"/>
    </row>
    <row r="901">
      <c r="J901" s="94"/>
      <c r="Z901" s="81"/>
      <c r="AA901" s="78"/>
    </row>
    <row r="902">
      <c r="J902" s="94"/>
      <c r="Z902" s="81"/>
      <c r="AA902" s="78"/>
    </row>
    <row r="903">
      <c r="J903" s="94"/>
      <c r="Z903" s="81"/>
      <c r="AA903" s="78"/>
    </row>
    <row r="904">
      <c r="J904" s="94"/>
      <c r="Z904" s="81"/>
      <c r="AA904" s="78"/>
    </row>
    <row r="905">
      <c r="J905" s="94"/>
      <c r="Z905" s="81"/>
      <c r="AA905" s="78"/>
    </row>
    <row r="906">
      <c r="J906" s="94"/>
      <c r="Z906" s="81"/>
      <c r="AA906" s="78"/>
    </row>
    <row r="907">
      <c r="J907" s="94"/>
      <c r="Z907" s="81"/>
      <c r="AA907" s="78"/>
    </row>
    <row r="908">
      <c r="J908" s="94"/>
      <c r="Z908" s="81"/>
      <c r="AA908" s="78"/>
    </row>
    <row r="909">
      <c r="J909" s="94"/>
      <c r="Z909" s="81"/>
      <c r="AA909" s="78"/>
    </row>
    <row r="910">
      <c r="J910" s="94"/>
      <c r="Z910" s="81"/>
      <c r="AA910" s="78"/>
    </row>
    <row r="911">
      <c r="J911" s="94"/>
      <c r="Z911" s="81"/>
      <c r="AA911" s="78"/>
    </row>
    <row r="912">
      <c r="J912" s="94"/>
      <c r="Z912" s="81"/>
      <c r="AA912" s="78"/>
    </row>
    <row r="913">
      <c r="J913" s="94"/>
      <c r="Z913" s="81"/>
      <c r="AA913" s="78"/>
    </row>
    <row r="914">
      <c r="J914" s="94"/>
      <c r="Z914" s="81"/>
      <c r="AA914" s="78"/>
    </row>
    <row r="915">
      <c r="J915" s="94"/>
      <c r="Z915" s="81"/>
      <c r="AA915" s="78"/>
    </row>
    <row r="916">
      <c r="J916" s="94"/>
      <c r="Z916" s="81"/>
      <c r="AA916" s="78"/>
    </row>
    <row r="917">
      <c r="J917" s="94"/>
      <c r="Z917" s="81"/>
      <c r="AA917" s="78"/>
    </row>
    <row r="918">
      <c r="J918" s="94"/>
      <c r="Z918" s="81"/>
      <c r="AA918" s="78"/>
    </row>
    <row r="919">
      <c r="J919" s="94"/>
      <c r="Z919" s="81"/>
      <c r="AA919" s="78"/>
    </row>
    <row r="920">
      <c r="J920" s="94"/>
      <c r="Z920" s="81"/>
      <c r="AA920" s="78"/>
    </row>
    <row r="921">
      <c r="J921" s="94"/>
      <c r="Z921" s="81"/>
      <c r="AA921" s="78"/>
    </row>
    <row r="922">
      <c r="J922" s="94"/>
      <c r="Z922" s="81"/>
      <c r="AA922" s="78"/>
    </row>
    <row r="923">
      <c r="J923" s="94"/>
      <c r="Z923" s="81"/>
      <c r="AA923" s="78"/>
    </row>
    <row r="924">
      <c r="J924" s="94"/>
      <c r="Z924" s="81"/>
      <c r="AA924" s="78"/>
    </row>
    <row r="925">
      <c r="J925" s="94"/>
      <c r="Z925" s="81"/>
      <c r="AA925" s="78"/>
    </row>
    <row r="926">
      <c r="J926" s="94"/>
      <c r="Z926" s="81"/>
      <c r="AA926" s="78"/>
    </row>
    <row r="927">
      <c r="J927" s="94"/>
      <c r="Z927" s="81"/>
      <c r="AA927" s="78"/>
    </row>
    <row r="928">
      <c r="J928" s="94"/>
      <c r="Z928" s="81"/>
      <c r="AA928" s="78"/>
    </row>
    <row r="929">
      <c r="J929" s="94"/>
      <c r="Z929" s="81"/>
      <c r="AA929" s="78"/>
    </row>
    <row r="930">
      <c r="J930" s="94"/>
      <c r="Z930" s="81"/>
      <c r="AA930" s="78"/>
    </row>
    <row r="931">
      <c r="J931" s="94"/>
      <c r="Z931" s="81"/>
      <c r="AA931" s="78"/>
    </row>
    <row r="932">
      <c r="J932" s="94"/>
      <c r="Z932" s="81"/>
      <c r="AA932" s="78"/>
    </row>
    <row r="933">
      <c r="J933" s="94"/>
      <c r="Z933" s="81"/>
      <c r="AA933" s="78"/>
    </row>
    <row r="934">
      <c r="J934" s="94"/>
      <c r="Z934" s="81"/>
      <c r="AA934" s="78"/>
    </row>
    <row r="935">
      <c r="J935" s="94"/>
      <c r="Z935" s="81"/>
      <c r="AA935" s="78"/>
    </row>
    <row r="936">
      <c r="J936" s="94"/>
      <c r="Z936" s="81"/>
      <c r="AA936" s="78"/>
    </row>
    <row r="937">
      <c r="J937" s="94"/>
      <c r="Z937" s="81"/>
      <c r="AA937" s="78"/>
    </row>
    <row r="938">
      <c r="J938" s="94"/>
      <c r="Z938" s="81"/>
      <c r="AA938" s="78"/>
    </row>
    <row r="939">
      <c r="J939" s="94"/>
      <c r="Z939" s="81"/>
      <c r="AA939" s="78"/>
    </row>
    <row r="940">
      <c r="J940" s="94"/>
      <c r="Z940" s="81"/>
      <c r="AA940" s="78"/>
    </row>
    <row r="941">
      <c r="J941" s="94"/>
      <c r="Z941" s="81"/>
      <c r="AA941" s="78"/>
    </row>
    <row r="942">
      <c r="J942" s="94"/>
      <c r="Z942" s="81"/>
      <c r="AA942" s="78"/>
    </row>
    <row r="943">
      <c r="J943" s="94"/>
      <c r="Z943" s="81"/>
      <c r="AA943" s="78"/>
    </row>
    <row r="944">
      <c r="J944" s="94"/>
      <c r="Z944" s="81"/>
      <c r="AA944" s="78"/>
    </row>
    <row r="945">
      <c r="J945" s="94"/>
      <c r="Z945" s="81"/>
      <c r="AA945" s="78"/>
    </row>
    <row r="946">
      <c r="J946" s="94"/>
      <c r="Z946" s="81"/>
      <c r="AA946" s="78"/>
    </row>
    <row r="947">
      <c r="J947" s="94"/>
      <c r="Z947" s="81"/>
      <c r="AA947" s="78"/>
    </row>
    <row r="948">
      <c r="J948" s="94"/>
      <c r="Z948" s="81"/>
      <c r="AA948" s="78"/>
    </row>
    <row r="949">
      <c r="J949" s="94"/>
      <c r="Z949" s="81"/>
      <c r="AA949" s="78"/>
    </row>
    <row r="950">
      <c r="J950" s="94"/>
      <c r="Z950" s="81"/>
      <c r="AA950" s="78"/>
    </row>
    <row r="951">
      <c r="J951" s="94"/>
      <c r="Z951" s="81"/>
      <c r="AA951" s="78"/>
    </row>
    <row r="952">
      <c r="J952" s="94"/>
      <c r="Z952" s="81"/>
      <c r="AA952" s="78"/>
    </row>
    <row r="953">
      <c r="J953" s="94"/>
      <c r="Z953" s="81"/>
      <c r="AA953" s="78"/>
    </row>
    <row r="954">
      <c r="J954" s="94"/>
      <c r="Z954" s="81"/>
      <c r="AA954" s="78"/>
    </row>
    <row r="955">
      <c r="J955" s="94"/>
      <c r="Z955" s="81"/>
      <c r="AA955" s="78"/>
    </row>
    <row r="956">
      <c r="J956" s="94"/>
      <c r="Z956" s="81"/>
      <c r="AA956" s="78"/>
    </row>
    <row r="957">
      <c r="J957" s="94"/>
      <c r="Z957" s="81"/>
      <c r="AA957" s="78"/>
    </row>
    <row r="958">
      <c r="J958" s="94"/>
      <c r="Z958" s="81"/>
      <c r="AA958" s="78"/>
    </row>
    <row r="959">
      <c r="J959" s="94"/>
      <c r="Z959" s="81"/>
      <c r="AA959" s="78"/>
    </row>
    <row r="960">
      <c r="J960" s="94"/>
      <c r="Z960" s="81"/>
      <c r="AA960" s="78"/>
    </row>
    <row r="961">
      <c r="J961" s="94"/>
      <c r="Z961" s="81"/>
      <c r="AA961" s="78"/>
    </row>
    <row r="962">
      <c r="J962" s="94"/>
      <c r="Z962" s="81"/>
      <c r="AA962" s="78"/>
    </row>
    <row r="963">
      <c r="J963" s="94"/>
      <c r="Z963" s="81"/>
      <c r="AA963" s="78"/>
    </row>
    <row r="964">
      <c r="J964" s="94"/>
      <c r="Z964" s="81"/>
      <c r="AA964" s="78"/>
    </row>
    <row r="965">
      <c r="J965" s="94"/>
      <c r="Z965" s="81"/>
      <c r="AA965" s="78"/>
    </row>
    <row r="966">
      <c r="J966" s="94"/>
      <c r="Z966" s="81"/>
      <c r="AA966" s="78"/>
    </row>
    <row r="967">
      <c r="J967" s="94"/>
      <c r="Z967" s="81"/>
      <c r="AA967" s="78"/>
    </row>
    <row r="968">
      <c r="J968" s="94"/>
      <c r="Z968" s="81"/>
      <c r="AA968" s="78"/>
    </row>
    <row r="969">
      <c r="J969" s="94"/>
      <c r="Z969" s="81"/>
      <c r="AA969" s="78"/>
    </row>
    <row r="970">
      <c r="J970" s="94"/>
      <c r="Z970" s="81"/>
      <c r="AA970" s="78"/>
    </row>
    <row r="971">
      <c r="J971" s="94"/>
      <c r="Z971" s="81"/>
      <c r="AA971" s="78"/>
    </row>
    <row r="972">
      <c r="J972" s="94"/>
      <c r="Z972" s="81"/>
      <c r="AA972" s="78"/>
    </row>
    <row r="973">
      <c r="J973" s="94"/>
      <c r="Z973" s="81"/>
      <c r="AA973" s="78"/>
    </row>
    <row r="974">
      <c r="J974" s="94"/>
      <c r="Z974" s="81"/>
      <c r="AA974" s="78"/>
    </row>
    <row r="975">
      <c r="J975" s="94"/>
      <c r="Z975" s="81"/>
      <c r="AA975" s="78"/>
    </row>
    <row r="976">
      <c r="J976" s="94"/>
      <c r="Z976" s="81"/>
      <c r="AA976" s="78"/>
    </row>
    <row r="977">
      <c r="J977" s="94"/>
      <c r="Z977" s="81"/>
      <c r="AA977" s="78"/>
    </row>
    <row r="978">
      <c r="J978" s="94"/>
      <c r="Z978" s="81"/>
      <c r="AA978" s="78"/>
    </row>
    <row r="979">
      <c r="J979" s="94"/>
      <c r="Z979" s="81"/>
      <c r="AA979" s="78"/>
    </row>
    <row r="980">
      <c r="J980" s="94"/>
      <c r="Z980" s="81"/>
      <c r="AA980" s="78"/>
    </row>
    <row r="981">
      <c r="J981" s="94"/>
      <c r="Z981" s="81"/>
      <c r="AA981" s="78"/>
    </row>
    <row r="982">
      <c r="J982" s="94"/>
      <c r="Z982" s="81"/>
      <c r="AA982" s="78"/>
    </row>
    <row r="983">
      <c r="J983" s="94"/>
      <c r="Z983" s="81"/>
      <c r="AA983" s="78"/>
    </row>
    <row r="984">
      <c r="J984" s="94"/>
      <c r="Z984" s="81"/>
      <c r="AA984" s="78"/>
    </row>
    <row r="985">
      <c r="J985" s="94"/>
      <c r="Z985" s="81"/>
      <c r="AA985" s="78"/>
    </row>
    <row r="986">
      <c r="J986" s="94"/>
      <c r="Z986" s="81"/>
      <c r="AA986" s="78"/>
    </row>
    <row r="987">
      <c r="J987" s="94"/>
      <c r="Z987" s="81"/>
      <c r="AA987" s="78"/>
    </row>
    <row r="988">
      <c r="J988" s="94"/>
      <c r="Z988" s="81"/>
      <c r="AA988" s="78"/>
    </row>
    <row r="989">
      <c r="J989" s="94"/>
      <c r="Z989" s="81"/>
      <c r="AA989" s="78"/>
    </row>
    <row r="990">
      <c r="J990" s="94"/>
      <c r="Z990" s="81"/>
      <c r="AA990" s="78"/>
    </row>
    <row r="991">
      <c r="J991" s="94"/>
      <c r="Z991" s="81"/>
      <c r="AA991" s="78"/>
    </row>
    <row r="992">
      <c r="J992" s="94"/>
      <c r="Z992" s="81"/>
      <c r="AA992" s="78"/>
    </row>
    <row r="993">
      <c r="J993" s="94"/>
      <c r="Z993" s="81"/>
      <c r="AA993" s="78"/>
    </row>
    <row r="994">
      <c r="J994" s="94"/>
      <c r="Z994" s="81"/>
      <c r="AA994" s="78"/>
    </row>
    <row r="995">
      <c r="J995" s="94"/>
      <c r="Z995" s="81"/>
      <c r="AA995" s="78"/>
    </row>
    <row r="996">
      <c r="J996" s="94"/>
      <c r="Z996" s="81"/>
      <c r="AA996" s="78"/>
    </row>
    <row r="997">
      <c r="J997" s="94"/>
      <c r="Z997" s="81"/>
      <c r="AA997" s="78"/>
    </row>
    <row r="998">
      <c r="J998" s="94"/>
      <c r="Z998" s="81"/>
      <c r="AA998" s="78"/>
    </row>
    <row r="999">
      <c r="J999" s="94"/>
      <c r="Z999" s="81"/>
      <c r="AA999" s="78"/>
    </row>
    <row r="1000">
      <c r="J1000" s="94"/>
      <c r="Z1000" s="81"/>
      <c r="AA1000" s="78"/>
    </row>
    <row r="1001">
      <c r="J1001" s="94"/>
      <c r="Z1001" s="81"/>
      <c r="AA1001" s="78"/>
    </row>
    <row r="1002">
      <c r="J1002" s="94"/>
      <c r="Z1002" s="81"/>
      <c r="AA1002" s="78"/>
    </row>
    <row r="1003">
      <c r="J1003" s="94"/>
      <c r="Z1003" s="81"/>
      <c r="AA1003" s="78"/>
    </row>
    <row r="1004">
      <c r="J1004" s="94"/>
      <c r="Z1004" s="81"/>
      <c r="AA1004" s="78"/>
    </row>
    <row r="1005">
      <c r="J1005" s="94"/>
      <c r="Z1005" s="81"/>
      <c r="AA1005" s="78"/>
    </row>
    <row r="1006">
      <c r="J1006" s="94"/>
      <c r="Z1006" s="81"/>
      <c r="AA1006" s="78"/>
    </row>
  </sheetData>
  <autoFilter ref="$A$1:$AE$50">
    <sortState ref="A1:AE50">
      <sortCondition ref="N1:N5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C4587"/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2" width="17.75"/>
    <col customWidth="1" min="8" max="8" width="7.0"/>
    <col customWidth="1" min="9" max="10" width="15.38"/>
    <col customWidth="1" min="11" max="11" width="17.75"/>
    <col customWidth="1" min="12" max="12" width="12.88"/>
    <col customWidth="1" min="13" max="13" width="10.13"/>
    <col customWidth="1" min="14" max="14" width="19.88"/>
    <col customWidth="1" min="15" max="15" width="30.25"/>
    <col customWidth="1" min="16" max="16" width="10.13"/>
  </cols>
  <sheetData>
    <row r="1">
      <c r="A1" s="104" t="s">
        <v>384</v>
      </c>
      <c r="B1" s="105" t="s">
        <v>1</v>
      </c>
      <c r="C1" s="106" t="s">
        <v>2</v>
      </c>
      <c r="D1" s="105" t="s">
        <v>3</v>
      </c>
      <c r="E1" s="105" t="s">
        <v>4</v>
      </c>
      <c r="F1" s="105" t="s">
        <v>385</v>
      </c>
      <c r="G1" s="104" t="s">
        <v>6</v>
      </c>
      <c r="H1" s="105" t="s">
        <v>386</v>
      </c>
      <c r="I1" s="105" t="s">
        <v>387</v>
      </c>
      <c r="J1" s="105" t="s">
        <v>388</v>
      </c>
      <c r="K1" s="105" t="s">
        <v>389</v>
      </c>
      <c r="L1" s="105" t="s">
        <v>390</v>
      </c>
      <c r="M1" s="105" t="s">
        <v>391</v>
      </c>
      <c r="N1" s="105" t="s">
        <v>392</v>
      </c>
      <c r="O1" s="105" t="s">
        <v>393</v>
      </c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3"/>
      <c r="B2" s="3">
        <v>2.124019725E9</v>
      </c>
      <c r="C2" s="108" t="str">
        <f>VLOOKUP($B2,ANAGRAFICA!$B$1:$G$306,2,FALSE)</f>
        <v>AMIWO</v>
      </c>
      <c r="D2" s="108" t="str">
        <f>VLOOKUP($B2,ANAGRAFICA!$B$1:$G$306,3,FALSE)</f>
        <v>REX STEVE</v>
      </c>
      <c r="E2" s="109" t="str">
        <f>VLOOKUP($B2,ANAGRAFICA!$B$1:$G$306,4,FALSE)</f>
        <v>758-18</v>
      </c>
      <c r="F2" s="109">
        <f>VLOOKUP($B2,ANAGRAFICA!$B$1:$G$306,5,FALSE)</f>
        <v>3272024084</v>
      </c>
      <c r="G2" s="109">
        <f>VLOOKUP($B2,ANAGRAFICA!$B$1:$G$306,6,FALSE)</f>
        <v>2024</v>
      </c>
      <c r="H2" s="57">
        <v>1.0</v>
      </c>
      <c r="I2" s="110">
        <v>45601.0</v>
      </c>
      <c r="J2" s="57" t="s">
        <v>394</v>
      </c>
      <c r="K2" s="110">
        <v>45602.0</v>
      </c>
      <c r="L2" s="57" t="s">
        <v>333</v>
      </c>
      <c r="M2" s="57" t="s">
        <v>395</v>
      </c>
      <c r="N2" s="94"/>
      <c r="O2" s="94"/>
    </row>
    <row r="3">
      <c r="A3" s="3"/>
      <c r="B3" s="3">
        <v>2.125004454E9</v>
      </c>
      <c r="C3" s="108" t="str">
        <f>VLOOKUP($B3,ANAGRAFICA!$B$1:$G$306,2,FALSE)</f>
        <v>ANTIGNANO</v>
      </c>
      <c r="D3" s="108" t="str">
        <f>VLOOKUP($B3,ANAGRAFICA!$B$1:$G$306,3,FALSE)</f>
        <v>MAURO</v>
      </c>
      <c r="E3" s="109" t="str">
        <f>VLOOKUP($B3,ANAGRAFICA!$B$1:$G$306,4,FALSE)</f>
        <v>758-23</v>
      </c>
      <c r="F3" s="109">
        <f>VLOOKUP($B3,ANAGRAFICA!$B$1:$G$306,5,FALSE)</f>
        <v>3272025052</v>
      </c>
      <c r="G3" s="109">
        <f>VLOOKUP($B3,ANAGRAFICA!$B$1:$G$306,6,FALSE)</f>
        <v>2025</v>
      </c>
      <c r="H3" s="57">
        <v>1.0</v>
      </c>
      <c r="I3" s="110">
        <v>45688.0</v>
      </c>
      <c r="J3" s="57" t="s">
        <v>396</v>
      </c>
      <c r="K3" s="111">
        <v>45688.0</v>
      </c>
      <c r="L3" s="57" t="s">
        <v>397</v>
      </c>
      <c r="M3" s="57" t="s">
        <v>395</v>
      </c>
      <c r="N3" s="94"/>
      <c r="O3" s="94"/>
    </row>
    <row r="4">
      <c r="A4" s="3"/>
      <c r="B4" s="3">
        <v>2.12401869E9</v>
      </c>
      <c r="C4" s="108" t="str">
        <f>VLOOKUP($B4,ANAGRAFICA!$B$1:$G$306,2,FALSE)</f>
        <v>AVENIDO</v>
      </c>
      <c r="D4" s="108" t="str">
        <f>VLOOKUP($B4,ANAGRAFICA!$B$1:$G$306,3,FALSE)</f>
        <v>DELFIN</v>
      </c>
      <c r="E4" s="109" t="str">
        <f>VLOOKUP($B4,ANAGRAFICA!$B$1:$G$306,4,FALSE)</f>
        <v>758-16</v>
      </c>
      <c r="F4" s="109">
        <f>VLOOKUP($B4,ANAGRAFICA!$B$1:$G$306,5,FALSE)</f>
        <v>3272024082</v>
      </c>
      <c r="G4" s="109">
        <f>VLOOKUP($B4,ANAGRAFICA!$B$1:$G$306,6,FALSE)</f>
        <v>2024</v>
      </c>
      <c r="H4" s="57">
        <v>1.0</v>
      </c>
      <c r="I4" s="112">
        <v>45585.0</v>
      </c>
      <c r="J4" s="57" t="s">
        <v>398</v>
      </c>
      <c r="K4" s="112">
        <v>45590.0</v>
      </c>
      <c r="L4" s="57" t="s">
        <v>398</v>
      </c>
      <c r="M4" s="57" t="s">
        <v>395</v>
      </c>
      <c r="N4" s="94"/>
      <c r="O4" s="94"/>
    </row>
    <row r="5">
      <c r="A5" s="3"/>
      <c r="B5" s="3">
        <v>2.123023299E9</v>
      </c>
      <c r="C5" s="108" t="str">
        <f>VLOOKUP($B5,ANAGRAFICA!$B$1:$G$306,2,FALSE)</f>
        <v>BEATRICE</v>
      </c>
      <c r="D5" s="108" t="str">
        <f>VLOOKUP($B5,ANAGRAFICA!$B$1:$G$306,3,FALSE)</f>
        <v>GERARDINA</v>
      </c>
      <c r="E5" s="109" t="str">
        <f>VLOOKUP($B5,ANAGRAFICA!$B$1:$G$306,4,FALSE)</f>
        <v/>
      </c>
      <c r="F5" s="109">
        <f>VLOOKUP($B5,ANAGRAFICA!$B$1:$G$306,5,FALSE)</f>
        <v>3272024098</v>
      </c>
      <c r="G5" s="109">
        <f>VLOOKUP($B5,ANAGRAFICA!$B$1:$G$306,6,FALSE)</f>
        <v>2024</v>
      </c>
      <c r="H5" s="57">
        <v>1.0</v>
      </c>
      <c r="I5" s="110">
        <v>45292.0</v>
      </c>
      <c r="J5" s="57" t="s">
        <v>399</v>
      </c>
      <c r="K5" s="110">
        <v>45293.0</v>
      </c>
      <c r="L5" s="57" t="s">
        <v>400</v>
      </c>
      <c r="M5" s="57" t="s">
        <v>395</v>
      </c>
      <c r="N5" s="94"/>
      <c r="O5" s="94"/>
    </row>
    <row r="6">
      <c r="A6" s="3"/>
      <c r="B6" s="3">
        <v>2.124011236E9</v>
      </c>
      <c r="C6" s="108" t="str">
        <f>VLOOKUP($B6,ANAGRAFICA!$B$1:$G$306,2,FALSE)</f>
        <v>BERETTA</v>
      </c>
      <c r="D6" s="108" t="str">
        <f>VLOOKUP($B6,ANAGRAFICA!$B$1:$G$306,3,FALSE)</f>
        <v>ENZO LUCIANO</v>
      </c>
      <c r="E6" s="109" t="str">
        <f>VLOOKUP($B6,ANAGRAFICA!$B$1:$G$306,4,FALSE)</f>
        <v>758-3</v>
      </c>
      <c r="F6" s="109">
        <f>VLOOKUP($B6,ANAGRAFICA!$B$1:$G$306,5,FALSE)</f>
        <v>3272024069</v>
      </c>
      <c r="G6" s="109">
        <f>VLOOKUP($B6,ANAGRAFICA!$B$1:$G$306,6,FALSE)</f>
        <v>2024</v>
      </c>
      <c r="H6" s="57">
        <v>1.0</v>
      </c>
      <c r="I6" s="110">
        <v>45461.0</v>
      </c>
      <c r="J6" s="57" t="s">
        <v>401</v>
      </c>
      <c r="K6" s="110">
        <v>45474.0</v>
      </c>
      <c r="L6" s="57" t="s">
        <v>221</v>
      </c>
      <c r="M6" s="57" t="s">
        <v>395</v>
      </c>
      <c r="N6" s="94"/>
      <c r="O6" s="94"/>
    </row>
    <row r="7">
      <c r="A7" s="3"/>
      <c r="B7" s="3">
        <v>2.124009735E9</v>
      </c>
      <c r="C7" s="108" t="str">
        <f>VLOOKUP($B7,ANAGRAFICA!$B$1:$G$306,2,FALSE)</f>
        <v>BOSSI</v>
      </c>
      <c r="D7" s="108" t="str">
        <f>VLOOKUP($B7,ANAGRAFICA!$B$1:$G$306,3,FALSE)</f>
        <v>LUDOVICO</v>
      </c>
      <c r="E7" s="109" t="str">
        <f>VLOOKUP($B7,ANAGRAFICA!$B$1:$G$306,4,FALSE)</f>
        <v>758-1</v>
      </c>
      <c r="F7" s="109">
        <f>VLOOKUP($B7,ANAGRAFICA!$B$1:$G$306,5,FALSE)</f>
        <v>3272024067</v>
      </c>
      <c r="G7" s="109">
        <f>VLOOKUP($B7,ANAGRAFICA!$B$1:$G$306,6,FALSE)</f>
        <v>2024</v>
      </c>
      <c r="H7" s="57">
        <v>1.0</v>
      </c>
      <c r="I7" s="110">
        <v>45434.0</v>
      </c>
      <c r="J7" s="57" t="s">
        <v>402</v>
      </c>
      <c r="K7" s="110">
        <v>45440.0</v>
      </c>
      <c r="L7" s="57" t="s">
        <v>403</v>
      </c>
      <c r="M7" s="57" t="s">
        <v>395</v>
      </c>
      <c r="N7" s="94"/>
      <c r="O7" s="94"/>
    </row>
    <row r="8">
      <c r="A8" s="3"/>
      <c r="B8" s="3">
        <v>2.124018637E9</v>
      </c>
      <c r="C8" s="108" t="str">
        <f>VLOOKUP($B8,ANAGRAFICA!$B$1:$G$306,2,FALSE)</f>
        <v>CARIBONI</v>
      </c>
      <c r="D8" s="108" t="str">
        <f>VLOOKUP($B8,ANAGRAFICA!$B$1:$G$306,3,FALSE)</f>
        <v>LORENZA</v>
      </c>
      <c r="E8" s="109" t="str">
        <f>VLOOKUP($B8,ANAGRAFICA!$B$1:$G$306,4,FALSE)</f>
        <v>758-15</v>
      </c>
      <c r="F8" s="109">
        <f>VLOOKUP($B8,ANAGRAFICA!$B$1:$G$306,5,FALSE)</f>
        <v>3272024081</v>
      </c>
      <c r="G8" s="109">
        <f>VLOOKUP($B8,ANAGRAFICA!$B$1:$G$306,6,FALSE)</f>
        <v>2024</v>
      </c>
      <c r="H8" s="57">
        <v>1.0</v>
      </c>
      <c r="I8" s="112">
        <v>45584.0</v>
      </c>
      <c r="J8" s="57" t="s">
        <v>404</v>
      </c>
      <c r="K8" s="112">
        <v>45585.0</v>
      </c>
      <c r="L8" s="57" t="s">
        <v>405</v>
      </c>
      <c r="M8" s="57" t="s">
        <v>395</v>
      </c>
      <c r="N8" s="94"/>
      <c r="O8" s="94"/>
    </row>
    <row r="9">
      <c r="A9" s="3"/>
      <c r="B9" s="25">
        <v>2.124203781E9</v>
      </c>
      <c r="C9" s="108" t="str">
        <f>VLOOKUP($B9,ANAGRAFICA!$B$1:$G$306,2,FALSE)</f>
        <v>CONCA</v>
      </c>
      <c r="D9" s="108" t="str">
        <f>VLOOKUP($B9,ANAGRAFICA!$B$1:$G$306,3,FALSE)</f>
        <v>CAMILLA</v>
      </c>
      <c r="E9" s="109" t="str">
        <f>VLOOKUP($B9,ANAGRAFICA!$B$1:$G$306,4,FALSE)</f>
        <v/>
      </c>
      <c r="F9" s="109">
        <f>VLOOKUP($B9,ANAGRAFICA!$B$1:$G$306,5,FALSE)</f>
        <v>3272024058</v>
      </c>
      <c r="G9" s="109">
        <f>VLOOKUP($B9,ANAGRAFICA!$B$1:$G$306,6,FALSE)</f>
        <v>2024</v>
      </c>
      <c r="H9" s="57">
        <v>1.0</v>
      </c>
      <c r="I9" s="110">
        <v>45351.0</v>
      </c>
      <c r="J9" s="57" t="s">
        <v>406</v>
      </c>
      <c r="K9" s="110">
        <v>45352.0</v>
      </c>
      <c r="L9" s="57" t="s">
        <v>28</v>
      </c>
      <c r="M9" s="57" t="s">
        <v>395</v>
      </c>
      <c r="N9" s="94"/>
      <c r="O9" s="94"/>
    </row>
    <row r="10">
      <c r="A10" s="3"/>
      <c r="B10" s="3">
        <v>2.124206072E9</v>
      </c>
      <c r="C10" s="108" t="str">
        <f>VLOOKUP($B10,ANAGRAFICA!$B$1:$G$306,2,FALSE)</f>
        <v>CONSONNI</v>
      </c>
      <c r="D10" s="108" t="str">
        <f>VLOOKUP($B10,ANAGRAFICA!$B$1:$G$306,3,FALSE)</f>
        <v>GIULIO</v>
      </c>
      <c r="E10" s="109" t="str">
        <f>VLOOKUP($B10,ANAGRAFICA!$B$1:$G$306,4,FALSE)</f>
        <v/>
      </c>
      <c r="F10" s="109">
        <f>VLOOKUP($B10,ANAGRAFICA!$B$1:$G$306,5,FALSE)</f>
        <v>3272024064</v>
      </c>
      <c r="G10" s="109">
        <f>VLOOKUP($B10,ANAGRAFICA!$B$1:$G$306,6,FALSE)</f>
        <v>2024</v>
      </c>
      <c r="H10" s="57">
        <v>1.0</v>
      </c>
      <c r="I10" s="110">
        <v>45409.0</v>
      </c>
      <c r="J10" s="57" t="s">
        <v>407</v>
      </c>
      <c r="K10" s="110">
        <v>45414.0</v>
      </c>
      <c r="L10" s="57" t="s">
        <v>408</v>
      </c>
      <c r="M10" s="57" t="s">
        <v>395</v>
      </c>
      <c r="N10" s="94"/>
      <c r="O10" s="94"/>
    </row>
    <row r="11">
      <c r="A11" s="3"/>
      <c r="B11" s="3">
        <v>2.124206072E9</v>
      </c>
      <c r="C11" s="108" t="str">
        <f>VLOOKUP($B11,ANAGRAFICA!$B$1:$G$306,2,FALSE)</f>
        <v>CONSONNI</v>
      </c>
      <c r="D11" s="108" t="str">
        <f>VLOOKUP($B11,ANAGRAFICA!$B$1:$G$306,3,FALSE)</f>
        <v>GIULIO</v>
      </c>
      <c r="E11" s="109" t="str">
        <f>VLOOKUP($B11,ANAGRAFICA!$B$1:$G$306,4,FALSE)</f>
        <v/>
      </c>
      <c r="F11" s="109">
        <f>VLOOKUP($B11,ANAGRAFICA!$B$1:$G$306,5,FALSE)</f>
        <v>3272024064</v>
      </c>
      <c r="G11" s="109">
        <f>VLOOKUP($B11,ANAGRAFICA!$B$1:$G$306,6,FALSE)</f>
        <v>2024</v>
      </c>
      <c r="H11" s="57">
        <v>2.0</v>
      </c>
      <c r="I11" s="110">
        <v>45416.0</v>
      </c>
      <c r="J11" s="57" t="s">
        <v>396</v>
      </c>
      <c r="K11" s="110">
        <v>45417.0</v>
      </c>
      <c r="L11" s="57" t="s">
        <v>160</v>
      </c>
      <c r="M11" s="57" t="s">
        <v>395</v>
      </c>
      <c r="N11" s="94"/>
      <c r="O11" s="94"/>
    </row>
    <row r="12">
      <c r="A12" s="3"/>
      <c r="B12" s="3">
        <v>2.124211722E9</v>
      </c>
      <c r="C12" s="108" t="str">
        <f>VLOOKUP($B12,ANAGRAFICA!$B$1:$G$306,2,FALSE)</f>
        <v>CORIO</v>
      </c>
      <c r="D12" s="108" t="str">
        <f>VLOOKUP($B12,ANAGRAFICA!$B$1:$G$306,3,FALSE)</f>
        <v>GIOVANNI</v>
      </c>
      <c r="E12" s="109" t="str">
        <f>VLOOKUP($B12,ANAGRAFICA!$B$1:$G$306,4,FALSE)</f>
        <v>758-13</v>
      </c>
      <c r="F12" s="109">
        <f>VLOOKUP($B12,ANAGRAFICA!$B$1:$G$306,5,FALSE)</f>
        <v>3272024079</v>
      </c>
      <c r="G12" s="109">
        <f>VLOOKUP($B12,ANAGRAFICA!$B$1:$G$306,6,FALSE)</f>
        <v>2024</v>
      </c>
      <c r="H12" s="57">
        <v>1.0</v>
      </c>
      <c r="I12" s="110">
        <v>45571.0</v>
      </c>
      <c r="J12" s="57" t="s">
        <v>409</v>
      </c>
      <c r="K12" s="112">
        <v>45576.0</v>
      </c>
      <c r="L12" s="57" t="s">
        <v>353</v>
      </c>
      <c r="M12" s="57" t="s">
        <v>395</v>
      </c>
      <c r="N12" s="94"/>
      <c r="O12" s="94"/>
    </row>
    <row r="13">
      <c r="A13" s="25"/>
      <c r="B13" s="113">
        <v>2.124018611E9</v>
      </c>
      <c r="C13" s="108" t="str">
        <f>VLOOKUP($B13,ANAGRAFICA!$B$1:$G$306,2,FALSE)</f>
        <v>CURTO</v>
      </c>
      <c r="D13" s="108" t="str">
        <f>VLOOKUP($B13,ANAGRAFICA!$B$1:$G$306,3,FALSE)</f>
        <v>ROBERTO</v>
      </c>
      <c r="E13" s="109" t="str">
        <f>VLOOKUP($B13,ANAGRAFICA!$B$1:$G$306,4,FALSE)</f>
        <v/>
      </c>
      <c r="F13" s="109" t="str">
        <f>VLOOKUP($B13,ANAGRAFICA!$B$1:$G$306,5,FALSE)</f>
        <v/>
      </c>
      <c r="G13" s="109">
        <f>VLOOKUP($B13,ANAGRAFICA!$B$1:$G$306,6,FALSE)</f>
        <v>2024</v>
      </c>
      <c r="H13" s="57">
        <v>1.0</v>
      </c>
      <c r="I13" s="112">
        <v>45583.0</v>
      </c>
      <c r="J13" s="57" t="s">
        <v>410</v>
      </c>
      <c r="K13" s="112">
        <v>45586.0</v>
      </c>
      <c r="L13" s="57" t="s">
        <v>411</v>
      </c>
      <c r="M13" s="57" t="s">
        <v>395</v>
      </c>
      <c r="N13" s="94"/>
      <c r="O13" s="94"/>
    </row>
    <row r="14">
      <c r="A14" s="3"/>
      <c r="B14" s="3">
        <v>2.124208629E9</v>
      </c>
      <c r="C14" s="108" t="str">
        <f>VLOOKUP($B14,ANAGRAFICA!$B$1:$G$306,2,FALSE)</f>
        <v>D'ANDREA</v>
      </c>
      <c r="D14" s="108" t="str">
        <f>VLOOKUP($B14,ANAGRAFICA!$B$1:$G$306,3,FALSE)</f>
        <v>FERNANDO ANTONIO</v>
      </c>
      <c r="E14" s="109" t="str">
        <f>VLOOKUP($B14,ANAGRAFICA!$B$1:$G$306,4,FALSE)</f>
        <v>758-5</v>
      </c>
      <c r="F14" s="109">
        <f>VLOOKUP($B14,ANAGRAFICA!$B$1:$G$306,5,FALSE)</f>
        <v>3272024071</v>
      </c>
      <c r="G14" s="109">
        <f>VLOOKUP($B14,ANAGRAFICA!$B$1:$G$306,6,FALSE)</f>
        <v>2024</v>
      </c>
      <c r="H14" s="57">
        <v>1.0</v>
      </c>
      <c r="I14" s="110">
        <v>45470.0</v>
      </c>
      <c r="J14" s="57" t="s">
        <v>412</v>
      </c>
      <c r="K14" s="110">
        <v>45475.0</v>
      </c>
      <c r="L14" s="57" t="s">
        <v>221</v>
      </c>
      <c r="M14" s="57" t="s">
        <v>395</v>
      </c>
      <c r="N14" s="94"/>
      <c r="O14" s="94"/>
    </row>
    <row r="15">
      <c r="A15" s="3"/>
      <c r="B15" s="3">
        <v>2.124006081E9</v>
      </c>
      <c r="C15" s="108" t="str">
        <f>VLOOKUP($B15,ANAGRAFICA!$B$1:$G$306,2,FALSE)</f>
        <v>DOSSI</v>
      </c>
      <c r="D15" s="108" t="str">
        <f>VLOOKUP($B15,ANAGRAFICA!$B$1:$G$306,3,FALSE)</f>
        <v>MAURIZIO ANTONIO</v>
      </c>
      <c r="E15" s="109" t="str">
        <f>VLOOKUP($B15,ANAGRAFICA!$B$1:$G$306,4,FALSE)</f>
        <v/>
      </c>
      <c r="F15" s="109">
        <f>VLOOKUP($B15,ANAGRAFICA!$B$1:$G$306,5,FALSE)</f>
        <v>3272024062</v>
      </c>
      <c r="G15" s="109">
        <f>VLOOKUP($B15,ANAGRAFICA!$B$1:$G$306,6,FALSE)</f>
        <v>2024</v>
      </c>
      <c r="H15" s="57">
        <v>1.0</v>
      </c>
      <c r="I15" s="110">
        <v>45387.0</v>
      </c>
      <c r="J15" s="57" t="s">
        <v>413</v>
      </c>
      <c r="K15" s="110">
        <v>45394.0</v>
      </c>
      <c r="L15" s="57" t="s">
        <v>414</v>
      </c>
      <c r="M15" s="57" t="s">
        <v>395</v>
      </c>
      <c r="N15" s="94"/>
      <c r="O15" s="94"/>
    </row>
    <row r="16">
      <c r="A16" s="3"/>
      <c r="B16" s="3">
        <v>2.124025195E9</v>
      </c>
      <c r="C16" s="108" t="str">
        <f>VLOOKUP($B16,ANAGRAFICA!$B$1:$G$306,2,FALSE)</f>
        <v>FAZIO</v>
      </c>
      <c r="D16" s="108" t="str">
        <f>VLOOKUP($B16,ANAGRAFICA!$B$1:$G$306,3,FALSE)</f>
        <v>FRANCESCO ANTONIO</v>
      </c>
      <c r="E16" s="109" t="str">
        <f>VLOOKUP($B16,ANAGRAFICA!$B$1:$G$306,4,FALSE)</f>
        <v>758-21</v>
      </c>
      <c r="F16" s="109">
        <f>VLOOKUP($B16,ANAGRAFICA!$B$1:$G$306,5,FALSE)</f>
        <v>3272024087</v>
      </c>
      <c r="G16" s="109">
        <f>VLOOKUP($B16,ANAGRAFICA!$B$1:$G$306,6,FALSE)</f>
        <v>2024</v>
      </c>
      <c r="H16" s="57">
        <v>1.0</v>
      </c>
      <c r="I16" s="110">
        <v>45631.0</v>
      </c>
      <c r="J16" s="57" t="s">
        <v>415</v>
      </c>
      <c r="K16" s="112">
        <v>45638.0</v>
      </c>
      <c r="L16" s="57" t="s">
        <v>416</v>
      </c>
      <c r="M16" s="57" t="s">
        <v>395</v>
      </c>
      <c r="N16" s="94"/>
      <c r="O16" s="94"/>
    </row>
    <row r="17">
      <c r="A17" s="3"/>
      <c r="B17" s="3">
        <v>2.124208975E9</v>
      </c>
      <c r="C17" s="108" t="str">
        <f>VLOOKUP($B17,ANAGRAFICA!$B$1:$G$306,2,FALSE)</f>
        <v>FERRARO</v>
      </c>
      <c r="D17" s="108" t="str">
        <f>VLOOKUP($B17,ANAGRAFICA!$B$1:$G$306,3,FALSE)</f>
        <v>DANIELE</v>
      </c>
      <c r="E17" s="109" t="str">
        <f>VLOOKUP($B17,ANAGRAFICA!$B$1:$G$306,4,FALSE)</f>
        <v/>
      </c>
      <c r="F17" s="109" t="str">
        <f>VLOOKUP($B17,ANAGRAFICA!$B$1:$G$306,5,FALSE)</f>
        <v/>
      </c>
      <c r="G17" s="109">
        <f>VLOOKUP($B17,ANAGRAFICA!$B$1:$G$306,6,FALSE)</f>
        <v>2024</v>
      </c>
      <c r="H17" s="57">
        <v>1.0</v>
      </c>
      <c r="I17" s="110">
        <v>45483.0</v>
      </c>
      <c r="J17" s="57" t="s">
        <v>417</v>
      </c>
      <c r="K17" s="110">
        <v>45486.0</v>
      </c>
      <c r="L17" s="57" t="s">
        <v>418</v>
      </c>
      <c r="M17" s="57" t="s">
        <v>395</v>
      </c>
      <c r="N17" s="94"/>
      <c r="O17" s="94"/>
    </row>
    <row r="18">
      <c r="A18" s="3"/>
      <c r="B18" s="3">
        <v>2.124011588E9</v>
      </c>
      <c r="C18" s="108" t="str">
        <f>VLOOKUP($B18,ANAGRAFICA!$B$1:$G$306,2,FALSE)</f>
        <v>FRATINO</v>
      </c>
      <c r="D18" s="108" t="str">
        <f>VLOOKUP($B18,ANAGRAFICA!$B$1:$G$306,3,FALSE)</f>
        <v>OLIVIERO</v>
      </c>
      <c r="E18" s="109" t="str">
        <f>VLOOKUP($B18,ANAGRAFICA!$B$1:$G$306,4,FALSE)</f>
        <v>758-4</v>
      </c>
      <c r="F18" s="109">
        <f>VLOOKUP($B18,ANAGRAFICA!$B$1:$G$306,5,FALSE)</f>
        <v>3272024070</v>
      </c>
      <c r="G18" s="109">
        <f>VLOOKUP($B18,ANAGRAFICA!$B$1:$G$306,6,FALSE)</f>
        <v>2024</v>
      </c>
      <c r="H18" s="57">
        <v>1.0</v>
      </c>
      <c r="I18" s="110">
        <v>45462.0</v>
      </c>
      <c r="J18" s="57" t="s">
        <v>71</v>
      </c>
      <c r="K18" s="110">
        <v>45468.0</v>
      </c>
      <c r="L18" s="57" t="s">
        <v>264</v>
      </c>
      <c r="M18" s="57" t="s">
        <v>395</v>
      </c>
      <c r="N18" s="94"/>
      <c r="O18" s="94"/>
    </row>
    <row r="19">
      <c r="A19" s="3"/>
      <c r="B19" s="3">
        <v>2.124014461E9</v>
      </c>
      <c r="C19" s="108" t="str">
        <f>VLOOKUP($B19,ANAGRAFICA!$B$1:$G$306,2,FALSE)</f>
        <v>FUMAGALLI</v>
      </c>
      <c r="D19" s="108" t="str">
        <f>VLOOKUP($B19,ANAGRAFICA!$B$1:$G$306,3,FALSE)</f>
        <v>LUCA</v>
      </c>
      <c r="E19" s="109" t="str">
        <f>VLOOKUP($B19,ANAGRAFICA!$B$1:$G$306,4,FALSE)</f>
        <v>758-10</v>
      </c>
      <c r="F19" s="109">
        <f>VLOOKUP($B19,ANAGRAFICA!$B$1:$G$306,5,FALSE)</f>
        <v>3272024076</v>
      </c>
      <c r="G19" s="109">
        <f>VLOOKUP($B19,ANAGRAFICA!$B$1:$G$306,6,FALSE)</f>
        <v>2024</v>
      </c>
      <c r="H19" s="57">
        <v>1.0</v>
      </c>
      <c r="I19" s="110">
        <v>45524.0</v>
      </c>
      <c r="J19" s="57" t="s">
        <v>419</v>
      </c>
      <c r="K19" s="110">
        <v>45534.0</v>
      </c>
      <c r="L19" s="57" t="s">
        <v>420</v>
      </c>
      <c r="M19" s="57" t="s">
        <v>395</v>
      </c>
      <c r="N19" s="94"/>
      <c r="O19" s="94"/>
    </row>
    <row r="20">
      <c r="A20" s="3"/>
      <c r="B20" s="3">
        <v>2.124008291E9</v>
      </c>
      <c r="C20" s="108" t="str">
        <f>VLOOKUP($B20,ANAGRAFICA!$B$1:$G$306,2,FALSE)</f>
        <v>FUMAGALLI</v>
      </c>
      <c r="D20" s="108" t="str">
        <f>VLOOKUP($B20,ANAGRAFICA!$B$1:$G$306,3,FALSE)</f>
        <v>PIERO</v>
      </c>
      <c r="E20" s="109" t="str">
        <f>VLOOKUP($B20,ANAGRAFICA!$B$1:$G$306,4,FALSE)</f>
        <v/>
      </c>
      <c r="F20" s="109">
        <f>VLOOKUP($B20,ANAGRAFICA!$B$1:$G$306,5,FALSE)</f>
        <v>3272024065</v>
      </c>
      <c r="G20" s="109">
        <f>VLOOKUP($B20,ANAGRAFICA!$B$1:$G$306,6,FALSE)</f>
        <v>2024</v>
      </c>
      <c r="H20" s="57">
        <v>1.0</v>
      </c>
      <c r="I20" s="112">
        <v>45414.0</v>
      </c>
      <c r="J20" s="57" t="s">
        <v>221</v>
      </c>
      <c r="K20" s="110">
        <v>45416.0</v>
      </c>
      <c r="L20" s="57" t="s">
        <v>421</v>
      </c>
      <c r="M20" s="57" t="s">
        <v>395</v>
      </c>
      <c r="N20" s="94"/>
      <c r="O20" s="94"/>
    </row>
    <row r="21">
      <c r="A21" s="3"/>
      <c r="B21" s="3">
        <v>2.124012915E9</v>
      </c>
      <c r="C21" s="108" t="str">
        <f>VLOOKUP($B21,ANAGRAFICA!$B$1:$G$306,2,FALSE)</f>
        <v>GARGIONI</v>
      </c>
      <c r="D21" s="108" t="str">
        <f>VLOOKUP($B21,ANAGRAFICA!$B$1:$G$306,3,FALSE)</f>
        <v>GIULIO</v>
      </c>
      <c r="E21" s="109" t="str">
        <f>VLOOKUP($B21,ANAGRAFICA!$B$1:$G$306,4,FALSE)</f>
        <v>758-6</v>
      </c>
      <c r="F21" s="109">
        <f>VLOOKUP($B21,ANAGRAFICA!$B$1:$G$306,5,FALSE)</f>
        <v>3272024072</v>
      </c>
      <c r="G21" s="109">
        <f>VLOOKUP($B21,ANAGRAFICA!$B$1:$G$306,6,FALSE)</f>
        <v>2024</v>
      </c>
      <c r="H21" s="57">
        <v>1.0</v>
      </c>
      <c r="I21" s="110">
        <v>45485.0</v>
      </c>
      <c r="J21" s="57" t="s">
        <v>422</v>
      </c>
      <c r="K21" s="110">
        <v>45492.0</v>
      </c>
      <c r="L21" s="57" t="s">
        <v>203</v>
      </c>
      <c r="M21" s="57" t="s">
        <v>395</v>
      </c>
      <c r="N21" s="94"/>
      <c r="O21" s="94"/>
    </row>
    <row r="22">
      <c r="A22" s="3"/>
      <c r="B22" s="3">
        <v>2.124000241E9</v>
      </c>
      <c r="C22" s="108" t="str">
        <f>VLOOKUP($B22,ANAGRAFICA!$B$1:$G$306,2,FALSE)</f>
        <v>ISELLA</v>
      </c>
      <c r="D22" s="108" t="str">
        <f>VLOOKUP($B22,ANAGRAFICA!$B$1:$G$306,3,FALSE)</f>
        <v>VINCENZO</v>
      </c>
      <c r="E22" s="109" t="str">
        <f>VLOOKUP($B22,ANAGRAFICA!$B$1:$G$306,4,FALSE)</f>
        <v/>
      </c>
      <c r="F22" s="109">
        <f>VLOOKUP($B22,ANAGRAFICA!$B$1:$G$306,5,FALSE)</f>
        <v>3272024052</v>
      </c>
      <c r="G22" s="109">
        <f>VLOOKUP($B22,ANAGRAFICA!$B$1:$G$306,6,FALSE)</f>
        <v>2024</v>
      </c>
      <c r="H22" s="57">
        <v>1.0</v>
      </c>
      <c r="I22" s="110">
        <v>45296.0</v>
      </c>
      <c r="J22" s="57" t="s">
        <v>423</v>
      </c>
      <c r="K22" s="110">
        <v>45297.0</v>
      </c>
      <c r="L22" s="57" t="s">
        <v>104</v>
      </c>
      <c r="M22" s="57" t="s">
        <v>395</v>
      </c>
      <c r="N22" s="94"/>
      <c r="O22" s="94"/>
    </row>
    <row r="23">
      <c r="A23" s="3"/>
      <c r="B23" s="3">
        <v>2.124000328E9</v>
      </c>
      <c r="C23" s="108" t="str">
        <f>VLOOKUP($B23,ANAGRAFICA!$B$1:$G$306,2,FALSE)</f>
        <v>LAVANGA</v>
      </c>
      <c r="D23" s="108" t="str">
        <f>VLOOKUP($B23,ANAGRAFICA!$B$1:$G$306,3,FALSE)</f>
        <v>DONATO</v>
      </c>
      <c r="E23" s="109" t="str">
        <f>VLOOKUP($B23,ANAGRAFICA!$B$1:$G$306,4,FALSE)</f>
        <v/>
      </c>
      <c r="F23" s="109">
        <f>VLOOKUP($B23,ANAGRAFICA!$B$1:$G$306,5,FALSE)</f>
        <v>3272024053</v>
      </c>
      <c r="G23" s="109">
        <f>VLOOKUP($B23,ANAGRAFICA!$B$1:$G$306,6,FALSE)</f>
        <v>2024</v>
      </c>
      <c r="H23" s="57">
        <v>1.0</v>
      </c>
      <c r="I23" s="110">
        <v>45298.0</v>
      </c>
      <c r="J23" s="57" t="s">
        <v>424</v>
      </c>
      <c r="K23" s="110">
        <v>45301.0</v>
      </c>
      <c r="L23" s="114">
        <v>0.0</v>
      </c>
      <c r="M23" s="57" t="s">
        <v>395</v>
      </c>
      <c r="N23" s="94"/>
      <c r="O23" s="94"/>
    </row>
    <row r="24">
      <c r="A24" s="3"/>
      <c r="B24" s="3">
        <v>2.125004867E9</v>
      </c>
      <c r="C24" s="108" t="str">
        <f>VLOOKUP($B24,ANAGRAFICA!$B$1:$G$306,2,FALSE)</f>
        <v>MARCONI</v>
      </c>
      <c r="D24" s="108" t="str">
        <f>VLOOKUP($B24,ANAGRAFICA!$B$1:$G$306,3,FALSE)</f>
        <v>PIETRO VITTORIO</v>
      </c>
      <c r="E24" s="109" t="str">
        <f>VLOOKUP($B24,ANAGRAFICA!$B$1:$G$306,4,FALSE)</f>
        <v/>
      </c>
      <c r="F24" s="109">
        <f>VLOOKUP($B24,ANAGRAFICA!$B$1:$G$306,5,FALSE)</f>
        <v>3272025053</v>
      </c>
      <c r="G24" s="109">
        <f>VLOOKUP($B24,ANAGRAFICA!$B$1:$G$306,6,FALSE)</f>
        <v>2025</v>
      </c>
      <c r="H24" s="57">
        <v>1.0</v>
      </c>
      <c r="I24" s="110">
        <v>45691.0</v>
      </c>
      <c r="J24" s="57" t="s">
        <v>423</v>
      </c>
      <c r="K24" s="110">
        <v>45692.0</v>
      </c>
      <c r="L24" s="57" t="s">
        <v>425</v>
      </c>
      <c r="M24" s="57" t="s">
        <v>395</v>
      </c>
      <c r="N24" s="94"/>
      <c r="O24" s="94"/>
    </row>
    <row r="25">
      <c r="A25" s="3"/>
      <c r="B25" s="3">
        <v>2.124008603E9</v>
      </c>
      <c r="C25" s="108" t="str">
        <f>VLOOKUP($B25,ANAGRAFICA!$B$1:$G$306,2,FALSE)</f>
        <v>MARIANI</v>
      </c>
      <c r="D25" s="108" t="str">
        <f>VLOOKUP($B25,ANAGRAFICA!$B$1:$G$306,3,FALSE)</f>
        <v>MARCO</v>
      </c>
      <c r="E25" s="109" t="str">
        <f>VLOOKUP($B25,ANAGRAFICA!$B$1:$G$306,4,FALSE)</f>
        <v/>
      </c>
      <c r="F25" s="109">
        <f>VLOOKUP($B25,ANAGRAFICA!$B$1:$G$306,5,FALSE)</f>
        <v>3272024066</v>
      </c>
      <c r="G25" s="109">
        <f>VLOOKUP($B25,ANAGRAFICA!$B$1:$G$306,6,FALSE)</f>
        <v>2024</v>
      </c>
      <c r="H25" s="57">
        <v>1.0</v>
      </c>
      <c r="I25" s="110">
        <v>45425.0</v>
      </c>
      <c r="J25" s="57" t="s">
        <v>426</v>
      </c>
      <c r="K25" s="110">
        <v>45447.0</v>
      </c>
      <c r="L25" s="57" t="s">
        <v>420</v>
      </c>
      <c r="M25" s="57" t="s">
        <v>427</v>
      </c>
      <c r="N25" s="94"/>
      <c r="O25" s="94"/>
    </row>
    <row r="26">
      <c r="A26" s="3"/>
      <c r="B26" s="3">
        <v>2.124023603E9</v>
      </c>
      <c r="C26" s="108" t="str">
        <f>VLOOKUP($B26,ANAGRAFICA!$B$1:$G$306,2,FALSE)</f>
        <v>MAZZARDIS </v>
      </c>
      <c r="D26" s="108" t="str">
        <f>VLOOKUP($B26,ANAGRAFICA!$B$1:$G$306,3,FALSE)</f>
        <v>DAVIDE</v>
      </c>
      <c r="E26" s="109" t="str">
        <f>VLOOKUP($B26,ANAGRAFICA!$B$1:$G$306,4,FALSE)</f>
        <v>758-19</v>
      </c>
      <c r="F26" s="109">
        <f>VLOOKUP($B26,ANAGRAFICA!$B$1:$G$306,5,FALSE)</f>
        <v>3272024085</v>
      </c>
      <c r="G26" s="109">
        <f>VLOOKUP($B26,ANAGRAFICA!$B$1:$G$306,6,FALSE)</f>
        <v>2024</v>
      </c>
      <c r="H26" s="57">
        <v>1.0</v>
      </c>
      <c r="I26" s="112">
        <v>45622.0</v>
      </c>
      <c r="J26" s="57" t="s">
        <v>428</v>
      </c>
      <c r="K26" s="110">
        <v>45627.0</v>
      </c>
      <c r="L26" s="57" t="s">
        <v>420</v>
      </c>
      <c r="M26" s="57" t="s">
        <v>395</v>
      </c>
      <c r="N26" s="94"/>
      <c r="O26" s="94"/>
    </row>
    <row r="27">
      <c r="A27" s="3"/>
      <c r="B27" s="3">
        <v>2.124023603E9</v>
      </c>
      <c r="C27" s="108" t="str">
        <f>VLOOKUP($B27,ANAGRAFICA!$B$1:$G$306,2,FALSE)</f>
        <v>MAZZARDIS </v>
      </c>
      <c r="D27" s="108" t="str">
        <f>VLOOKUP($B27,ANAGRAFICA!$B$1:$G$306,3,FALSE)</f>
        <v>DAVIDE</v>
      </c>
      <c r="E27" s="109" t="str">
        <f>VLOOKUP($B27,ANAGRAFICA!$B$1:$G$306,4,FALSE)</f>
        <v>758-19</v>
      </c>
      <c r="F27" s="109">
        <f>VLOOKUP($B27,ANAGRAFICA!$B$1:$G$306,5,FALSE)</f>
        <v>3272024085</v>
      </c>
      <c r="G27" s="109">
        <f>VLOOKUP($B27,ANAGRAFICA!$B$1:$G$306,6,FALSE)</f>
        <v>2024</v>
      </c>
      <c r="H27" s="57">
        <v>2.0</v>
      </c>
      <c r="I27" s="112">
        <v>45641.0</v>
      </c>
      <c r="J27" s="57" t="s">
        <v>199</v>
      </c>
      <c r="K27" s="112">
        <v>45657.0</v>
      </c>
      <c r="L27" s="57" t="s">
        <v>429</v>
      </c>
      <c r="M27" s="57" t="s">
        <v>395</v>
      </c>
      <c r="N27" s="94"/>
      <c r="O27" s="94"/>
    </row>
    <row r="28">
      <c r="A28" s="3"/>
      <c r="B28" s="3">
        <v>2.124000149E9</v>
      </c>
      <c r="C28" s="108" t="str">
        <f>VLOOKUP($B28,ANAGRAFICA!$B$1:$G$306,2,FALSE)</f>
        <v>MOTTA</v>
      </c>
      <c r="D28" s="108" t="str">
        <f>VLOOKUP($B28,ANAGRAFICA!$B$1:$G$306,3,FALSE)</f>
        <v>FABIO</v>
      </c>
      <c r="E28" s="109" t="str">
        <f>VLOOKUP($B28,ANAGRAFICA!$B$1:$G$306,4,FALSE)</f>
        <v/>
      </c>
      <c r="F28" s="109">
        <f>VLOOKUP($B28,ANAGRAFICA!$B$1:$G$306,5,FALSE)</f>
        <v>3272024051</v>
      </c>
      <c r="G28" s="109">
        <f>VLOOKUP($B28,ANAGRAFICA!$B$1:$G$306,6,FALSE)</f>
        <v>2024</v>
      </c>
      <c r="H28" s="57">
        <v>1.0</v>
      </c>
      <c r="I28" s="110">
        <v>45295.0</v>
      </c>
      <c r="J28" s="57" t="s">
        <v>430</v>
      </c>
      <c r="K28" s="110">
        <v>45299.0</v>
      </c>
      <c r="L28" s="57" t="s">
        <v>160</v>
      </c>
      <c r="M28" s="57" t="s">
        <v>395</v>
      </c>
      <c r="N28" s="94"/>
      <c r="O28" s="94"/>
    </row>
    <row r="29">
      <c r="A29" s="3"/>
      <c r="B29" s="3">
        <v>2.124003924E9</v>
      </c>
      <c r="C29" s="108" t="str">
        <f>VLOOKUP($B29,ANAGRAFICA!$B$1:$G$306,2,FALSE)</f>
        <v>MUHAMMAD</v>
      </c>
      <c r="D29" s="108" t="str">
        <f>VLOOKUP($B29,ANAGRAFICA!$B$1:$G$306,3,FALSE)</f>
        <v>SHARIF</v>
      </c>
      <c r="E29" s="109" t="str">
        <f>VLOOKUP($B29,ANAGRAFICA!$B$1:$G$306,4,FALSE)</f>
        <v/>
      </c>
      <c r="F29" s="109">
        <f>VLOOKUP($B29,ANAGRAFICA!$B$1:$G$306,5,FALSE)</f>
        <v>3272024059</v>
      </c>
      <c r="G29" s="109">
        <f>VLOOKUP($B29,ANAGRAFICA!$B$1:$G$306,6,FALSE)</f>
        <v>2024</v>
      </c>
      <c r="H29" s="57">
        <v>1.0</v>
      </c>
      <c r="I29" s="110">
        <v>45349.0</v>
      </c>
      <c r="J29" s="57" t="s">
        <v>431</v>
      </c>
      <c r="K29" s="110">
        <v>45350.0</v>
      </c>
      <c r="L29" s="57" t="s">
        <v>432</v>
      </c>
      <c r="M29" s="57" t="s">
        <v>395</v>
      </c>
      <c r="N29" s="94"/>
      <c r="O29" s="94"/>
    </row>
    <row r="30">
      <c r="A30" s="3"/>
      <c r="B30" s="3">
        <v>2.1240107E9</v>
      </c>
      <c r="C30" s="108" t="str">
        <f>VLOOKUP($B30,ANAGRAFICA!$B$1:$G$306,2,FALSE)</f>
        <v>ORNAGHI</v>
      </c>
      <c r="D30" s="108" t="str">
        <f>VLOOKUP($B30,ANAGRAFICA!$B$1:$G$306,3,FALSE)</f>
        <v>LORENZO</v>
      </c>
      <c r="E30" s="109" t="str">
        <f>VLOOKUP($B30,ANAGRAFICA!$B$1:$G$306,4,FALSE)</f>
        <v>758-2</v>
      </c>
      <c r="F30" s="109">
        <f>VLOOKUP($B30,ANAGRAFICA!$B$1:$G$306,5,FALSE)</f>
        <v>3272024068</v>
      </c>
      <c r="G30" s="109">
        <f>VLOOKUP($B30,ANAGRAFICA!$B$1:$G$306,6,FALSE)</f>
        <v>2024</v>
      </c>
      <c r="H30" s="57">
        <v>1.0</v>
      </c>
      <c r="I30" s="110">
        <v>45448.0</v>
      </c>
      <c r="J30" s="57" t="s">
        <v>433</v>
      </c>
      <c r="K30" s="110">
        <v>45450.0</v>
      </c>
      <c r="L30" s="57" t="s">
        <v>434</v>
      </c>
      <c r="M30" s="57" t="s">
        <v>395</v>
      </c>
      <c r="N30" s="94"/>
      <c r="O30" s="94"/>
    </row>
    <row r="31">
      <c r="A31" s="3"/>
      <c r="B31" s="3">
        <v>2.124025878E9</v>
      </c>
      <c r="C31" s="108" t="str">
        <f>VLOOKUP($B31,ANAGRAFICA!$B$1:$G$306,2,FALSE)</f>
        <v>PEDRONI </v>
      </c>
      <c r="D31" s="108" t="str">
        <f>VLOOKUP($B31,ANAGRAFICA!$B$1:$G$306,3,FALSE)</f>
        <v>PIERANGELO</v>
      </c>
      <c r="E31" s="109" t="str">
        <f>VLOOKUP($B31,ANAGRAFICA!$B$1:$G$306,4,FALSE)</f>
        <v>758-22</v>
      </c>
      <c r="F31" s="109">
        <f>VLOOKUP($B31,ANAGRAFICA!$B$1:$G$306,5,FALSE)</f>
        <v>3272024088</v>
      </c>
      <c r="G31" s="109">
        <f>VLOOKUP($B31,ANAGRAFICA!$B$1:$G$306,6,FALSE)</f>
        <v>2024</v>
      </c>
      <c r="H31" s="57">
        <v>1.0</v>
      </c>
      <c r="I31" s="112">
        <v>45636.0</v>
      </c>
      <c r="J31" s="57" t="s">
        <v>318</v>
      </c>
      <c r="K31" s="57" t="s">
        <v>435</v>
      </c>
      <c r="L31" s="57" t="s">
        <v>436</v>
      </c>
      <c r="M31" s="57" t="s">
        <v>395</v>
      </c>
      <c r="N31" s="94"/>
      <c r="O31" s="94"/>
    </row>
    <row r="32">
      <c r="A32" s="3"/>
      <c r="B32" s="3">
        <v>2.124014334E9</v>
      </c>
      <c r="C32" s="108" t="str">
        <f>VLOOKUP($B32,ANAGRAFICA!$B$1:$G$306,2,FALSE)</f>
        <v>PONTIGGIA</v>
      </c>
      <c r="D32" s="108" t="str">
        <f>VLOOKUP($B32,ANAGRAFICA!$B$1:$G$306,3,FALSE)</f>
        <v>FLAVIO</v>
      </c>
      <c r="E32" s="109" t="str">
        <f>VLOOKUP($B32,ANAGRAFICA!$B$1:$G$306,4,FALSE)</f>
        <v>758-9</v>
      </c>
      <c r="F32" s="109">
        <f>VLOOKUP($B32,ANAGRAFICA!$B$1:$G$306,5,FALSE)</f>
        <v>3272024075</v>
      </c>
      <c r="G32" s="109">
        <f>VLOOKUP($B32,ANAGRAFICA!$B$1:$G$306,6,FALSE)</f>
        <v>2024</v>
      </c>
      <c r="H32" s="57">
        <v>1.0</v>
      </c>
      <c r="I32" s="110">
        <v>45512.0</v>
      </c>
      <c r="J32" s="57" t="s">
        <v>437</v>
      </c>
      <c r="K32" s="110">
        <v>45513.0</v>
      </c>
      <c r="L32" s="57" t="s">
        <v>438</v>
      </c>
      <c r="M32" s="57" t="s">
        <v>395</v>
      </c>
      <c r="N32" s="94"/>
      <c r="O32" s="94"/>
    </row>
    <row r="33">
      <c r="A33" s="3"/>
      <c r="B33" s="3">
        <v>2.124003531E9</v>
      </c>
      <c r="C33" s="108" t="str">
        <f>VLOOKUP($B33,ANAGRAFICA!$B$1:$G$306,2,FALSE)</f>
        <v>RASPANTI</v>
      </c>
      <c r="D33" s="108" t="str">
        <f>VLOOKUP($B33,ANAGRAFICA!$B$1:$G$306,3,FALSE)</f>
        <v>ANDREA</v>
      </c>
      <c r="E33" s="109" t="str">
        <f>VLOOKUP($B33,ANAGRAFICA!$B$1:$G$306,4,FALSE)</f>
        <v/>
      </c>
      <c r="F33" s="109">
        <f>VLOOKUP($B33,ANAGRAFICA!$B$1:$G$306,5,FALSE)</f>
        <v>3272024057</v>
      </c>
      <c r="G33" s="109">
        <f>VLOOKUP($B33,ANAGRAFICA!$B$1:$G$306,6,FALSE)</f>
        <v>2024</v>
      </c>
      <c r="H33" s="57">
        <v>1.0</v>
      </c>
      <c r="I33" s="110">
        <v>45343.0</v>
      </c>
      <c r="J33" s="57" t="s">
        <v>439</v>
      </c>
      <c r="K33" s="110">
        <v>45351.0</v>
      </c>
      <c r="L33" s="57" t="s">
        <v>28</v>
      </c>
      <c r="M33" s="57" t="s">
        <v>440</v>
      </c>
      <c r="N33" s="94"/>
      <c r="O33" s="94"/>
    </row>
    <row r="34">
      <c r="A34" s="3"/>
      <c r="B34" s="3">
        <v>2.124024078E9</v>
      </c>
      <c r="C34" s="108" t="str">
        <f>VLOOKUP($B34,ANAGRAFICA!$B$1:$G$306,2,FALSE)</f>
        <v>ROVARIS</v>
      </c>
      <c r="D34" s="108" t="str">
        <f>VLOOKUP($B34,ANAGRAFICA!$B$1:$G$306,3,FALSE)</f>
        <v>ANGELO FELICE</v>
      </c>
      <c r="E34" s="109" t="str">
        <f>VLOOKUP($B34,ANAGRAFICA!$B$1:$G$306,4,FALSE)</f>
        <v>758-20</v>
      </c>
      <c r="F34" s="109">
        <f>VLOOKUP($B34,ANAGRAFICA!$B$1:$G$306,5,FALSE)</f>
        <v>3272024086</v>
      </c>
      <c r="G34" s="109">
        <f>VLOOKUP($B34,ANAGRAFICA!$B$1:$G$306,6,FALSE)</f>
        <v>2024</v>
      </c>
      <c r="H34" s="57">
        <v>1.0</v>
      </c>
      <c r="I34" s="112">
        <v>45625.0</v>
      </c>
      <c r="J34" s="57" t="s">
        <v>441</v>
      </c>
      <c r="K34" s="110">
        <v>45632.0</v>
      </c>
      <c r="L34" s="57" t="s">
        <v>68</v>
      </c>
      <c r="M34" s="57" t="s">
        <v>395</v>
      </c>
      <c r="N34" s="94"/>
      <c r="O34" s="94"/>
    </row>
    <row r="35">
      <c r="A35" s="3"/>
      <c r="B35" s="3">
        <v>2.12400578E9</v>
      </c>
      <c r="C35" s="108" t="str">
        <f>VLOOKUP($B35,ANAGRAFICA!$B$1:$G$306,2,FALSE)</f>
        <v>SAINCIUC</v>
      </c>
      <c r="D35" s="108" t="str">
        <f>VLOOKUP($B35,ANAGRAFICA!$B$1:$G$306,3,FALSE)</f>
        <v>AUREL</v>
      </c>
      <c r="E35" s="109" t="str">
        <f>VLOOKUP($B35,ANAGRAFICA!$B$1:$G$306,4,FALSE)</f>
        <v/>
      </c>
      <c r="F35" s="109">
        <f>VLOOKUP($B35,ANAGRAFICA!$B$1:$G$306,5,FALSE)</f>
        <v>3272024061</v>
      </c>
      <c r="G35" s="109">
        <f>VLOOKUP($B35,ANAGRAFICA!$B$1:$G$306,6,FALSE)</f>
        <v>2024</v>
      </c>
      <c r="H35" s="57">
        <v>1.0</v>
      </c>
      <c r="I35" s="110">
        <v>45376.0</v>
      </c>
      <c r="J35" s="57" t="s">
        <v>442</v>
      </c>
      <c r="K35" s="110">
        <v>45378.0</v>
      </c>
      <c r="L35" s="57" t="s">
        <v>443</v>
      </c>
      <c r="M35" s="57" t="s">
        <v>395</v>
      </c>
      <c r="N35" s="94"/>
      <c r="O35" s="94"/>
    </row>
    <row r="36">
      <c r="A36" s="3"/>
      <c r="B36" s="3">
        <v>2.124017757E9</v>
      </c>
      <c r="C36" s="108" t="str">
        <f>VLOOKUP($B36,ANAGRAFICA!$B$1:$G$306,2,FALSE)</f>
        <v>SALA</v>
      </c>
      <c r="D36" s="108" t="str">
        <f>VLOOKUP($B36,ANAGRAFICA!$B$1:$G$306,3,FALSE)</f>
        <v>FELICE</v>
      </c>
      <c r="E36" s="109" t="str">
        <f>VLOOKUP($B36,ANAGRAFICA!$B$1:$G$306,4,FALSE)</f>
        <v>758-14</v>
      </c>
      <c r="F36" s="109">
        <f>VLOOKUP($B36,ANAGRAFICA!$B$1:$G$306,5,FALSE)</f>
        <v>3272024080</v>
      </c>
      <c r="G36" s="109">
        <f>VLOOKUP($B36,ANAGRAFICA!$B$1:$G$306,6,FALSE)</f>
        <v>2024</v>
      </c>
      <c r="H36" s="57">
        <v>1.0</v>
      </c>
      <c r="I36" s="110">
        <v>45572.0</v>
      </c>
      <c r="J36" s="57" t="s">
        <v>444</v>
      </c>
      <c r="K36" s="112">
        <v>45576.0</v>
      </c>
      <c r="L36" s="57" t="s">
        <v>146</v>
      </c>
      <c r="M36" s="57" t="s">
        <v>395</v>
      </c>
      <c r="N36" s="94"/>
      <c r="O36" s="94"/>
    </row>
    <row r="37">
      <c r="A37" s="3"/>
      <c r="B37" s="3">
        <v>2.124015827E9</v>
      </c>
      <c r="C37" s="108" t="str">
        <f>VLOOKUP($B37,ANAGRAFICA!$B$1:$G$306,2,FALSE)</f>
        <v>SCHIAVON</v>
      </c>
      <c r="D37" s="108" t="str">
        <f>VLOOKUP($B37,ANAGRAFICA!$B$1:$G$306,3,FALSE)</f>
        <v>ELIO PAOLO</v>
      </c>
      <c r="E37" s="109" t="str">
        <f>VLOOKUP($B37,ANAGRAFICA!$B$1:$G$306,4,FALSE)</f>
        <v>758-11</v>
      </c>
      <c r="F37" s="109">
        <f>VLOOKUP($B37,ANAGRAFICA!$B$1:$G$306,5,FALSE)</f>
        <v>3272024077</v>
      </c>
      <c r="G37" s="109">
        <f>VLOOKUP($B37,ANAGRAFICA!$B$1:$G$306,6,FALSE)</f>
        <v>2024</v>
      </c>
      <c r="H37" s="57">
        <v>1.0</v>
      </c>
      <c r="I37" s="110">
        <v>45543.0</v>
      </c>
      <c r="J37" s="57" t="s">
        <v>445</v>
      </c>
      <c r="K37" s="110">
        <v>45547.0</v>
      </c>
      <c r="L37" s="57" t="s">
        <v>87</v>
      </c>
      <c r="M37" s="57" t="s">
        <v>395</v>
      </c>
      <c r="N37" s="94"/>
      <c r="O37" s="94"/>
    </row>
    <row r="38">
      <c r="A38" s="3"/>
      <c r="B38" s="3">
        <v>2.124002215E9</v>
      </c>
      <c r="C38" s="108" t="str">
        <f>VLOOKUP($B38,ANAGRAFICA!$B$1:$G$306,2,FALSE)</f>
        <v>SCHIFANO</v>
      </c>
      <c r="D38" s="108" t="str">
        <f>VLOOKUP($B38,ANAGRAFICA!$B$1:$G$306,3,FALSE)</f>
        <v>FRANCESCO</v>
      </c>
      <c r="E38" s="109" t="str">
        <f>VLOOKUP($B38,ANAGRAFICA!$B$1:$G$306,4,FALSE)</f>
        <v/>
      </c>
      <c r="F38" s="109">
        <f>VLOOKUP($B38,ANAGRAFICA!$B$1:$G$306,5,FALSE)</f>
        <v>3272024055</v>
      </c>
      <c r="G38" s="109">
        <f>VLOOKUP($B38,ANAGRAFICA!$B$1:$G$306,6,FALSE)</f>
        <v>2024</v>
      </c>
      <c r="H38" s="57">
        <v>1.0</v>
      </c>
      <c r="I38" s="110">
        <v>45325.0</v>
      </c>
      <c r="J38" s="57" t="s">
        <v>146</v>
      </c>
      <c r="K38" s="110">
        <v>45329.0</v>
      </c>
      <c r="L38" s="57" t="s">
        <v>59</v>
      </c>
      <c r="M38" s="57" t="s">
        <v>440</v>
      </c>
      <c r="N38" s="94"/>
      <c r="O38" s="94"/>
    </row>
    <row r="39">
      <c r="A39" s="3"/>
      <c r="B39" s="3">
        <v>2.124019184E9</v>
      </c>
      <c r="C39" s="108" t="str">
        <f>VLOOKUP($B39,ANAGRAFICA!$B$1:$G$306,2,FALSE)</f>
        <v>SERVIDIO</v>
      </c>
      <c r="D39" s="108" t="str">
        <f>VLOOKUP($B39,ANAGRAFICA!$B$1:$G$306,3,FALSE)</f>
        <v>GIOVANNI</v>
      </c>
      <c r="E39" s="109" t="str">
        <f>VLOOKUP($B39,ANAGRAFICA!$B$1:$G$306,4,FALSE)</f>
        <v>758-17</v>
      </c>
      <c r="F39" s="109">
        <f>VLOOKUP($B39,ANAGRAFICA!$B$1:$G$306,5,FALSE)</f>
        <v>3272024083</v>
      </c>
      <c r="G39" s="109">
        <f>VLOOKUP($B39,ANAGRAFICA!$B$1:$G$306,6,FALSE)</f>
        <v>2024</v>
      </c>
      <c r="H39" s="57">
        <v>1.0</v>
      </c>
      <c r="I39" s="112">
        <v>45594.0</v>
      </c>
      <c r="J39" s="57" t="s">
        <v>176</v>
      </c>
      <c r="K39" s="112">
        <v>45611.0</v>
      </c>
      <c r="L39" s="57" t="s">
        <v>324</v>
      </c>
      <c r="M39" s="57" t="s">
        <v>395</v>
      </c>
      <c r="N39" s="94"/>
      <c r="O39" s="94"/>
    </row>
    <row r="40">
      <c r="A40" s="3"/>
      <c r="B40" s="3">
        <v>2.124013801E9</v>
      </c>
      <c r="C40" s="108" t="str">
        <f>VLOOKUP($B40,ANAGRAFICA!$B$1:$G$306,2,FALSE)</f>
        <v>SGOBBA</v>
      </c>
      <c r="D40" s="108" t="str">
        <f>VLOOKUP($B40,ANAGRAFICA!$B$1:$G$306,3,FALSE)</f>
        <v>ANNA</v>
      </c>
      <c r="E40" s="109" t="str">
        <f>VLOOKUP($B40,ANAGRAFICA!$B$1:$G$306,4,FALSE)</f>
        <v>758-8</v>
      </c>
      <c r="F40" s="109">
        <f>VLOOKUP($B40,ANAGRAFICA!$B$1:$G$306,5,FALSE)</f>
        <v>3272024074</v>
      </c>
      <c r="G40" s="109">
        <f>VLOOKUP($B40,ANAGRAFICA!$B$1:$G$306,6,FALSE)</f>
        <v>2024</v>
      </c>
      <c r="H40" s="57">
        <v>1.0</v>
      </c>
      <c r="I40" s="110">
        <v>45511.0</v>
      </c>
      <c r="J40" s="57" t="s">
        <v>420</v>
      </c>
      <c r="K40" s="110">
        <v>45520.0</v>
      </c>
      <c r="L40" s="57" t="s">
        <v>446</v>
      </c>
      <c r="M40" s="57" t="s">
        <v>395</v>
      </c>
      <c r="N40" s="94"/>
      <c r="O40" s="94"/>
    </row>
    <row r="41">
      <c r="A41" s="3"/>
      <c r="B41" s="3">
        <v>2.125000348E9</v>
      </c>
      <c r="C41" s="108" t="str">
        <f>VLOOKUP($B41,ANAGRAFICA!$B$1:$G$306,2,FALSE)</f>
        <v>SLAVKOVA</v>
      </c>
      <c r="D41" s="108" t="str">
        <f>VLOOKUP($B41,ANAGRAFICA!$B$1:$G$306,3,FALSE)</f>
        <v>EVELINA PLAMENOVA</v>
      </c>
      <c r="E41" s="109" t="str">
        <f>VLOOKUP($B41,ANAGRAFICA!$B$1:$G$306,4,FALSE)</f>
        <v/>
      </c>
      <c r="F41" s="109">
        <f>VLOOKUP($B41,ANAGRAFICA!$B$1:$G$306,5,FALSE)</f>
        <v>3272025051</v>
      </c>
      <c r="G41" s="109">
        <f>VLOOKUP($B41,ANAGRAFICA!$B$1:$G$306,6,FALSE)</f>
        <v>2025</v>
      </c>
      <c r="H41" s="57">
        <v>1.0</v>
      </c>
      <c r="I41" s="110">
        <v>45662.0</v>
      </c>
      <c r="J41" s="57" t="s">
        <v>447</v>
      </c>
      <c r="K41" s="110">
        <v>45665.0</v>
      </c>
      <c r="L41" s="57" t="s">
        <v>247</v>
      </c>
      <c r="M41" s="57" t="s">
        <v>395</v>
      </c>
      <c r="N41" s="94"/>
      <c r="O41" s="94"/>
      <c r="P41" s="3" t="s">
        <v>448</v>
      </c>
    </row>
    <row r="42">
      <c r="A42" s="3"/>
      <c r="B42" s="3">
        <v>2.124012963E9</v>
      </c>
      <c r="C42" s="108" t="str">
        <f>VLOOKUP($B42,ANAGRAFICA!$B$1:$G$306,2,FALSE)</f>
        <v>TARENZI</v>
      </c>
      <c r="D42" s="108" t="str">
        <f>VLOOKUP($B42,ANAGRAFICA!$B$1:$G$306,3,FALSE)</f>
        <v>GIACOMO</v>
      </c>
      <c r="E42" s="109" t="str">
        <f>VLOOKUP($B42,ANAGRAFICA!$B$1:$G$306,4,FALSE)</f>
        <v>758-7</v>
      </c>
      <c r="F42" s="109">
        <f>VLOOKUP($B42,ANAGRAFICA!$B$1:$G$306,5,FALSE)</f>
        <v>3272024073</v>
      </c>
      <c r="G42" s="109">
        <f>VLOOKUP($B42,ANAGRAFICA!$B$1:$G$306,6,FALSE)</f>
        <v>2024</v>
      </c>
      <c r="H42" s="115">
        <v>1.0</v>
      </c>
      <c r="I42" s="116">
        <v>45487.0</v>
      </c>
      <c r="J42" s="115" t="s">
        <v>449</v>
      </c>
      <c r="K42" s="116">
        <v>45496.0</v>
      </c>
      <c r="L42" s="11" t="s">
        <v>423</v>
      </c>
      <c r="M42" s="115" t="s">
        <v>395</v>
      </c>
      <c r="N42" s="115" t="s">
        <v>450</v>
      </c>
      <c r="O42" s="115" t="s">
        <v>450</v>
      </c>
      <c r="P42" s="115" t="s">
        <v>450</v>
      </c>
    </row>
    <row r="43">
      <c r="A43" s="3"/>
      <c r="B43" s="3">
        <v>2.124012963E9</v>
      </c>
      <c r="C43" s="108" t="str">
        <f>VLOOKUP($B43,ANAGRAFICA!$B$1:$G$306,2,FALSE)</f>
        <v>TARENZI</v>
      </c>
      <c r="D43" s="108" t="str">
        <f>VLOOKUP($B43,ANAGRAFICA!$B$1:$G$306,3,FALSE)</f>
        <v>GIACOMO</v>
      </c>
      <c r="E43" s="109" t="str">
        <f>VLOOKUP($B43,ANAGRAFICA!$B$1:$G$306,4,FALSE)</f>
        <v>758-7</v>
      </c>
      <c r="F43" s="109">
        <f>VLOOKUP($B43,ANAGRAFICA!$B$1:$G$306,5,FALSE)</f>
        <v>3272024073</v>
      </c>
      <c r="G43" s="109">
        <f>VLOOKUP($B43,ANAGRAFICA!$B$1:$G$306,6,FALSE)</f>
        <v>2024</v>
      </c>
      <c r="H43" s="57">
        <v>1.0</v>
      </c>
      <c r="I43" s="110">
        <v>45487.0</v>
      </c>
      <c r="J43" s="57" t="s">
        <v>451</v>
      </c>
      <c r="K43" s="110">
        <v>45496.0</v>
      </c>
      <c r="L43" s="57" t="s">
        <v>423</v>
      </c>
      <c r="M43" s="57" t="s">
        <v>395</v>
      </c>
      <c r="N43" s="94"/>
      <c r="O43" s="94"/>
    </row>
    <row r="44">
      <c r="A44" s="3"/>
      <c r="B44" s="3">
        <v>2.124007138E9</v>
      </c>
      <c r="C44" s="108" t="str">
        <f>VLOOKUP($B44,ANAGRAFICA!$B$1:$G$306,2,FALSE)</f>
        <v>TARTARELLI</v>
      </c>
      <c r="D44" s="108" t="str">
        <f>VLOOKUP($B44,ANAGRAFICA!$B$1:$G$306,3,FALSE)</f>
        <v>GIUSEPPE</v>
      </c>
      <c r="E44" s="109" t="str">
        <f>VLOOKUP($B44,ANAGRAFICA!$B$1:$G$306,4,FALSE)</f>
        <v/>
      </c>
      <c r="F44" s="109">
        <f>VLOOKUP($B44,ANAGRAFICA!$B$1:$G$306,5,FALSE)</f>
        <v>3272024063</v>
      </c>
      <c r="G44" s="109">
        <f>VLOOKUP($B44,ANAGRAFICA!$B$1:$G$306,6,FALSE)</f>
        <v>2024</v>
      </c>
      <c r="H44" s="57">
        <v>1.0</v>
      </c>
      <c r="I44" s="110">
        <v>45395.0</v>
      </c>
      <c r="J44" s="57" t="s">
        <v>452</v>
      </c>
      <c r="K44" s="110">
        <v>45397.0</v>
      </c>
      <c r="L44" s="57" t="s">
        <v>453</v>
      </c>
      <c r="M44" s="57" t="s">
        <v>395</v>
      </c>
      <c r="N44" s="94"/>
      <c r="O44" s="94"/>
    </row>
    <row r="45">
      <c r="A45" s="3"/>
      <c r="B45" s="3">
        <v>2.124001121E9</v>
      </c>
      <c r="C45" s="108" t="str">
        <f>VLOOKUP($B45,ANAGRAFICA!$B$1:$G$306,2,FALSE)</f>
        <v>TIEGHI</v>
      </c>
      <c r="D45" s="108" t="str">
        <f>VLOOKUP($B45,ANAGRAFICA!$B$1:$G$306,3,FALSE)</f>
        <v>MASSIMO</v>
      </c>
      <c r="E45" s="109" t="str">
        <f>VLOOKUP($B45,ANAGRAFICA!$B$1:$G$306,4,FALSE)</f>
        <v/>
      </c>
      <c r="F45" s="109">
        <f>VLOOKUP($B45,ANAGRAFICA!$B$1:$G$306,5,FALSE)</f>
        <v>3272024054</v>
      </c>
      <c r="G45" s="109">
        <f>VLOOKUP($B45,ANAGRAFICA!$B$1:$G$306,6,FALSE)</f>
        <v>2024</v>
      </c>
      <c r="H45" s="57">
        <v>1.0</v>
      </c>
      <c r="I45" s="110">
        <v>45309.0</v>
      </c>
      <c r="J45" s="57" t="s">
        <v>454</v>
      </c>
      <c r="K45" s="110">
        <v>45310.0</v>
      </c>
      <c r="L45" s="57" t="s">
        <v>446</v>
      </c>
      <c r="M45" s="57" t="s">
        <v>395</v>
      </c>
      <c r="N45" s="94"/>
      <c r="O45" s="94"/>
    </row>
    <row r="46">
      <c r="A46" s="3"/>
      <c r="B46" s="3">
        <v>2.124004761E9</v>
      </c>
      <c r="C46" s="108" t="str">
        <f>VLOOKUP($B46,ANAGRAFICA!$B$1:$G$306,2,FALSE)</f>
        <v>TRAMPOLIN</v>
      </c>
      <c r="D46" s="108" t="str">
        <f>VLOOKUP($B46,ANAGRAFICA!$B$1:$G$306,3,FALSE)</f>
        <v>FABIO</v>
      </c>
      <c r="E46" s="109" t="str">
        <f>VLOOKUP($B46,ANAGRAFICA!$B$1:$G$306,4,FALSE)</f>
        <v/>
      </c>
      <c r="F46" s="109">
        <f>VLOOKUP($B46,ANAGRAFICA!$B$1:$G$306,5,FALSE)</f>
        <v>3272024060</v>
      </c>
      <c r="G46" s="109">
        <f>VLOOKUP($B46,ANAGRAFICA!$B$1:$G$306,6,FALSE)</f>
        <v>2024</v>
      </c>
      <c r="H46" s="57">
        <v>1.0</v>
      </c>
      <c r="I46" s="110">
        <v>45361.0</v>
      </c>
      <c r="J46" s="57" t="s">
        <v>455</v>
      </c>
      <c r="K46" s="110">
        <v>45363.0</v>
      </c>
      <c r="L46" s="57" t="s">
        <v>456</v>
      </c>
      <c r="M46" s="57" t="s">
        <v>395</v>
      </c>
      <c r="N46" s="94"/>
      <c r="O46" s="94"/>
    </row>
    <row r="47">
      <c r="A47" s="117"/>
      <c r="B47" s="3">
        <v>2.124016781E9</v>
      </c>
      <c r="C47" s="108" t="str">
        <f>VLOOKUP($B47,ANAGRAFICA!$B$1:$G$306,2,FALSE)</f>
        <v>TURNO ARTHEMALLE</v>
      </c>
      <c r="D47" s="108" t="str">
        <f>VLOOKUP($B47,ANAGRAFICA!$B$1:$G$306,3,FALSE)</f>
        <v>ALICE</v>
      </c>
      <c r="E47" s="109" t="str">
        <f>VLOOKUP($B47,ANAGRAFICA!$B$1:$G$306,4,FALSE)</f>
        <v>758-12</v>
      </c>
      <c r="F47" s="109">
        <f>VLOOKUP($B47,ANAGRAFICA!$B$1:$G$306,5,FALSE)</f>
        <v>3272024078</v>
      </c>
      <c r="G47" s="109">
        <f>VLOOKUP($B47,ANAGRAFICA!$B$1:$G$306,6,FALSE)</f>
        <v>2024</v>
      </c>
      <c r="H47" s="57">
        <v>1.0</v>
      </c>
      <c r="I47" s="110">
        <v>45561.0</v>
      </c>
      <c r="J47" s="57" t="s">
        <v>68</v>
      </c>
      <c r="K47" s="110">
        <v>45566.0</v>
      </c>
      <c r="L47" s="57" t="s">
        <v>457</v>
      </c>
      <c r="M47" s="57" t="s">
        <v>395</v>
      </c>
      <c r="N47" s="94"/>
      <c r="O47" s="94"/>
    </row>
    <row r="48">
      <c r="A48" s="117"/>
      <c r="B48" s="3">
        <v>2.124202869E9</v>
      </c>
      <c r="C48" s="108" t="str">
        <f>VLOOKUP($B48,ANAGRAFICA!$B$1:$G$306,2,FALSE)</f>
        <v>VALSECCHI</v>
      </c>
      <c r="D48" s="108" t="str">
        <f>VLOOKUP($B48,ANAGRAFICA!$B$1:$G$306,3,FALSE)</f>
        <v>ANDREA</v>
      </c>
      <c r="E48" s="109" t="str">
        <f>VLOOKUP($B48,ANAGRAFICA!$B$1:$G$306,4,FALSE)</f>
        <v/>
      </c>
      <c r="F48" s="109">
        <f>VLOOKUP($B48,ANAGRAFICA!$B$1:$G$306,5,FALSE)</f>
        <v>3272024056</v>
      </c>
      <c r="G48" s="109">
        <f>VLOOKUP($B48,ANAGRAFICA!$B$1:$G$306,6,FALSE)</f>
        <v>2024</v>
      </c>
      <c r="H48" s="57">
        <v>1.0</v>
      </c>
      <c r="I48" s="110">
        <v>45336.0</v>
      </c>
      <c r="J48" s="57" t="s">
        <v>458</v>
      </c>
      <c r="K48" s="110">
        <v>45342.0</v>
      </c>
      <c r="L48" s="57" t="s">
        <v>28</v>
      </c>
      <c r="M48" s="57" t="s">
        <v>440</v>
      </c>
      <c r="N48" s="94"/>
      <c r="O48" s="94"/>
    </row>
    <row r="49">
      <c r="A49" s="117"/>
      <c r="B49" s="3">
        <v>2.025010247E9</v>
      </c>
      <c r="C49" s="108" t="str">
        <f>VLOOKUP($B49,ANAGRAFICA!$B$1:$G$306,2,FALSE)</f>
        <v>TREMOLADA</v>
      </c>
      <c r="D49" s="108" t="str">
        <f>VLOOKUP($B49,ANAGRAFICA!$B$1:$G$306,3,FALSE)</f>
        <v>MARCO</v>
      </c>
      <c r="E49" s="109" t="str">
        <f>VLOOKUP($B49,ANAGRAFICA!$B$1:$G$306,4,FALSE)</f>
        <v>758-25</v>
      </c>
      <c r="F49" s="109">
        <f>VLOOKUP($B49,ANAGRAFICA!$B$1:$G$306,5,FALSE)</f>
        <v>3272025054</v>
      </c>
      <c r="G49" s="109">
        <f>VLOOKUP($B49,ANAGRAFICA!$B$1:$G$306,6,FALSE)</f>
        <v>2025</v>
      </c>
      <c r="H49" s="57">
        <v>1.0</v>
      </c>
      <c r="I49" s="110">
        <v>45720.0</v>
      </c>
      <c r="J49" s="57" t="s">
        <v>432</v>
      </c>
      <c r="K49" s="110">
        <v>45728.0</v>
      </c>
      <c r="L49" s="57" t="s">
        <v>324</v>
      </c>
      <c r="M49" s="57" t="s">
        <v>395</v>
      </c>
      <c r="N49" s="94"/>
      <c r="O49" s="94"/>
    </row>
    <row r="50">
      <c r="A50" s="117"/>
      <c r="B50" s="3">
        <v>2.025010247E9</v>
      </c>
      <c r="C50" s="108" t="str">
        <f>VLOOKUP($B50,ANAGRAFICA!$B$1:$G$306,2,FALSE)</f>
        <v>TREMOLADA</v>
      </c>
      <c r="D50" s="108" t="str">
        <f>VLOOKUP($B50,ANAGRAFICA!$B$1:$G$306,3,FALSE)</f>
        <v>MARCO</v>
      </c>
      <c r="E50" s="109" t="str">
        <f>VLOOKUP($B50,ANAGRAFICA!$B$1:$G$306,4,FALSE)</f>
        <v>758-25</v>
      </c>
      <c r="F50" s="109">
        <f>VLOOKUP($B50,ANAGRAFICA!$B$1:$G$306,5,FALSE)</f>
        <v>3272025054</v>
      </c>
      <c r="G50" s="109">
        <f>VLOOKUP($B50,ANAGRAFICA!$B$1:$G$306,6,FALSE)</f>
        <v>2025</v>
      </c>
      <c r="H50" s="57">
        <v>2.0</v>
      </c>
      <c r="I50" s="110">
        <v>45732.0</v>
      </c>
      <c r="J50" s="57" t="s">
        <v>216</v>
      </c>
      <c r="K50" s="110">
        <v>45812.0</v>
      </c>
      <c r="L50" s="57" t="s">
        <v>292</v>
      </c>
      <c r="M50" s="57" t="s">
        <v>395</v>
      </c>
      <c r="N50" s="94"/>
      <c r="O50" s="94"/>
      <c r="P50" s="3" t="s">
        <v>459</v>
      </c>
    </row>
    <row r="51">
      <c r="A51" s="117"/>
      <c r="B51" s="3">
        <v>2.125020858E9</v>
      </c>
      <c r="C51" s="108" t="str">
        <f>VLOOKUP($B51,ANAGRAFICA!$B$1:$G$306,2,FALSE)</f>
        <v>FALVO</v>
      </c>
      <c r="D51" s="108" t="str">
        <f>VLOOKUP($B51,ANAGRAFICA!$B$1:$G$306,3,FALSE)</f>
        <v>FRANCESCO</v>
      </c>
      <c r="E51" s="109" t="str">
        <f>VLOOKUP($B51,ANAGRAFICA!$B$1:$G$306,4,FALSE)</f>
        <v/>
      </c>
      <c r="F51" s="109">
        <f>VLOOKUP($B51,ANAGRAFICA!$B$1:$G$306,5,FALSE)</f>
        <v>3272025055</v>
      </c>
      <c r="G51" s="109">
        <f>VLOOKUP($B51,ANAGRAFICA!$B$1:$G$306,6,FALSE)</f>
        <v>2025</v>
      </c>
      <c r="H51" s="57">
        <v>1.0</v>
      </c>
      <c r="I51" s="110">
        <v>45787.0</v>
      </c>
      <c r="J51" s="57" t="s">
        <v>460</v>
      </c>
      <c r="K51" s="110">
        <v>45788.0</v>
      </c>
      <c r="L51" s="57" t="s">
        <v>461</v>
      </c>
      <c r="M51" s="57" t="s">
        <v>395</v>
      </c>
      <c r="N51" s="94"/>
      <c r="O51" s="94"/>
    </row>
    <row r="52">
      <c r="A52" s="117"/>
      <c r="B52" s="3">
        <v>2.125023093E9</v>
      </c>
      <c r="C52" s="108" t="str">
        <f>VLOOKUP($B52,ANAGRAFICA!$B$1:$G$306,2,FALSE)</f>
        <v>GHEZZI</v>
      </c>
      <c r="D52" s="108" t="str">
        <f>VLOOKUP($B52,ANAGRAFICA!$B$1:$G$306,3,FALSE)</f>
        <v>FABIO</v>
      </c>
      <c r="E52" s="109" t="str">
        <f>VLOOKUP($B52,ANAGRAFICA!$B$1:$G$306,4,FALSE)</f>
        <v>758-28</v>
      </c>
      <c r="F52" s="109">
        <f>VLOOKUP($B52,ANAGRAFICA!$B$1:$G$306,5,FALSE)</f>
        <v>3272025056</v>
      </c>
      <c r="G52" s="109">
        <f>VLOOKUP($B52,ANAGRAFICA!$B$1:$G$306,6,FALSE)</f>
        <v>2025</v>
      </c>
      <c r="H52" s="57">
        <v>1.0</v>
      </c>
      <c r="I52" s="110">
        <v>45800.0</v>
      </c>
      <c r="J52" s="57" t="s">
        <v>462</v>
      </c>
      <c r="K52" s="110">
        <v>45802.0</v>
      </c>
      <c r="L52" s="57" t="s">
        <v>463</v>
      </c>
      <c r="M52" s="57" t="s">
        <v>395</v>
      </c>
      <c r="N52" s="94"/>
      <c r="O52" s="94"/>
      <c r="P52" s="3" t="s">
        <v>464</v>
      </c>
    </row>
    <row r="53">
      <c r="A53" s="117"/>
      <c r="B53" s="3">
        <v>2.125024608E9</v>
      </c>
      <c r="C53" s="108" t="str">
        <f>VLOOKUP($B53,ANAGRAFICA!$B$1:$G$306,2,FALSE)</f>
        <v>ZAPPIA</v>
      </c>
      <c r="D53" s="108" t="str">
        <f>VLOOKUP($B53,ANAGRAFICA!$B$1:$G$306,3,FALSE)</f>
        <v>LEONARDO</v>
      </c>
      <c r="E53" s="109" t="str">
        <f>VLOOKUP($B53,ANAGRAFICA!$B$1:$G$306,4,FALSE)</f>
        <v>758-29</v>
      </c>
      <c r="F53" s="109">
        <f>VLOOKUP($B53,ANAGRAFICA!$B$1:$G$306,5,FALSE)</f>
        <v>3272025057</v>
      </c>
      <c r="G53" s="109">
        <f>VLOOKUP($B53,ANAGRAFICA!$B$1:$G$306,6,FALSE)</f>
        <v>2025</v>
      </c>
      <c r="H53" s="57">
        <v>1.0</v>
      </c>
      <c r="I53" s="110">
        <v>45811.0</v>
      </c>
      <c r="J53" s="57" t="s">
        <v>465</v>
      </c>
      <c r="K53" s="110">
        <v>45815.0</v>
      </c>
      <c r="L53" s="57" t="s">
        <v>466</v>
      </c>
      <c r="M53" s="57" t="s">
        <v>395</v>
      </c>
      <c r="N53" s="94"/>
      <c r="O53" s="94"/>
      <c r="P53" s="3" t="s">
        <v>467</v>
      </c>
    </row>
    <row r="54">
      <c r="A54" s="117"/>
      <c r="B54" s="3">
        <v>2.125024565E9</v>
      </c>
      <c r="C54" s="108" t="str">
        <f>VLOOKUP($B54,ANAGRAFICA!$B$1:$G$306,2,FALSE)</f>
        <v>POLICARPO</v>
      </c>
      <c r="D54" s="108" t="str">
        <f>VLOOKUP($B54,ANAGRAFICA!$B$1:$G$306,3,FALSE)</f>
        <v>FRANCESCO</v>
      </c>
      <c r="E54" s="109" t="str">
        <f>VLOOKUP($B54,ANAGRAFICA!$B$1:$G$306,4,FALSE)</f>
        <v>758-30</v>
      </c>
      <c r="F54" s="109" t="str">
        <f>VLOOKUP($B54,ANAGRAFICA!$B$1:$G$306,5,FALSE)</f>
        <v/>
      </c>
      <c r="G54" s="109">
        <f>VLOOKUP($B54,ANAGRAFICA!$B$1:$G$306,6,FALSE)</f>
        <v>2025</v>
      </c>
      <c r="H54" s="57">
        <v>1.0</v>
      </c>
      <c r="I54" s="110">
        <v>45813.0</v>
      </c>
      <c r="J54" s="57" t="s">
        <v>50</v>
      </c>
      <c r="K54" s="110">
        <v>45814.0</v>
      </c>
      <c r="L54" s="57" t="s">
        <v>166</v>
      </c>
      <c r="M54" s="57" t="s">
        <v>395</v>
      </c>
      <c r="N54" s="94"/>
      <c r="O54" s="94"/>
      <c r="P54" s="3" t="s">
        <v>468</v>
      </c>
    </row>
    <row r="55">
      <c r="A55" s="117"/>
      <c r="B55" s="3">
        <v>2.125025861E9</v>
      </c>
      <c r="C55" s="108" t="str">
        <f>VLOOKUP($B55,ANAGRAFICA!$B$1:$G$306,2,FALSE)</f>
        <v>CASSANI</v>
      </c>
      <c r="D55" s="108" t="str">
        <f>VLOOKUP($B55,ANAGRAFICA!$B$1:$G$306,3,FALSE)</f>
        <v>DAVIDE VIRGILIO</v>
      </c>
      <c r="E55" s="109" t="str">
        <f>VLOOKUP($B55,ANAGRAFICA!$B$1:$G$306,4,FALSE)</f>
        <v>758-31</v>
      </c>
      <c r="F55" s="109">
        <f>VLOOKUP($B55,ANAGRAFICA!$B$1:$G$306,5,FALSE)</f>
        <v>3272025058</v>
      </c>
      <c r="G55" s="109">
        <f>VLOOKUP($B55,ANAGRAFICA!$B$1:$G$306,6,FALSE)</f>
        <v>2025</v>
      </c>
      <c r="H55" s="57">
        <v>1.0</v>
      </c>
      <c r="I55" s="110">
        <v>45818.0</v>
      </c>
      <c r="J55" s="57" t="s">
        <v>116</v>
      </c>
      <c r="K55" s="110">
        <v>45824.0</v>
      </c>
      <c r="L55" s="57" t="s">
        <v>279</v>
      </c>
      <c r="M55" s="57" t="s">
        <v>395</v>
      </c>
      <c r="N55" s="94"/>
      <c r="O55" s="94"/>
      <c r="P55" s="3" t="s">
        <v>469</v>
      </c>
    </row>
    <row r="56">
      <c r="A56" s="117"/>
      <c r="B56" s="3">
        <v>2.125026559E9</v>
      </c>
      <c r="C56" s="108" t="str">
        <f>VLOOKUP($B56,ANAGRAFICA!$B$1:$G$306,2,FALSE)</f>
        <v>VEDUTI</v>
      </c>
      <c r="D56" s="108" t="str">
        <f>VLOOKUP($B56,ANAGRAFICA!$B$1:$G$306,3,FALSE)</f>
        <v>LORENZO</v>
      </c>
      <c r="E56" s="109" t="str">
        <f>VLOOKUP($B56,ANAGRAFICA!$B$1:$G$306,4,FALSE)</f>
        <v>758-32</v>
      </c>
      <c r="F56" s="109">
        <f>VLOOKUP($B56,ANAGRAFICA!$B$1:$G$306,5,FALSE)</f>
        <v>3272025059</v>
      </c>
      <c r="G56" s="109">
        <f>VLOOKUP($B56,ANAGRAFICA!$B$1:$G$306,6,FALSE)</f>
        <v>2025</v>
      </c>
      <c r="H56" s="57">
        <v>1.0</v>
      </c>
      <c r="I56" s="110">
        <v>45824.0</v>
      </c>
      <c r="J56" s="57" t="s">
        <v>470</v>
      </c>
      <c r="K56" s="110">
        <v>45825.0</v>
      </c>
      <c r="L56" s="57" t="s">
        <v>471</v>
      </c>
      <c r="M56" s="57" t="s">
        <v>395</v>
      </c>
      <c r="N56" s="94"/>
      <c r="O56" s="94"/>
      <c r="P56" s="3" t="s">
        <v>472</v>
      </c>
    </row>
    <row r="57">
      <c r="A57" s="117"/>
      <c r="B57" s="3">
        <v>2.125029623E9</v>
      </c>
      <c r="C57" s="108" t="str">
        <f>VLOOKUP($B57,ANAGRAFICA!$B$1:$G$306,2,FALSE)</f>
        <v>IANDIORIO</v>
      </c>
      <c r="D57" s="108" t="str">
        <f>VLOOKUP($B57,ANAGRAFICA!$B$1:$G$306,3,FALSE)</f>
        <v>ALDO NATALINO</v>
      </c>
      <c r="E57" s="109" t="str">
        <f>VLOOKUP($B57,ANAGRAFICA!$B$1:$G$306,4,FALSE)</f>
        <v>758-36</v>
      </c>
      <c r="F57" s="109">
        <f>VLOOKUP($B57,ANAGRAFICA!$B$1:$G$306,5,FALSE)</f>
        <v>3272025062</v>
      </c>
      <c r="G57" s="109">
        <f>VLOOKUP($B57,ANAGRAFICA!$B$1:$G$306,6,FALSE)</f>
        <v>2025</v>
      </c>
      <c r="H57" s="57">
        <v>1.0</v>
      </c>
      <c r="I57" s="110">
        <v>45845.0</v>
      </c>
      <c r="J57" s="57" t="s">
        <v>420</v>
      </c>
      <c r="K57" s="112">
        <v>45855.0</v>
      </c>
      <c r="L57" s="57" t="s">
        <v>473</v>
      </c>
      <c r="M57" s="57" t="s">
        <v>395</v>
      </c>
      <c r="N57" s="94"/>
      <c r="O57" s="94"/>
      <c r="P57" s="3" t="s">
        <v>474</v>
      </c>
    </row>
    <row r="58">
      <c r="A58" s="117"/>
      <c r="B58" s="3">
        <v>2.125027331E9</v>
      </c>
      <c r="C58" s="108" t="str">
        <f>VLOOKUP($B58,ANAGRAFICA!$B$1:$G$306,2,FALSE)</f>
        <v>QUARIN</v>
      </c>
      <c r="D58" s="108" t="str">
        <f>VLOOKUP($B58,ANAGRAFICA!$B$1:$G$306,3,FALSE)</f>
        <v>FRANCO</v>
      </c>
      <c r="E58" s="109" t="str">
        <f>VLOOKUP($B58,ANAGRAFICA!$B$1:$G$306,4,FALSE)</f>
        <v>758-34</v>
      </c>
      <c r="F58" s="109" t="str">
        <f>VLOOKUP($B58,ANAGRAFICA!$B$1:$G$306,5,FALSE)</f>
        <v/>
      </c>
      <c r="G58" s="109">
        <f>VLOOKUP($B58,ANAGRAFICA!$B$1:$G$306,6,FALSE)</f>
        <v>2025</v>
      </c>
      <c r="H58" s="57">
        <v>1.0</v>
      </c>
      <c r="I58" s="110">
        <v>45828.0</v>
      </c>
      <c r="J58" s="57" t="s">
        <v>475</v>
      </c>
      <c r="K58" s="110">
        <v>45828.0</v>
      </c>
      <c r="L58" s="57" t="s">
        <v>166</v>
      </c>
      <c r="M58" s="57" t="s">
        <v>395</v>
      </c>
      <c r="N58" s="94"/>
      <c r="O58" s="94"/>
      <c r="P58" s="3" t="s">
        <v>476</v>
      </c>
    </row>
    <row r="59">
      <c r="A59" s="117"/>
      <c r="B59" s="3">
        <v>2.125026384E9</v>
      </c>
      <c r="C59" s="108" t="str">
        <f>VLOOKUP($B59,ANAGRAFICA!$B$1:$G$306,2,FALSE)</f>
        <v>PRINCIPATO</v>
      </c>
      <c r="D59" s="108" t="str">
        <f>VLOOKUP($B59,ANAGRAFICA!$B$1:$G$306,3,FALSE)</f>
        <v>FRANCO ANGELO</v>
      </c>
      <c r="E59" s="109" t="str">
        <f>VLOOKUP($B59,ANAGRAFICA!$B$1:$G$306,4,FALSE)</f>
        <v>758-35</v>
      </c>
      <c r="F59" s="109">
        <f>VLOOKUP($B59,ANAGRAFICA!$B$1:$G$306,5,FALSE)</f>
        <v>3272025061</v>
      </c>
      <c r="G59" s="109">
        <f>VLOOKUP($B59,ANAGRAFICA!$B$1:$G$306,6,FALSE)</f>
        <v>2025</v>
      </c>
      <c r="H59" s="57">
        <v>1.0</v>
      </c>
      <c r="I59" s="110">
        <v>45832.0</v>
      </c>
      <c r="J59" s="57" t="s">
        <v>477</v>
      </c>
      <c r="K59" s="110">
        <v>45837.0</v>
      </c>
      <c r="L59" s="57" t="s">
        <v>68</v>
      </c>
      <c r="M59" s="57" t="s">
        <v>395</v>
      </c>
      <c r="N59" s="94"/>
      <c r="O59" s="94"/>
      <c r="P59" s="3" t="s">
        <v>478</v>
      </c>
    </row>
    <row r="60">
      <c r="A60" s="117"/>
      <c r="B60" s="3">
        <v>2.125026869E9</v>
      </c>
      <c r="C60" s="108" t="str">
        <f>VLOOKUP($B60,ANAGRAFICA!$B$1:$G$306,2,FALSE)</f>
        <v>NACCARI</v>
      </c>
      <c r="D60" s="108" t="str">
        <f>VLOOKUP($B60,ANAGRAFICA!$B$1:$G$306,3,FALSE)</f>
        <v>ROBERTO</v>
      </c>
      <c r="E60" s="109" t="str">
        <f>VLOOKUP($B60,ANAGRAFICA!$B$1:$G$306,4,FALSE)</f>
        <v>758-33</v>
      </c>
      <c r="F60" s="109">
        <f>VLOOKUP($B60,ANAGRAFICA!$B$1:$G$306,5,FALSE)</f>
        <v>3272025060</v>
      </c>
      <c r="G60" s="109">
        <f>VLOOKUP($B60,ANAGRAFICA!$B$1:$G$306,6,FALSE)</f>
        <v>2025</v>
      </c>
      <c r="H60" s="57">
        <v>1.0</v>
      </c>
      <c r="I60" s="110">
        <v>45825.0</v>
      </c>
      <c r="J60" s="57" t="s">
        <v>479</v>
      </c>
      <c r="K60" s="110">
        <v>45841.0</v>
      </c>
      <c r="L60" s="57" t="s">
        <v>324</v>
      </c>
      <c r="M60" s="57" t="s">
        <v>395</v>
      </c>
      <c r="N60" s="94"/>
      <c r="O60" s="94"/>
    </row>
    <row r="61">
      <c r="A61" s="117"/>
      <c r="B61" s="3">
        <v>2.125032902E9</v>
      </c>
      <c r="C61" s="108" t="str">
        <f>VLOOKUP($B61,ANAGRAFICA!$B$1:$G$306,2,FALSE)</f>
        <v>BRAIDA</v>
      </c>
      <c r="D61" s="108" t="str">
        <f>VLOOKUP($B61,ANAGRAFICA!$B$1:$G$306,3,FALSE)</f>
        <v>ILARIO</v>
      </c>
      <c r="E61" s="109" t="str">
        <f>VLOOKUP($B61,ANAGRAFICA!$B$1:$G$306,4,FALSE)</f>
        <v>758-37</v>
      </c>
      <c r="F61" s="109">
        <f>VLOOKUP($B61,ANAGRAFICA!$B$1:$G$306,5,FALSE)</f>
        <v>3272025063</v>
      </c>
      <c r="G61" s="109">
        <f>VLOOKUP($B61,ANAGRAFICA!$B$1:$G$306,6,FALSE)</f>
        <v>2025</v>
      </c>
      <c r="H61" s="57">
        <v>1.0</v>
      </c>
      <c r="I61" s="110">
        <v>45870.0</v>
      </c>
      <c r="J61" s="57" t="s">
        <v>480</v>
      </c>
      <c r="K61" s="110">
        <v>45872.0</v>
      </c>
      <c r="L61" s="57" t="s">
        <v>39</v>
      </c>
      <c r="M61" s="57" t="s">
        <v>395</v>
      </c>
      <c r="N61" s="94"/>
      <c r="O61" s="94"/>
      <c r="P61" s="3" t="s">
        <v>481</v>
      </c>
    </row>
    <row r="62">
      <c r="A62" s="117"/>
      <c r="B62" s="3">
        <v>2.125032653E9</v>
      </c>
      <c r="C62" s="108" t="str">
        <f>VLOOKUP($B62,ANAGRAFICA!$B$1:$G$306,2,FALSE)</f>
        <v>BAIOCCO</v>
      </c>
      <c r="D62" s="108" t="str">
        <f>VLOOKUP($B62,ANAGRAFICA!$B$1:$G$306,3,FALSE)</f>
        <v>RICCARDO</v>
      </c>
      <c r="E62" s="109" t="str">
        <f>VLOOKUP($B62,ANAGRAFICA!$B$1:$G$306,4,FALSE)</f>
        <v/>
      </c>
      <c r="F62" s="109">
        <f>VLOOKUP($B62,ANAGRAFICA!$B$1:$G$306,5,FALSE)</f>
        <v>3272025064</v>
      </c>
      <c r="G62" s="109">
        <f>VLOOKUP($B62,ANAGRAFICA!$B$1:$G$306,6,FALSE)</f>
        <v>2025</v>
      </c>
      <c r="H62" s="57">
        <v>1.0</v>
      </c>
      <c r="I62" s="110">
        <v>45871.0</v>
      </c>
      <c r="J62" s="57" t="s">
        <v>482</v>
      </c>
      <c r="K62" s="110">
        <v>45875.0</v>
      </c>
      <c r="L62" s="94"/>
      <c r="M62" s="57" t="s">
        <v>395</v>
      </c>
      <c r="N62" s="94"/>
      <c r="O62" s="94"/>
      <c r="P62" s="3" t="s">
        <v>483</v>
      </c>
    </row>
    <row r="63">
      <c r="A63" s="117"/>
      <c r="B63" s="3">
        <v>2.125037782E9</v>
      </c>
      <c r="C63" s="108" t="str">
        <f>VLOOKUP($B63,ANAGRAFICA!$B$1:$G$306,2,FALSE)</f>
        <v>GILARDI</v>
      </c>
      <c r="D63" s="108" t="str">
        <f>VLOOKUP($B63,ANAGRAFICA!$B$1:$G$306,3,FALSE)</f>
        <v>CARLO VIRGINIO</v>
      </c>
      <c r="E63" s="109" t="str">
        <f>VLOOKUP($B63,ANAGRAFICA!$B$1:$G$306,4,FALSE)</f>
        <v>758-38</v>
      </c>
      <c r="F63" s="109">
        <f>VLOOKUP($B63,ANAGRAFICA!$B$1:$G$306,5,FALSE)</f>
        <v>3272025065</v>
      </c>
      <c r="G63" s="109">
        <f>VLOOKUP($B63,ANAGRAFICA!$B$1:$G$306,6,FALSE)</f>
        <v>2025</v>
      </c>
      <c r="H63" s="57">
        <v>1.0</v>
      </c>
      <c r="I63" s="110">
        <v>45912.0</v>
      </c>
      <c r="J63" s="57" t="s">
        <v>484</v>
      </c>
      <c r="K63" s="110">
        <v>45914.0</v>
      </c>
      <c r="L63" s="57" t="s">
        <v>279</v>
      </c>
      <c r="M63" s="57" t="s">
        <v>395</v>
      </c>
      <c r="N63" s="94"/>
      <c r="O63" s="94"/>
      <c r="P63" s="3" t="s">
        <v>485</v>
      </c>
    </row>
    <row r="64">
      <c r="A64" s="117"/>
      <c r="B64" s="3">
        <v>2.125037955E9</v>
      </c>
      <c r="C64" s="108" t="str">
        <f>VLOOKUP($B64,ANAGRAFICA!$B$1:$G$306,2,FALSE)</f>
        <v>MANNINO</v>
      </c>
      <c r="D64" s="108" t="str">
        <f>VLOOKUP($B64,ANAGRAFICA!$B$1:$G$306,3,FALSE)</f>
        <v>ANDREA</v>
      </c>
      <c r="E64" s="109" t="str">
        <f>VLOOKUP($B64,ANAGRAFICA!$B$1:$G$306,4,FALSE)</f>
        <v>758-39</v>
      </c>
      <c r="F64" s="109">
        <f>VLOOKUP($B64,ANAGRAFICA!$B$1:$G$306,5,FALSE)</f>
        <v>3272025066</v>
      </c>
      <c r="G64" s="109">
        <f>VLOOKUP($B64,ANAGRAFICA!$B$1:$G$306,6,FALSE)</f>
        <v>2025</v>
      </c>
      <c r="H64" s="57">
        <v>1.0</v>
      </c>
      <c r="I64" s="110">
        <v>45913.0</v>
      </c>
      <c r="J64" s="57" t="s">
        <v>486</v>
      </c>
      <c r="K64" s="110">
        <v>45917.0</v>
      </c>
      <c r="L64" s="57" t="s">
        <v>324</v>
      </c>
      <c r="M64" s="57" t="s">
        <v>395</v>
      </c>
      <c r="N64" s="94"/>
      <c r="O64" s="94"/>
    </row>
    <row r="65">
      <c r="A65" s="117"/>
      <c r="B65" s="3">
        <v>2.125040052E9</v>
      </c>
      <c r="C65" s="108" t="str">
        <f>VLOOKUP($B65,ANAGRAFICA!$B$1:$G$306,2,FALSE)</f>
        <v>TODESCATO</v>
      </c>
      <c r="D65" s="108" t="str">
        <f>VLOOKUP($B65,ANAGRAFICA!$B$1:$G$306,3,FALSE)</f>
        <v>GIANLUCA</v>
      </c>
      <c r="E65" s="109" t="str">
        <f>VLOOKUP($B65,ANAGRAFICA!$B$1:$G$306,4,FALSE)</f>
        <v>758-40</v>
      </c>
      <c r="F65" s="109">
        <f>VLOOKUP($B65,ANAGRAFICA!$B$1:$G$306,5,FALSE)</f>
        <v>3272025067</v>
      </c>
      <c r="G65" s="109">
        <f>VLOOKUP($B65,ANAGRAFICA!$B$1:$G$306,6,FALSE)</f>
        <v>2025</v>
      </c>
      <c r="H65" s="57">
        <v>1.0</v>
      </c>
      <c r="I65" s="110">
        <v>45926.0</v>
      </c>
      <c r="J65" s="57" t="s">
        <v>487</v>
      </c>
      <c r="K65" s="110">
        <v>45933.0</v>
      </c>
      <c r="L65" s="57" t="s">
        <v>242</v>
      </c>
      <c r="M65" s="57" t="s">
        <v>395</v>
      </c>
      <c r="N65" s="94"/>
      <c r="O65" s="94"/>
    </row>
    <row r="66">
      <c r="A66" s="117"/>
      <c r="B66" s="3">
        <v>2.125040106E9</v>
      </c>
      <c r="C66" s="108" t="str">
        <f>VLOOKUP($B66,ANAGRAFICA!$B$1:$G$306,2,FALSE)</f>
        <v>COLNAGHI</v>
      </c>
      <c r="D66" s="108" t="str">
        <f>VLOOKUP($B66,ANAGRAFICA!$B$1:$G$306,3,FALSE)</f>
        <v>EUGENIO PIERO</v>
      </c>
      <c r="E66" s="109" t="str">
        <f>VLOOKUP($B66,ANAGRAFICA!$B$1:$G$306,4,FALSE)</f>
        <v>758-41</v>
      </c>
      <c r="F66" s="109">
        <f>VLOOKUP($B66,ANAGRAFICA!$B$1:$G$306,5,FALSE)</f>
        <v>3272025068</v>
      </c>
      <c r="G66" s="109">
        <f>VLOOKUP($B66,ANAGRAFICA!$B$1:$G$306,6,FALSE)</f>
        <v>2025</v>
      </c>
      <c r="H66" s="57">
        <v>1.0</v>
      </c>
      <c r="I66" s="112">
        <v>45930.0</v>
      </c>
      <c r="J66" s="94"/>
      <c r="K66" s="110">
        <v>45939.0</v>
      </c>
      <c r="L66" s="57" t="s">
        <v>488</v>
      </c>
      <c r="M66" s="57" t="s">
        <v>395</v>
      </c>
      <c r="N66" s="94"/>
      <c r="O66" s="94"/>
      <c r="P66" s="3" t="s">
        <v>489</v>
      </c>
    </row>
    <row r="67">
      <c r="A67" s="117"/>
      <c r="B67" s="3">
        <v>2.125040835E9</v>
      </c>
      <c r="C67" s="108" t="str">
        <f>VLOOKUP($B67,ANAGRAFICA!$B$1:$G$306,2,FALSE)</f>
        <v>PESACANE</v>
      </c>
      <c r="D67" s="108" t="str">
        <f>VLOOKUP($B67,ANAGRAFICA!$B$1:$G$306,3,FALSE)</f>
        <v>MATTEO VALERIO</v>
      </c>
      <c r="E67" s="109" t="str">
        <f>VLOOKUP($B67,ANAGRAFICA!$B$1:$G$306,4,FALSE)</f>
        <v>758-42</v>
      </c>
      <c r="F67" s="109">
        <f>VLOOKUP($B67,ANAGRAFICA!$B$1:$G$306,5,FALSE)</f>
        <v>3272025069</v>
      </c>
      <c r="G67" s="109">
        <f>VLOOKUP($B67,ANAGRAFICA!$B$1:$G$306,6,FALSE)</f>
        <v>2025</v>
      </c>
      <c r="H67" s="57">
        <v>1.0</v>
      </c>
      <c r="I67" s="110">
        <v>45931.0</v>
      </c>
      <c r="J67" s="57" t="s">
        <v>490</v>
      </c>
      <c r="K67" s="110">
        <v>45934.0</v>
      </c>
      <c r="L67" s="57" t="s">
        <v>491</v>
      </c>
      <c r="M67" s="57" t="s">
        <v>395</v>
      </c>
      <c r="N67" s="94"/>
      <c r="O67" s="94"/>
      <c r="P67" s="3" t="s">
        <v>492</v>
      </c>
    </row>
    <row r="68">
      <c r="A68" s="117"/>
      <c r="B68" s="3">
        <v>2.125042368E9</v>
      </c>
      <c r="C68" s="108" t="str">
        <f>VLOOKUP($B68,ANAGRAFICA!$B$1:$G$306,2,FALSE)</f>
        <v>MARKOVIC</v>
      </c>
      <c r="D68" s="108" t="str">
        <f>VLOOKUP($B68,ANAGRAFICA!$B$1:$G$306,3,FALSE)</f>
        <v>BRANKO</v>
      </c>
      <c r="E68" s="109" t="str">
        <f>VLOOKUP($B68,ANAGRAFICA!$B$1:$G$306,4,FALSE)</f>
        <v>758-43</v>
      </c>
      <c r="F68" s="109">
        <f>VLOOKUP($B68,ANAGRAFICA!$B$1:$G$306,5,FALSE)</f>
        <v>3272025070</v>
      </c>
      <c r="G68" s="109">
        <f>VLOOKUP($B68,ANAGRAFICA!$B$1:$G$306,6,FALSE)</f>
        <v>2025</v>
      </c>
      <c r="H68" s="57">
        <v>1.0</v>
      </c>
      <c r="I68" s="112">
        <v>45941.0</v>
      </c>
      <c r="J68" s="57" t="s">
        <v>493</v>
      </c>
      <c r="K68" s="112">
        <v>45946.0</v>
      </c>
      <c r="L68" s="57" t="s">
        <v>221</v>
      </c>
      <c r="M68" s="57" t="s">
        <v>395</v>
      </c>
      <c r="N68" s="94"/>
      <c r="O68" s="94"/>
    </row>
    <row r="69">
      <c r="A69" s="117"/>
      <c r="B69" s="3">
        <v>2.125046195E9</v>
      </c>
      <c r="C69" s="108" t="str">
        <f>VLOOKUP($B69,ANAGRAFICA!$B$1:$G$306,2,FALSE)</f>
        <v>CASILLO</v>
      </c>
      <c r="D69" s="108" t="str">
        <f>VLOOKUP($B69,ANAGRAFICA!$B$1:$G$306,3,FALSE)</f>
        <v>SALVATORE</v>
      </c>
      <c r="E69" s="109" t="str">
        <f>VLOOKUP($B69,ANAGRAFICA!$B$1:$G$306,4,FALSE)</f>
        <v>758-44</v>
      </c>
      <c r="F69" s="109">
        <f>VLOOKUP($B69,ANAGRAFICA!$B$1:$G$306,5,FALSE)</f>
        <v>3272025071</v>
      </c>
      <c r="G69" s="109">
        <f>VLOOKUP($B69,ANAGRAFICA!$B$1:$G$306,6,FALSE)</f>
        <v>2025</v>
      </c>
      <c r="H69" s="57">
        <v>1.0</v>
      </c>
      <c r="I69" s="110">
        <v>45964.0</v>
      </c>
      <c r="J69" s="57" t="s">
        <v>494</v>
      </c>
      <c r="K69" s="110">
        <v>45967.0</v>
      </c>
      <c r="L69" s="57" t="s">
        <v>264</v>
      </c>
      <c r="M69" s="57" t="s">
        <v>395</v>
      </c>
      <c r="N69" s="94"/>
      <c r="O69" s="94"/>
      <c r="P69" s="3" t="s">
        <v>495</v>
      </c>
    </row>
    <row r="70">
      <c r="A70" s="117"/>
      <c r="B70" s="3">
        <v>2.125051424E9</v>
      </c>
      <c r="C70" s="108" t="str">
        <f>VLOOKUP($B70,ANAGRAFICA!$B$1:$G$306,2,FALSE)</f>
        <v>CASABURI</v>
      </c>
      <c r="D70" s="108" t="str">
        <f>VLOOKUP($B70,ANAGRAFICA!$B$1:$G$306,3,FALSE)</f>
        <v>ERRICO</v>
      </c>
      <c r="E70" s="109" t="str">
        <f>VLOOKUP($B70,ANAGRAFICA!$B$1:$G$306,4,FALSE)</f>
        <v>758-45</v>
      </c>
      <c r="F70" s="109">
        <f>VLOOKUP($B70,ANAGRAFICA!$B$1:$G$306,5,FALSE)</f>
        <v>3272025072</v>
      </c>
      <c r="G70" s="109">
        <f>VLOOKUP($B70,ANAGRAFICA!$B$1:$G$306,6,FALSE)</f>
        <v>2025</v>
      </c>
      <c r="H70" s="57">
        <v>1.0</v>
      </c>
      <c r="I70" s="112">
        <v>45999.0</v>
      </c>
      <c r="J70" s="57" t="s">
        <v>384</v>
      </c>
      <c r="K70" s="112">
        <v>46003.0</v>
      </c>
      <c r="L70" s="57" t="s">
        <v>454</v>
      </c>
      <c r="M70" s="57" t="s">
        <v>395</v>
      </c>
      <c r="N70" s="94"/>
      <c r="O70" s="94"/>
    </row>
    <row r="71">
      <c r="A71" s="117"/>
      <c r="B71" s="3">
        <v>2.1250527E9</v>
      </c>
      <c r="C71" s="108" t="str">
        <f>VLOOKUP($B71,ANAGRAFICA!$B$1:$G$306,2,FALSE)</f>
        <v>GADDA</v>
      </c>
      <c r="D71" s="108" t="str">
        <f>VLOOKUP($B71,ANAGRAFICA!$B$1:$G$306,3,FALSE)</f>
        <v>LILIANA</v>
      </c>
      <c r="E71" s="109" t="str">
        <f>VLOOKUP($B71,ANAGRAFICA!$B$1:$G$306,4,FALSE)</f>
        <v>758-46</v>
      </c>
      <c r="F71" s="109">
        <f>VLOOKUP($B71,ANAGRAFICA!$B$1:$G$306,5,FALSE)</f>
        <v>3272025073</v>
      </c>
      <c r="G71" s="109">
        <f>VLOOKUP($B71,ANAGRAFICA!$B$1:$G$306,6,FALSE)</f>
        <v>2025</v>
      </c>
      <c r="H71" s="57">
        <v>1.0</v>
      </c>
      <c r="I71" s="112">
        <v>46006.0</v>
      </c>
      <c r="J71" s="57" t="s">
        <v>496</v>
      </c>
      <c r="K71" s="112">
        <v>46009.0</v>
      </c>
      <c r="L71" s="57" t="s">
        <v>353</v>
      </c>
      <c r="M71" s="57" t="s">
        <v>395</v>
      </c>
      <c r="N71" s="94"/>
      <c r="O71" s="94"/>
      <c r="P71" s="3" t="s">
        <v>497</v>
      </c>
    </row>
    <row r="72">
      <c r="A72" s="117"/>
      <c r="B72" s="3">
        <v>2.125053097E9</v>
      </c>
      <c r="C72" s="108" t="str">
        <f>VLOOKUP($B72,ANAGRAFICA!$B$1:$G$306,2,FALSE)</f>
        <v>LISSONI</v>
      </c>
      <c r="D72" s="108" t="str">
        <f>VLOOKUP($B72,ANAGRAFICA!$B$1:$G$306,3,FALSE)</f>
        <v>ALESSANDRA</v>
      </c>
      <c r="E72" s="109" t="str">
        <f>VLOOKUP($B72,ANAGRAFICA!$B$1:$G$306,4,FALSE)</f>
        <v>758-47</v>
      </c>
      <c r="F72" s="109">
        <f>VLOOKUP($B72,ANAGRAFICA!$B$1:$G$306,5,FALSE)</f>
        <v>3272025074</v>
      </c>
      <c r="G72" s="109">
        <f>VLOOKUP($B72,ANAGRAFICA!$B$1:$G$306,6,FALSE)</f>
        <v>2025</v>
      </c>
      <c r="H72" s="57">
        <v>1.0</v>
      </c>
      <c r="I72" s="112">
        <v>46009.0</v>
      </c>
      <c r="J72" s="57" t="s">
        <v>498</v>
      </c>
      <c r="K72" s="112">
        <v>46020.0</v>
      </c>
      <c r="L72" s="57" t="s">
        <v>279</v>
      </c>
      <c r="M72" s="57" t="s">
        <v>395</v>
      </c>
      <c r="N72" s="94"/>
      <c r="O72" s="94"/>
    </row>
    <row r="73">
      <c r="A73" s="117"/>
      <c r="B73" s="3">
        <v>2.125053589E9</v>
      </c>
      <c r="C73" s="108" t="str">
        <f>VLOOKUP($B73,ANAGRAFICA!$B$1:$G$306,2,FALSE)</f>
        <v>HU</v>
      </c>
      <c r="D73" s="108" t="str">
        <f>VLOOKUP($B73,ANAGRAFICA!$B$1:$G$306,3,FALSE)</f>
        <v>LIBEI</v>
      </c>
      <c r="E73" s="109" t="str">
        <f>VLOOKUP($B73,ANAGRAFICA!$B$1:$G$306,4,FALSE)</f>
        <v>758-48</v>
      </c>
      <c r="F73" s="109" t="str">
        <f>VLOOKUP($B73,ANAGRAFICA!$B$1:$G$306,5,FALSE)</f>
        <v/>
      </c>
      <c r="G73" s="109">
        <f>VLOOKUP($B73,ANAGRAFICA!$B$1:$G$306,6,FALSE)</f>
        <v>2025</v>
      </c>
      <c r="H73" s="57">
        <v>1.0</v>
      </c>
      <c r="I73" s="112">
        <v>46013.0</v>
      </c>
      <c r="J73" s="57" t="s">
        <v>499</v>
      </c>
      <c r="K73" s="112">
        <v>46018.0</v>
      </c>
      <c r="L73" s="57" t="s">
        <v>353</v>
      </c>
      <c r="M73" s="57" t="s">
        <v>395</v>
      </c>
      <c r="N73" s="94"/>
      <c r="O73" s="94"/>
    </row>
    <row r="74">
      <c r="A74" s="117"/>
      <c r="B74" s="3">
        <v>2.126005799E9</v>
      </c>
      <c r="C74" s="108" t="str">
        <f>VLOOKUP($B74,ANAGRAFICA!$B$1:$G$306,2,FALSE)</f>
        <v>MAIORANO</v>
      </c>
      <c r="D74" s="108" t="str">
        <f>VLOOKUP($B74,ANAGRAFICA!$B$1:$G$306,3,FALSE)</f>
        <v>IOLANDA MARIA</v>
      </c>
      <c r="E74" s="109" t="str">
        <f>VLOOKUP($B74,ANAGRAFICA!$B$1:$G$306,4,FALSE)</f>
        <v>758-56</v>
      </c>
      <c r="F74" s="109" t="str">
        <f>VLOOKUP($B74,ANAGRAFICA!$B$1:$G$306,5,FALSE)</f>
        <v/>
      </c>
      <c r="G74" s="109">
        <f>VLOOKUP($B74,ANAGRAFICA!$B$1:$G$306,6,FALSE)</f>
        <v>2026</v>
      </c>
      <c r="H74" s="57">
        <v>1.0</v>
      </c>
      <c r="I74" s="110">
        <v>46063.0</v>
      </c>
      <c r="J74" s="57" t="s">
        <v>500</v>
      </c>
      <c r="K74" s="110">
        <v>45700.0</v>
      </c>
      <c r="L74" s="57" t="s">
        <v>68</v>
      </c>
      <c r="M74" s="57" t="s">
        <v>395</v>
      </c>
      <c r="N74" s="94"/>
      <c r="O74" s="94"/>
    </row>
    <row r="75">
      <c r="A75" s="117"/>
      <c r="B75" s="3">
        <v>2.12505375E9</v>
      </c>
      <c r="C75" s="108" t="str">
        <f>VLOOKUP($B75,ANAGRAFICA!$B$1:$G$306,2,FALSE)</f>
        <v>BERETTA</v>
      </c>
      <c r="D75" s="108" t="str">
        <f>VLOOKUP($B75,ANAGRAFICA!$B$1:$G$306,3,FALSE)</f>
        <v>FULVIO</v>
      </c>
      <c r="E75" s="109" t="str">
        <f>VLOOKUP($B75,ANAGRAFICA!$B$1:$G$306,4,FALSE)</f>
        <v/>
      </c>
      <c r="F75" s="109" t="str">
        <f>VLOOKUP($B75,ANAGRAFICA!$B$1:$G$306,5,FALSE)</f>
        <v/>
      </c>
      <c r="G75" s="109">
        <f>VLOOKUP($B75,ANAGRAFICA!$B$1:$G$306,6,FALSE)</f>
        <v>2025</v>
      </c>
      <c r="H75" s="57">
        <v>1.0</v>
      </c>
      <c r="I75" s="118">
        <v>46013.0</v>
      </c>
      <c r="J75" s="57" t="s">
        <v>501</v>
      </c>
      <c r="K75" s="110">
        <v>46014.0</v>
      </c>
      <c r="L75" s="57" t="s">
        <v>502</v>
      </c>
      <c r="M75" s="57" t="s">
        <v>395</v>
      </c>
      <c r="N75" s="94"/>
      <c r="O75" s="94"/>
    </row>
    <row r="76">
      <c r="A76" s="117"/>
      <c r="B76" s="3">
        <v>2.126002771E9</v>
      </c>
      <c r="C76" s="108" t="str">
        <f>VLOOKUP($B76,ANAGRAFICA!$B$1:$G$306,2,FALSE)</f>
        <v>LONGOBARDI</v>
      </c>
      <c r="D76" s="108" t="str">
        <f>VLOOKUP($B76,ANAGRAFICA!$B$1:$G$306,3,FALSE)</f>
        <v>FRANCESCO</v>
      </c>
      <c r="E76" s="109" t="str">
        <f>VLOOKUP($B76,ANAGRAFICA!$B$1:$G$306,4,FALSE)</f>
        <v>758-52</v>
      </c>
      <c r="F76" s="109" t="str">
        <f>VLOOKUP($B76,ANAGRAFICA!$B$1:$G$306,5,FALSE)</f>
        <v/>
      </c>
      <c r="G76" s="109">
        <f>VLOOKUP($B76,ANAGRAFICA!$B$1:$G$306,6,FALSE)</f>
        <v>2026</v>
      </c>
      <c r="H76" s="57">
        <v>1.0</v>
      </c>
      <c r="I76" s="110">
        <v>46043.0</v>
      </c>
      <c r="J76" s="57" t="s">
        <v>503</v>
      </c>
      <c r="K76" s="110">
        <v>46049.0</v>
      </c>
      <c r="L76" s="57" t="s">
        <v>29</v>
      </c>
      <c r="M76" s="57" t="s">
        <v>395</v>
      </c>
      <c r="N76" s="94"/>
      <c r="O76" s="94"/>
      <c r="P76" s="3" t="s">
        <v>504</v>
      </c>
    </row>
    <row r="77">
      <c r="A77" s="117"/>
      <c r="B77" s="3">
        <v>2.126001104E9</v>
      </c>
      <c r="C77" s="108" t="str">
        <f>VLOOKUP($B77,ANAGRAFICA!$B$1:$G$306,2,FALSE)</f>
        <v>LOREGGIA</v>
      </c>
      <c r="D77" s="108" t="str">
        <f>VLOOKUP($B77,ANAGRAFICA!$B$1:$G$306,3,FALSE)</f>
        <v>GIAN MARCO</v>
      </c>
      <c r="E77" s="109" t="str">
        <f>VLOOKUP($B77,ANAGRAFICA!$B$1:$G$306,4,FALSE)</f>
        <v>758-51</v>
      </c>
      <c r="F77" s="109" t="str">
        <f>VLOOKUP($B77,ANAGRAFICA!$B$1:$G$306,5,FALSE)</f>
        <v/>
      </c>
      <c r="G77" s="109">
        <f>VLOOKUP($B77,ANAGRAFICA!$B$1:$G$306,6,FALSE)</f>
        <v>2026</v>
      </c>
      <c r="H77" s="57">
        <v>1.0</v>
      </c>
      <c r="I77" s="110">
        <v>46033.0</v>
      </c>
      <c r="J77" s="57" t="s">
        <v>349</v>
      </c>
      <c r="K77" s="110">
        <v>46035.0</v>
      </c>
      <c r="L77" s="57" t="s">
        <v>146</v>
      </c>
      <c r="M77" s="57" t="s">
        <v>395</v>
      </c>
      <c r="N77" s="94"/>
      <c r="O77" s="94"/>
    </row>
    <row r="78">
      <c r="A78" s="117"/>
      <c r="B78" s="117"/>
      <c r="C78" s="108" t="str">
        <f>VLOOKUP($B78,ANAGRAFICA!$B$1:$G$306,2,FALSE)</f>
        <v>#N/A</v>
      </c>
      <c r="D78" s="108" t="str">
        <f>VLOOKUP($B78,ANAGRAFICA!$B$1:$G$306,3,FALSE)</f>
        <v>#N/A</v>
      </c>
      <c r="E78" s="109" t="str">
        <f>VLOOKUP($B78,ANAGRAFICA!$B$1:$G$306,4,FALSE)</f>
        <v>#N/A</v>
      </c>
      <c r="F78" s="109" t="str">
        <f>VLOOKUP($B78,ANAGRAFICA!$B$1:$G$306,5,FALSE)</f>
        <v>#N/A</v>
      </c>
      <c r="G78" s="109" t="str">
        <f>VLOOKUP($B78,ANAGRAFICA!$B$1:$G$306,6,FALSE)</f>
        <v>#N/A</v>
      </c>
      <c r="H78" s="94"/>
      <c r="I78" s="94"/>
      <c r="J78" s="94"/>
      <c r="K78" s="94"/>
      <c r="L78" s="94"/>
      <c r="M78" s="94"/>
      <c r="N78" s="94"/>
      <c r="O78" s="94"/>
    </row>
    <row r="79">
      <c r="A79" s="117"/>
      <c r="B79" s="117"/>
      <c r="C79" s="108" t="str">
        <f>VLOOKUP($B79,ANAGRAFICA!$B$1:$G$306,2,FALSE)</f>
        <v>#N/A</v>
      </c>
      <c r="D79" s="108" t="str">
        <f>VLOOKUP($B79,ANAGRAFICA!$B$1:$G$306,3,FALSE)</f>
        <v>#N/A</v>
      </c>
      <c r="E79" s="109" t="str">
        <f>VLOOKUP($B79,ANAGRAFICA!$B$1:$G$306,4,FALSE)</f>
        <v>#N/A</v>
      </c>
      <c r="F79" s="109" t="str">
        <f>VLOOKUP($B79,ANAGRAFICA!$B$1:$G$306,5,FALSE)</f>
        <v>#N/A</v>
      </c>
      <c r="G79" s="109" t="str">
        <f>VLOOKUP($B79,ANAGRAFICA!$B$1:$G$306,6,FALSE)</f>
        <v>#N/A</v>
      </c>
      <c r="H79" s="94"/>
      <c r="I79" s="94"/>
      <c r="J79" s="94"/>
      <c r="K79" s="94"/>
      <c r="L79" s="94"/>
      <c r="M79" s="94"/>
      <c r="N79" s="94"/>
      <c r="O79" s="94"/>
    </row>
    <row r="80">
      <c r="A80" s="117"/>
      <c r="B80" s="117"/>
      <c r="C80" s="108" t="str">
        <f>VLOOKUP($B80,ANAGRAFICA!$B$1:$G$306,2,FALSE)</f>
        <v>#N/A</v>
      </c>
      <c r="D80" s="108" t="str">
        <f>VLOOKUP($B80,ANAGRAFICA!$B$1:$G$306,3,FALSE)</f>
        <v>#N/A</v>
      </c>
      <c r="E80" s="109" t="str">
        <f>VLOOKUP($B80,ANAGRAFICA!$B$1:$G$306,4,FALSE)</f>
        <v>#N/A</v>
      </c>
      <c r="F80" s="109" t="str">
        <f>VLOOKUP($B80,ANAGRAFICA!$B$1:$G$306,5,FALSE)</f>
        <v>#N/A</v>
      </c>
      <c r="G80" s="109" t="str">
        <f>VLOOKUP($B80,ANAGRAFICA!$B$1:$G$306,6,FALSE)</f>
        <v>#N/A</v>
      </c>
      <c r="H80" s="94"/>
      <c r="I80" s="94"/>
      <c r="J80" s="94"/>
      <c r="K80" s="94"/>
      <c r="L80" s="94"/>
      <c r="M80" s="94"/>
      <c r="N80" s="94"/>
      <c r="O80" s="94"/>
    </row>
    <row r="81">
      <c r="A81" s="117"/>
      <c r="B81" s="117"/>
      <c r="C81" s="108" t="str">
        <f>VLOOKUP($B81,ANAGRAFICA!$B$1:$G$306,2,FALSE)</f>
        <v>#N/A</v>
      </c>
      <c r="D81" s="108" t="str">
        <f>VLOOKUP($B81,ANAGRAFICA!$B$1:$G$306,3,FALSE)</f>
        <v>#N/A</v>
      </c>
      <c r="E81" s="109" t="str">
        <f>VLOOKUP($B81,ANAGRAFICA!$B$1:$G$306,4,FALSE)</f>
        <v>#N/A</v>
      </c>
      <c r="F81" s="109" t="str">
        <f>VLOOKUP($B81,ANAGRAFICA!$B$1:$G$306,5,FALSE)</f>
        <v>#N/A</v>
      </c>
      <c r="G81" s="109" t="str">
        <f>VLOOKUP($B81,ANAGRAFICA!$B$1:$G$306,6,FALSE)</f>
        <v>#N/A</v>
      </c>
      <c r="H81" s="94"/>
      <c r="I81" s="94"/>
      <c r="J81" s="94"/>
      <c r="K81" s="94"/>
      <c r="L81" s="94"/>
      <c r="M81" s="94"/>
      <c r="N81" s="94"/>
      <c r="O81" s="94"/>
    </row>
    <row r="82">
      <c r="A82" s="117"/>
      <c r="B82" s="117"/>
      <c r="C82" s="108" t="str">
        <f>VLOOKUP($B82,ANAGRAFICA!$B$1:$G$306,2,FALSE)</f>
        <v>#N/A</v>
      </c>
      <c r="D82" s="108" t="str">
        <f>VLOOKUP($B82,ANAGRAFICA!$B$1:$G$306,3,FALSE)</f>
        <v>#N/A</v>
      </c>
      <c r="E82" s="109" t="str">
        <f>VLOOKUP($B82,ANAGRAFICA!$B$1:$G$306,4,FALSE)</f>
        <v>#N/A</v>
      </c>
      <c r="F82" s="109" t="str">
        <f>VLOOKUP($B82,ANAGRAFICA!$B$1:$G$306,5,FALSE)</f>
        <v>#N/A</v>
      </c>
      <c r="G82" s="109" t="str">
        <f>VLOOKUP($B82,ANAGRAFICA!$B$1:$G$306,6,FALSE)</f>
        <v>#N/A</v>
      </c>
      <c r="H82" s="94"/>
      <c r="I82" s="94"/>
      <c r="J82" s="94"/>
      <c r="K82" s="94"/>
      <c r="L82" s="94"/>
      <c r="M82" s="94"/>
      <c r="N82" s="94"/>
      <c r="O82" s="94"/>
    </row>
    <row r="83">
      <c r="A83" s="117"/>
      <c r="B83" s="117"/>
      <c r="C83" s="108" t="str">
        <f>VLOOKUP($B83,ANAGRAFICA!$B$1:$G$306,2,FALSE)</f>
        <v>#N/A</v>
      </c>
      <c r="D83" s="108" t="str">
        <f>VLOOKUP($B83,ANAGRAFICA!$B$1:$G$306,3,FALSE)</f>
        <v>#N/A</v>
      </c>
      <c r="E83" s="109" t="str">
        <f>VLOOKUP($B83,ANAGRAFICA!$B$1:$G$306,4,FALSE)</f>
        <v>#N/A</v>
      </c>
      <c r="F83" s="109" t="str">
        <f>VLOOKUP($B83,ANAGRAFICA!$B$1:$G$306,5,FALSE)</f>
        <v>#N/A</v>
      </c>
      <c r="G83" s="109" t="str">
        <f>VLOOKUP($B83,ANAGRAFICA!$B$1:$G$306,6,FALSE)</f>
        <v>#N/A</v>
      </c>
      <c r="H83" s="94"/>
      <c r="I83" s="94"/>
      <c r="J83" s="94"/>
      <c r="K83" s="94"/>
      <c r="L83" s="94"/>
      <c r="M83" s="94"/>
      <c r="N83" s="94"/>
      <c r="O83" s="94"/>
    </row>
    <row r="84">
      <c r="A84" s="117"/>
      <c r="B84" s="117"/>
      <c r="C84" s="108" t="str">
        <f>VLOOKUP($B84,ANAGRAFICA!$B$1:$G$306,2,FALSE)</f>
        <v>#N/A</v>
      </c>
      <c r="D84" s="108" t="str">
        <f>VLOOKUP($B84,ANAGRAFICA!$B$1:$G$306,3,FALSE)</f>
        <v>#N/A</v>
      </c>
      <c r="E84" s="109" t="str">
        <f>VLOOKUP($B84,ANAGRAFICA!$B$1:$G$306,4,FALSE)</f>
        <v>#N/A</v>
      </c>
      <c r="F84" s="109" t="str">
        <f>VLOOKUP($B84,ANAGRAFICA!$B$1:$G$306,5,FALSE)</f>
        <v>#N/A</v>
      </c>
      <c r="G84" s="109" t="str">
        <f>VLOOKUP($B84,ANAGRAFICA!$B$1:$G$306,6,FALSE)</f>
        <v>#N/A</v>
      </c>
      <c r="H84" s="94"/>
      <c r="I84" s="94"/>
      <c r="J84" s="94"/>
      <c r="K84" s="94"/>
      <c r="L84" s="94"/>
      <c r="M84" s="94"/>
      <c r="N84" s="94"/>
      <c r="O84" s="94"/>
    </row>
    <row r="85">
      <c r="A85" s="117"/>
      <c r="B85" s="117"/>
      <c r="C85" s="108" t="str">
        <f>VLOOKUP($B85,ANAGRAFICA!$B$1:$G$306,2,FALSE)</f>
        <v>#N/A</v>
      </c>
      <c r="D85" s="108" t="str">
        <f>VLOOKUP($B85,ANAGRAFICA!$B$1:$G$306,3,FALSE)</f>
        <v>#N/A</v>
      </c>
      <c r="E85" s="109" t="str">
        <f>VLOOKUP($B85,ANAGRAFICA!$B$1:$G$306,4,FALSE)</f>
        <v>#N/A</v>
      </c>
      <c r="F85" s="109" t="str">
        <f>VLOOKUP($B85,ANAGRAFICA!$B$1:$G$306,5,FALSE)</f>
        <v>#N/A</v>
      </c>
      <c r="G85" s="109" t="str">
        <f>VLOOKUP($B85,ANAGRAFICA!$B$1:$G$306,6,FALSE)</f>
        <v>#N/A</v>
      </c>
      <c r="H85" s="94"/>
      <c r="I85" s="94"/>
      <c r="J85" s="94"/>
      <c r="K85" s="94"/>
      <c r="L85" s="94"/>
      <c r="M85" s="94"/>
      <c r="N85" s="94"/>
      <c r="O85" s="94"/>
    </row>
    <row r="86">
      <c r="A86" s="117"/>
      <c r="B86" s="117"/>
      <c r="C86" s="108" t="str">
        <f>VLOOKUP($B86,ANAGRAFICA!$B$1:$G$306,2,FALSE)</f>
        <v>#N/A</v>
      </c>
      <c r="D86" s="108" t="str">
        <f>VLOOKUP($B86,ANAGRAFICA!$B$1:$G$306,3,FALSE)</f>
        <v>#N/A</v>
      </c>
      <c r="E86" s="109" t="str">
        <f>VLOOKUP($B86,ANAGRAFICA!$B$1:$G$306,4,FALSE)</f>
        <v>#N/A</v>
      </c>
      <c r="F86" s="109" t="str">
        <f>VLOOKUP($B86,ANAGRAFICA!$B$1:$G$306,5,FALSE)</f>
        <v>#N/A</v>
      </c>
      <c r="G86" s="109" t="str">
        <f>VLOOKUP($B86,ANAGRAFICA!$B$1:$G$306,6,FALSE)</f>
        <v>#N/A</v>
      </c>
      <c r="H86" s="94"/>
      <c r="I86" s="94"/>
      <c r="J86" s="94"/>
      <c r="K86" s="94"/>
      <c r="L86" s="94"/>
      <c r="M86" s="94"/>
      <c r="N86" s="94"/>
      <c r="O86" s="94"/>
    </row>
    <row r="87">
      <c r="A87" s="117"/>
      <c r="B87" s="117"/>
      <c r="C87" s="108" t="str">
        <f>VLOOKUP($B87,ANAGRAFICA!$B$1:$G$306,2,FALSE)</f>
        <v>#N/A</v>
      </c>
      <c r="D87" s="108" t="str">
        <f>VLOOKUP($B87,ANAGRAFICA!$B$1:$G$306,3,FALSE)</f>
        <v>#N/A</v>
      </c>
      <c r="E87" s="109" t="str">
        <f>VLOOKUP($B87,ANAGRAFICA!$B$1:$G$306,4,FALSE)</f>
        <v>#N/A</v>
      </c>
      <c r="F87" s="109" t="str">
        <f>VLOOKUP($B87,ANAGRAFICA!$B$1:$G$306,5,FALSE)</f>
        <v>#N/A</v>
      </c>
      <c r="G87" s="109" t="str">
        <f>VLOOKUP($B87,ANAGRAFICA!$B$1:$G$306,6,FALSE)</f>
        <v>#N/A</v>
      </c>
      <c r="H87" s="94"/>
      <c r="I87" s="94"/>
      <c r="J87" s="94"/>
      <c r="K87" s="94"/>
      <c r="L87" s="94"/>
      <c r="M87" s="94"/>
      <c r="N87" s="94"/>
      <c r="O87" s="94"/>
    </row>
    <row r="88">
      <c r="A88" s="117"/>
      <c r="B88" s="117"/>
      <c r="C88" s="108" t="str">
        <f>VLOOKUP($B88,ANAGRAFICA!$B$1:$G$306,2,FALSE)</f>
        <v>#N/A</v>
      </c>
      <c r="D88" s="108" t="str">
        <f>VLOOKUP($B88,ANAGRAFICA!$B$1:$G$306,3,FALSE)</f>
        <v>#N/A</v>
      </c>
      <c r="E88" s="109" t="str">
        <f>VLOOKUP($B88,ANAGRAFICA!$B$1:$G$306,4,FALSE)</f>
        <v>#N/A</v>
      </c>
      <c r="F88" s="109" t="str">
        <f>VLOOKUP($B88,ANAGRAFICA!$B$1:$G$306,5,FALSE)</f>
        <v>#N/A</v>
      </c>
      <c r="G88" s="109" t="str">
        <f>VLOOKUP($B88,ANAGRAFICA!$B$1:$G$306,6,FALSE)</f>
        <v>#N/A</v>
      </c>
      <c r="H88" s="94"/>
      <c r="I88" s="94"/>
      <c r="J88" s="94"/>
      <c r="K88" s="94"/>
      <c r="L88" s="94"/>
      <c r="M88" s="94"/>
      <c r="N88" s="94"/>
      <c r="O88" s="94"/>
    </row>
    <row r="89">
      <c r="A89" s="117"/>
      <c r="B89" s="117"/>
      <c r="C89" s="108" t="str">
        <f>VLOOKUP($B89,ANAGRAFICA!$B$1:$G$306,2,FALSE)</f>
        <v>#N/A</v>
      </c>
      <c r="D89" s="108" t="str">
        <f>VLOOKUP($B89,ANAGRAFICA!$B$1:$G$306,3,FALSE)</f>
        <v>#N/A</v>
      </c>
      <c r="E89" s="109" t="str">
        <f>VLOOKUP($B89,ANAGRAFICA!$B$1:$G$306,4,FALSE)</f>
        <v>#N/A</v>
      </c>
      <c r="F89" s="109" t="str">
        <f>VLOOKUP($B89,ANAGRAFICA!$B$1:$G$306,5,FALSE)</f>
        <v>#N/A</v>
      </c>
      <c r="G89" s="109" t="str">
        <f>VLOOKUP($B89,ANAGRAFICA!$B$1:$G$306,6,FALSE)</f>
        <v>#N/A</v>
      </c>
      <c r="H89" s="94"/>
      <c r="I89" s="94"/>
      <c r="J89" s="94"/>
      <c r="K89" s="94"/>
      <c r="L89" s="94"/>
      <c r="M89" s="94"/>
      <c r="N89" s="94"/>
      <c r="O89" s="94"/>
    </row>
    <row r="90">
      <c r="A90" s="117"/>
      <c r="B90" s="117"/>
      <c r="C90" s="108" t="str">
        <f>VLOOKUP($B90,ANAGRAFICA!$B$1:$G$306,2,FALSE)</f>
        <v>#N/A</v>
      </c>
      <c r="D90" s="108" t="str">
        <f>VLOOKUP($B90,ANAGRAFICA!$B$1:$G$306,3,FALSE)</f>
        <v>#N/A</v>
      </c>
      <c r="E90" s="109" t="str">
        <f>VLOOKUP($B90,ANAGRAFICA!$B$1:$G$306,4,FALSE)</f>
        <v>#N/A</v>
      </c>
      <c r="F90" s="109" t="str">
        <f>VLOOKUP($B90,ANAGRAFICA!$B$1:$G$306,5,FALSE)</f>
        <v>#N/A</v>
      </c>
      <c r="G90" s="109" t="str">
        <f>VLOOKUP($B90,ANAGRAFICA!$B$1:$G$306,6,FALSE)</f>
        <v>#N/A</v>
      </c>
      <c r="H90" s="94"/>
      <c r="I90" s="94"/>
      <c r="J90" s="94"/>
      <c r="K90" s="94"/>
      <c r="L90" s="94"/>
      <c r="M90" s="94"/>
      <c r="N90" s="94"/>
      <c r="O90" s="94"/>
    </row>
    <row r="91">
      <c r="A91" s="117"/>
      <c r="B91" s="117"/>
      <c r="C91" s="108" t="str">
        <f>VLOOKUP($B91,ANAGRAFICA!$B$1:$G$306,2,FALSE)</f>
        <v>#N/A</v>
      </c>
      <c r="D91" s="108" t="str">
        <f>VLOOKUP($B91,ANAGRAFICA!$B$1:$G$306,3,FALSE)</f>
        <v>#N/A</v>
      </c>
      <c r="E91" s="109" t="str">
        <f>VLOOKUP($B91,ANAGRAFICA!$B$1:$G$306,4,FALSE)</f>
        <v>#N/A</v>
      </c>
      <c r="F91" s="109" t="str">
        <f>VLOOKUP($B91,ANAGRAFICA!$B$1:$G$306,5,FALSE)</f>
        <v>#N/A</v>
      </c>
      <c r="G91" s="109" t="str">
        <f>VLOOKUP($B91,ANAGRAFICA!$B$1:$G$306,6,FALSE)</f>
        <v>#N/A</v>
      </c>
      <c r="H91" s="94"/>
      <c r="I91" s="94"/>
      <c r="J91" s="94"/>
      <c r="K91" s="94"/>
      <c r="L91" s="94"/>
      <c r="M91" s="94"/>
      <c r="N91" s="94"/>
      <c r="O91" s="94"/>
    </row>
    <row r="92">
      <c r="A92" s="117"/>
      <c r="B92" s="117"/>
      <c r="C92" s="108" t="str">
        <f>VLOOKUP($B92,ANAGRAFICA!$B$1:$G$306,2,FALSE)</f>
        <v>#N/A</v>
      </c>
      <c r="D92" s="108" t="str">
        <f>VLOOKUP($B92,ANAGRAFICA!$B$1:$G$306,3,FALSE)</f>
        <v>#N/A</v>
      </c>
      <c r="E92" s="109" t="str">
        <f>VLOOKUP($B92,ANAGRAFICA!$B$1:$G$306,4,FALSE)</f>
        <v>#N/A</v>
      </c>
      <c r="F92" s="109" t="str">
        <f>VLOOKUP($B92,ANAGRAFICA!$B$1:$G$306,5,FALSE)</f>
        <v>#N/A</v>
      </c>
      <c r="G92" s="109" t="str">
        <f>VLOOKUP($B92,ANAGRAFICA!$B$1:$G$306,6,FALSE)</f>
        <v>#N/A</v>
      </c>
      <c r="H92" s="94"/>
      <c r="I92" s="94"/>
      <c r="J92" s="94"/>
      <c r="K92" s="94"/>
      <c r="L92" s="94"/>
      <c r="M92" s="94"/>
      <c r="N92" s="94"/>
      <c r="O92" s="94"/>
    </row>
    <row r="93">
      <c r="A93" s="117"/>
      <c r="B93" s="117"/>
      <c r="C93" s="108" t="str">
        <f>VLOOKUP($B93,ANAGRAFICA!$B$1:$G$306,2,FALSE)</f>
        <v>#N/A</v>
      </c>
      <c r="D93" s="108" t="str">
        <f>VLOOKUP($B93,ANAGRAFICA!$B$1:$G$306,3,FALSE)</f>
        <v>#N/A</v>
      </c>
      <c r="E93" s="109" t="str">
        <f>VLOOKUP($B93,ANAGRAFICA!$B$1:$G$306,4,FALSE)</f>
        <v>#N/A</v>
      </c>
      <c r="F93" s="109" t="str">
        <f>VLOOKUP($B93,ANAGRAFICA!$B$1:$G$306,5,FALSE)</f>
        <v>#N/A</v>
      </c>
      <c r="G93" s="109" t="str">
        <f>VLOOKUP($B93,ANAGRAFICA!$B$1:$G$306,6,FALSE)</f>
        <v>#N/A</v>
      </c>
      <c r="H93" s="94"/>
      <c r="I93" s="94"/>
      <c r="J93" s="94"/>
      <c r="K93" s="94"/>
      <c r="L93" s="94"/>
      <c r="M93" s="94"/>
      <c r="N93" s="94"/>
      <c r="O93" s="94"/>
    </row>
    <row r="94">
      <c r="A94" s="117"/>
      <c r="B94" s="117"/>
      <c r="C94" s="108" t="str">
        <f>VLOOKUP($B94,ANAGRAFICA!$B$1:$G$306,2,FALSE)</f>
        <v>#N/A</v>
      </c>
      <c r="D94" s="108" t="str">
        <f>VLOOKUP($B94,ANAGRAFICA!$B$1:$G$306,3,FALSE)</f>
        <v>#N/A</v>
      </c>
      <c r="E94" s="109" t="str">
        <f>VLOOKUP($B94,ANAGRAFICA!$B$1:$G$306,4,FALSE)</f>
        <v>#N/A</v>
      </c>
      <c r="F94" s="109" t="str">
        <f>VLOOKUP($B94,ANAGRAFICA!$B$1:$G$306,5,FALSE)</f>
        <v>#N/A</v>
      </c>
      <c r="G94" s="109" t="str">
        <f>VLOOKUP($B94,ANAGRAFICA!$B$1:$G$306,6,FALSE)</f>
        <v>#N/A</v>
      </c>
      <c r="H94" s="94"/>
      <c r="I94" s="94"/>
      <c r="J94" s="94"/>
      <c r="K94" s="94"/>
      <c r="L94" s="94"/>
      <c r="M94" s="94"/>
      <c r="N94" s="94"/>
      <c r="O94" s="94"/>
    </row>
    <row r="95">
      <c r="A95" s="117"/>
      <c r="B95" s="117"/>
      <c r="C95" s="108" t="str">
        <f>VLOOKUP($B95,ANAGRAFICA!$B$1:$G$306,2,FALSE)</f>
        <v>#N/A</v>
      </c>
      <c r="D95" s="108" t="str">
        <f>VLOOKUP($B95,ANAGRAFICA!$B$1:$G$306,3,FALSE)</f>
        <v>#N/A</v>
      </c>
      <c r="E95" s="109" t="str">
        <f>VLOOKUP($B95,ANAGRAFICA!$B$1:$G$306,4,FALSE)</f>
        <v>#N/A</v>
      </c>
      <c r="F95" s="109" t="str">
        <f>VLOOKUP($B95,ANAGRAFICA!$B$1:$G$306,5,FALSE)</f>
        <v>#N/A</v>
      </c>
      <c r="G95" s="109" t="str">
        <f>VLOOKUP($B95,ANAGRAFICA!$B$1:$G$306,6,FALSE)</f>
        <v>#N/A</v>
      </c>
      <c r="H95" s="94"/>
      <c r="I95" s="94"/>
      <c r="J95" s="94"/>
      <c r="K95" s="94"/>
      <c r="L95" s="94"/>
      <c r="M95" s="94"/>
      <c r="N95" s="94"/>
      <c r="O95" s="94"/>
    </row>
    <row r="96">
      <c r="A96" s="117"/>
      <c r="B96" s="117"/>
      <c r="C96" s="108" t="str">
        <f>VLOOKUP($B96,ANAGRAFICA!$B$1:$G$306,2,FALSE)</f>
        <v>#N/A</v>
      </c>
      <c r="D96" s="108" t="str">
        <f>VLOOKUP($B96,ANAGRAFICA!$B$1:$G$306,3,FALSE)</f>
        <v>#N/A</v>
      </c>
      <c r="E96" s="109" t="str">
        <f>VLOOKUP($B96,ANAGRAFICA!$B$1:$G$306,4,FALSE)</f>
        <v>#N/A</v>
      </c>
      <c r="F96" s="109" t="str">
        <f>VLOOKUP($B96,ANAGRAFICA!$B$1:$G$306,5,FALSE)</f>
        <v>#N/A</v>
      </c>
      <c r="G96" s="109" t="str">
        <f>VLOOKUP($B96,ANAGRAFICA!$B$1:$G$306,6,FALSE)</f>
        <v>#N/A</v>
      </c>
      <c r="H96" s="94"/>
      <c r="I96" s="94"/>
      <c r="J96" s="94"/>
      <c r="K96" s="94"/>
      <c r="L96" s="94"/>
      <c r="M96" s="94"/>
      <c r="N96" s="94"/>
      <c r="O96" s="94"/>
    </row>
    <row r="97">
      <c r="A97" s="117"/>
      <c r="B97" s="117"/>
      <c r="C97" s="108" t="str">
        <f>VLOOKUP($B97,ANAGRAFICA!$B$1:$G$306,2,FALSE)</f>
        <v>#N/A</v>
      </c>
      <c r="D97" s="108" t="str">
        <f>VLOOKUP($B97,ANAGRAFICA!$B$1:$G$306,3,FALSE)</f>
        <v>#N/A</v>
      </c>
      <c r="E97" s="109" t="str">
        <f>VLOOKUP($B97,ANAGRAFICA!$B$1:$G$306,4,FALSE)</f>
        <v>#N/A</v>
      </c>
      <c r="F97" s="109" t="str">
        <f>VLOOKUP($B97,ANAGRAFICA!$B$1:$G$306,5,FALSE)</f>
        <v>#N/A</v>
      </c>
      <c r="G97" s="109" t="str">
        <f>VLOOKUP($B97,ANAGRAFICA!$B$1:$G$306,6,FALSE)</f>
        <v>#N/A</v>
      </c>
      <c r="H97" s="94"/>
      <c r="I97" s="94"/>
      <c r="J97" s="94"/>
      <c r="K97" s="94"/>
      <c r="L97" s="94"/>
      <c r="M97" s="94"/>
      <c r="N97" s="94"/>
      <c r="O97" s="94"/>
    </row>
    <row r="98">
      <c r="A98" s="117"/>
      <c r="B98" s="117"/>
      <c r="C98" s="108" t="str">
        <f>VLOOKUP($B98,ANAGRAFICA!$B$1:$G$306,2,FALSE)</f>
        <v>#N/A</v>
      </c>
      <c r="D98" s="108" t="str">
        <f>VLOOKUP($B98,ANAGRAFICA!$B$1:$G$306,3,FALSE)</f>
        <v>#N/A</v>
      </c>
      <c r="E98" s="109" t="str">
        <f>VLOOKUP($B98,ANAGRAFICA!$B$1:$G$306,4,FALSE)</f>
        <v>#N/A</v>
      </c>
      <c r="F98" s="109" t="str">
        <f>VLOOKUP($B98,ANAGRAFICA!$B$1:$G$306,5,FALSE)</f>
        <v>#N/A</v>
      </c>
      <c r="G98" s="109" t="str">
        <f>VLOOKUP($B98,ANAGRAFICA!$B$1:$G$306,6,FALSE)</f>
        <v>#N/A</v>
      </c>
      <c r="H98" s="94"/>
      <c r="I98" s="94"/>
      <c r="J98" s="94"/>
      <c r="K98" s="94"/>
      <c r="L98" s="94"/>
      <c r="M98" s="94"/>
      <c r="N98" s="94"/>
      <c r="O98" s="94"/>
    </row>
    <row r="99">
      <c r="A99" s="117"/>
      <c r="B99" s="117"/>
      <c r="C99" s="108" t="str">
        <f>VLOOKUP($B99,ANAGRAFICA!$B$1:$G$306,2,FALSE)</f>
        <v>#N/A</v>
      </c>
      <c r="D99" s="108" t="str">
        <f>VLOOKUP($B99,ANAGRAFICA!$B$1:$G$306,3,FALSE)</f>
        <v>#N/A</v>
      </c>
      <c r="E99" s="109" t="str">
        <f>VLOOKUP($B99,ANAGRAFICA!$B$1:$G$306,4,FALSE)</f>
        <v>#N/A</v>
      </c>
      <c r="F99" s="109" t="str">
        <f>VLOOKUP($B99,ANAGRAFICA!$B$1:$G$306,5,FALSE)</f>
        <v>#N/A</v>
      </c>
      <c r="G99" s="109" t="str">
        <f>VLOOKUP($B99,ANAGRAFICA!$B$1:$G$306,6,FALSE)</f>
        <v>#N/A</v>
      </c>
      <c r="H99" s="94"/>
      <c r="I99" s="94"/>
      <c r="J99" s="94"/>
      <c r="K99" s="94"/>
      <c r="L99" s="94"/>
      <c r="M99" s="94"/>
      <c r="N99" s="94"/>
      <c r="O99" s="94"/>
    </row>
    <row r="100">
      <c r="A100" s="117"/>
      <c r="B100" s="117"/>
      <c r="C100" s="108" t="str">
        <f>VLOOKUP($B100,ANAGRAFICA!$B$1:$G$306,2,FALSE)</f>
        <v>#N/A</v>
      </c>
      <c r="D100" s="108" t="str">
        <f>VLOOKUP($B100,ANAGRAFICA!$B$1:$G$306,3,FALSE)</f>
        <v>#N/A</v>
      </c>
      <c r="E100" s="109" t="str">
        <f>VLOOKUP($B100,ANAGRAFICA!$B$1:$G$306,4,FALSE)</f>
        <v>#N/A</v>
      </c>
      <c r="F100" s="109" t="str">
        <f>VLOOKUP($B100,ANAGRAFICA!$B$1:$G$306,5,FALSE)</f>
        <v>#N/A</v>
      </c>
      <c r="G100" s="109" t="str">
        <f>VLOOKUP($B100,ANAGRAFICA!$B$1:$G$306,6,FALSE)</f>
        <v>#N/A</v>
      </c>
      <c r="H100" s="94"/>
      <c r="I100" s="94"/>
      <c r="J100" s="94"/>
      <c r="K100" s="94"/>
      <c r="L100" s="94"/>
      <c r="M100" s="94"/>
      <c r="N100" s="94"/>
      <c r="O100" s="94"/>
    </row>
    <row r="101">
      <c r="A101" s="117"/>
      <c r="B101" s="117"/>
      <c r="C101" s="108" t="str">
        <f>VLOOKUP($B101,ANAGRAFICA!$B$1:$G$306,2,FALSE)</f>
        <v>#N/A</v>
      </c>
      <c r="D101" s="108" t="str">
        <f>VLOOKUP($B101,ANAGRAFICA!$B$1:$G$306,3,FALSE)</f>
        <v>#N/A</v>
      </c>
      <c r="E101" s="109" t="str">
        <f>VLOOKUP($B101,ANAGRAFICA!$B$1:$G$306,4,FALSE)</f>
        <v>#N/A</v>
      </c>
      <c r="F101" s="109" t="str">
        <f>VLOOKUP($B101,ANAGRAFICA!$B$1:$G$306,5,FALSE)</f>
        <v>#N/A</v>
      </c>
      <c r="G101" s="109" t="str">
        <f>VLOOKUP($B101,ANAGRAFICA!$B$1:$G$306,6,FALSE)</f>
        <v>#N/A</v>
      </c>
      <c r="H101" s="94"/>
      <c r="I101" s="94"/>
      <c r="J101" s="94"/>
      <c r="K101" s="94"/>
      <c r="L101" s="94"/>
      <c r="M101" s="94"/>
      <c r="N101" s="94"/>
      <c r="O101" s="94"/>
    </row>
    <row r="102">
      <c r="A102" s="117"/>
      <c r="B102" s="117"/>
      <c r="C102" s="108" t="str">
        <f>VLOOKUP($B102,ANAGRAFICA!$B$1:$G$306,2,FALSE)</f>
        <v>#N/A</v>
      </c>
      <c r="D102" s="108" t="str">
        <f>VLOOKUP($B102,ANAGRAFICA!$B$1:$G$306,3,FALSE)</f>
        <v>#N/A</v>
      </c>
      <c r="E102" s="109" t="str">
        <f>VLOOKUP($B102,ANAGRAFICA!$B$1:$G$306,4,FALSE)</f>
        <v>#N/A</v>
      </c>
      <c r="F102" s="109" t="str">
        <f>VLOOKUP($B102,ANAGRAFICA!$B$1:$G$306,5,FALSE)</f>
        <v>#N/A</v>
      </c>
      <c r="G102" s="109" t="str">
        <f>VLOOKUP($B102,ANAGRAFICA!$B$1:$G$306,6,FALSE)</f>
        <v>#N/A</v>
      </c>
      <c r="H102" s="94"/>
      <c r="I102" s="94"/>
      <c r="J102" s="94"/>
      <c r="K102" s="94"/>
      <c r="L102" s="94"/>
      <c r="M102" s="94"/>
      <c r="N102" s="94"/>
      <c r="O102" s="94"/>
    </row>
    <row r="103">
      <c r="A103" s="117"/>
      <c r="B103" s="117"/>
      <c r="C103" s="108" t="str">
        <f>VLOOKUP($B103,ANAGRAFICA!$B$1:$G$306,2,FALSE)</f>
        <v>#N/A</v>
      </c>
      <c r="D103" s="108" t="str">
        <f>VLOOKUP($B103,ANAGRAFICA!$B$1:$G$306,3,FALSE)</f>
        <v>#N/A</v>
      </c>
      <c r="E103" s="109" t="str">
        <f>VLOOKUP($B103,ANAGRAFICA!$B$1:$G$306,4,FALSE)</f>
        <v>#N/A</v>
      </c>
      <c r="F103" s="109" t="str">
        <f>VLOOKUP($B103,ANAGRAFICA!$B$1:$G$306,5,FALSE)</f>
        <v>#N/A</v>
      </c>
      <c r="G103" s="109" t="str">
        <f>VLOOKUP($B103,ANAGRAFICA!$B$1:$G$306,6,FALSE)</f>
        <v>#N/A</v>
      </c>
      <c r="H103" s="94"/>
      <c r="I103" s="94"/>
      <c r="J103" s="94"/>
      <c r="K103" s="94"/>
      <c r="L103" s="94"/>
      <c r="M103" s="94"/>
      <c r="N103" s="94"/>
      <c r="O103" s="94"/>
    </row>
    <row r="104">
      <c r="A104" s="117"/>
      <c r="B104" s="117"/>
      <c r="C104" s="108" t="str">
        <f>VLOOKUP($B104,ANAGRAFICA!$B$1:$G$306,2,FALSE)</f>
        <v>#N/A</v>
      </c>
      <c r="D104" s="108" t="str">
        <f>VLOOKUP($B104,ANAGRAFICA!$B$1:$G$306,3,FALSE)</f>
        <v>#N/A</v>
      </c>
      <c r="E104" s="109" t="str">
        <f>VLOOKUP($B104,ANAGRAFICA!$B$1:$G$306,4,FALSE)</f>
        <v>#N/A</v>
      </c>
      <c r="F104" s="109" t="str">
        <f>VLOOKUP($B104,ANAGRAFICA!$B$1:$G$306,5,FALSE)</f>
        <v>#N/A</v>
      </c>
      <c r="G104" s="109" t="str">
        <f>VLOOKUP($B104,ANAGRAFICA!$B$1:$G$306,6,FALSE)</f>
        <v>#N/A</v>
      </c>
      <c r="H104" s="94"/>
      <c r="I104" s="94"/>
      <c r="J104" s="94"/>
      <c r="K104" s="94"/>
      <c r="L104" s="94"/>
      <c r="M104" s="94"/>
      <c r="N104" s="94"/>
      <c r="O104" s="94"/>
    </row>
    <row r="105">
      <c r="A105" s="117"/>
      <c r="B105" s="117"/>
      <c r="C105" s="108" t="str">
        <f>VLOOKUP($B105,ANAGRAFICA!$B$1:$G$306,2,FALSE)</f>
        <v>#N/A</v>
      </c>
      <c r="D105" s="108" t="str">
        <f>VLOOKUP($B105,ANAGRAFICA!$B$1:$G$306,3,FALSE)</f>
        <v>#N/A</v>
      </c>
      <c r="E105" s="109" t="str">
        <f>VLOOKUP($B105,ANAGRAFICA!$B$1:$G$306,4,FALSE)</f>
        <v>#N/A</v>
      </c>
      <c r="F105" s="109" t="str">
        <f>VLOOKUP($B105,ANAGRAFICA!$B$1:$G$306,5,FALSE)</f>
        <v>#N/A</v>
      </c>
      <c r="G105" s="109" t="str">
        <f>VLOOKUP($B105,ANAGRAFICA!$B$1:$G$306,6,FALSE)</f>
        <v>#N/A</v>
      </c>
      <c r="H105" s="94"/>
      <c r="I105" s="94"/>
      <c r="J105" s="94"/>
      <c r="K105" s="94"/>
      <c r="L105" s="94"/>
      <c r="M105" s="94"/>
      <c r="N105" s="94"/>
      <c r="O105" s="94"/>
    </row>
    <row r="106">
      <c r="A106" s="117"/>
      <c r="B106" s="117"/>
      <c r="C106" s="108" t="str">
        <f>VLOOKUP($B106,ANAGRAFICA!$B$1:$G$306,2,FALSE)</f>
        <v>#N/A</v>
      </c>
      <c r="D106" s="108" t="str">
        <f>VLOOKUP($B106,ANAGRAFICA!$B$1:$G$306,3,FALSE)</f>
        <v>#N/A</v>
      </c>
      <c r="E106" s="109" t="str">
        <f>VLOOKUP($B106,ANAGRAFICA!$B$1:$G$306,4,FALSE)</f>
        <v>#N/A</v>
      </c>
      <c r="F106" s="109" t="str">
        <f>VLOOKUP($B106,ANAGRAFICA!$B$1:$G$306,5,FALSE)</f>
        <v>#N/A</v>
      </c>
      <c r="G106" s="109" t="str">
        <f>VLOOKUP($B106,ANAGRAFICA!$B$1:$G$306,6,FALSE)</f>
        <v>#N/A</v>
      </c>
      <c r="H106" s="94"/>
      <c r="I106" s="94"/>
      <c r="J106" s="94"/>
      <c r="K106" s="94"/>
      <c r="L106" s="94"/>
      <c r="M106" s="94"/>
      <c r="N106" s="94"/>
      <c r="O106" s="94"/>
    </row>
    <row r="107">
      <c r="A107" s="117"/>
      <c r="B107" s="117"/>
      <c r="C107" s="108" t="str">
        <f>VLOOKUP($B107,ANAGRAFICA!$B$1:$G$306,2,FALSE)</f>
        <v>#N/A</v>
      </c>
      <c r="D107" s="108" t="str">
        <f>VLOOKUP($B107,ANAGRAFICA!$B$1:$G$306,3,FALSE)</f>
        <v>#N/A</v>
      </c>
      <c r="E107" s="109" t="str">
        <f>VLOOKUP($B107,ANAGRAFICA!$B$1:$G$306,4,FALSE)</f>
        <v>#N/A</v>
      </c>
      <c r="F107" s="109" t="str">
        <f>VLOOKUP($B107,ANAGRAFICA!$B$1:$G$306,5,FALSE)</f>
        <v>#N/A</v>
      </c>
      <c r="G107" s="109" t="str">
        <f>VLOOKUP($B107,ANAGRAFICA!$B$1:$G$306,6,FALSE)</f>
        <v>#N/A</v>
      </c>
      <c r="H107" s="94"/>
      <c r="I107" s="94"/>
      <c r="J107" s="94"/>
      <c r="K107" s="94"/>
      <c r="L107" s="94"/>
      <c r="M107" s="94"/>
      <c r="N107" s="94"/>
      <c r="O107" s="94"/>
    </row>
    <row r="108">
      <c r="A108" s="117"/>
      <c r="B108" s="117"/>
      <c r="C108" s="108" t="str">
        <f>VLOOKUP($B108,ANAGRAFICA!$B$1:$G$306,2,FALSE)</f>
        <v>#N/A</v>
      </c>
      <c r="D108" s="108" t="str">
        <f>VLOOKUP($B108,ANAGRAFICA!$B$1:$G$306,3,FALSE)</f>
        <v>#N/A</v>
      </c>
      <c r="E108" s="109" t="str">
        <f>VLOOKUP($B108,ANAGRAFICA!$B$1:$G$306,4,FALSE)</f>
        <v>#N/A</v>
      </c>
      <c r="F108" s="109" t="str">
        <f>VLOOKUP($B108,ANAGRAFICA!$B$1:$G$306,5,FALSE)</f>
        <v>#N/A</v>
      </c>
      <c r="G108" s="109" t="str">
        <f>VLOOKUP($B108,ANAGRAFICA!$B$1:$G$306,6,FALSE)</f>
        <v>#N/A</v>
      </c>
      <c r="H108" s="94"/>
      <c r="I108" s="94"/>
      <c r="J108" s="94"/>
      <c r="K108" s="94"/>
      <c r="L108" s="94"/>
      <c r="M108" s="94"/>
      <c r="N108" s="94"/>
      <c r="O108" s="94"/>
    </row>
    <row r="109">
      <c r="A109" s="117"/>
      <c r="B109" s="117"/>
      <c r="C109" s="108" t="str">
        <f>VLOOKUP($B109,ANAGRAFICA!$B$1:$G$306,2,FALSE)</f>
        <v>#N/A</v>
      </c>
      <c r="D109" s="108" t="str">
        <f>VLOOKUP($B109,ANAGRAFICA!$B$1:$G$306,3,FALSE)</f>
        <v>#N/A</v>
      </c>
      <c r="E109" s="109" t="str">
        <f>VLOOKUP($B109,ANAGRAFICA!$B$1:$G$306,4,FALSE)</f>
        <v>#N/A</v>
      </c>
      <c r="F109" s="109" t="str">
        <f>VLOOKUP($B109,ANAGRAFICA!$B$1:$G$306,5,FALSE)</f>
        <v>#N/A</v>
      </c>
      <c r="G109" s="109" t="str">
        <f>VLOOKUP($B109,ANAGRAFICA!$B$1:$G$306,6,FALSE)</f>
        <v>#N/A</v>
      </c>
      <c r="H109" s="94"/>
      <c r="I109" s="94"/>
      <c r="J109" s="94"/>
      <c r="K109" s="94"/>
      <c r="L109" s="94"/>
      <c r="M109" s="94"/>
      <c r="N109" s="94"/>
      <c r="O109" s="94"/>
    </row>
    <row r="110">
      <c r="A110" s="117"/>
      <c r="B110" s="117"/>
      <c r="C110" s="108" t="str">
        <f>VLOOKUP($B110,ANAGRAFICA!$B$1:$G$306,2,FALSE)</f>
        <v>#N/A</v>
      </c>
      <c r="D110" s="108" t="str">
        <f>VLOOKUP($B110,ANAGRAFICA!$B$1:$G$306,3,FALSE)</f>
        <v>#N/A</v>
      </c>
      <c r="E110" s="109" t="str">
        <f>VLOOKUP($B110,ANAGRAFICA!$B$1:$G$306,4,FALSE)</f>
        <v>#N/A</v>
      </c>
      <c r="F110" s="109" t="str">
        <f>VLOOKUP($B110,ANAGRAFICA!$B$1:$G$306,5,FALSE)</f>
        <v>#N/A</v>
      </c>
      <c r="G110" s="109" t="str">
        <f>VLOOKUP($B110,ANAGRAFICA!$B$1:$G$306,6,FALSE)</f>
        <v>#N/A</v>
      </c>
      <c r="H110" s="94"/>
      <c r="I110" s="94"/>
      <c r="J110" s="94"/>
      <c r="K110" s="94"/>
      <c r="L110" s="94"/>
      <c r="M110" s="94"/>
      <c r="N110" s="94"/>
      <c r="O110" s="94"/>
    </row>
    <row r="111">
      <c r="A111" s="117"/>
      <c r="B111" s="117"/>
      <c r="C111" s="108" t="str">
        <f>VLOOKUP($B111,ANAGRAFICA!$B$1:$G$306,2,FALSE)</f>
        <v>#N/A</v>
      </c>
      <c r="D111" s="108" t="str">
        <f>VLOOKUP($B111,ANAGRAFICA!$B$1:$G$306,3,FALSE)</f>
        <v>#N/A</v>
      </c>
      <c r="E111" s="109" t="str">
        <f>VLOOKUP($B111,ANAGRAFICA!$B$1:$G$306,4,FALSE)</f>
        <v>#N/A</v>
      </c>
      <c r="F111" s="109" t="str">
        <f>VLOOKUP($B111,ANAGRAFICA!$B$1:$G$306,5,FALSE)</f>
        <v>#N/A</v>
      </c>
      <c r="G111" s="109" t="str">
        <f>VLOOKUP($B111,ANAGRAFICA!$B$1:$G$306,6,FALSE)</f>
        <v>#N/A</v>
      </c>
      <c r="H111" s="94"/>
      <c r="I111" s="94"/>
      <c r="J111" s="94"/>
      <c r="K111" s="94"/>
      <c r="L111" s="94"/>
      <c r="M111" s="94"/>
      <c r="N111" s="94"/>
      <c r="O111" s="94"/>
    </row>
    <row r="112">
      <c r="A112" s="117"/>
      <c r="B112" s="117"/>
      <c r="C112" s="108" t="str">
        <f>VLOOKUP($B112,ANAGRAFICA!$B$1:$G$306,2,FALSE)</f>
        <v>#N/A</v>
      </c>
      <c r="D112" s="108" t="str">
        <f>VLOOKUP($B112,ANAGRAFICA!$B$1:$G$306,3,FALSE)</f>
        <v>#N/A</v>
      </c>
      <c r="E112" s="109" t="str">
        <f>VLOOKUP($B112,ANAGRAFICA!$B$1:$G$306,4,FALSE)</f>
        <v>#N/A</v>
      </c>
      <c r="F112" s="109" t="str">
        <f>VLOOKUP($B112,ANAGRAFICA!$B$1:$G$306,5,FALSE)</f>
        <v>#N/A</v>
      </c>
      <c r="G112" s="109" t="str">
        <f>VLOOKUP($B112,ANAGRAFICA!$B$1:$G$306,6,FALSE)</f>
        <v>#N/A</v>
      </c>
      <c r="H112" s="94"/>
      <c r="I112" s="94"/>
      <c r="J112" s="94"/>
      <c r="K112" s="94"/>
      <c r="L112" s="94"/>
      <c r="M112" s="94"/>
      <c r="N112" s="94"/>
      <c r="O112" s="94"/>
    </row>
    <row r="113">
      <c r="A113" s="117"/>
      <c r="B113" s="117"/>
      <c r="C113" s="108" t="str">
        <f>VLOOKUP($B113,ANAGRAFICA!$B$1:$G$306,2,FALSE)</f>
        <v>#N/A</v>
      </c>
      <c r="D113" s="108" t="str">
        <f>VLOOKUP($B113,ANAGRAFICA!$B$1:$G$306,3,FALSE)</f>
        <v>#N/A</v>
      </c>
      <c r="E113" s="109" t="str">
        <f>VLOOKUP($B113,ANAGRAFICA!$B$1:$G$306,4,FALSE)</f>
        <v>#N/A</v>
      </c>
      <c r="F113" s="109" t="str">
        <f>VLOOKUP($B113,ANAGRAFICA!$B$1:$G$306,5,FALSE)</f>
        <v>#N/A</v>
      </c>
      <c r="G113" s="109" t="str">
        <f>VLOOKUP($B113,ANAGRAFICA!$B$1:$G$306,6,FALSE)</f>
        <v>#N/A</v>
      </c>
      <c r="H113" s="94"/>
      <c r="I113" s="94"/>
      <c r="J113" s="94"/>
      <c r="K113" s="94"/>
      <c r="L113" s="94"/>
      <c r="M113" s="94"/>
      <c r="N113" s="94"/>
      <c r="O113" s="94"/>
    </row>
    <row r="114">
      <c r="A114" s="117"/>
      <c r="B114" s="117"/>
      <c r="C114" s="108" t="str">
        <f>VLOOKUP($B114,ANAGRAFICA!$B$1:$G$306,2,FALSE)</f>
        <v>#N/A</v>
      </c>
      <c r="D114" s="108" t="str">
        <f>VLOOKUP($B114,ANAGRAFICA!$B$1:$G$306,3,FALSE)</f>
        <v>#N/A</v>
      </c>
      <c r="E114" s="109" t="str">
        <f>VLOOKUP($B114,ANAGRAFICA!$B$1:$G$306,4,FALSE)</f>
        <v>#N/A</v>
      </c>
      <c r="F114" s="109" t="str">
        <f>VLOOKUP($B114,ANAGRAFICA!$B$1:$G$306,5,FALSE)</f>
        <v>#N/A</v>
      </c>
      <c r="G114" s="109" t="str">
        <f>VLOOKUP($B114,ANAGRAFICA!$B$1:$G$306,6,FALSE)</f>
        <v>#N/A</v>
      </c>
      <c r="H114" s="94"/>
      <c r="I114" s="94"/>
      <c r="J114" s="94"/>
      <c r="K114" s="94"/>
      <c r="L114" s="94"/>
      <c r="M114" s="94"/>
      <c r="N114" s="94"/>
      <c r="O114" s="94"/>
    </row>
    <row r="115">
      <c r="A115" s="117"/>
      <c r="B115" s="117"/>
      <c r="C115" s="108" t="str">
        <f>VLOOKUP($B115,ANAGRAFICA!$B$1:$G$306,2,FALSE)</f>
        <v>#N/A</v>
      </c>
      <c r="D115" s="108" t="str">
        <f>VLOOKUP($B115,ANAGRAFICA!$B$1:$G$306,3,FALSE)</f>
        <v>#N/A</v>
      </c>
      <c r="E115" s="109" t="str">
        <f>VLOOKUP($B115,ANAGRAFICA!$B$1:$G$306,4,FALSE)</f>
        <v>#N/A</v>
      </c>
      <c r="F115" s="109" t="str">
        <f>VLOOKUP($B115,ANAGRAFICA!$B$1:$G$306,5,FALSE)</f>
        <v>#N/A</v>
      </c>
      <c r="G115" s="109" t="str">
        <f>VLOOKUP($B115,ANAGRAFICA!$B$1:$G$306,6,FALSE)</f>
        <v>#N/A</v>
      </c>
      <c r="H115" s="94"/>
      <c r="I115" s="94"/>
      <c r="J115" s="94"/>
      <c r="K115" s="94"/>
      <c r="L115" s="94"/>
      <c r="M115" s="94"/>
      <c r="N115" s="94"/>
      <c r="O115" s="94"/>
    </row>
    <row r="116">
      <c r="A116" s="117"/>
      <c r="B116" s="117"/>
      <c r="C116" s="108" t="str">
        <f>VLOOKUP($B116,ANAGRAFICA!$B$1:$G$306,2,FALSE)</f>
        <v>#N/A</v>
      </c>
      <c r="D116" s="108" t="str">
        <f>VLOOKUP($B116,ANAGRAFICA!$B$1:$G$306,3,FALSE)</f>
        <v>#N/A</v>
      </c>
      <c r="E116" s="109" t="str">
        <f>VLOOKUP($B116,ANAGRAFICA!$B$1:$G$306,4,FALSE)</f>
        <v>#N/A</v>
      </c>
      <c r="F116" s="109" t="str">
        <f>VLOOKUP($B116,ANAGRAFICA!$B$1:$G$306,5,FALSE)</f>
        <v>#N/A</v>
      </c>
      <c r="G116" s="109" t="str">
        <f>VLOOKUP($B116,ANAGRAFICA!$B$1:$G$306,6,FALSE)</f>
        <v>#N/A</v>
      </c>
      <c r="H116" s="94"/>
      <c r="I116" s="94"/>
      <c r="J116" s="94"/>
      <c r="K116" s="94"/>
      <c r="L116" s="94"/>
      <c r="M116" s="94"/>
      <c r="N116" s="94"/>
      <c r="O116" s="94"/>
    </row>
    <row r="117">
      <c r="A117" s="117"/>
      <c r="B117" s="117"/>
      <c r="C117" s="108" t="str">
        <f>VLOOKUP($B117,ANAGRAFICA!$B$1:$G$306,2,FALSE)</f>
        <v>#N/A</v>
      </c>
      <c r="D117" s="108" t="str">
        <f>VLOOKUP($B117,ANAGRAFICA!$B$1:$G$306,3,FALSE)</f>
        <v>#N/A</v>
      </c>
      <c r="E117" s="109" t="str">
        <f>VLOOKUP($B117,ANAGRAFICA!$B$1:$G$306,4,FALSE)</f>
        <v>#N/A</v>
      </c>
      <c r="F117" s="109" t="str">
        <f>VLOOKUP($B117,ANAGRAFICA!$B$1:$G$306,5,FALSE)</f>
        <v>#N/A</v>
      </c>
      <c r="G117" s="109" t="str">
        <f>VLOOKUP($B117,ANAGRAFICA!$B$1:$G$306,6,FALSE)</f>
        <v>#N/A</v>
      </c>
      <c r="H117" s="94"/>
      <c r="I117" s="94"/>
      <c r="J117" s="94"/>
      <c r="K117" s="94"/>
      <c r="L117" s="94"/>
      <c r="M117" s="94"/>
      <c r="N117" s="94"/>
      <c r="O117" s="94"/>
    </row>
    <row r="118">
      <c r="A118" s="117"/>
      <c r="B118" s="117"/>
      <c r="C118" s="108" t="str">
        <f>VLOOKUP($B118,ANAGRAFICA!$B$1:$G$306,2,FALSE)</f>
        <v>#N/A</v>
      </c>
      <c r="D118" s="108" t="str">
        <f>VLOOKUP($B118,ANAGRAFICA!$B$1:$G$306,3,FALSE)</f>
        <v>#N/A</v>
      </c>
      <c r="E118" s="109" t="str">
        <f>VLOOKUP($B118,ANAGRAFICA!$B$1:$G$306,4,FALSE)</f>
        <v>#N/A</v>
      </c>
      <c r="F118" s="109" t="str">
        <f>VLOOKUP($B118,ANAGRAFICA!$B$1:$G$306,5,FALSE)</f>
        <v>#N/A</v>
      </c>
      <c r="G118" s="109" t="str">
        <f>VLOOKUP($B118,ANAGRAFICA!$B$1:$G$306,6,FALSE)</f>
        <v>#N/A</v>
      </c>
      <c r="H118" s="94"/>
      <c r="I118" s="94"/>
      <c r="J118" s="94"/>
      <c r="K118" s="94"/>
      <c r="L118" s="94"/>
      <c r="M118" s="94"/>
      <c r="N118" s="94"/>
      <c r="O118" s="94"/>
    </row>
    <row r="119">
      <c r="A119" s="117"/>
      <c r="B119" s="117"/>
      <c r="C119" s="108" t="str">
        <f>VLOOKUP($B119,ANAGRAFICA!$B$1:$G$306,2,FALSE)</f>
        <v>#N/A</v>
      </c>
      <c r="D119" s="108" t="str">
        <f>VLOOKUP($B119,ANAGRAFICA!$B$1:$G$306,3,FALSE)</f>
        <v>#N/A</v>
      </c>
      <c r="E119" s="109" t="str">
        <f>VLOOKUP($B119,ANAGRAFICA!$B$1:$G$306,4,FALSE)</f>
        <v>#N/A</v>
      </c>
      <c r="F119" s="109" t="str">
        <f>VLOOKUP($B119,ANAGRAFICA!$B$1:$G$306,5,FALSE)</f>
        <v>#N/A</v>
      </c>
      <c r="G119" s="109" t="str">
        <f>VLOOKUP($B119,ANAGRAFICA!$B$1:$G$306,6,FALSE)</f>
        <v>#N/A</v>
      </c>
      <c r="H119" s="94"/>
      <c r="I119" s="94"/>
      <c r="J119" s="94"/>
      <c r="K119" s="94"/>
      <c r="L119" s="94"/>
      <c r="M119" s="94"/>
      <c r="N119" s="94"/>
      <c r="O119" s="94"/>
    </row>
    <row r="120">
      <c r="A120" s="117"/>
      <c r="B120" s="117"/>
      <c r="C120" s="108" t="str">
        <f>VLOOKUP($B120,ANAGRAFICA!$B$1:$G$306,2,FALSE)</f>
        <v>#N/A</v>
      </c>
      <c r="D120" s="108" t="str">
        <f>VLOOKUP($B120,ANAGRAFICA!$B$1:$G$306,3,FALSE)</f>
        <v>#N/A</v>
      </c>
      <c r="E120" s="109" t="str">
        <f>VLOOKUP($B120,ANAGRAFICA!$B$1:$G$306,4,FALSE)</f>
        <v>#N/A</v>
      </c>
      <c r="F120" s="109" t="str">
        <f>VLOOKUP($B120,ANAGRAFICA!$B$1:$G$306,5,FALSE)</f>
        <v>#N/A</v>
      </c>
      <c r="G120" s="109" t="str">
        <f>VLOOKUP($B120,ANAGRAFICA!$B$1:$G$306,6,FALSE)</f>
        <v>#N/A</v>
      </c>
      <c r="H120" s="94"/>
      <c r="I120" s="94"/>
      <c r="J120" s="94"/>
      <c r="K120" s="94"/>
      <c r="L120" s="94"/>
      <c r="M120" s="94"/>
      <c r="N120" s="94"/>
      <c r="O120" s="94"/>
    </row>
    <row r="121">
      <c r="A121" s="117"/>
      <c r="B121" s="117"/>
      <c r="C121" s="108" t="str">
        <f>VLOOKUP($B121,ANAGRAFICA!$B$1:$G$306,2,FALSE)</f>
        <v>#N/A</v>
      </c>
      <c r="D121" s="108" t="str">
        <f>VLOOKUP($B121,ANAGRAFICA!$B$1:$G$306,3,FALSE)</f>
        <v>#N/A</v>
      </c>
      <c r="E121" s="109" t="str">
        <f>VLOOKUP($B121,ANAGRAFICA!$B$1:$G$306,4,FALSE)</f>
        <v>#N/A</v>
      </c>
      <c r="F121" s="109" t="str">
        <f>VLOOKUP($B121,ANAGRAFICA!$B$1:$G$306,5,FALSE)</f>
        <v>#N/A</v>
      </c>
      <c r="G121" s="109" t="str">
        <f>VLOOKUP($B121,ANAGRAFICA!$B$1:$G$306,6,FALSE)</f>
        <v>#N/A</v>
      </c>
      <c r="H121" s="94"/>
      <c r="I121" s="94"/>
      <c r="J121" s="94"/>
      <c r="K121" s="94"/>
      <c r="L121" s="94"/>
      <c r="M121" s="94"/>
      <c r="N121" s="94"/>
      <c r="O121" s="94"/>
    </row>
    <row r="122">
      <c r="A122" s="117"/>
      <c r="B122" s="117"/>
      <c r="C122" s="108" t="str">
        <f>VLOOKUP($B122,ANAGRAFICA!$B$1:$G$306,2,FALSE)</f>
        <v>#N/A</v>
      </c>
      <c r="D122" s="108" t="str">
        <f>VLOOKUP($B122,ANAGRAFICA!$B$1:$G$306,3,FALSE)</f>
        <v>#N/A</v>
      </c>
      <c r="E122" s="109" t="str">
        <f>VLOOKUP($B122,ANAGRAFICA!$B$1:$G$306,4,FALSE)</f>
        <v>#N/A</v>
      </c>
      <c r="F122" s="109" t="str">
        <f>VLOOKUP($B122,ANAGRAFICA!$B$1:$G$306,5,FALSE)</f>
        <v>#N/A</v>
      </c>
      <c r="G122" s="109" t="str">
        <f>VLOOKUP($B122,ANAGRAFICA!$B$1:$G$306,6,FALSE)</f>
        <v>#N/A</v>
      </c>
      <c r="H122" s="94"/>
      <c r="I122" s="94"/>
      <c r="J122" s="94"/>
      <c r="K122" s="94"/>
      <c r="L122" s="94"/>
      <c r="M122" s="94"/>
      <c r="N122" s="94"/>
      <c r="O122" s="94"/>
    </row>
    <row r="123">
      <c r="A123" s="117"/>
      <c r="B123" s="117"/>
      <c r="C123" s="108" t="str">
        <f>VLOOKUP($B123,ANAGRAFICA!$B$1:$G$306,2,FALSE)</f>
        <v>#N/A</v>
      </c>
      <c r="D123" s="108" t="str">
        <f>VLOOKUP($B123,ANAGRAFICA!$B$1:$G$306,3,FALSE)</f>
        <v>#N/A</v>
      </c>
      <c r="E123" s="109" t="str">
        <f>VLOOKUP($B123,ANAGRAFICA!$B$1:$G$306,4,FALSE)</f>
        <v>#N/A</v>
      </c>
      <c r="F123" s="109" t="str">
        <f>VLOOKUP($B123,ANAGRAFICA!$B$1:$G$306,5,FALSE)</f>
        <v>#N/A</v>
      </c>
      <c r="G123" s="109" t="str">
        <f>VLOOKUP($B123,ANAGRAFICA!$B$1:$G$306,6,FALSE)</f>
        <v>#N/A</v>
      </c>
      <c r="H123" s="94"/>
      <c r="I123" s="94"/>
      <c r="J123" s="94"/>
      <c r="K123" s="94"/>
      <c r="L123" s="94"/>
      <c r="M123" s="94"/>
      <c r="N123" s="94"/>
      <c r="O123" s="94"/>
    </row>
    <row r="124">
      <c r="A124" s="117"/>
      <c r="B124" s="117"/>
      <c r="C124" s="108" t="str">
        <f>VLOOKUP($B124,ANAGRAFICA!$B$1:$G$306,2,FALSE)</f>
        <v>#N/A</v>
      </c>
      <c r="D124" s="108" t="str">
        <f>VLOOKUP($B124,ANAGRAFICA!$B$1:$G$306,3,FALSE)</f>
        <v>#N/A</v>
      </c>
      <c r="E124" s="109" t="str">
        <f>VLOOKUP($B124,ANAGRAFICA!$B$1:$G$306,4,FALSE)</f>
        <v>#N/A</v>
      </c>
      <c r="F124" s="109" t="str">
        <f>VLOOKUP($B124,ANAGRAFICA!$B$1:$G$306,5,FALSE)</f>
        <v>#N/A</v>
      </c>
      <c r="G124" s="109" t="str">
        <f>VLOOKUP($B124,ANAGRAFICA!$B$1:$G$306,6,FALSE)</f>
        <v>#N/A</v>
      </c>
      <c r="H124" s="94"/>
      <c r="I124" s="94"/>
      <c r="J124" s="94"/>
      <c r="K124" s="94"/>
      <c r="L124" s="94"/>
      <c r="M124" s="94"/>
      <c r="N124" s="94"/>
      <c r="O124" s="94"/>
    </row>
    <row r="125">
      <c r="A125" s="117"/>
      <c r="B125" s="117"/>
      <c r="C125" s="108" t="str">
        <f>VLOOKUP($B125,ANAGRAFICA!$B$1:$G$306,2,FALSE)</f>
        <v>#N/A</v>
      </c>
      <c r="D125" s="108" t="str">
        <f>VLOOKUP($B125,ANAGRAFICA!$B$1:$G$306,3,FALSE)</f>
        <v>#N/A</v>
      </c>
      <c r="E125" s="109" t="str">
        <f>VLOOKUP($B125,ANAGRAFICA!$B$1:$G$306,4,FALSE)</f>
        <v>#N/A</v>
      </c>
      <c r="F125" s="109" t="str">
        <f>VLOOKUP($B125,ANAGRAFICA!$B$1:$G$306,5,FALSE)</f>
        <v>#N/A</v>
      </c>
      <c r="G125" s="109" t="str">
        <f>VLOOKUP($B125,ANAGRAFICA!$B$1:$G$306,6,FALSE)</f>
        <v>#N/A</v>
      </c>
      <c r="H125" s="94"/>
      <c r="I125" s="94"/>
      <c r="J125" s="94"/>
      <c r="K125" s="94"/>
      <c r="L125" s="94"/>
      <c r="M125" s="94"/>
      <c r="N125" s="94"/>
      <c r="O125" s="94"/>
    </row>
    <row r="126">
      <c r="A126" s="117"/>
      <c r="B126" s="117"/>
      <c r="C126" s="108" t="str">
        <f>VLOOKUP($B126,ANAGRAFICA!$B$1:$G$306,2,FALSE)</f>
        <v>#N/A</v>
      </c>
      <c r="D126" s="108" t="str">
        <f>VLOOKUP($B126,ANAGRAFICA!$B$1:$G$306,3,FALSE)</f>
        <v>#N/A</v>
      </c>
      <c r="E126" s="109" t="str">
        <f>VLOOKUP($B126,ANAGRAFICA!$B$1:$G$306,4,FALSE)</f>
        <v>#N/A</v>
      </c>
      <c r="F126" s="109" t="str">
        <f>VLOOKUP($B126,ANAGRAFICA!$B$1:$G$306,5,FALSE)</f>
        <v>#N/A</v>
      </c>
      <c r="G126" s="109" t="str">
        <f>VLOOKUP($B126,ANAGRAFICA!$B$1:$G$306,6,FALSE)</f>
        <v>#N/A</v>
      </c>
      <c r="H126" s="94"/>
      <c r="I126" s="94"/>
      <c r="J126" s="94"/>
      <c r="K126" s="94"/>
      <c r="L126" s="94"/>
      <c r="M126" s="94"/>
      <c r="N126" s="94"/>
      <c r="O126" s="94"/>
    </row>
    <row r="127">
      <c r="A127" s="117"/>
      <c r="B127" s="117"/>
      <c r="C127" s="108" t="str">
        <f>VLOOKUP($B127,ANAGRAFICA!$B$1:$G$306,2,FALSE)</f>
        <v>#N/A</v>
      </c>
      <c r="D127" s="108" t="str">
        <f>VLOOKUP($B127,ANAGRAFICA!$B$1:$G$306,3,FALSE)</f>
        <v>#N/A</v>
      </c>
      <c r="E127" s="109" t="str">
        <f>VLOOKUP($B127,ANAGRAFICA!$B$1:$G$306,4,FALSE)</f>
        <v>#N/A</v>
      </c>
      <c r="F127" s="109" t="str">
        <f>VLOOKUP($B127,ANAGRAFICA!$B$1:$G$306,5,FALSE)</f>
        <v>#N/A</v>
      </c>
      <c r="G127" s="109" t="str">
        <f>VLOOKUP($B127,ANAGRAFICA!$B$1:$G$306,6,FALSE)</f>
        <v>#N/A</v>
      </c>
      <c r="H127" s="94"/>
      <c r="I127" s="94"/>
      <c r="J127" s="94"/>
      <c r="K127" s="94"/>
      <c r="L127" s="94"/>
      <c r="M127" s="94"/>
      <c r="N127" s="94"/>
      <c r="O127" s="94"/>
    </row>
    <row r="128">
      <c r="A128" s="117"/>
      <c r="B128" s="117"/>
      <c r="C128" s="108" t="str">
        <f>VLOOKUP($B128,ANAGRAFICA!$B$1:$G$306,2,FALSE)</f>
        <v>#N/A</v>
      </c>
      <c r="D128" s="108" t="str">
        <f>VLOOKUP($B128,ANAGRAFICA!$B$1:$G$306,3,FALSE)</f>
        <v>#N/A</v>
      </c>
      <c r="E128" s="109" t="str">
        <f>VLOOKUP($B128,ANAGRAFICA!$B$1:$G$306,4,FALSE)</f>
        <v>#N/A</v>
      </c>
      <c r="F128" s="109" t="str">
        <f>VLOOKUP($B128,ANAGRAFICA!$B$1:$G$306,5,FALSE)</f>
        <v>#N/A</v>
      </c>
      <c r="G128" s="109" t="str">
        <f>VLOOKUP($B128,ANAGRAFICA!$B$1:$G$306,6,FALSE)</f>
        <v>#N/A</v>
      </c>
      <c r="H128" s="94"/>
      <c r="I128" s="94"/>
      <c r="J128" s="94"/>
      <c r="K128" s="94"/>
      <c r="L128" s="94"/>
      <c r="M128" s="94"/>
      <c r="N128" s="94"/>
      <c r="O128" s="94"/>
    </row>
    <row r="129">
      <c r="A129" s="117"/>
      <c r="B129" s="117"/>
      <c r="C129" s="108" t="str">
        <f>VLOOKUP($B129,ANAGRAFICA!$B$1:$G$306,2,FALSE)</f>
        <v>#N/A</v>
      </c>
      <c r="D129" s="108" t="str">
        <f>VLOOKUP($B129,ANAGRAFICA!$B$1:$G$306,3,FALSE)</f>
        <v>#N/A</v>
      </c>
      <c r="E129" s="109" t="str">
        <f>VLOOKUP($B129,ANAGRAFICA!$B$1:$G$306,4,FALSE)</f>
        <v>#N/A</v>
      </c>
      <c r="F129" s="109" t="str">
        <f>VLOOKUP($B129,ANAGRAFICA!$B$1:$G$306,5,FALSE)</f>
        <v>#N/A</v>
      </c>
      <c r="G129" s="109" t="str">
        <f>VLOOKUP($B129,ANAGRAFICA!$B$1:$G$306,6,FALSE)</f>
        <v>#N/A</v>
      </c>
      <c r="H129" s="94"/>
      <c r="I129" s="94"/>
      <c r="J129" s="94"/>
      <c r="K129" s="94"/>
      <c r="L129" s="94"/>
      <c r="M129" s="94"/>
      <c r="N129" s="94"/>
      <c r="O129" s="94"/>
    </row>
    <row r="130">
      <c r="A130" s="117"/>
      <c r="B130" s="117"/>
      <c r="C130" s="108" t="str">
        <f>VLOOKUP($B130,ANAGRAFICA!$B$1:$G$306,2,FALSE)</f>
        <v>#N/A</v>
      </c>
      <c r="D130" s="108" t="str">
        <f>VLOOKUP($B130,ANAGRAFICA!$B$1:$G$306,3,FALSE)</f>
        <v>#N/A</v>
      </c>
      <c r="E130" s="109" t="str">
        <f>VLOOKUP($B130,ANAGRAFICA!$B$1:$G$306,4,FALSE)</f>
        <v>#N/A</v>
      </c>
      <c r="F130" s="109" t="str">
        <f>VLOOKUP($B130,ANAGRAFICA!$B$1:$G$306,5,FALSE)</f>
        <v>#N/A</v>
      </c>
      <c r="G130" s="109" t="str">
        <f>VLOOKUP($B130,ANAGRAFICA!$B$1:$G$306,6,FALSE)</f>
        <v>#N/A</v>
      </c>
      <c r="H130" s="94"/>
      <c r="I130" s="94"/>
      <c r="J130" s="94"/>
      <c r="K130" s="94"/>
      <c r="L130" s="94"/>
      <c r="M130" s="94"/>
      <c r="N130" s="94"/>
      <c r="O130" s="94"/>
    </row>
    <row r="131">
      <c r="A131" s="117"/>
      <c r="B131" s="117"/>
      <c r="C131" s="108" t="str">
        <f>VLOOKUP($B131,ANAGRAFICA!$B$1:$G$306,2,FALSE)</f>
        <v>#N/A</v>
      </c>
      <c r="D131" s="108" t="str">
        <f>VLOOKUP($B131,ANAGRAFICA!$B$1:$G$306,3,FALSE)</f>
        <v>#N/A</v>
      </c>
      <c r="E131" s="109" t="str">
        <f>VLOOKUP($B131,ANAGRAFICA!$B$1:$G$306,4,FALSE)</f>
        <v>#N/A</v>
      </c>
      <c r="F131" s="109" t="str">
        <f>VLOOKUP($B131,ANAGRAFICA!$B$1:$G$306,5,FALSE)</f>
        <v>#N/A</v>
      </c>
      <c r="G131" s="109" t="str">
        <f>VLOOKUP($B131,ANAGRAFICA!$B$1:$G$306,6,FALSE)</f>
        <v>#N/A</v>
      </c>
      <c r="H131" s="94"/>
      <c r="I131" s="94"/>
      <c r="J131" s="94"/>
      <c r="K131" s="94"/>
      <c r="L131" s="94"/>
      <c r="M131" s="94"/>
      <c r="N131" s="94"/>
      <c r="O131" s="94"/>
    </row>
    <row r="132">
      <c r="A132" s="117"/>
      <c r="B132" s="117"/>
      <c r="C132" s="108" t="str">
        <f>VLOOKUP($B132,ANAGRAFICA!$B$1:$G$306,2,FALSE)</f>
        <v>#N/A</v>
      </c>
      <c r="D132" s="108" t="str">
        <f>VLOOKUP($B132,ANAGRAFICA!$B$1:$G$306,3,FALSE)</f>
        <v>#N/A</v>
      </c>
      <c r="E132" s="109" t="str">
        <f>VLOOKUP($B132,ANAGRAFICA!$B$1:$G$306,4,FALSE)</f>
        <v>#N/A</v>
      </c>
      <c r="F132" s="109" t="str">
        <f>VLOOKUP($B132,ANAGRAFICA!$B$1:$G$306,5,FALSE)</f>
        <v>#N/A</v>
      </c>
      <c r="G132" s="109" t="str">
        <f>VLOOKUP($B132,ANAGRAFICA!$B$1:$G$306,6,FALSE)</f>
        <v>#N/A</v>
      </c>
      <c r="H132" s="94"/>
      <c r="I132" s="94"/>
      <c r="J132" s="94"/>
      <c r="K132" s="94"/>
      <c r="L132" s="94"/>
      <c r="M132" s="94"/>
      <c r="N132" s="94"/>
      <c r="O132" s="94"/>
    </row>
    <row r="133">
      <c r="A133" s="117"/>
      <c r="B133" s="117"/>
      <c r="C133" s="108" t="str">
        <f>VLOOKUP($B133,ANAGRAFICA!$B$1:$G$306,2,FALSE)</f>
        <v>#N/A</v>
      </c>
      <c r="D133" s="108" t="str">
        <f>VLOOKUP($B133,ANAGRAFICA!$B$1:$G$306,3,FALSE)</f>
        <v>#N/A</v>
      </c>
      <c r="E133" s="109" t="str">
        <f>VLOOKUP($B133,ANAGRAFICA!$B$1:$G$306,4,FALSE)</f>
        <v>#N/A</v>
      </c>
      <c r="F133" s="109" t="str">
        <f>VLOOKUP($B133,ANAGRAFICA!$B$1:$G$306,5,FALSE)</f>
        <v>#N/A</v>
      </c>
      <c r="G133" s="109" t="str">
        <f>VLOOKUP($B133,ANAGRAFICA!$B$1:$G$306,6,FALSE)</f>
        <v>#N/A</v>
      </c>
      <c r="H133" s="94"/>
      <c r="I133" s="94"/>
      <c r="J133" s="94"/>
      <c r="K133" s="94"/>
      <c r="L133" s="94"/>
      <c r="M133" s="94"/>
      <c r="N133" s="94"/>
      <c r="O133" s="94"/>
    </row>
    <row r="134">
      <c r="A134" s="117"/>
      <c r="B134" s="117"/>
      <c r="C134" s="108" t="str">
        <f>VLOOKUP($B134,ANAGRAFICA!$B$1:$G$306,2,FALSE)</f>
        <v>#N/A</v>
      </c>
      <c r="D134" s="108" t="str">
        <f>VLOOKUP($B134,ANAGRAFICA!$B$1:$G$306,3,FALSE)</f>
        <v>#N/A</v>
      </c>
      <c r="E134" s="109" t="str">
        <f>VLOOKUP($B134,ANAGRAFICA!$B$1:$G$306,4,FALSE)</f>
        <v>#N/A</v>
      </c>
      <c r="F134" s="109" t="str">
        <f>VLOOKUP($B134,ANAGRAFICA!$B$1:$G$306,5,FALSE)</f>
        <v>#N/A</v>
      </c>
      <c r="G134" s="109" t="str">
        <f>VLOOKUP($B134,ANAGRAFICA!$B$1:$G$306,6,FALSE)</f>
        <v>#N/A</v>
      </c>
      <c r="H134" s="94"/>
      <c r="I134" s="94"/>
      <c r="J134" s="94"/>
      <c r="K134" s="94"/>
      <c r="L134" s="94"/>
      <c r="M134" s="94"/>
      <c r="N134" s="94"/>
      <c r="O134" s="94"/>
    </row>
    <row r="135">
      <c r="A135" s="117"/>
      <c r="B135" s="117"/>
      <c r="C135" s="108" t="str">
        <f>VLOOKUP($B135,ANAGRAFICA!$B$1:$G$306,2,FALSE)</f>
        <v>#N/A</v>
      </c>
      <c r="D135" s="108" t="str">
        <f>VLOOKUP($B135,ANAGRAFICA!$B$1:$G$306,3,FALSE)</f>
        <v>#N/A</v>
      </c>
      <c r="E135" s="109" t="str">
        <f>VLOOKUP($B135,ANAGRAFICA!$B$1:$G$306,4,FALSE)</f>
        <v>#N/A</v>
      </c>
      <c r="F135" s="109" t="str">
        <f>VLOOKUP($B135,ANAGRAFICA!$B$1:$G$306,5,FALSE)</f>
        <v>#N/A</v>
      </c>
      <c r="G135" s="109" t="str">
        <f>VLOOKUP($B135,ANAGRAFICA!$B$1:$G$306,6,FALSE)</f>
        <v>#N/A</v>
      </c>
      <c r="H135" s="94"/>
      <c r="I135" s="94"/>
      <c r="J135" s="94"/>
      <c r="K135" s="94"/>
      <c r="L135" s="94"/>
      <c r="M135" s="94"/>
      <c r="N135" s="94"/>
      <c r="O135" s="94"/>
    </row>
    <row r="136">
      <c r="A136" s="117"/>
      <c r="B136" s="117"/>
      <c r="C136" s="108" t="str">
        <f>VLOOKUP($B136,ANAGRAFICA!$B$1:$G$306,2,FALSE)</f>
        <v>#N/A</v>
      </c>
      <c r="D136" s="108" t="str">
        <f>VLOOKUP($B136,ANAGRAFICA!$B$1:$G$306,3,FALSE)</f>
        <v>#N/A</v>
      </c>
      <c r="E136" s="109" t="str">
        <f>VLOOKUP($B136,ANAGRAFICA!$B$1:$G$306,4,FALSE)</f>
        <v>#N/A</v>
      </c>
      <c r="F136" s="109" t="str">
        <f>VLOOKUP($B136,ANAGRAFICA!$B$1:$G$306,5,FALSE)</f>
        <v>#N/A</v>
      </c>
      <c r="G136" s="109" t="str">
        <f>VLOOKUP($B136,ANAGRAFICA!$B$1:$G$306,6,FALSE)</f>
        <v>#N/A</v>
      </c>
      <c r="H136" s="94"/>
      <c r="I136" s="94"/>
      <c r="J136" s="94"/>
      <c r="K136" s="94"/>
      <c r="L136" s="94"/>
      <c r="M136" s="94"/>
      <c r="N136" s="94"/>
      <c r="O136" s="94"/>
    </row>
    <row r="137">
      <c r="A137" s="117"/>
      <c r="B137" s="117"/>
      <c r="C137" s="108" t="str">
        <f>VLOOKUP($B137,ANAGRAFICA!$B$1:$G$306,2,FALSE)</f>
        <v>#N/A</v>
      </c>
      <c r="D137" s="108" t="str">
        <f>VLOOKUP($B137,ANAGRAFICA!$B$1:$G$306,3,FALSE)</f>
        <v>#N/A</v>
      </c>
      <c r="E137" s="109" t="str">
        <f>VLOOKUP($B137,ANAGRAFICA!$B$1:$G$306,4,FALSE)</f>
        <v>#N/A</v>
      </c>
      <c r="F137" s="109" t="str">
        <f>VLOOKUP($B137,ANAGRAFICA!$B$1:$G$306,5,FALSE)</f>
        <v>#N/A</v>
      </c>
      <c r="G137" s="109" t="str">
        <f>VLOOKUP($B137,ANAGRAFICA!$B$1:$G$306,6,FALSE)</f>
        <v>#N/A</v>
      </c>
      <c r="H137" s="94"/>
      <c r="I137" s="94"/>
      <c r="J137" s="94"/>
      <c r="K137" s="94"/>
      <c r="L137" s="94"/>
      <c r="M137" s="94"/>
      <c r="N137" s="94"/>
      <c r="O137" s="94"/>
    </row>
    <row r="138">
      <c r="A138" s="117"/>
      <c r="B138" s="117"/>
      <c r="C138" s="108" t="str">
        <f>VLOOKUP($B138,ANAGRAFICA!$B$1:$G$306,2,FALSE)</f>
        <v>#N/A</v>
      </c>
      <c r="D138" s="108" t="str">
        <f>VLOOKUP($B138,ANAGRAFICA!$B$1:$G$306,3,FALSE)</f>
        <v>#N/A</v>
      </c>
      <c r="E138" s="109" t="str">
        <f>VLOOKUP($B138,ANAGRAFICA!$B$1:$G$306,4,FALSE)</f>
        <v>#N/A</v>
      </c>
      <c r="F138" s="109" t="str">
        <f>VLOOKUP($B138,ANAGRAFICA!$B$1:$G$306,5,FALSE)</f>
        <v>#N/A</v>
      </c>
      <c r="G138" s="109" t="str">
        <f>VLOOKUP($B138,ANAGRAFICA!$B$1:$G$306,6,FALSE)</f>
        <v>#N/A</v>
      </c>
      <c r="H138" s="94"/>
      <c r="I138" s="94"/>
      <c r="J138" s="94"/>
      <c r="K138" s="94"/>
      <c r="L138" s="94"/>
      <c r="M138" s="94"/>
      <c r="N138" s="94"/>
      <c r="O138" s="94"/>
    </row>
    <row r="139">
      <c r="A139" s="117"/>
      <c r="B139" s="117"/>
      <c r="C139" s="108" t="str">
        <f>VLOOKUP($B139,ANAGRAFICA!$B$1:$G$306,2,FALSE)</f>
        <v>#N/A</v>
      </c>
      <c r="D139" s="108" t="str">
        <f>VLOOKUP($B139,ANAGRAFICA!$B$1:$G$306,3,FALSE)</f>
        <v>#N/A</v>
      </c>
      <c r="E139" s="109" t="str">
        <f>VLOOKUP($B139,ANAGRAFICA!$B$1:$G$306,4,FALSE)</f>
        <v>#N/A</v>
      </c>
      <c r="F139" s="109" t="str">
        <f>VLOOKUP($B139,ANAGRAFICA!$B$1:$G$306,5,FALSE)</f>
        <v>#N/A</v>
      </c>
      <c r="G139" s="109" t="str">
        <f>VLOOKUP($B139,ANAGRAFICA!$B$1:$G$306,6,FALSE)</f>
        <v>#N/A</v>
      </c>
      <c r="H139" s="94"/>
      <c r="I139" s="94"/>
      <c r="J139" s="94"/>
      <c r="K139" s="94"/>
      <c r="L139" s="94"/>
      <c r="M139" s="94"/>
      <c r="N139" s="94"/>
      <c r="O139" s="94"/>
    </row>
    <row r="140">
      <c r="A140" s="117"/>
      <c r="B140" s="117"/>
      <c r="C140" s="108" t="str">
        <f>VLOOKUP($B140,ANAGRAFICA!$B$1:$G$306,2,FALSE)</f>
        <v>#N/A</v>
      </c>
      <c r="D140" s="108" t="str">
        <f>VLOOKUP($B140,ANAGRAFICA!$B$1:$G$306,3,FALSE)</f>
        <v>#N/A</v>
      </c>
      <c r="E140" s="109" t="str">
        <f>VLOOKUP($B140,ANAGRAFICA!$B$1:$G$306,4,FALSE)</f>
        <v>#N/A</v>
      </c>
      <c r="F140" s="109" t="str">
        <f>VLOOKUP($B140,ANAGRAFICA!$B$1:$G$306,5,FALSE)</f>
        <v>#N/A</v>
      </c>
      <c r="G140" s="109" t="str">
        <f>VLOOKUP($B140,ANAGRAFICA!$B$1:$G$306,6,FALSE)</f>
        <v>#N/A</v>
      </c>
      <c r="H140" s="94"/>
      <c r="I140" s="94"/>
      <c r="J140" s="94"/>
      <c r="K140" s="94"/>
      <c r="L140" s="94"/>
      <c r="M140" s="94"/>
      <c r="N140" s="94"/>
      <c r="O140" s="94"/>
    </row>
    <row r="141">
      <c r="A141" s="117"/>
      <c r="B141" s="117"/>
      <c r="C141" s="108" t="str">
        <f>VLOOKUP($B141,ANAGRAFICA!$B$1:$G$306,2,FALSE)</f>
        <v>#N/A</v>
      </c>
      <c r="D141" s="108" t="str">
        <f>VLOOKUP($B141,ANAGRAFICA!$B$1:$G$306,3,FALSE)</f>
        <v>#N/A</v>
      </c>
      <c r="E141" s="109" t="str">
        <f>VLOOKUP($B141,ANAGRAFICA!$B$1:$G$306,4,FALSE)</f>
        <v>#N/A</v>
      </c>
      <c r="F141" s="109" t="str">
        <f>VLOOKUP($B141,ANAGRAFICA!$B$1:$G$306,5,FALSE)</f>
        <v>#N/A</v>
      </c>
      <c r="G141" s="109" t="str">
        <f>VLOOKUP($B141,ANAGRAFICA!$B$1:$G$306,6,FALSE)</f>
        <v>#N/A</v>
      </c>
      <c r="H141" s="94"/>
      <c r="I141" s="94"/>
      <c r="J141" s="94"/>
      <c r="K141" s="94"/>
      <c r="L141" s="94"/>
      <c r="M141" s="94"/>
      <c r="N141" s="94"/>
      <c r="O141" s="94"/>
    </row>
    <row r="142">
      <c r="A142" s="117"/>
      <c r="B142" s="117"/>
      <c r="C142" s="108" t="str">
        <f>VLOOKUP($B142,ANAGRAFICA!$B$1:$G$306,2,FALSE)</f>
        <v>#N/A</v>
      </c>
      <c r="D142" s="108" t="str">
        <f>VLOOKUP($B142,ANAGRAFICA!$B$1:$G$306,3,FALSE)</f>
        <v>#N/A</v>
      </c>
      <c r="E142" s="109" t="str">
        <f>VLOOKUP($B142,ANAGRAFICA!$B$1:$G$306,4,FALSE)</f>
        <v>#N/A</v>
      </c>
      <c r="F142" s="109" t="str">
        <f>VLOOKUP($B142,ANAGRAFICA!$B$1:$G$306,5,FALSE)</f>
        <v>#N/A</v>
      </c>
      <c r="G142" s="109" t="str">
        <f>VLOOKUP($B142,ANAGRAFICA!$B$1:$G$306,6,FALSE)</f>
        <v>#N/A</v>
      </c>
      <c r="H142" s="94"/>
      <c r="I142" s="94"/>
      <c r="J142" s="94"/>
      <c r="K142" s="94"/>
      <c r="L142" s="94"/>
      <c r="M142" s="94"/>
      <c r="N142" s="94"/>
      <c r="O142" s="94"/>
    </row>
    <row r="143">
      <c r="A143" s="117"/>
      <c r="B143" s="117"/>
      <c r="C143" s="108" t="str">
        <f>VLOOKUP($B143,ANAGRAFICA!$B$1:$G$306,2,FALSE)</f>
        <v>#N/A</v>
      </c>
      <c r="D143" s="108" t="str">
        <f>VLOOKUP($B143,ANAGRAFICA!$B$1:$G$306,3,FALSE)</f>
        <v>#N/A</v>
      </c>
      <c r="E143" s="109" t="str">
        <f>VLOOKUP($B143,ANAGRAFICA!$B$1:$G$306,4,FALSE)</f>
        <v>#N/A</v>
      </c>
      <c r="F143" s="109" t="str">
        <f>VLOOKUP($B143,ANAGRAFICA!$B$1:$G$306,5,FALSE)</f>
        <v>#N/A</v>
      </c>
      <c r="G143" s="109" t="str">
        <f>VLOOKUP($B143,ANAGRAFICA!$B$1:$G$306,6,FALSE)</f>
        <v>#N/A</v>
      </c>
      <c r="H143" s="94"/>
      <c r="I143" s="94"/>
      <c r="J143" s="94"/>
      <c r="K143" s="94"/>
      <c r="L143" s="94"/>
      <c r="M143" s="94"/>
      <c r="N143" s="94"/>
      <c r="O143" s="94"/>
    </row>
    <row r="144">
      <c r="A144" s="117"/>
      <c r="B144" s="117"/>
      <c r="C144" s="108" t="str">
        <f>VLOOKUP($B144,ANAGRAFICA!$B$1:$G$306,2,FALSE)</f>
        <v>#N/A</v>
      </c>
      <c r="D144" s="108" t="str">
        <f>VLOOKUP($B144,ANAGRAFICA!$B$1:$G$306,3,FALSE)</f>
        <v>#N/A</v>
      </c>
      <c r="E144" s="109" t="str">
        <f>VLOOKUP($B144,ANAGRAFICA!$B$1:$G$306,4,FALSE)</f>
        <v>#N/A</v>
      </c>
      <c r="F144" s="109" t="str">
        <f>VLOOKUP($B144,ANAGRAFICA!$B$1:$G$306,5,FALSE)</f>
        <v>#N/A</v>
      </c>
      <c r="G144" s="109" t="str">
        <f>VLOOKUP($B144,ANAGRAFICA!$B$1:$G$306,6,FALSE)</f>
        <v>#N/A</v>
      </c>
      <c r="H144" s="94"/>
      <c r="I144" s="94"/>
      <c r="J144" s="94"/>
      <c r="K144" s="94"/>
      <c r="L144" s="94"/>
      <c r="M144" s="94"/>
      <c r="N144" s="94"/>
      <c r="O144" s="94"/>
    </row>
    <row r="145">
      <c r="A145" s="117"/>
      <c r="B145" s="117"/>
      <c r="C145" s="108" t="str">
        <f>VLOOKUP($B145,ANAGRAFICA!$B$1:$G$306,2,FALSE)</f>
        <v>#N/A</v>
      </c>
      <c r="D145" s="108" t="str">
        <f>VLOOKUP($B145,ANAGRAFICA!$B$1:$G$306,3,FALSE)</f>
        <v>#N/A</v>
      </c>
      <c r="E145" s="109" t="str">
        <f>VLOOKUP($B145,ANAGRAFICA!$B$1:$G$306,4,FALSE)</f>
        <v>#N/A</v>
      </c>
      <c r="F145" s="109" t="str">
        <f>VLOOKUP($B145,ANAGRAFICA!$B$1:$G$306,5,FALSE)</f>
        <v>#N/A</v>
      </c>
      <c r="G145" s="109" t="str">
        <f>VLOOKUP($B145,ANAGRAFICA!$B$1:$G$306,6,FALSE)</f>
        <v>#N/A</v>
      </c>
      <c r="H145" s="94"/>
      <c r="I145" s="94"/>
      <c r="J145" s="94"/>
      <c r="K145" s="94"/>
      <c r="L145" s="94"/>
      <c r="M145" s="94"/>
      <c r="N145" s="94"/>
      <c r="O145" s="94"/>
    </row>
    <row r="146">
      <c r="A146" s="117"/>
      <c r="B146" s="117"/>
      <c r="C146" s="108" t="str">
        <f>VLOOKUP($B146,ANAGRAFICA!$B$1:$G$306,2,FALSE)</f>
        <v>#N/A</v>
      </c>
      <c r="D146" s="108" t="str">
        <f>VLOOKUP($B146,ANAGRAFICA!$B$1:$G$306,3,FALSE)</f>
        <v>#N/A</v>
      </c>
      <c r="E146" s="109" t="str">
        <f>VLOOKUP($B146,ANAGRAFICA!$B$1:$G$306,4,FALSE)</f>
        <v>#N/A</v>
      </c>
      <c r="F146" s="109" t="str">
        <f>VLOOKUP($B146,ANAGRAFICA!$B$1:$G$306,5,FALSE)</f>
        <v>#N/A</v>
      </c>
      <c r="G146" s="109" t="str">
        <f>VLOOKUP($B146,ANAGRAFICA!$B$1:$G$306,6,FALSE)</f>
        <v>#N/A</v>
      </c>
      <c r="H146" s="94"/>
      <c r="I146" s="94"/>
      <c r="J146" s="94"/>
      <c r="K146" s="94"/>
      <c r="L146" s="94"/>
      <c r="M146" s="94"/>
      <c r="N146" s="94"/>
      <c r="O146" s="94"/>
    </row>
    <row r="147">
      <c r="A147" s="117"/>
      <c r="B147" s="117"/>
      <c r="C147" s="108" t="str">
        <f>VLOOKUP($B147,ANAGRAFICA!$B$1:$G$306,2,FALSE)</f>
        <v>#N/A</v>
      </c>
      <c r="D147" s="108" t="str">
        <f>VLOOKUP($B147,ANAGRAFICA!$B$1:$G$306,3,FALSE)</f>
        <v>#N/A</v>
      </c>
      <c r="E147" s="109" t="str">
        <f>VLOOKUP($B147,ANAGRAFICA!$B$1:$G$306,4,FALSE)</f>
        <v>#N/A</v>
      </c>
      <c r="F147" s="109" t="str">
        <f>VLOOKUP($B147,ANAGRAFICA!$B$1:$G$306,5,FALSE)</f>
        <v>#N/A</v>
      </c>
      <c r="G147" s="109" t="str">
        <f>VLOOKUP($B147,ANAGRAFICA!$B$1:$G$306,6,FALSE)</f>
        <v>#N/A</v>
      </c>
      <c r="H147" s="94"/>
      <c r="I147" s="94"/>
      <c r="J147" s="94"/>
      <c r="K147" s="94"/>
      <c r="L147" s="94"/>
      <c r="M147" s="94"/>
      <c r="N147" s="94"/>
      <c r="O147" s="94"/>
    </row>
    <row r="148">
      <c r="A148" s="117"/>
      <c r="B148" s="117"/>
      <c r="C148" s="108" t="str">
        <f>VLOOKUP($B148,ANAGRAFICA!$B$1:$G$306,2,FALSE)</f>
        <v>#N/A</v>
      </c>
      <c r="D148" s="108" t="str">
        <f>VLOOKUP($B148,ANAGRAFICA!$B$1:$G$306,3,FALSE)</f>
        <v>#N/A</v>
      </c>
      <c r="E148" s="109" t="str">
        <f>VLOOKUP($B148,ANAGRAFICA!$B$1:$G$306,4,FALSE)</f>
        <v>#N/A</v>
      </c>
      <c r="F148" s="109" t="str">
        <f>VLOOKUP($B148,ANAGRAFICA!$B$1:$G$306,5,FALSE)</f>
        <v>#N/A</v>
      </c>
      <c r="G148" s="109" t="str">
        <f>VLOOKUP($B148,ANAGRAFICA!$B$1:$G$306,6,FALSE)</f>
        <v>#N/A</v>
      </c>
      <c r="H148" s="94"/>
      <c r="I148" s="94"/>
      <c r="J148" s="94"/>
      <c r="K148" s="94"/>
      <c r="L148" s="94"/>
      <c r="M148" s="94"/>
      <c r="N148" s="94"/>
      <c r="O148" s="94"/>
    </row>
    <row r="149">
      <c r="A149" s="117"/>
      <c r="B149" s="117"/>
      <c r="C149" s="108" t="str">
        <f>VLOOKUP($B149,ANAGRAFICA!$B$1:$G$306,2,FALSE)</f>
        <v>#N/A</v>
      </c>
      <c r="D149" s="108" t="str">
        <f>VLOOKUP($B149,ANAGRAFICA!$B$1:$G$306,3,FALSE)</f>
        <v>#N/A</v>
      </c>
      <c r="E149" s="109" t="str">
        <f>VLOOKUP($B149,ANAGRAFICA!$B$1:$G$306,4,FALSE)</f>
        <v>#N/A</v>
      </c>
      <c r="F149" s="109" t="str">
        <f>VLOOKUP($B149,ANAGRAFICA!$B$1:$G$306,5,FALSE)</f>
        <v>#N/A</v>
      </c>
      <c r="G149" s="109" t="str">
        <f>VLOOKUP($B149,ANAGRAFICA!$B$1:$G$306,6,FALSE)</f>
        <v>#N/A</v>
      </c>
      <c r="H149" s="94"/>
      <c r="I149" s="94"/>
      <c r="J149" s="94"/>
      <c r="K149" s="94"/>
      <c r="L149" s="94"/>
      <c r="M149" s="94"/>
      <c r="N149" s="94"/>
      <c r="O149" s="94"/>
    </row>
    <row r="150">
      <c r="A150" s="117"/>
      <c r="B150" s="117"/>
      <c r="C150" s="108" t="str">
        <f>VLOOKUP($B150,ANAGRAFICA!$B$1:$G$306,2,FALSE)</f>
        <v>#N/A</v>
      </c>
      <c r="D150" s="108" t="str">
        <f>VLOOKUP($B150,ANAGRAFICA!$B$1:$G$306,3,FALSE)</f>
        <v>#N/A</v>
      </c>
      <c r="E150" s="109" t="str">
        <f>VLOOKUP($B150,ANAGRAFICA!$B$1:$G$306,4,FALSE)</f>
        <v>#N/A</v>
      </c>
      <c r="F150" s="109" t="str">
        <f>VLOOKUP($B150,ANAGRAFICA!$B$1:$G$306,5,FALSE)</f>
        <v>#N/A</v>
      </c>
      <c r="G150" s="109" t="str">
        <f>VLOOKUP($B150,ANAGRAFICA!$B$1:$G$306,6,FALSE)</f>
        <v>#N/A</v>
      </c>
      <c r="H150" s="94"/>
      <c r="I150" s="94"/>
      <c r="J150" s="94"/>
      <c r="K150" s="94"/>
      <c r="L150" s="94"/>
      <c r="M150" s="94"/>
      <c r="N150" s="94"/>
      <c r="O150" s="94"/>
    </row>
    <row r="151">
      <c r="A151" s="117"/>
      <c r="B151" s="117"/>
      <c r="C151" s="108" t="str">
        <f>VLOOKUP($B151,ANAGRAFICA!$B$1:$G$306,2,FALSE)</f>
        <v>#N/A</v>
      </c>
      <c r="D151" s="108" t="str">
        <f>VLOOKUP($B151,ANAGRAFICA!$B$1:$G$306,3,FALSE)</f>
        <v>#N/A</v>
      </c>
      <c r="E151" s="109" t="str">
        <f>VLOOKUP($B151,ANAGRAFICA!$B$1:$G$306,4,FALSE)</f>
        <v>#N/A</v>
      </c>
      <c r="F151" s="109" t="str">
        <f>VLOOKUP($B151,ANAGRAFICA!$B$1:$G$306,5,FALSE)</f>
        <v>#N/A</v>
      </c>
      <c r="G151" s="109" t="str">
        <f>VLOOKUP($B151,ANAGRAFICA!$B$1:$G$306,6,FALSE)</f>
        <v>#N/A</v>
      </c>
      <c r="H151" s="94"/>
      <c r="I151" s="94"/>
      <c r="J151" s="94"/>
      <c r="K151" s="94"/>
      <c r="L151" s="94"/>
      <c r="M151" s="94"/>
      <c r="N151" s="94"/>
      <c r="O151" s="94"/>
    </row>
    <row r="152">
      <c r="A152" s="117"/>
      <c r="B152" s="117"/>
      <c r="C152" s="108" t="str">
        <f>VLOOKUP($B152,ANAGRAFICA!$B$1:$G$306,2,FALSE)</f>
        <v>#N/A</v>
      </c>
      <c r="D152" s="108" t="str">
        <f>VLOOKUP($B152,ANAGRAFICA!$B$1:$G$306,3,FALSE)</f>
        <v>#N/A</v>
      </c>
      <c r="E152" s="109" t="str">
        <f>VLOOKUP($B152,ANAGRAFICA!$B$1:$G$306,4,FALSE)</f>
        <v>#N/A</v>
      </c>
      <c r="F152" s="109" t="str">
        <f>VLOOKUP($B152,ANAGRAFICA!$B$1:$G$306,5,FALSE)</f>
        <v>#N/A</v>
      </c>
      <c r="G152" s="109" t="str">
        <f>VLOOKUP($B152,ANAGRAFICA!$B$1:$G$306,6,FALSE)</f>
        <v>#N/A</v>
      </c>
      <c r="H152" s="94"/>
      <c r="I152" s="94"/>
      <c r="J152" s="94"/>
      <c r="K152" s="94"/>
      <c r="L152" s="94"/>
      <c r="M152" s="94"/>
      <c r="N152" s="94"/>
      <c r="O152" s="94"/>
    </row>
    <row r="153">
      <c r="A153" s="117"/>
      <c r="B153" s="117"/>
      <c r="C153" s="108" t="str">
        <f>VLOOKUP($B153,ANAGRAFICA!$B$1:$G$306,2,FALSE)</f>
        <v>#N/A</v>
      </c>
      <c r="D153" s="108" t="str">
        <f>VLOOKUP($B153,ANAGRAFICA!$B$1:$G$306,3,FALSE)</f>
        <v>#N/A</v>
      </c>
      <c r="E153" s="109" t="str">
        <f>VLOOKUP($B153,ANAGRAFICA!$B$1:$G$306,4,FALSE)</f>
        <v>#N/A</v>
      </c>
      <c r="F153" s="109" t="str">
        <f>VLOOKUP($B153,ANAGRAFICA!$B$1:$G$306,5,FALSE)</f>
        <v>#N/A</v>
      </c>
      <c r="G153" s="109" t="str">
        <f>VLOOKUP($B153,ANAGRAFICA!$B$1:$G$306,6,FALSE)</f>
        <v>#N/A</v>
      </c>
      <c r="H153" s="94"/>
      <c r="I153" s="94"/>
      <c r="J153" s="94"/>
      <c r="K153" s="94"/>
      <c r="L153" s="94"/>
      <c r="M153" s="94"/>
      <c r="N153" s="94"/>
      <c r="O153" s="94"/>
    </row>
    <row r="154">
      <c r="A154" s="117"/>
      <c r="B154" s="117"/>
      <c r="C154" s="108" t="str">
        <f>VLOOKUP($B154,ANAGRAFICA!$B$1:$G$306,2,FALSE)</f>
        <v>#N/A</v>
      </c>
      <c r="D154" s="108" t="str">
        <f>VLOOKUP($B154,ANAGRAFICA!$B$1:$G$306,3,FALSE)</f>
        <v>#N/A</v>
      </c>
      <c r="E154" s="109" t="str">
        <f>VLOOKUP($B154,ANAGRAFICA!$B$1:$G$306,4,FALSE)</f>
        <v>#N/A</v>
      </c>
      <c r="F154" s="109" t="str">
        <f>VLOOKUP($B154,ANAGRAFICA!$B$1:$G$306,5,FALSE)</f>
        <v>#N/A</v>
      </c>
      <c r="G154" s="109" t="str">
        <f>VLOOKUP($B154,ANAGRAFICA!$B$1:$G$306,6,FALSE)</f>
        <v>#N/A</v>
      </c>
      <c r="H154" s="94"/>
      <c r="I154" s="94"/>
      <c r="J154" s="94"/>
      <c r="K154" s="94"/>
      <c r="L154" s="94"/>
      <c r="M154" s="94"/>
      <c r="N154" s="94"/>
      <c r="O154" s="94"/>
    </row>
    <row r="155">
      <c r="A155" s="117"/>
      <c r="B155" s="117"/>
      <c r="C155" s="108" t="str">
        <f>VLOOKUP($B155,ANAGRAFICA!$B$1:$G$306,2,FALSE)</f>
        <v>#N/A</v>
      </c>
      <c r="D155" s="108" t="str">
        <f>VLOOKUP($B155,ANAGRAFICA!$B$1:$G$306,3,FALSE)</f>
        <v>#N/A</v>
      </c>
      <c r="E155" s="109" t="str">
        <f>VLOOKUP($B155,ANAGRAFICA!$B$1:$G$306,4,FALSE)</f>
        <v>#N/A</v>
      </c>
      <c r="F155" s="109" t="str">
        <f>VLOOKUP($B155,ANAGRAFICA!$B$1:$G$306,5,FALSE)</f>
        <v>#N/A</v>
      </c>
      <c r="G155" s="109" t="str">
        <f>VLOOKUP($B155,ANAGRAFICA!$B$1:$G$306,6,FALSE)</f>
        <v>#N/A</v>
      </c>
      <c r="H155" s="94"/>
      <c r="I155" s="94"/>
      <c r="J155" s="94"/>
      <c r="K155" s="94"/>
      <c r="L155" s="94"/>
      <c r="M155" s="94"/>
      <c r="N155" s="94"/>
      <c r="O155" s="94"/>
    </row>
    <row r="156">
      <c r="A156" s="117"/>
      <c r="B156" s="117"/>
      <c r="C156" s="108" t="str">
        <f>VLOOKUP($B156,ANAGRAFICA!$B$1:$G$306,2,FALSE)</f>
        <v>#N/A</v>
      </c>
      <c r="D156" s="108" t="str">
        <f>VLOOKUP($B156,ANAGRAFICA!$B$1:$G$306,3,FALSE)</f>
        <v>#N/A</v>
      </c>
      <c r="E156" s="109" t="str">
        <f>VLOOKUP($B156,ANAGRAFICA!$B$1:$G$306,4,FALSE)</f>
        <v>#N/A</v>
      </c>
      <c r="F156" s="109" t="str">
        <f>VLOOKUP($B156,ANAGRAFICA!$B$1:$G$306,5,FALSE)</f>
        <v>#N/A</v>
      </c>
      <c r="G156" s="109" t="str">
        <f>VLOOKUP($B156,ANAGRAFICA!$B$1:$G$306,6,FALSE)</f>
        <v>#N/A</v>
      </c>
      <c r="H156" s="94"/>
      <c r="I156" s="94"/>
      <c r="J156" s="94"/>
      <c r="K156" s="94"/>
      <c r="L156" s="94"/>
      <c r="M156" s="94"/>
      <c r="N156" s="94"/>
      <c r="O156" s="94"/>
    </row>
    <row r="157">
      <c r="A157" s="117"/>
      <c r="B157" s="117"/>
      <c r="C157" s="108" t="str">
        <f>VLOOKUP($B157,ANAGRAFICA!$B$1:$G$306,2,FALSE)</f>
        <v>#N/A</v>
      </c>
      <c r="D157" s="108" t="str">
        <f>VLOOKUP($B157,ANAGRAFICA!$B$1:$G$306,3,FALSE)</f>
        <v>#N/A</v>
      </c>
      <c r="E157" s="109" t="str">
        <f>VLOOKUP($B157,ANAGRAFICA!$B$1:$G$306,4,FALSE)</f>
        <v>#N/A</v>
      </c>
      <c r="F157" s="109" t="str">
        <f>VLOOKUP($B157,ANAGRAFICA!$B$1:$G$306,5,FALSE)</f>
        <v>#N/A</v>
      </c>
      <c r="G157" s="109" t="str">
        <f>VLOOKUP($B157,ANAGRAFICA!$B$1:$G$306,6,FALSE)</f>
        <v>#N/A</v>
      </c>
      <c r="H157" s="94"/>
      <c r="I157" s="94"/>
      <c r="J157" s="94"/>
      <c r="K157" s="94"/>
      <c r="L157" s="94"/>
      <c r="M157" s="94"/>
      <c r="N157" s="94"/>
      <c r="O157" s="94"/>
    </row>
    <row r="158">
      <c r="A158" s="117"/>
      <c r="B158" s="117"/>
      <c r="C158" s="108" t="str">
        <f>VLOOKUP($B158,ANAGRAFICA!$B$1:$G$306,2,FALSE)</f>
        <v>#N/A</v>
      </c>
      <c r="D158" s="108" t="str">
        <f>VLOOKUP($B158,ANAGRAFICA!$B$1:$G$306,3,FALSE)</f>
        <v>#N/A</v>
      </c>
      <c r="E158" s="109" t="str">
        <f>VLOOKUP($B158,ANAGRAFICA!$B$1:$G$306,4,FALSE)</f>
        <v>#N/A</v>
      </c>
      <c r="F158" s="109" t="str">
        <f>VLOOKUP($B158,ANAGRAFICA!$B$1:$G$306,5,FALSE)</f>
        <v>#N/A</v>
      </c>
      <c r="G158" s="109" t="str">
        <f>VLOOKUP($B158,ANAGRAFICA!$B$1:$G$306,6,FALSE)</f>
        <v>#N/A</v>
      </c>
      <c r="H158" s="94"/>
      <c r="I158" s="94"/>
      <c r="J158" s="94"/>
      <c r="K158" s="94"/>
      <c r="L158" s="94"/>
      <c r="M158" s="94"/>
      <c r="N158" s="94"/>
      <c r="O158" s="94"/>
    </row>
    <row r="159">
      <c r="A159" s="117"/>
      <c r="B159" s="117"/>
      <c r="C159" s="108" t="str">
        <f>VLOOKUP($B159,ANAGRAFICA!$B$1:$G$306,2,FALSE)</f>
        <v>#N/A</v>
      </c>
      <c r="D159" s="108" t="str">
        <f>VLOOKUP($B159,ANAGRAFICA!$B$1:$G$306,3,FALSE)</f>
        <v>#N/A</v>
      </c>
      <c r="E159" s="109" t="str">
        <f>VLOOKUP($B159,ANAGRAFICA!$B$1:$G$306,4,FALSE)</f>
        <v>#N/A</v>
      </c>
      <c r="F159" s="109" t="str">
        <f>VLOOKUP($B159,ANAGRAFICA!$B$1:$G$306,5,FALSE)</f>
        <v>#N/A</v>
      </c>
      <c r="G159" s="109" t="str">
        <f>VLOOKUP($B159,ANAGRAFICA!$B$1:$G$306,6,FALSE)</f>
        <v>#N/A</v>
      </c>
      <c r="H159" s="94"/>
      <c r="I159" s="94"/>
      <c r="J159" s="94"/>
      <c r="K159" s="94"/>
      <c r="L159" s="94"/>
      <c r="M159" s="94"/>
      <c r="N159" s="94"/>
      <c r="O159" s="94"/>
    </row>
    <row r="160">
      <c r="A160" s="117"/>
      <c r="B160" s="117"/>
      <c r="C160" s="108" t="str">
        <f>VLOOKUP($B160,ANAGRAFICA!$B$1:$G$306,2,FALSE)</f>
        <v>#N/A</v>
      </c>
      <c r="D160" s="108" t="str">
        <f>VLOOKUP($B160,ANAGRAFICA!$B$1:$G$306,3,FALSE)</f>
        <v>#N/A</v>
      </c>
      <c r="E160" s="109" t="str">
        <f>VLOOKUP($B160,ANAGRAFICA!$B$1:$G$306,4,FALSE)</f>
        <v>#N/A</v>
      </c>
      <c r="F160" s="109" t="str">
        <f>VLOOKUP($B160,ANAGRAFICA!$B$1:$G$306,5,FALSE)</f>
        <v>#N/A</v>
      </c>
      <c r="G160" s="109" t="str">
        <f>VLOOKUP($B160,ANAGRAFICA!$B$1:$G$306,6,FALSE)</f>
        <v>#N/A</v>
      </c>
      <c r="H160" s="94"/>
      <c r="I160" s="94"/>
      <c r="J160" s="94"/>
      <c r="K160" s="94"/>
      <c r="L160" s="94"/>
      <c r="M160" s="94"/>
      <c r="N160" s="94"/>
      <c r="O160" s="94"/>
    </row>
    <row r="161">
      <c r="A161" s="117"/>
      <c r="B161" s="117"/>
      <c r="C161" s="108" t="str">
        <f>VLOOKUP($B161,ANAGRAFICA!$B$1:$G$306,2,FALSE)</f>
        <v>#N/A</v>
      </c>
      <c r="D161" s="108" t="str">
        <f>VLOOKUP($B161,ANAGRAFICA!$B$1:$G$306,3,FALSE)</f>
        <v>#N/A</v>
      </c>
      <c r="E161" s="109" t="str">
        <f>VLOOKUP($B161,ANAGRAFICA!$B$1:$G$306,4,FALSE)</f>
        <v>#N/A</v>
      </c>
      <c r="F161" s="109" t="str">
        <f>VLOOKUP($B161,ANAGRAFICA!$B$1:$G$306,5,FALSE)</f>
        <v>#N/A</v>
      </c>
      <c r="G161" s="109" t="str">
        <f>VLOOKUP($B161,ANAGRAFICA!$B$1:$G$306,6,FALSE)</f>
        <v>#N/A</v>
      </c>
      <c r="H161" s="94"/>
      <c r="I161" s="94"/>
      <c r="J161" s="94"/>
      <c r="K161" s="94"/>
      <c r="L161" s="94"/>
      <c r="M161" s="94"/>
      <c r="N161" s="94"/>
      <c r="O161" s="94"/>
    </row>
    <row r="162">
      <c r="A162" s="117"/>
      <c r="B162" s="117"/>
      <c r="C162" s="108" t="str">
        <f>VLOOKUP($B162,ANAGRAFICA!$B$1:$G$306,2,FALSE)</f>
        <v>#N/A</v>
      </c>
      <c r="D162" s="108" t="str">
        <f>VLOOKUP($B162,ANAGRAFICA!$B$1:$G$306,3,FALSE)</f>
        <v>#N/A</v>
      </c>
      <c r="E162" s="109" t="str">
        <f>VLOOKUP($B162,ANAGRAFICA!$B$1:$G$306,4,FALSE)</f>
        <v>#N/A</v>
      </c>
      <c r="F162" s="109" t="str">
        <f>VLOOKUP($B162,ANAGRAFICA!$B$1:$G$306,5,FALSE)</f>
        <v>#N/A</v>
      </c>
      <c r="G162" s="109" t="str">
        <f>VLOOKUP($B162,ANAGRAFICA!$B$1:$G$306,6,FALSE)</f>
        <v>#N/A</v>
      </c>
      <c r="H162" s="94"/>
      <c r="I162" s="94"/>
      <c r="J162" s="94"/>
      <c r="K162" s="94"/>
      <c r="L162" s="94"/>
      <c r="M162" s="94"/>
      <c r="N162" s="94"/>
      <c r="O162" s="94"/>
    </row>
    <row r="163">
      <c r="A163" s="117"/>
      <c r="B163" s="117"/>
      <c r="C163" s="108" t="str">
        <f>VLOOKUP($B163,ANAGRAFICA!$B$1:$G$306,2,FALSE)</f>
        <v>#N/A</v>
      </c>
      <c r="D163" s="108" t="str">
        <f>VLOOKUP($B163,ANAGRAFICA!$B$1:$G$306,3,FALSE)</f>
        <v>#N/A</v>
      </c>
      <c r="E163" s="109" t="str">
        <f>VLOOKUP($B163,ANAGRAFICA!$B$1:$G$306,4,FALSE)</f>
        <v>#N/A</v>
      </c>
      <c r="F163" s="109" t="str">
        <f>VLOOKUP($B163,ANAGRAFICA!$B$1:$G$306,5,FALSE)</f>
        <v>#N/A</v>
      </c>
      <c r="G163" s="109" t="str">
        <f>VLOOKUP($B163,ANAGRAFICA!$B$1:$G$306,6,FALSE)</f>
        <v>#N/A</v>
      </c>
      <c r="H163" s="94"/>
      <c r="I163" s="94"/>
      <c r="J163" s="94"/>
      <c r="K163" s="94"/>
      <c r="L163" s="94"/>
      <c r="M163" s="94"/>
      <c r="N163" s="94"/>
      <c r="O163" s="94"/>
    </row>
    <row r="164">
      <c r="A164" s="117"/>
      <c r="B164" s="117"/>
      <c r="C164" s="108" t="str">
        <f>VLOOKUP($B164,ANAGRAFICA!$B$1:$G$306,2,FALSE)</f>
        <v>#N/A</v>
      </c>
      <c r="D164" s="108" t="str">
        <f>VLOOKUP($B164,ANAGRAFICA!$B$1:$G$306,3,FALSE)</f>
        <v>#N/A</v>
      </c>
      <c r="E164" s="109" t="str">
        <f>VLOOKUP($B164,ANAGRAFICA!$B$1:$G$306,4,FALSE)</f>
        <v>#N/A</v>
      </c>
      <c r="F164" s="109" t="str">
        <f>VLOOKUP($B164,ANAGRAFICA!$B$1:$G$306,5,FALSE)</f>
        <v>#N/A</v>
      </c>
      <c r="G164" s="109" t="str">
        <f>VLOOKUP($B164,ANAGRAFICA!$B$1:$G$306,6,FALSE)</f>
        <v>#N/A</v>
      </c>
      <c r="H164" s="94"/>
      <c r="I164" s="94"/>
      <c r="J164" s="94"/>
      <c r="K164" s="94"/>
      <c r="L164" s="94"/>
      <c r="M164" s="94"/>
      <c r="N164" s="94"/>
      <c r="O164" s="94"/>
    </row>
    <row r="165">
      <c r="A165" s="117"/>
      <c r="B165" s="117"/>
      <c r="C165" s="108" t="str">
        <f>VLOOKUP($B165,ANAGRAFICA!$B$1:$G$306,2,FALSE)</f>
        <v>#N/A</v>
      </c>
      <c r="D165" s="108" t="str">
        <f>VLOOKUP($B165,ANAGRAFICA!$B$1:$G$306,3,FALSE)</f>
        <v>#N/A</v>
      </c>
      <c r="E165" s="109" t="str">
        <f>VLOOKUP($B165,ANAGRAFICA!$B$1:$G$306,4,FALSE)</f>
        <v>#N/A</v>
      </c>
      <c r="F165" s="109" t="str">
        <f>VLOOKUP($B165,ANAGRAFICA!$B$1:$G$306,5,FALSE)</f>
        <v>#N/A</v>
      </c>
      <c r="G165" s="109" t="str">
        <f>VLOOKUP($B165,ANAGRAFICA!$B$1:$G$306,6,FALSE)</f>
        <v>#N/A</v>
      </c>
      <c r="H165" s="94"/>
      <c r="I165" s="94"/>
      <c r="J165" s="94"/>
      <c r="K165" s="94"/>
      <c r="L165" s="94"/>
      <c r="M165" s="94"/>
      <c r="N165" s="94"/>
      <c r="O165" s="94"/>
    </row>
    <row r="166">
      <c r="A166" s="117"/>
      <c r="B166" s="117"/>
      <c r="C166" s="108" t="str">
        <f>VLOOKUP($B166,ANAGRAFICA!$B$1:$G$306,2,FALSE)</f>
        <v>#N/A</v>
      </c>
      <c r="D166" s="108" t="str">
        <f>VLOOKUP($B166,ANAGRAFICA!$B$1:$G$306,3,FALSE)</f>
        <v>#N/A</v>
      </c>
      <c r="E166" s="109" t="str">
        <f>VLOOKUP($B166,ANAGRAFICA!$B$1:$G$306,4,FALSE)</f>
        <v>#N/A</v>
      </c>
      <c r="F166" s="109" t="str">
        <f>VLOOKUP($B166,ANAGRAFICA!$B$1:$G$306,5,FALSE)</f>
        <v>#N/A</v>
      </c>
      <c r="G166" s="109" t="str">
        <f>VLOOKUP($B166,ANAGRAFICA!$B$1:$G$306,6,FALSE)</f>
        <v>#N/A</v>
      </c>
      <c r="H166" s="94"/>
      <c r="I166" s="94"/>
      <c r="J166" s="94"/>
      <c r="K166" s="94"/>
      <c r="L166" s="94"/>
      <c r="M166" s="94"/>
      <c r="N166" s="94"/>
      <c r="O166" s="94"/>
    </row>
    <row r="167">
      <c r="A167" s="117"/>
      <c r="B167" s="117"/>
      <c r="C167" s="108" t="str">
        <f>VLOOKUP($B167,ANAGRAFICA!$B$1:$G$306,2,FALSE)</f>
        <v>#N/A</v>
      </c>
      <c r="D167" s="108" t="str">
        <f>VLOOKUP($B167,ANAGRAFICA!$B$1:$G$306,3,FALSE)</f>
        <v>#N/A</v>
      </c>
      <c r="E167" s="109" t="str">
        <f>VLOOKUP($B167,ANAGRAFICA!$B$1:$G$306,4,FALSE)</f>
        <v>#N/A</v>
      </c>
      <c r="F167" s="109" t="str">
        <f>VLOOKUP($B167,ANAGRAFICA!$B$1:$G$306,5,FALSE)</f>
        <v>#N/A</v>
      </c>
      <c r="G167" s="109" t="str">
        <f>VLOOKUP($B167,ANAGRAFICA!$B$1:$G$306,6,FALSE)</f>
        <v>#N/A</v>
      </c>
      <c r="H167" s="94"/>
      <c r="I167" s="94"/>
      <c r="J167" s="94"/>
      <c r="K167" s="94"/>
      <c r="L167" s="94"/>
      <c r="M167" s="94"/>
      <c r="N167" s="94"/>
      <c r="O167" s="94"/>
    </row>
    <row r="168">
      <c r="A168" s="117"/>
      <c r="B168" s="117"/>
      <c r="C168" s="108" t="str">
        <f>VLOOKUP($B168,ANAGRAFICA!$B$1:$G$306,2,FALSE)</f>
        <v>#N/A</v>
      </c>
      <c r="D168" s="108" t="str">
        <f>VLOOKUP($B168,ANAGRAFICA!$B$1:$G$306,3,FALSE)</f>
        <v>#N/A</v>
      </c>
      <c r="E168" s="109" t="str">
        <f>VLOOKUP($B168,ANAGRAFICA!$B$1:$G$306,4,FALSE)</f>
        <v>#N/A</v>
      </c>
      <c r="F168" s="109" t="str">
        <f>VLOOKUP($B168,ANAGRAFICA!$B$1:$G$306,5,FALSE)</f>
        <v>#N/A</v>
      </c>
      <c r="G168" s="109" t="str">
        <f>VLOOKUP($B168,ANAGRAFICA!$B$1:$G$306,6,FALSE)</f>
        <v>#N/A</v>
      </c>
      <c r="H168" s="94"/>
      <c r="I168" s="94"/>
      <c r="J168" s="94"/>
      <c r="K168" s="94"/>
      <c r="L168" s="94"/>
      <c r="M168" s="94"/>
      <c r="N168" s="94"/>
      <c r="O168" s="94"/>
    </row>
    <row r="169">
      <c r="A169" s="117"/>
      <c r="B169" s="117"/>
      <c r="C169" s="108" t="str">
        <f>VLOOKUP($B169,ANAGRAFICA!$B$1:$G$306,2,FALSE)</f>
        <v>#N/A</v>
      </c>
      <c r="D169" s="108" t="str">
        <f>VLOOKUP($B169,ANAGRAFICA!$B$1:$G$306,3,FALSE)</f>
        <v>#N/A</v>
      </c>
      <c r="E169" s="109" t="str">
        <f>VLOOKUP($B169,ANAGRAFICA!$B$1:$G$306,4,FALSE)</f>
        <v>#N/A</v>
      </c>
      <c r="F169" s="109" t="str">
        <f>VLOOKUP($B169,ANAGRAFICA!$B$1:$G$306,5,FALSE)</f>
        <v>#N/A</v>
      </c>
      <c r="G169" s="109" t="str">
        <f>VLOOKUP($B169,ANAGRAFICA!$B$1:$G$306,6,FALSE)</f>
        <v>#N/A</v>
      </c>
      <c r="H169" s="94"/>
      <c r="I169" s="94"/>
      <c r="J169" s="94"/>
      <c r="K169" s="94"/>
      <c r="L169" s="94"/>
      <c r="M169" s="94"/>
      <c r="N169" s="94"/>
      <c r="O169" s="94"/>
    </row>
    <row r="170">
      <c r="A170" s="117"/>
      <c r="B170" s="117"/>
      <c r="C170" s="108" t="str">
        <f>VLOOKUP($B170,ANAGRAFICA!$B$1:$G$306,2,FALSE)</f>
        <v>#N/A</v>
      </c>
      <c r="D170" s="108" t="str">
        <f>VLOOKUP($B170,ANAGRAFICA!$B$1:$G$306,3,FALSE)</f>
        <v>#N/A</v>
      </c>
      <c r="E170" s="109" t="str">
        <f>VLOOKUP($B170,ANAGRAFICA!$B$1:$G$306,4,FALSE)</f>
        <v>#N/A</v>
      </c>
      <c r="F170" s="109" t="str">
        <f>VLOOKUP($B170,ANAGRAFICA!$B$1:$G$306,5,FALSE)</f>
        <v>#N/A</v>
      </c>
      <c r="G170" s="109" t="str">
        <f>VLOOKUP($B170,ANAGRAFICA!$B$1:$G$306,6,FALSE)</f>
        <v>#N/A</v>
      </c>
      <c r="H170" s="94"/>
      <c r="I170" s="94"/>
      <c r="J170" s="94"/>
      <c r="K170" s="94"/>
      <c r="L170" s="94"/>
      <c r="M170" s="94"/>
      <c r="N170" s="94"/>
      <c r="O170" s="94"/>
    </row>
    <row r="171">
      <c r="A171" s="117"/>
      <c r="B171" s="117"/>
      <c r="C171" s="108" t="str">
        <f>VLOOKUP($B171,ANAGRAFICA!$B$1:$G$306,2,FALSE)</f>
        <v>#N/A</v>
      </c>
      <c r="D171" s="108" t="str">
        <f>VLOOKUP($B171,ANAGRAFICA!$B$1:$G$306,3,FALSE)</f>
        <v>#N/A</v>
      </c>
      <c r="E171" s="109" t="str">
        <f>VLOOKUP($B171,ANAGRAFICA!$B$1:$G$306,4,FALSE)</f>
        <v>#N/A</v>
      </c>
      <c r="F171" s="109" t="str">
        <f>VLOOKUP($B171,ANAGRAFICA!$B$1:$G$306,5,FALSE)</f>
        <v>#N/A</v>
      </c>
      <c r="G171" s="109" t="str">
        <f>VLOOKUP($B171,ANAGRAFICA!$B$1:$G$306,6,FALSE)</f>
        <v>#N/A</v>
      </c>
      <c r="H171" s="94"/>
      <c r="I171" s="94"/>
      <c r="J171" s="94"/>
      <c r="K171" s="94"/>
      <c r="L171" s="94"/>
      <c r="M171" s="94"/>
      <c r="N171" s="94"/>
      <c r="O171" s="94"/>
    </row>
    <row r="172">
      <c r="A172" s="117"/>
      <c r="B172" s="117"/>
      <c r="C172" s="108" t="str">
        <f>VLOOKUP($B172,ANAGRAFICA!$B$1:$G$306,2,FALSE)</f>
        <v>#N/A</v>
      </c>
      <c r="D172" s="108" t="str">
        <f>VLOOKUP($B172,ANAGRAFICA!$B$1:$G$306,3,FALSE)</f>
        <v>#N/A</v>
      </c>
      <c r="E172" s="109" t="str">
        <f>VLOOKUP($B172,ANAGRAFICA!$B$1:$G$306,4,FALSE)</f>
        <v>#N/A</v>
      </c>
      <c r="F172" s="109" t="str">
        <f>VLOOKUP($B172,ANAGRAFICA!$B$1:$G$306,5,FALSE)</f>
        <v>#N/A</v>
      </c>
      <c r="G172" s="109" t="str">
        <f>VLOOKUP($B172,ANAGRAFICA!$B$1:$G$306,6,FALSE)</f>
        <v>#N/A</v>
      </c>
      <c r="H172" s="94"/>
      <c r="I172" s="94"/>
      <c r="J172" s="94"/>
      <c r="K172" s="94"/>
      <c r="L172" s="94"/>
      <c r="M172" s="94"/>
      <c r="N172" s="94"/>
      <c r="O172" s="94"/>
    </row>
    <row r="173">
      <c r="A173" s="117"/>
      <c r="B173" s="117"/>
      <c r="C173" s="108" t="str">
        <f>VLOOKUP($B173,ANAGRAFICA!$B$1:$G$306,2,FALSE)</f>
        <v>#N/A</v>
      </c>
      <c r="D173" s="108" t="str">
        <f>VLOOKUP($B173,ANAGRAFICA!$B$1:$G$306,3,FALSE)</f>
        <v>#N/A</v>
      </c>
      <c r="E173" s="109" t="str">
        <f>VLOOKUP($B173,ANAGRAFICA!$B$1:$G$306,4,FALSE)</f>
        <v>#N/A</v>
      </c>
      <c r="F173" s="109" t="str">
        <f>VLOOKUP($B173,ANAGRAFICA!$B$1:$G$306,5,FALSE)</f>
        <v>#N/A</v>
      </c>
      <c r="G173" s="109" t="str">
        <f>VLOOKUP($B173,ANAGRAFICA!$B$1:$G$306,6,FALSE)</f>
        <v>#N/A</v>
      </c>
      <c r="H173" s="94"/>
      <c r="I173" s="94"/>
      <c r="J173" s="94"/>
      <c r="K173" s="94"/>
      <c r="L173" s="94"/>
      <c r="M173" s="94"/>
      <c r="N173" s="94"/>
      <c r="O173" s="94"/>
    </row>
    <row r="174">
      <c r="A174" s="117"/>
      <c r="B174" s="117"/>
      <c r="C174" s="108" t="str">
        <f>VLOOKUP($B174,ANAGRAFICA!$B$1:$G$306,2,FALSE)</f>
        <v>#N/A</v>
      </c>
      <c r="D174" s="108" t="str">
        <f>VLOOKUP($B174,ANAGRAFICA!$B$1:$G$306,3,FALSE)</f>
        <v>#N/A</v>
      </c>
      <c r="E174" s="109" t="str">
        <f>VLOOKUP($B174,ANAGRAFICA!$B$1:$G$306,4,FALSE)</f>
        <v>#N/A</v>
      </c>
      <c r="F174" s="109" t="str">
        <f>VLOOKUP($B174,ANAGRAFICA!$B$1:$G$306,5,FALSE)</f>
        <v>#N/A</v>
      </c>
      <c r="G174" s="109" t="str">
        <f>VLOOKUP($B174,ANAGRAFICA!$B$1:$G$306,6,FALSE)</f>
        <v>#N/A</v>
      </c>
      <c r="H174" s="94"/>
      <c r="I174" s="94"/>
      <c r="J174" s="94"/>
      <c r="K174" s="94"/>
      <c r="L174" s="94"/>
      <c r="M174" s="94"/>
      <c r="N174" s="94"/>
      <c r="O174" s="94"/>
    </row>
    <row r="175">
      <c r="A175" s="117"/>
      <c r="B175" s="117"/>
      <c r="C175" s="108" t="str">
        <f>VLOOKUP($B175,ANAGRAFICA!$B$1:$G$306,2,FALSE)</f>
        <v>#N/A</v>
      </c>
      <c r="D175" s="108" t="str">
        <f>VLOOKUP($B175,ANAGRAFICA!$B$1:$G$306,3,FALSE)</f>
        <v>#N/A</v>
      </c>
      <c r="E175" s="109" t="str">
        <f>VLOOKUP($B175,ANAGRAFICA!$B$1:$G$306,4,FALSE)</f>
        <v>#N/A</v>
      </c>
      <c r="F175" s="109" t="str">
        <f>VLOOKUP($B175,ANAGRAFICA!$B$1:$G$306,5,FALSE)</f>
        <v>#N/A</v>
      </c>
      <c r="G175" s="109" t="str">
        <f>VLOOKUP($B175,ANAGRAFICA!$B$1:$G$306,6,FALSE)</f>
        <v>#N/A</v>
      </c>
      <c r="H175" s="94"/>
      <c r="I175" s="94"/>
      <c r="J175" s="94"/>
      <c r="K175" s="94"/>
      <c r="L175" s="94"/>
      <c r="M175" s="94"/>
      <c r="N175" s="94"/>
      <c r="O175" s="94"/>
    </row>
    <row r="176">
      <c r="A176" s="117"/>
      <c r="B176" s="117"/>
      <c r="C176" s="108" t="str">
        <f>VLOOKUP($B176,ANAGRAFICA!$B$1:$G$306,2,FALSE)</f>
        <v>#N/A</v>
      </c>
      <c r="D176" s="108" t="str">
        <f>VLOOKUP($B176,ANAGRAFICA!$B$1:$G$306,3,FALSE)</f>
        <v>#N/A</v>
      </c>
      <c r="E176" s="109" t="str">
        <f>VLOOKUP($B176,ANAGRAFICA!$B$1:$G$306,4,FALSE)</f>
        <v>#N/A</v>
      </c>
      <c r="F176" s="109" t="str">
        <f>VLOOKUP($B176,ANAGRAFICA!$B$1:$G$306,5,FALSE)</f>
        <v>#N/A</v>
      </c>
      <c r="G176" s="109" t="str">
        <f>VLOOKUP($B176,ANAGRAFICA!$B$1:$G$306,6,FALSE)</f>
        <v>#N/A</v>
      </c>
      <c r="H176" s="94"/>
      <c r="I176" s="94"/>
      <c r="J176" s="94"/>
      <c r="K176" s="94"/>
      <c r="L176" s="94"/>
      <c r="M176" s="94"/>
      <c r="N176" s="94"/>
      <c r="O176" s="94"/>
    </row>
    <row r="177">
      <c r="A177" s="117"/>
      <c r="B177" s="117"/>
      <c r="C177" s="108" t="str">
        <f>VLOOKUP($B177,ANAGRAFICA!$B$1:$G$306,2,FALSE)</f>
        <v>#N/A</v>
      </c>
      <c r="D177" s="108" t="str">
        <f>VLOOKUP($B177,ANAGRAFICA!$B$1:$G$306,3,FALSE)</f>
        <v>#N/A</v>
      </c>
      <c r="E177" s="109" t="str">
        <f>VLOOKUP($B177,ANAGRAFICA!$B$1:$G$306,4,FALSE)</f>
        <v>#N/A</v>
      </c>
      <c r="F177" s="109" t="str">
        <f>VLOOKUP($B177,ANAGRAFICA!$B$1:$G$306,5,FALSE)</f>
        <v>#N/A</v>
      </c>
      <c r="G177" s="109" t="str">
        <f>VLOOKUP($B177,ANAGRAFICA!$B$1:$G$306,6,FALSE)</f>
        <v>#N/A</v>
      </c>
      <c r="H177" s="94"/>
      <c r="I177" s="94"/>
      <c r="J177" s="94"/>
      <c r="K177" s="94"/>
      <c r="L177" s="94"/>
      <c r="M177" s="94"/>
      <c r="N177" s="94"/>
      <c r="O177" s="94"/>
    </row>
    <row r="178">
      <c r="A178" s="117"/>
      <c r="B178" s="117"/>
      <c r="C178" s="108" t="str">
        <f>VLOOKUP($B178,ANAGRAFICA!$B$1:$G$306,2,FALSE)</f>
        <v>#N/A</v>
      </c>
      <c r="D178" s="108" t="str">
        <f>VLOOKUP($B178,ANAGRAFICA!$B$1:$G$306,3,FALSE)</f>
        <v>#N/A</v>
      </c>
      <c r="E178" s="109" t="str">
        <f>VLOOKUP($B178,ANAGRAFICA!$B$1:$G$306,4,FALSE)</f>
        <v>#N/A</v>
      </c>
      <c r="F178" s="109" t="str">
        <f>VLOOKUP($B178,ANAGRAFICA!$B$1:$G$306,5,FALSE)</f>
        <v>#N/A</v>
      </c>
      <c r="G178" s="109" t="str">
        <f>VLOOKUP($B178,ANAGRAFICA!$B$1:$G$306,6,FALSE)</f>
        <v>#N/A</v>
      </c>
      <c r="H178" s="94"/>
      <c r="I178" s="94"/>
      <c r="J178" s="94"/>
      <c r="K178" s="94"/>
      <c r="L178" s="94"/>
      <c r="M178" s="94"/>
      <c r="N178" s="94"/>
      <c r="O178" s="94"/>
    </row>
    <row r="179">
      <c r="A179" s="117"/>
      <c r="B179" s="117"/>
      <c r="C179" s="108" t="str">
        <f>VLOOKUP($B179,ANAGRAFICA!$B$1:$G$306,2,FALSE)</f>
        <v>#N/A</v>
      </c>
      <c r="D179" s="108" t="str">
        <f>VLOOKUP($B179,ANAGRAFICA!$B$1:$G$306,3,FALSE)</f>
        <v>#N/A</v>
      </c>
      <c r="E179" s="109" t="str">
        <f>VLOOKUP($B179,ANAGRAFICA!$B$1:$G$306,4,FALSE)</f>
        <v>#N/A</v>
      </c>
      <c r="F179" s="109" t="str">
        <f>VLOOKUP($B179,ANAGRAFICA!$B$1:$G$306,5,FALSE)</f>
        <v>#N/A</v>
      </c>
      <c r="G179" s="109" t="str">
        <f>VLOOKUP($B179,ANAGRAFICA!$B$1:$G$306,6,FALSE)</f>
        <v>#N/A</v>
      </c>
      <c r="H179" s="94"/>
      <c r="I179" s="94"/>
      <c r="J179" s="94"/>
      <c r="K179" s="94"/>
      <c r="L179" s="94"/>
      <c r="M179" s="94"/>
      <c r="N179" s="94"/>
      <c r="O179" s="94"/>
    </row>
    <row r="180">
      <c r="A180" s="117"/>
      <c r="B180" s="117"/>
      <c r="C180" s="108" t="str">
        <f>VLOOKUP($B180,ANAGRAFICA!$B$1:$G$306,2,FALSE)</f>
        <v>#N/A</v>
      </c>
      <c r="D180" s="108" t="str">
        <f>VLOOKUP($B180,ANAGRAFICA!$B$1:$G$306,3,FALSE)</f>
        <v>#N/A</v>
      </c>
      <c r="E180" s="109" t="str">
        <f>VLOOKUP($B180,ANAGRAFICA!$B$1:$G$306,4,FALSE)</f>
        <v>#N/A</v>
      </c>
      <c r="F180" s="109" t="str">
        <f>VLOOKUP($B180,ANAGRAFICA!$B$1:$G$306,5,FALSE)</f>
        <v>#N/A</v>
      </c>
      <c r="G180" s="109" t="str">
        <f>VLOOKUP($B180,ANAGRAFICA!$B$1:$G$306,6,FALSE)</f>
        <v>#N/A</v>
      </c>
      <c r="H180" s="94"/>
      <c r="I180" s="94"/>
      <c r="J180" s="94"/>
      <c r="K180" s="94"/>
      <c r="L180" s="94"/>
      <c r="M180" s="94"/>
      <c r="N180" s="94"/>
      <c r="O180" s="94"/>
    </row>
    <row r="181">
      <c r="A181" s="117"/>
      <c r="B181" s="117"/>
      <c r="C181" s="108" t="str">
        <f>VLOOKUP($B181,ANAGRAFICA!$B$1:$G$306,2,FALSE)</f>
        <v>#N/A</v>
      </c>
      <c r="D181" s="108" t="str">
        <f>VLOOKUP($B181,ANAGRAFICA!$B$1:$G$306,3,FALSE)</f>
        <v>#N/A</v>
      </c>
      <c r="E181" s="109" t="str">
        <f>VLOOKUP($B181,ANAGRAFICA!$B$1:$G$306,4,FALSE)</f>
        <v>#N/A</v>
      </c>
      <c r="F181" s="109" t="str">
        <f>VLOOKUP($B181,ANAGRAFICA!$B$1:$G$306,5,FALSE)</f>
        <v>#N/A</v>
      </c>
      <c r="G181" s="109" t="str">
        <f>VLOOKUP($B181,ANAGRAFICA!$B$1:$G$306,6,FALSE)</f>
        <v>#N/A</v>
      </c>
      <c r="H181" s="94"/>
      <c r="I181" s="94"/>
      <c r="J181" s="94"/>
      <c r="K181" s="94"/>
      <c r="L181" s="94"/>
      <c r="M181" s="94"/>
      <c r="N181" s="94"/>
      <c r="O181" s="94"/>
    </row>
    <row r="182">
      <c r="A182" s="117"/>
      <c r="B182" s="117"/>
      <c r="C182" s="108" t="str">
        <f>VLOOKUP($B182,ANAGRAFICA!$B$1:$G$306,2,FALSE)</f>
        <v>#N/A</v>
      </c>
      <c r="D182" s="108" t="str">
        <f>VLOOKUP($B182,ANAGRAFICA!$B$1:$G$306,3,FALSE)</f>
        <v>#N/A</v>
      </c>
      <c r="E182" s="109" t="str">
        <f>VLOOKUP($B182,ANAGRAFICA!$B$1:$G$306,4,FALSE)</f>
        <v>#N/A</v>
      </c>
      <c r="F182" s="109" t="str">
        <f>VLOOKUP($B182,ANAGRAFICA!$B$1:$G$306,5,FALSE)</f>
        <v>#N/A</v>
      </c>
      <c r="G182" s="109" t="str">
        <f>VLOOKUP($B182,ANAGRAFICA!$B$1:$G$306,6,FALSE)</f>
        <v>#N/A</v>
      </c>
      <c r="H182" s="94"/>
      <c r="I182" s="94"/>
      <c r="J182" s="94"/>
      <c r="K182" s="94"/>
      <c r="L182" s="94"/>
      <c r="M182" s="94"/>
      <c r="N182" s="94"/>
      <c r="O182" s="94"/>
    </row>
    <row r="183">
      <c r="A183" s="117"/>
      <c r="B183" s="117"/>
      <c r="C183" s="108" t="str">
        <f>VLOOKUP($B183,ANAGRAFICA!$B$1:$G$306,2,FALSE)</f>
        <v>#N/A</v>
      </c>
      <c r="D183" s="108" t="str">
        <f>VLOOKUP($B183,ANAGRAFICA!$B$1:$G$306,3,FALSE)</f>
        <v>#N/A</v>
      </c>
      <c r="E183" s="109" t="str">
        <f>VLOOKUP($B183,ANAGRAFICA!$B$1:$G$306,4,FALSE)</f>
        <v>#N/A</v>
      </c>
      <c r="F183" s="109" t="str">
        <f>VLOOKUP($B183,ANAGRAFICA!$B$1:$G$306,5,FALSE)</f>
        <v>#N/A</v>
      </c>
      <c r="G183" s="109" t="str">
        <f>VLOOKUP($B183,ANAGRAFICA!$B$1:$G$306,6,FALSE)</f>
        <v>#N/A</v>
      </c>
      <c r="H183" s="94"/>
      <c r="I183" s="94"/>
      <c r="J183" s="94"/>
      <c r="K183" s="94"/>
      <c r="L183" s="94"/>
      <c r="M183" s="94"/>
      <c r="N183" s="94"/>
      <c r="O183" s="94"/>
    </row>
    <row r="184">
      <c r="A184" s="117"/>
      <c r="B184" s="117"/>
      <c r="C184" s="108" t="str">
        <f>VLOOKUP($B184,ANAGRAFICA!$B$1:$G$306,2,FALSE)</f>
        <v>#N/A</v>
      </c>
      <c r="D184" s="108" t="str">
        <f>VLOOKUP($B184,ANAGRAFICA!$B$1:$G$306,3,FALSE)</f>
        <v>#N/A</v>
      </c>
      <c r="E184" s="109" t="str">
        <f>VLOOKUP($B184,ANAGRAFICA!$B$1:$G$306,4,FALSE)</f>
        <v>#N/A</v>
      </c>
      <c r="F184" s="109" t="str">
        <f>VLOOKUP($B184,ANAGRAFICA!$B$1:$G$306,5,FALSE)</f>
        <v>#N/A</v>
      </c>
      <c r="G184" s="109" t="str">
        <f>VLOOKUP($B184,ANAGRAFICA!$B$1:$G$306,6,FALSE)</f>
        <v>#N/A</v>
      </c>
      <c r="H184" s="94"/>
      <c r="I184" s="94"/>
      <c r="J184" s="94"/>
      <c r="K184" s="94"/>
      <c r="L184" s="94"/>
      <c r="M184" s="94"/>
      <c r="N184" s="94"/>
      <c r="O184" s="94"/>
    </row>
    <row r="185">
      <c r="A185" s="117"/>
      <c r="B185" s="117"/>
      <c r="C185" s="108" t="str">
        <f>VLOOKUP($B185,ANAGRAFICA!$B$1:$G$306,2,FALSE)</f>
        <v>#N/A</v>
      </c>
      <c r="D185" s="108" t="str">
        <f>VLOOKUP($B185,ANAGRAFICA!$B$1:$G$306,3,FALSE)</f>
        <v>#N/A</v>
      </c>
      <c r="E185" s="109" t="str">
        <f>VLOOKUP($B185,ANAGRAFICA!$B$1:$G$306,4,FALSE)</f>
        <v>#N/A</v>
      </c>
      <c r="F185" s="109" t="str">
        <f>VLOOKUP($B185,ANAGRAFICA!$B$1:$G$306,5,FALSE)</f>
        <v>#N/A</v>
      </c>
      <c r="G185" s="109" t="str">
        <f>VLOOKUP($B185,ANAGRAFICA!$B$1:$G$306,6,FALSE)</f>
        <v>#N/A</v>
      </c>
      <c r="H185" s="94"/>
      <c r="I185" s="94"/>
      <c r="J185" s="94"/>
      <c r="K185" s="94"/>
      <c r="L185" s="94"/>
      <c r="M185" s="94"/>
      <c r="N185" s="94"/>
      <c r="O185" s="94"/>
    </row>
    <row r="186">
      <c r="A186" s="117"/>
      <c r="B186" s="117"/>
      <c r="C186" s="108" t="str">
        <f>VLOOKUP($B186,ANAGRAFICA!$B$1:$G$306,2,FALSE)</f>
        <v>#N/A</v>
      </c>
      <c r="D186" s="108" t="str">
        <f>VLOOKUP($B186,ANAGRAFICA!$B$1:$G$306,3,FALSE)</f>
        <v>#N/A</v>
      </c>
      <c r="E186" s="109" t="str">
        <f>VLOOKUP($B186,ANAGRAFICA!$B$1:$G$306,4,FALSE)</f>
        <v>#N/A</v>
      </c>
      <c r="F186" s="109" t="str">
        <f>VLOOKUP($B186,ANAGRAFICA!$B$1:$G$306,5,FALSE)</f>
        <v>#N/A</v>
      </c>
      <c r="G186" s="109" t="str">
        <f>VLOOKUP($B186,ANAGRAFICA!$B$1:$G$306,6,FALSE)</f>
        <v>#N/A</v>
      </c>
      <c r="H186" s="94"/>
      <c r="I186" s="94"/>
      <c r="J186" s="94"/>
      <c r="K186" s="94"/>
      <c r="L186" s="94"/>
      <c r="M186" s="94"/>
      <c r="N186" s="94"/>
      <c r="O186" s="94"/>
    </row>
    <row r="187">
      <c r="A187" s="117"/>
      <c r="B187" s="117"/>
      <c r="C187" s="108" t="str">
        <f>VLOOKUP($B187,ANAGRAFICA!$B$1:$G$306,2,FALSE)</f>
        <v>#N/A</v>
      </c>
      <c r="D187" s="108" t="str">
        <f>VLOOKUP($B187,ANAGRAFICA!$B$1:$G$306,3,FALSE)</f>
        <v>#N/A</v>
      </c>
      <c r="E187" s="109" t="str">
        <f>VLOOKUP($B187,ANAGRAFICA!$B$1:$G$306,4,FALSE)</f>
        <v>#N/A</v>
      </c>
      <c r="F187" s="109" t="str">
        <f>VLOOKUP($B187,ANAGRAFICA!$B$1:$G$306,5,FALSE)</f>
        <v>#N/A</v>
      </c>
      <c r="G187" s="109" t="str">
        <f>VLOOKUP($B187,ANAGRAFICA!$B$1:$G$306,6,FALSE)</f>
        <v>#N/A</v>
      </c>
      <c r="H187" s="94"/>
      <c r="I187" s="94"/>
      <c r="J187" s="94"/>
      <c r="K187" s="94"/>
      <c r="L187" s="94"/>
      <c r="M187" s="94"/>
      <c r="N187" s="94"/>
      <c r="O187" s="94"/>
    </row>
    <row r="188">
      <c r="A188" s="117"/>
      <c r="B188" s="117"/>
      <c r="C188" s="108" t="str">
        <f>VLOOKUP($B188,ANAGRAFICA!$B$1:$G$306,2,FALSE)</f>
        <v>#N/A</v>
      </c>
      <c r="D188" s="108" t="str">
        <f>VLOOKUP($B188,ANAGRAFICA!$B$1:$G$306,3,FALSE)</f>
        <v>#N/A</v>
      </c>
      <c r="E188" s="109" t="str">
        <f>VLOOKUP($B188,ANAGRAFICA!$B$1:$G$306,4,FALSE)</f>
        <v>#N/A</v>
      </c>
      <c r="F188" s="109" t="str">
        <f>VLOOKUP($B188,ANAGRAFICA!$B$1:$G$306,5,FALSE)</f>
        <v>#N/A</v>
      </c>
      <c r="G188" s="109" t="str">
        <f>VLOOKUP($B188,ANAGRAFICA!$B$1:$G$306,6,FALSE)</f>
        <v>#N/A</v>
      </c>
      <c r="H188" s="94"/>
      <c r="I188" s="94"/>
      <c r="J188" s="94"/>
      <c r="K188" s="94"/>
      <c r="L188" s="94"/>
      <c r="M188" s="94"/>
      <c r="N188" s="94"/>
      <c r="O188" s="94"/>
    </row>
    <row r="189">
      <c r="A189" s="117"/>
      <c r="B189" s="117"/>
      <c r="C189" s="108" t="str">
        <f>VLOOKUP($B189,ANAGRAFICA!$B$1:$G$306,2,FALSE)</f>
        <v>#N/A</v>
      </c>
      <c r="D189" s="108" t="str">
        <f>VLOOKUP($B189,ANAGRAFICA!$B$1:$G$306,3,FALSE)</f>
        <v>#N/A</v>
      </c>
      <c r="E189" s="109" t="str">
        <f>VLOOKUP($B189,ANAGRAFICA!$B$1:$G$306,4,FALSE)</f>
        <v>#N/A</v>
      </c>
      <c r="F189" s="109" t="str">
        <f>VLOOKUP($B189,ANAGRAFICA!$B$1:$G$306,5,FALSE)</f>
        <v>#N/A</v>
      </c>
      <c r="G189" s="109" t="str">
        <f>VLOOKUP($B189,ANAGRAFICA!$B$1:$G$306,6,FALSE)</f>
        <v>#N/A</v>
      </c>
      <c r="H189" s="94"/>
      <c r="I189" s="94"/>
      <c r="J189" s="94"/>
      <c r="K189" s="94"/>
      <c r="L189" s="94"/>
      <c r="M189" s="94"/>
      <c r="N189" s="94"/>
      <c r="O189" s="94"/>
    </row>
    <row r="190">
      <c r="A190" s="117"/>
      <c r="B190" s="117"/>
      <c r="C190" s="108" t="str">
        <f>VLOOKUP($B190,ANAGRAFICA!$B$1:$G$306,2,FALSE)</f>
        <v>#N/A</v>
      </c>
      <c r="D190" s="108" t="str">
        <f>VLOOKUP($B190,ANAGRAFICA!$B$1:$G$306,3,FALSE)</f>
        <v>#N/A</v>
      </c>
      <c r="E190" s="109" t="str">
        <f>VLOOKUP($B190,ANAGRAFICA!$B$1:$G$306,4,FALSE)</f>
        <v>#N/A</v>
      </c>
      <c r="F190" s="109" t="str">
        <f>VLOOKUP($B190,ANAGRAFICA!$B$1:$G$306,5,FALSE)</f>
        <v>#N/A</v>
      </c>
      <c r="G190" s="109" t="str">
        <f>VLOOKUP($B190,ANAGRAFICA!$B$1:$G$306,6,FALSE)</f>
        <v>#N/A</v>
      </c>
      <c r="H190" s="94"/>
      <c r="I190" s="94"/>
      <c r="J190" s="94"/>
      <c r="K190" s="94"/>
      <c r="L190" s="94"/>
      <c r="M190" s="94"/>
      <c r="N190" s="94"/>
      <c r="O190" s="94"/>
    </row>
    <row r="191">
      <c r="A191" s="117"/>
      <c r="B191" s="117"/>
      <c r="C191" s="108" t="str">
        <f>VLOOKUP($B191,ANAGRAFICA!$B$1:$G$306,2,FALSE)</f>
        <v>#N/A</v>
      </c>
      <c r="D191" s="108" t="str">
        <f>VLOOKUP($B191,ANAGRAFICA!$B$1:$G$306,3,FALSE)</f>
        <v>#N/A</v>
      </c>
      <c r="E191" s="109" t="str">
        <f>VLOOKUP($B191,ANAGRAFICA!$B$1:$G$306,4,FALSE)</f>
        <v>#N/A</v>
      </c>
      <c r="F191" s="109" t="str">
        <f>VLOOKUP($B191,ANAGRAFICA!$B$1:$G$306,5,FALSE)</f>
        <v>#N/A</v>
      </c>
      <c r="G191" s="109" t="str">
        <f>VLOOKUP($B191,ANAGRAFICA!$B$1:$G$306,6,FALSE)</f>
        <v>#N/A</v>
      </c>
      <c r="H191" s="94"/>
      <c r="I191" s="94"/>
      <c r="J191" s="94"/>
      <c r="K191" s="94"/>
      <c r="L191" s="94"/>
      <c r="M191" s="94"/>
      <c r="N191" s="94"/>
      <c r="O191" s="94"/>
    </row>
    <row r="192">
      <c r="A192" s="117"/>
      <c r="B192" s="117"/>
      <c r="C192" s="108" t="str">
        <f>VLOOKUP($B192,ANAGRAFICA!$B$1:$G$306,2,FALSE)</f>
        <v>#N/A</v>
      </c>
      <c r="D192" s="108" t="str">
        <f>VLOOKUP($B192,ANAGRAFICA!$B$1:$G$306,3,FALSE)</f>
        <v>#N/A</v>
      </c>
      <c r="E192" s="109" t="str">
        <f>VLOOKUP($B192,ANAGRAFICA!$B$1:$G$306,4,FALSE)</f>
        <v>#N/A</v>
      </c>
      <c r="F192" s="109" t="str">
        <f>VLOOKUP($B192,ANAGRAFICA!$B$1:$G$306,5,FALSE)</f>
        <v>#N/A</v>
      </c>
      <c r="G192" s="109" t="str">
        <f>VLOOKUP($B192,ANAGRAFICA!$B$1:$G$306,6,FALSE)</f>
        <v>#N/A</v>
      </c>
      <c r="H192" s="94"/>
      <c r="I192" s="94"/>
      <c r="J192" s="94"/>
      <c r="K192" s="94"/>
      <c r="L192" s="94"/>
      <c r="M192" s="94"/>
      <c r="N192" s="94"/>
      <c r="O192" s="94"/>
    </row>
    <row r="193">
      <c r="A193" s="117"/>
      <c r="B193" s="117"/>
      <c r="C193" s="108" t="str">
        <f>VLOOKUP($B193,ANAGRAFICA!$B$1:$G$306,2,FALSE)</f>
        <v>#N/A</v>
      </c>
      <c r="D193" s="108" t="str">
        <f>VLOOKUP($B193,ANAGRAFICA!$B$1:$G$306,3,FALSE)</f>
        <v>#N/A</v>
      </c>
      <c r="E193" s="109" t="str">
        <f>VLOOKUP($B193,ANAGRAFICA!$B$1:$G$306,4,FALSE)</f>
        <v>#N/A</v>
      </c>
      <c r="F193" s="109" t="str">
        <f>VLOOKUP($B193,ANAGRAFICA!$B$1:$G$306,5,FALSE)</f>
        <v>#N/A</v>
      </c>
      <c r="G193" s="109" t="str">
        <f>VLOOKUP($B193,ANAGRAFICA!$B$1:$G$306,6,FALSE)</f>
        <v>#N/A</v>
      </c>
      <c r="H193" s="94"/>
      <c r="I193" s="94"/>
      <c r="J193" s="94"/>
      <c r="K193" s="94"/>
      <c r="L193" s="94"/>
      <c r="M193" s="94"/>
      <c r="N193" s="94"/>
      <c r="O193" s="94"/>
    </row>
    <row r="194">
      <c r="A194" s="117"/>
      <c r="B194" s="117"/>
      <c r="C194" s="108" t="str">
        <f>VLOOKUP($B194,ANAGRAFICA!$B$1:$G$306,2,FALSE)</f>
        <v>#N/A</v>
      </c>
      <c r="D194" s="108" t="str">
        <f>VLOOKUP($B194,ANAGRAFICA!$B$1:$G$306,3,FALSE)</f>
        <v>#N/A</v>
      </c>
      <c r="E194" s="109" t="str">
        <f>VLOOKUP($B194,ANAGRAFICA!$B$1:$G$306,4,FALSE)</f>
        <v>#N/A</v>
      </c>
      <c r="F194" s="109" t="str">
        <f>VLOOKUP($B194,ANAGRAFICA!$B$1:$G$306,5,FALSE)</f>
        <v>#N/A</v>
      </c>
      <c r="G194" s="109" t="str">
        <f>VLOOKUP($B194,ANAGRAFICA!$B$1:$G$306,6,FALSE)</f>
        <v>#N/A</v>
      </c>
      <c r="H194" s="94"/>
      <c r="I194" s="94"/>
      <c r="J194" s="94"/>
      <c r="K194" s="94"/>
      <c r="L194" s="94"/>
      <c r="M194" s="94"/>
      <c r="N194" s="94"/>
      <c r="O194" s="94"/>
    </row>
    <row r="195">
      <c r="A195" s="117"/>
      <c r="B195" s="117"/>
      <c r="C195" s="108" t="str">
        <f>VLOOKUP($B195,ANAGRAFICA!$B$1:$G$306,2,FALSE)</f>
        <v>#N/A</v>
      </c>
      <c r="D195" s="108" t="str">
        <f>VLOOKUP($B195,ANAGRAFICA!$B$1:$G$306,3,FALSE)</f>
        <v>#N/A</v>
      </c>
      <c r="E195" s="109" t="str">
        <f>VLOOKUP($B195,ANAGRAFICA!$B$1:$G$306,4,FALSE)</f>
        <v>#N/A</v>
      </c>
      <c r="F195" s="109" t="str">
        <f>VLOOKUP($B195,ANAGRAFICA!$B$1:$G$306,5,FALSE)</f>
        <v>#N/A</v>
      </c>
      <c r="G195" s="109" t="str">
        <f>VLOOKUP($B195,ANAGRAFICA!$B$1:$G$306,6,FALSE)</f>
        <v>#N/A</v>
      </c>
      <c r="H195" s="94"/>
      <c r="I195" s="94"/>
      <c r="J195" s="94"/>
      <c r="K195" s="94"/>
      <c r="L195" s="94"/>
      <c r="M195" s="94"/>
      <c r="N195" s="94"/>
      <c r="O195" s="94"/>
    </row>
    <row r="196">
      <c r="A196" s="117"/>
      <c r="B196" s="117"/>
      <c r="C196" s="108" t="str">
        <f>VLOOKUP($B196,ANAGRAFICA!$B$1:$G$306,2,FALSE)</f>
        <v>#N/A</v>
      </c>
      <c r="D196" s="108" t="str">
        <f>VLOOKUP($B196,ANAGRAFICA!$B$1:$G$306,3,FALSE)</f>
        <v>#N/A</v>
      </c>
      <c r="E196" s="109" t="str">
        <f>VLOOKUP($B196,ANAGRAFICA!$B$1:$G$306,4,FALSE)</f>
        <v>#N/A</v>
      </c>
      <c r="F196" s="109" t="str">
        <f>VLOOKUP($B196,ANAGRAFICA!$B$1:$G$306,5,FALSE)</f>
        <v>#N/A</v>
      </c>
      <c r="G196" s="109" t="str">
        <f>VLOOKUP($B196,ANAGRAFICA!$B$1:$G$306,6,FALSE)</f>
        <v>#N/A</v>
      </c>
      <c r="H196" s="94"/>
      <c r="I196" s="94"/>
      <c r="J196" s="94"/>
      <c r="K196" s="94"/>
      <c r="L196" s="94"/>
      <c r="M196" s="94"/>
      <c r="N196" s="94"/>
      <c r="O196" s="94"/>
    </row>
    <row r="197">
      <c r="A197" s="117"/>
      <c r="B197" s="117"/>
      <c r="C197" s="108" t="str">
        <f>VLOOKUP($B197,ANAGRAFICA!$B$1:$G$306,2,FALSE)</f>
        <v>#N/A</v>
      </c>
      <c r="D197" s="108" t="str">
        <f>VLOOKUP($B197,ANAGRAFICA!$B$1:$G$306,3,FALSE)</f>
        <v>#N/A</v>
      </c>
      <c r="E197" s="109" t="str">
        <f>VLOOKUP($B197,ANAGRAFICA!$B$1:$G$306,4,FALSE)</f>
        <v>#N/A</v>
      </c>
      <c r="F197" s="109" t="str">
        <f>VLOOKUP($B197,ANAGRAFICA!$B$1:$G$306,5,FALSE)</f>
        <v>#N/A</v>
      </c>
      <c r="G197" s="109" t="str">
        <f>VLOOKUP($B197,ANAGRAFICA!$B$1:$G$306,6,FALSE)</f>
        <v>#N/A</v>
      </c>
      <c r="H197" s="94"/>
      <c r="I197" s="94"/>
      <c r="J197" s="94"/>
      <c r="K197" s="94"/>
      <c r="L197" s="94"/>
      <c r="M197" s="94"/>
      <c r="N197" s="94"/>
      <c r="O197" s="94"/>
    </row>
    <row r="198">
      <c r="A198" s="117"/>
      <c r="B198" s="117"/>
      <c r="C198" s="108" t="str">
        <f>VLOOKUP($B198,ANAGRAFICA!$B$1:$G$306,2,FALSE)</f>
        <v>#N/A</v>
      </c>
      <c r="D198" s="108" t="str">
        <f>VLOOKUP($B198,ANAGRAFICA!$B$1:$G$306,3,FALSE)</f>
        <v>#N/A</v>
      </c>
      <c r="E198" s="109" t="str">
        <f>VLOOKUP($B198,ANAGRAFICA!$B$1:$G$306,4,FALSE)</f>
        <v>#N/A</v>
      </c>
      <c r="F198" s="109" t="str">
        <f>VLOOKUP($B198,ANAGRAFICA!$B$1:$G$306,5,FALSE)</f>
        <v>#N/A</v>
      </c>
      <c r="G198" s="109" t="str">
        <f>VLOOKUP($B198,ANAGRAFICA!$B$1:$G$306,6,FALSE)</f>
        <v>#N/A</v>
      </c>
      <c r="H198" s="94"/>
      <c r="I198" s="94"/>
      <c r="J198" s="94"/>
      <c r="K198" s="94"/>
      <c r="L198" s="94"/>
      <c r="M198" s="94"/>
      <c r="N198" s="94"/>
      <c r="O198" s="94"/>
    </row>
    <row r="199">
      <c r="A199" s="117"/>
      <c r="B199" s="117"/>
      <c r="C199" s="108" t="str">
        <f>VLOOKUP($B199,ANAGRAFICA!$B$1:$G$306,2,FALSE)</f>
        <v>#N/A</v>
      </c>
      <c r="D199" s="108" t="str">
        <f>VLOOKUP($B199,ANAGRAFICA!$B$1:$G$306,3,FALSE)</f>
        <v>#N/A</v>
      </c>
      <c r="E199" s="109" t="str">
        <f>VLOOKUP($B199,ANAGRAFICA!$B$1:$G$306,4,FALSE)</f>
        <v>#N/A</v>
      </c>
      <c r="F199" s="109" t="str">
        <f>VLOOKUP($B199,ANAGRAFICA!$B$1:$G$306,5,FALSE)</f>
        <v>#N/A</v>
      </c>
      <c r="G199" s="109" t="str">
        <f>VLOOKUP($B199,ANAGRAFICA!$B$1:$G$306,6,FALSE)</f>
        <v>#N/A</v>
      </c>
      <c r="H199" s="94"/>
      <c r="I199" s="94"/>
      <c r="J199" s="94"/>
      <c r="K199" s="94"/>
      <c r="L199" s="94"/>
      <c r="M199" s="94"/>
      <c r="N199" s="94"/>
      <c r="O199" s="94"/>
    </row>
    <row r="200">
      <c r="A200" s="117"/>
      <c r="B200" s="117"/>
      <c r="C200" s="108" t="str">
        <f>VLOOKUP($B200,ANAGRAFICA!$B$1:$G$306,2,FALSE)</f>
        <v>#N/A</v>
      </c>
      <c r="D200" s="108" t="str">
        <f>VLOOKUP($B200,ANAGRAFICA!$B$1:$G$306,3,FALSE)</f>
        <v>#N/A</v>
      </c>
      <c r="E200" s="109" t="str">
        <f>VLOOKUP($B200,ANAGRAFICA!$B$1:$G$306,4,FALSE)</f>
        <v>#N/A</v>
      </c>
      <c r="F200" s="109" t="str">
        <f>VLOOKUP($B200,ANAGRAFICA!$B$1:$G$306,5,FALSE)</f>
        <v>#N/A</v>
      </c>
      <c r="G200" s="109" t="str">
        <f>VLOOKUP($B200,ANAGRAFICA!$B$1:$G$306,6,FALSE)</f>
        <v>#N/A</v>
      </c>
      <c r="H200" s="94"/>
      <c r="I200" s="94"/>
      <c r="J200" s="94"/>
      <c r="K200" s="94"/>
      <c r="L200" s="94"/>
      <c r="M200" s="94"/>
      <c r="N200" s="94"/>
      <c r="O200" s="94"/>
    </row>
    <row r="201">
      <c r="A201" s="117"/>
      <c r="B201" s="117"/>
      <c r="C201" s="108" t="str">
        <f>VLOOKUP($B201,ANAGRAFICA!$B$1:$G$306,2,FALSE)</f>
        <v>#N/A</v>
      </c>
      <c r="D201" s="108" t="str">
        <f>VLOOKUP($B201,ANAGRAFICA!$B$1:$G$306,3,FALSE)</f>
        <v>#N/A</v>
      </c>
      <c r="E201" s="109" t="str">
        <f>VLOOKUP($B201,ANAGRAFICA!$B$1:$G$306,4,FALSE)</f>
        <v>#N/A</v>
      </c>
      <c r="F201" s="109" t="str">
        <f>VLOOKUP($B201,ANAGRAFICA!$B$1:$G$306,5,FALSE)</f>
        <v>#N/A</v>
      </c>
      <c r="G201" s="109" t="str">
        <f>VLOOKUP($B201,ANAGRAFICA!$B$1:$G$306,6,FALSE)</f>
        <v>#N/A</v>
      </c>
      <c r="H201" s="94"/>
      <c r="I201" s="94"/>
      <c r="J201" s="94"/>
      <c r="K201" s="94"/>
      <c r="L201" s="94"/>
      <c r="M201" s="94"/>
      <c r="N201" s="94"/>
      <c r="O201" s="94"/>
    </row>
    <row r="202">
      <c r="A202" s="117"/>
      <c r="B202" s="117"/>
      <c r="C202" s="108" t="str">
        <f>VLOOKUP($B202,ANAGRAFICA!$B$1:$G$306,2,FALSE)</f>
        <v>#N/A</v>
      </c>
      <c r="D202" s="108" t="str">
        <f>VLOOKUP($B202,ANAGRAFICA!$B$1:$G$306,3,FALSE)</f>
        <v>#N/A</v>
      </c>
      <c r="E202" s="109" t="str">
        <f>VLOOKUP($B202,ANAGRAFICA!$B$1:$G$306,4,FALSE)</f>
        <v>#N/A</v>
      </c>
      <c r="F202" s="109" t="str">
        <f>VLOOKUP($B202,ANAGRAFICA!$B$1:$G$306,5,FALSE)</f>
        <v>#N/A</v>
      </c>
      <c r="G202" s="109" t="str">
        <f>VLOOKUP($B202,ANAGRAFICA!$B$1:$G$306,6,FALSE)</f>
        <v>#N/A</v>
      </c>
      <c r="H202" s="94"/>
      <c r="I202" s="94"/>
      <c r="J202" s="94"/>
      <c r="K202" s="94"/>
      <c r="L202" s="94"/>
      <c r="M202" s="94"/>
      <c r="N202" s="94"/>
      <c r="O202" s="94"/>
    </row>
    <row r="203">
      <c r="A203" s="117"/>
      <c r="B203" s="117"/>
      <c r="C203" s="108" t="str">
        <f>VLOOKUP($B203,ANAGRAFICA!$B$1:$G$306,2,FALSE)</f>
        <v>#N/A</v>
      </c>
      <c r="D203" s="108" t="str">
        <f>VLOOKUP($B203,ANAGRAFICA!$B$1:$G$306,3,FALSE)</f>
        <v>#N/A</v>
      </c>
      <c r="E203" s="109" t="str">
        <f>VLOOKUP($B203,ANAGRAFICA!$B$1:$G$306,4,FALSE)</f>
        <v>#N/A</v>
      </c>
      <c r="F203" s="109" t="str">
        <f>VLOOKUP($B203,ANAGRAFICA!$B$1:$G$306,5,FALSE)</f>
        <v>#N/A</v>
      </c>
      <c r="G203" s="109" t="str">
        <f>VLOOKUP($B203,ANAGRAFICA!$B$1:$G$306,6,FALSE)</f>
        <v>#N/A</v>
      </c>
      <c r="H203" s="94"/>
      <c r="I203" s="94"/>
      <c r="J203" s="94"/>
      <c r="K203" s="94"/>
      <c r="L203" s="94"/>
      <c r="M203" s="94"/>
      <c r="N203" s="94"/>
      <c r="O203" s="94"/>
    </row>
    <row r="204">
      <c r="A204" s="117"/>
      <c r="B204" s="117"/>
      <c r="C204" s="108" t="str">
        <f>VLOOKUP($B204,ANAGRAFICA!$B$1:$G$306,2,FALSE)</f>
        <v>#N/A</v>
      </c>
      <c r="D204" s="108" t="str">
        <f>VLOOKUP($B204,ANAGRAFICA!$B$1:$G$306,3,FALSE)</f>
        <v>#N/A</v>
      </c>
      <c r="E204" s="109" t="str">
        <f>VLOOKUP($B204,ANAGRAFICA!$B$1:$G$306,4,FALSE)</f>
        <v>#N/A</v>
      </c>
      <c r="F204" s="109" t="str">
        <f>VLOOKUP($B204,ANAGRAFICA!$B$1:$G$306,5,FALSE)</f>
        <v>#N/A</v>
      </c>
      <c r="G204" s="109" t="str">
        <f>VLOOKUP($B204,ANAGRAFICA!$B$1:$G$306,6,FALSE)</f>
        <v>#N/A</v>
      </c>
      <c r="H204" s="94"/>
      <c r="I204" s="94"/>
      <c r="J204" s="94"/>
      <c r="K204" s="94"/>
      <c r="L204" s="94"/>
      <c r="M204" s="94"/>
      <c r="N204" s="94"/>
      <c r="O204" s="94"/>
    </row>
    <row r="205">
      <c r="A205" s="117"/>
      <c r="B205" s="117"/>
      <c r="C205" s="108" t="str">
        <f>VLOOKUP($B205,ANAGRAFICA!$B$1:$G$306,2,FALSE)</f>
        <v>#N/A</v>
      </c>
      <c r="D205" s="108" t="str">
        <f>VLOOKUP($B205,ANAGRAFICA!$B$1:$G$306,3,FALSE)</f>
        <v>#N/A</v>
      </c>
      <c r="E205" s="109" t="str">
        <f>VLOOKUP($B205,ANAGRAFICA!$B$1:$G$306,4,FALSE)</f>
        <v>#N/A</v>
      </c>
      <c r="F205" s="109" t="str">
        <f>VLOOKUP($B205,ANAGRAFICA!$B$1:$G$306,5,FALSE)</f>
        <v>#N/A</v>
      </c>
      <c r="G205" s="109" t="str">
        <f>VLOOKUP($B205,ANAGRAFICA!$B$1:$G$306,6,FALSE)</f>
        <v>#N/A</v>
      </c>
      <c r="H205" s="94"/>
      <c r="I205" s="94"/>
      <c r="J205" s="94"/>
      <c r="K205" s="94"/>
      <c r="L205" s="94"/>
      <c r="M205" s="94"/>
      <c r="N205" s="94"/>
      <c r="O205" s="94"/>
    </row>
    <row r="206">
      <c r="A206" s="117"/>
      <c r="B206" s="117"/>
      <c r="C206" s="108" t="str">
        <f>VLOOKUP($B206,ANAGRAFICA!$B$1:$G$306,2,FALSE)</f>
        <v>#N/A</v>
      </c>
      <c r="D206" s="108" t="str">
        <f>VLOOKUP($B206,ANAGRAFICA!$B$1:$G$306,3,FALSE)</f>
        <v>#N/A</v>
      </c>
      <c r="E206" s="109" t="str">
        <f>VLOOKUP($B206,ANAGRAFICA!$B$1:$G$306,4,FALSE)</f>
        <v>#N/A</v>
      </c>
      <c r="F206" s="109" t="str">
        <f>VLOOKUP($B206,ANAGRAFICA!$B$1:$G$306,5,FALSE)</f>
        <v>#N/A</v>
      </c>
      <c r="G206" s="109" t="str">
        <f>VLOOKUP($B206,ANAGRAFICA!$B$1:$G$306,6,FALSE)</f>
        <v>#N/A</v>
      </c>
      <c r="H206" s="94"/>
      <c r="I206" s="94"/>
      <c r="J206" s="94"/>
      <c r="K206" s="94"/>
      <c r="L206" s="94"/>
      <c r="M206" s="94"/>
      <c r="N206" s="94"/>
      <c r="O206" s="94"/>
    </row>
    <row r="207">
      <c r="A207" s="117"/>
      <c r="B207" s="117"/>
      <c r="C207" s="108" t="str">
        <f>VLOOKUP($B207,ANAGRAFICA!$B$1:$G$306,2,FALSE)</f>
        <v>#N/A</v>
      </c>
      <c r="D207" s="108" t="str">
        <f>VLOOKUP($B207,ANAGRAFICA!$B$1:$G$306,3,FALSE)</f>
        <v>#N/A</v>
      </c>
      <c r="E207" s="109" t="str">
        <f>VLOOKUP($B207,ANAGRAFICA!$B$1:$G$306,4,FALSE)</f>
        <v>#N/A</v>
      </c>
      <c r="F207" s="109" t="str">
        <f>VLOOKUP($B207,ANAGRAFICA!$B$1:$G$306,5,FALSE)</f>
        <v>#N/A</v>
      </c>
      <c r="G207" s="109" t="str">
        <f>VLOOKUP($B207,ANAGRAFICA!$B$1:$G$306,6,FALSE)</f>
        <v>#N/A</v>
      </c>
      <c r="H207" s="94"/>
      <c r="I207" s="94"/>
      <c r="J207" s="94"/>
      <c r="K207" s="94"/>
      <c r="L207" s="94"/>
      <c r="M207" s="94"/>
      <c r="N207" s="94"/>
      <c r="O207" s="94"/>
    </row>
    <row r="208">
      <c r="A208" s="117"/>
      <c r="B208" s="117"/>
      <c r="C208" s="108" t="str">
        <f>VLOOKUP($B208,ANAGRAFICA!$B$1:$G$306,2,FALSE)</f>
        <v>#N/A</v>
      </c>
      <c r="D208" s="108" t="str">
        <f>VLOOKUP($B208,ANAGRAFICA!$B$1:$G$306,3,FALSE)</f>
        <v>#N/A</v>
      </c>
      <c r="E208" s="109" t="str">
        <f>VLOOKUP($B208,ANAGRAFICA!$B$1:$G$306,4,FALSE)</f>
        <v>#N/A</v>
      </c>
      <c r="F208" s="109" t="str">
        <f>VLOOKUP($B208,ANAGRAFICA!$B$1:$G$306,5,FALSE)</f>
        <v>#N/A</v>
      </c>
      <c r="G208" s="109" t="str">
        <f>VLOOKUP($B208,ANAGRAFICA!$B$1:$G$306,6,FALSE)</f>
        <v>#N/A</v>
      </c>
      <c r="H208" s="94"/>
      <c r="I208" s="94"/>
      <c r="J208" s="94"/>
      <c r="K208" s="94"/>
      <c r="L208" s="94"/>
      <c r="M208" s="94"/>
      <c r="N208" s="94"/>
      <c r="O208" s="94"/>
    </row>
    <row r="209">
      <c r="A209" s="117"/>
      <c r="B209" s="117"/>
      <c r="C209" s="108" t="str">
        <f>VLOOKUP($B209,ANAGRAFICA!$B$1:$G$306,2,FALSE)</f>
        <v>#N/A</v>
      </c>
      <c r="D209" s="108" t="str">
        <f>VLOOKUP($B209,ANAGRAFICA!$B$1:$G$306,3,FALSE)</f>
        <v>#N/A</v>
      </c>
      <c r="E209" s="109" t="str">
        <f>VLOOKUP($B209,ANAGRAFICA!$B$1:$G$306,4,FALSE)</f>
        <v>#N/A</v>
      </c>
      <c r="F209" s="109" t="str">
        <f>VLOOKUP($B209,ANAGRAFICA!$B$1:$G$306,5,FALSE)</f>
        <v>#N/A</v>
      </c>
      <c r="G209" s="109" t="str">
        <f>VLOOKUP($B209,ANAGRAFICA!$B$1:$G$306,6,FALSE)</f>
        <v>#N/A</v>
      </c>
      <c r="H209" s="94"/>
      <c r="I209" s="94"/>
      <c r="J209" s="94"/>
      <c r="K209" s="94"/>
      <c r="L209" s="94"/>
      <c r="M209" s="94"/>
      <c r="N209" s="94"/>
      <c r="O209" s="94"/>
    </row>
    <row r="210">
      <c r="A210" s="117"/>
      <c r="B210" s="117"/>
      <c r="C210" s="108" t="str">
        <f>VLOOKUP($B210,ANAGRAFICA!$B$1:$G$306,2,FALSE)</f>
        <v>#N/A</v>
      </c>
      <c r="D210" s="108" t="str">
        <f>VLOOKUP($B210,ANAGRAFICA!$B$1:$G$306,3,FALSE)</f>
        <v>#N/A</v>
      </c>
      <c r="E210" s="109" t="str">
        <f>VLOOKUP($B210,ANAGRAFICA!$B$1:$G$306,4,FALSE)</f>
        <v>#N/A</v>
      </c>
      <c r="F210" s="109" t="str">
        <f>VLOOKUP($B210,ANAGRAFICA!$B$1:$G$306,5,FALSE)</f>
        <v>#N/A</v>
      </c>
      <c r="G210" s="109" t="str">
        <f>VLOOKUP($B210,ANAGRAFICA!$B$1:$G$306,6,FALSE)</f>
        <v>#N/A</v>
      </c>
      <c r="H210" s="94"/>
      <c r="I210" s="94"/>
      <c r="J210" s="94"/>
      <c r="K210" s="94"/>
      <c r="L210" s="94"/>
      <c r="M210" s="94"/>
      <c r="N210" s="94"/>
      <c r="O210" s="94"/>
    </row>
    <row r="211">
      <c r="A211" s="117"/>
      <c r="B211" s="117"/>
      <c r="C211" s="108" t="str">
        <f>VLOOKUP($B211,ANAGRAFICA!$B$1:$G$306,2,FALSE)</f>
        <v>#N/A</v>
      </c>
      <c r="D211" s="108" t="str">
        <f>VLOOKUP($B211,ANAGRAFICA!$B$1:$G$306,3,FALSE)</f>
        <v>#N/A</v>
      </c>
      <c r="E211" s="109" t="str">
        <f>VLOOKUP($B211,ANAGRAFICA!$B$1:$G$306,4,FALSE)</f>
        <v>#N/A</v>
      </c>
      <c r="F211" s="109" t="str">
        <f>VLOOKUP($B211,ANAGRAFICA!$B$1:$G$306,5,FALSE)</f>
        <v>#N/A</v>
      </c>
      <c r="G211" s="109" t="str">
        <f>VLOOKUP($B211,ANAGRAFICA!$B$1:$G$306,6,FALSE)</f>
        <v>#N/A</v>
      </c>
      <c r="H211" s="94"/>
      <c r="I211" s="94"/>
      <c r="J211" s="94"/>
      <c r="K211" s="94"/>
      <c r="L211" s="94"/>
      <c r="M211" s="94"/>
      <c r="N211" s="94"/>
      <c r="O211" s="94"/>
    </row>
    <row r="212">
      <c r="A212" s="117"/>
      <c r="B212" s="117"/>
      <c r="C212" s="108" t="str">
        <f>VLOOKUP($B212,ANAGRAFICA!$B$1:$G$306,2,FALSE)</f>
        <v>#N/A</v>
      </c>
      <c r="D212" s="108" t="str">
        <f>VLOOKUP($B212,ANAGRAFICA!$B$1:$G$306,3,FALSE)</f>
        <v>#N/A</v>
      </c>
      <c r="E212" s="109" t="str">
        <f>VLOOKUP($B212,ANAGRAFICA!$B$1:$G$306,4,FALSE)</f>
        <v>#N/A</v>
      </c>
      <c r="F212" s="109" t="str">
        <f>VLOOKUP($B212,ANAGRAFICA!$B$1:$G$306,5,FALSE)</f>
        <v>#N/A</v>
      </c>
      <c r="G212" s="109" t="str">
        <f>VLOOKUP($B212,ANAGRAFICA!$B$1:$G$306,6,FALSE)</f>
        <v>#N/A</v>
      </c>
      <c r="H212" s="94"/>
      <c r="I212" s="94"/>
      <c r="J212" s="94"/>
      <c r="K212" s="94"/>
      <c r="L212" s="94"/>
      <c r="M212" s="94"/>
      <c r="N212" s="94"/>
      <c r="O212" s="94"/>
    </row>
    <row r="213">
      <c r="A213" s="117"/>
      <c r="B213" s="117"/>
      <c r="C213" s="108" t="str">
        <f>VLOOKUP($B213,ANAGRAFICA!$B$1:$G$306,2,FALSE)</f>
        <v>#N/A</v>
      </c>
      <c r="D213" s="108" t="str">
        <f>VLOOKUP($B213,ANAGRAFICA!$B$1:$G$306,3,FALSE)</f>
        <v>#N/A</v>
      </c>
      <c r="E213" s="109" t="str">
        <f>VLOOKUP($B213,ANAGRAFICA!$B$1:$G$306,4,FALSE)</f>
        <v>#N/A</v>
      </c>
      <c r="F213" s="109" t="str">
        <f>VLOOKUP($B213,ANAGRAFICA!$B$1:$G$306,5,FALSE)</f>
        <v>#N/A</v>
      </c>
      <c r="G213" s="109" t="str">
        <f>VLOOKUP($B213,ANAGRAFICA!$B$1:$G$306,6,FALSE)</f>
        <v>#N/A</v>
      </c>
      <c r="H213" s="94"/>
      <c r="I213" s="94"/>
      <c r="J213" s="94"/>
      <c r="K213" s="94"/>
      <c r="L213" s="94"/>
      <c r="M213" s="94"/>
      <c r="N213" s="94"/>
      <c r="O213" s="94"/>
    </row>
    <row r="214">
      <c r="A214" s="117"/>
      <c r="B214" s="117"/>
      <c r="C214" s="108" t="str">
        <f>VLOOKUP($B214,ANAGRAFICA!$B$1:$G$306,2,FALSE)</f>
        <v>#N/A</v>
      </c>
      <c r="D214" s="108" t="str">
        <f>VLOOKUP($B214,ANAGRAFICA!$B$1:$G$306,3,FALSE)</f>
        <v>#N/A</v>
      </c>
      <c r="E214" s="109" t="str">
        <f>VLOOKUP($B214,ANAGRAFICA!$B$1:$G$306,4,FALSE)</f>
        <v>#N/A</v>
      </c>
      <c r="F214" s="109" t="str">
        <f>VLOOKUP($B214,ANAGRAFICA!$B$1:$G$306,5,FALSE)</f>
        <v>#N/A</v>
      </c>
      <c r="G214" s="109" t="str">
        <f>VLOOKUP($B214,ANAGRAFICA!$B$1:$G$306,6,FALSE)</f>
        <v>#N/A</v>
      </c>
      <c r="H214" s="94"/>
      <c r="I214" s="94"/>
      <c r="J214" s="94"/>
      <c r="K214" s="94"/>
      <c r="L214" s="94"/>
      <c r="M214" s="94"/>
      <c r="N214" s="94"/>
      <c r="O214" s="94"/>
    </row>
    <row r="215">
      <c r="A215" s="117"/>
      <c r="B215" s="117"/>
      <c r="C215" s="108" t="str">
        <f>VLOOKUP($B215,ANAGRAFICA!$B$1:$G$306,2,FALSE)</f>
        <v>#N/A</v>
      </c>
      <c r="D215" s="108" t="str">
        <f>VLOOKUP($B215,ANAGRAFICA!$B$1:$G$306,3,FALSE)</f>
        <v>#N/A</v>
      </c>
      <c r="E215" s="109" t="str">
        <f>VLOOKUP($B215,ANAGRAFICA!$B$1:$G$306,4,FALSE)</f>
        <v>#N/A</v>
      </c>
      <c r="F215" s="109" t="str">
        <f>VLOOKUP($B215,ANAGRAFICA!$B$1:$G$306,5,FALSE)</f>
        <v>#N/A</v>
      </c>
      <c r="G215" s="109" t="str">
        <f>VLOOKUP($B215,ANAGRAFICA!$B$1:$G$306,6,FALSE)</f>
        <v>#N/A</v>
      </c>
      <c r="H215" s="94"/>
      <c r="I215" s="94"/>
      <c r="J215" s="94"/>
      <c r="K215" s="94"/>
      <c r="L215" s="94"/>
      <c r="M215" s="94"/>
      <c r="N215" s="94"/>
      <c r="O215" s="94"/>
    </row>
    <row r="216">
      <c r="A216" s="117"/>
      <c r="B216" s="117"/>
      <c r="C216" s="108" t="str">
        <f>VLOOKUP($B216,ANAGRAFICA!$B$1:$G$306,2,FALSE)</f>
        <v>#N/A</v>
      </c>
      <c r="D216" s="108" t="str">
        <f>VLOOKUP($B216,ANAGRAFICA!$B$1:$G$306,3,FALSE)</f>
        <v>#N/A</v>
      </c>
      <c r="E216" s="109" t="str">
        <f>VLOOKUP($B216,ANAGRAFICA!$B$1:$G$306,4,FALSE)</f>
        <v>#N/A</v>
      </c>
      <c r="F216" s="109" t="str">
        <f>VLOOKUP($B216,ANAGRAFICA!$B$1:$G$306,5,FALSE)</f>
        <v>#N/A</v>
      </c>
      <c r="G216" s="109" t="str">
        <f>VLOOKUP($B216,ANAGRAFICA!$B$1:$G$306,6,FALSE)</f>
        <v>#N/A</v>
      </c>
      <c r="H216" s="94"/>
      <c r="I216" s="94"/>
      <c r="J216" s="94"/>
      <c r="K216" s="94"/>
      <c r="L216" s="94"/>
      <c r="M216" s="94"/>
      <c r="N216" s="94"/>
      <c r="O216" s="94"/>
    </row>
    <row r="217">
      <c r="A217" s="117"/>
      <c r="B217" s="117"/>
      <c r="C217" s="108" t="str">
        <f>VLOOKUP($B217,ANAGRAFICA!$B$1:$G$306,2,FALSE)</f>
        <v>#N/A</v>
      </c>
      <c r="D217" s="108" t="str">
        <f>VLOOKUP($B217,ANAGRAFICA!$B$1:$G$306,3,FALSE)</f>
        <v>#N/A</v>
      </c>
      <c r="E217" s="109" t="str">
        <f>VLOOKUP($B217,ANAGRAFICA!$B$1:$G$306,4,FALSE)</f>
        <v>#N/A</v>
      </c>
      <c r="F217" s="109" t="str">
        <f>VLOOKUP($B217,ANAGRAFICA!$B$1:$G$306,5,FALSE)</f>
        <v>#N/A</v>
      </c>
      <c r="G217" s="109" t="str">
        <f>VLOOKUP($B217,ANAGRAFICA!$B$1:$G$306,6,FALSE)</f>
        <v>#N/A</v>
      </c>
      <c r="H217" s="94"/>
      <c r="I217" s="94"/>
      <c r="J217" s="94"/>
      <c r="K217" s="94"/>
      <c r="L217" s="94"/>
      <c r="M217" s="94"/>
      <c r="N217" s="94"/>
      <c r="O217" s="94"/>
    </row>
    <row r="218">
      <c r="A218" s="117"/>
      <c r="B218" s="117"/>
      <c r="C218" s="108" t="str">
        <f>VLOOKUP($B218,ANAGRAFICA!$B$1:$G$306,2,FALSE)</f>
        <v>#N/A</v>
      </c>
      <c r="D218" s="108" t="str">
        <f>VLOOKUP($B218,ANAGRAFICA!$B$1:$G$306,3,FALSE)</f>
        <v>#N/A</v>
      </c>
      <c r="E218" s="109" t="str">
        <f>VLOOKUP($B218,ANAGRAFICA!$B$1:$G$306,4,FALSE)</f>
        <v>#N/A</v>
      </c>
      <c r="F218" s="109" t="str">
        <f>VLOOKUP($B218,ANAGRAFICA!$B$1:$G$306,5,FALSE)</f>
        <v>#N/A</v>
      </c>
      <c r="G218" s="109" t="str">
        <f>VLOOKUP($B218,ANAGRAFICA!$B$1:$G$306,6,FALSE)</f>
        <v>#N/A</v>
      </c>
      <c r="H218" s="94"/>
      <c r="I218" s="94"/>
      <c r="J218" s="94"/>
      <c r="K218" s="94"/>
      <c r="L218" s="94"/>
      <c r="M218" s="94"/>
      <c r="N218" s="94"/>
      <c r="O218" s="94"/>
    </row>
    <row r="219">
      <c r="A219" s="117"/>
      <c r="B219" s="117"/>
      <c r="C219" s="108" t="str">
        <f>VLOOKUP($B219,ANAGRAFICA!$B$1:$G$306,2,FALSE)</f>
        <v>#N/A</v>
      </c>
      <c r="D219" s="108" t="str">
        <f>VLOOKUP($B219,ANAGRAFICA!$B$1:$G$306,3,FALSE)</f>
        <v>#N/A</v>
      </c>
      <c r="E219" s="109" t="str">
        <f>VLOOKUP($B219,ANAGRAFICA!$B$1:$G$306,4,FALSE)</f>
        <v>#N/A</v>
      </c>
      <c r="F219" s="109" t="str">
        <f>VLOOKUP($B219,ANAGRAFICA!$B$1:$G$306,5,FALSE)</f>
        <v>#N/A</v>
      </c>
      <c r="G219" s="109" t="str">
        <f>VLOOKUP($B219,ANAGRAFICA!$B$1:$G$306,6,FALSE)</f>
        <v>#N/A</v>
      </c>
      <c r="H219" s="94"/>
      <c r="I219" s="94"/>
      <c r="J219" s="94"/>
      <c r="K219" s="94"/>
      <c r="L219" s="94"/>
      <c r="M219" s="94"/>
      <c r="N219" s="94"/>
      <c r="O219" s="94"/>
    </row>
    <row r="220">
      <c r="A220" s="117"/>
      <c r="B220" s="117"/>
      <c r="C220" s="108" t="str">
        <f>VLOOKUP($B220,ANAGRAFICA!$B$1:$G$306,2,FALSE)</f>
        <v>#N/A</v>
      </c>
      <c r="D220" s="108" t="str">
        <f>VLOOKUP($B220,ANAGRAFICA!$B$1:$G$306,3,FALSE)</f>
        <v>#N/A</v>
      </c>
      <c r="E220" s="109" t="str">
        <f>VLOOKUP($B220,ANAGRAFICA!$B$1:$G$306,4,FALSE)</f>
        <v>#N/A</v>
      </c>
      <c r="F220" s="109" t="str">
        <f>VLOOKUP($B220,ANAGRAFICA!$B$1:$G$306,5,FALSE)</f>
        <v>#N/A</v>
      </c>
      <c r="G220" s="109" t="str">
        <f>VLOOKUP($B220,ANAGRAFICA!$B$1:$G$306,6,FALSE)</f>
        <v>#N/A</v>
      </c>
      <c r="H220" s="94"/>
      <c r="I220" s="94"/>
      <c r="J220" s="94"/>
      <c r="K220" s="94"/>
      <c r="L220" s="94"/>
      <c r="M220" s="94"/>
      <c r="N220" s="94"/>
      <c r="O220" s="94"/>
    </row>
    <row r="221">
      <c r="A221" s="117"/>
      <c r="B221" s="117"/>
      <c r="C221" s="108" t="str">
        <f>VLOOKUP($B221,ANAGRAFICA!$B$1:$G$306,2,FALSE)</f>
        <v>#N/A</v>
      </c>
      <c r="D221" s="108" t="str">
        <f>VLOOKUP($B221,ANAGRAFICA!$B$1:$G$306,3,FALSE)</f>
        <v>#N/A</v>
      </c>
      <c r="E221" s="109" t="str">
        <f>VLOOKUP($B221,ANAGRAFICA!$B$1:$G$306,4,FALSE)</f>
        <v>#N/A</v>
      </c>
      <c r="F221" s="109" t="str">
        <f>VLOOKUP($B221,ANAGRAFICA!$B$1:$G$306,5,FALSE)</f>
        <v>#N/A</v>
      </c>
      <c r="G221" s="109" t="str">
        <f>VLOOKUP($B221,ANAGRAFICA!$B$1:$G$306,6,FALSE)</f>
        <v>#N/A</v>
      </c>
      <c r="H221" s="94"/>
      <c r="I221" s="94"/>
      <c r="J221" s="94"/>
      <c r="K221" s="94"/>
      <c r="L221" s="94"/>
      <c r="M221" s="94"/>
      <c r="N221" s="94"/>
      <c r="O221" s="94"/>
    </row>
    <row r="222">
      <c r="A222" s="117"/>
      <c r="B222" s="117"/>
      <c r="C222" s="108" t="str">
        <f>VLOOKUP($B222,ANAGRAFICA!$B$1:$G$306,2,FALSE)</f>
        <v>#N/A</v>
      </c>
      <c r="D222" s="108" t="str">
        <f>VLOOKUP($B222,ANAGRAFICA!$B$1:$G$306,3,FALSE)</f>
        <v>#N/A</v>
      </c>
      <c r="E222" s="109" t="str">
        <f>VLOOKUP($B222,ANAGRAFICA!$B$1:$G$306,4,FALSE)</f>
        <v>#N/A</v>
      </c>
      <c r="F222" s="109" t="str">
        <f>VLOOKUP($B222,ANAGRAFICA!$B$1:$G$306,5,FALSE)</f>
        <v>#N/A</v>
      </c>
      <c r="G222" s="109" t="str">
        <f>VLOOKUP($B222,ANAGRAFICA!$B$1:$G$306,6,FALSE)</f>
        <v>#N/A</v>
      </c>
      <c r="H222" s="94"/>
      <c r="I222" s="94"/>
      <c r="J222" s="94"/>
      <c r="K222" s="94"/>
      <c r="L222" s="94"/>
      <c r="M222" s="94"/>
      <c r="N222" s="94"/>
      <c r="O222" s="94"/>
    </row>
    <row r="223">
      <c r="A223" s="117"/>
      <c r="B223" s="117"/>
      <c r="C223" s="108" t="str">
        <f>VLOOKUP($B223,ANAGRAFICA!$B$1:$G$306,2,FALSE)</f>
        <v>#N/A</v>
      </c>
      <c r="D223" s="108" t="str">
        <f>VLOOKUP($B223,ANAGRAFICA!$B$1:$G$306,3,FALSE)</f>
        <v>#N/A</v>
      </c>
      <c r="E223" s="109" t="str">
        <f>VLOOKUP($B223,ANAGRAFICA!$B$1:$G$306,4,FALSE)</f>
        <v>#N/A</v>
      </c>
      <c r="F223" s="109" t="str">
        <f>VLOOKUP($B223,ANAGRAFICA!$B$1:$G$306,5,FALSE)</f>
        <v>#N/A</v>
      </c>
      <c r="G223" s="109" t="str">
        <f>VLOOKUP($B223,ANAGRAFICA!$B$1:$G$306,6,FALSE)</f>
        <v>#N/A</v>
      </c>
      <c r="H223" s="94"/>
      <c r="I223" s="94"/>
      <c r="J223" s="94"/>
      <c r="K223" s="94"/>
      <c r="L223" s="94"/>
      <c r="M223" s="94"/>
      <c r="N223" s="94"/>
      <c r="O223" s="94"/>
    </row>
    <row r="224">
      <c r="A224" s="117"/>
      <c r="B224" s="117"/>
      <c r="C224" s="108" t="str">
        <f>VLOOKUP($B224,ANAGRAFICA!$B$1:$G$306,2,FALSE)</f>
        <v>#N/A</v>
      </c>
      <c r="D224" s="108" t="str">
        <f>VLOOKUP($B224,ANAGRAFICA!$B$1:$G$306,3,FALSE)</f>
        <v>#N/A</v>
      </c>
      <c r="E224" s="109" t="str">
        <f>VLOOKUP($B224,ANAGRAFICA!$B$1:$G$306,4,FALSE)</f>
        <v>#N/A</v>
      </c>
      <c r="F224" s="109" t="str">
        <f>VLOOKUP($B224,ANAGRAFICA!$B$1:$G$306,5,FALSE)</f>
        <v>#N/A</v>
      </c>
      <c r="G224" s="109" t="str">
        <f>VLOOKUP($B224,ANAGRAFICA!$B$1:$G$306,6,FALSE)</f>
        <v>#N/A</v>
      </c>
      <c r="H224" s="94"/>
      <c r="I224" s="94"/>
      <c r="J224" s="94"/>
      <c r="K224" s="94"/>
      <c r="L224" s="94"/>
      <c r="M224" s="94"/>
      <c r="N224" s="94"/>
      <c r="O224" s="94"/>
    </row>
    <row r="225">
      <c r="A225" s="117"/>
      <c r="B225" s="117"/>
      <c r="C225" s="108" t="str">
        <f>VLOOKUP($B225,ANAGRAFICA!$B$1:$G$306,2,FALSE)</f>
        <v>#N/A</v>
      </c>
      <c r="D225" s="108" t="str">
        <f>VLOOKUP($B225,ANAGRAFICA!$B$1:$G$306,3,FALSE)</f>
        <v>#N/A</v>
      </c>
      <c r="E225" s="109" t="str">
        <f>VLOOKUP($B225,ANAGRAFICA!$B$1:$G$306,4,FALSE)</f>
        <v>#N/A</v>
      </c>
      <c r="F225" s="109" t="str">
        <f>VLOOKUP($B225,ANAGRAFICA!$B$1:$G$306,5,FALSE)</f>
        <v>#N/A</v>
      </c>
      <c r="G225" s="109" t="str">
        <f>VLOOKUP($B225,ANAGRAFICA!$B$1:$G$306,6,FALSE)</f>
        <v>#N/A</v>
      </c>
      <c r="H225" s="94"/>
      <c r="I225" s="94"/>
      <c r="J225" s="94"/>
      <c r="K225" s="94"/>
      <c r="L225" s="94"/>
      <c r="M225" s="94"/>
      <c r="N225" s="94"/>
      <c r="O225" s="94"/>
    </row>
    <row r="226">
      <c r="A226" s="117"/>
      <c r="B226" s="117"/>
      <c r="C226" s="108" t="str">
        <f>VLOOKUP($B226,ANAGRAFICA!$B$1:$G$306,2,FALSE)</f>
        <v>#N/A</v>
      </c>
      <c r="D226" s="108" t="str">
        <f>VLOOKUP($B226,ANAGRAFICA!$B$1:$G$306,3,FALSE)</f>
        <v>#N/A</v>
      </c>
      <c r="E226" s="109" t="str">
        <f>VLOOKUP($B226,ANAGRAFICA!$B$1:$G$306,4,FALSE)</f>
        <v>#N/A</v>
      </c>
      <c r="F226" s="109" t="str">
        <f>VLOOKUP($B226,ANAGRAFICA!$B$1:$G$306,5,FALSE)</f>
        <v>#N/A</v>
      </c>
      <c r="G226" s="109" t="str">
        <f>VLOOKUP($B226,ANAGRAFICA!$B$1:$G$306,6,FALSE)</f>
        <v>#N/A</v>
      </c>
      <c r="H226" s="94"/>
      <c r="I226" s="94"/>
      <c r="J226" s="94"/>
      <c r="K226" s="94"/>
      <c r="L226" s="94"/>
      <c r="M226" s="94"/>
      <c r="N226" s="94"/>
      <c r="O226" s="94"/>
    </row>
    <row r="227">
      <c r="A227" s="117"/>
      <c r="B227" s="117"/>
      <c r="C227" s="108" t="str">
        <f>VLOOKUP($B227,ANAGRAFICA!$B$1:$G$306,2,FALSE)</f>
        <v>#N/A</v>
      </c>
      <c r="D227" s="108" t="str">
        <f>VLOOKUP($B227,ANAGRAFICA!$B$1:$G$306,3,FALSE)</f>
        <v>#N/A</v>
      </c>
      <c r="E227" s="109" t="str">
        <f>VLOOKUP($B227,ANAGRAFICA!$B$1:$G$306,4,FALSE)</f>
        <v>#N/A</v>
      </c>
      <c r="F227" s="109" t="str">
        <f>VLOOKUP($B227,ANAGRAFICA!$B$1:$G$306,5,FALSE)</f>
        <v>#N/A</v>
      </c>
      <c r="G227" s="109" t="str">
        <f>VLOOKUP($B227,ANAGRAFICA!$B$1:$G$306,6,FALSE)</f>
        <v>#N/A</v>
      </c>
      <c r="H227" s="94"/>
      <c r="I227" s="94"/>
      <c r="J227" s="94"/>
      <c r="K227" s="94"/>
      <c r="L227" s="94"/>
      <c r="M227" s="94"/>
      <c r="N227" s="94"/>
      <c r="O227" s="94"/>
    </row>
    <row r="228">
      <c r="A228" s="117"/>
      <c r="B228" s="117"/>
      <c r="C228" s="108" t="str">
        <f>VLOOKUP($B228,ANAGRAFICA!$B$1:$G$306,2,FALSE)</f>
        <v>#N/A</v>
      </c>
      <c r="D228" s="108" t="str">
        <f>VLOOKUP($B228,ANAGRAFICA!$B$1:$G$306,3,FALSE)</f>
        <v>#N/A</v>
      </c>
      <c r="E228" s="109" t="str">
        <f>VLOOKUP($B228,ANAGRAFICA!$B$1:$G$306,4,FALSE)</f>
        <v>#N/A</v>
      </c>
      <c r="F228" s="109" t="str">
        <f>VLOOKUP($B228,ANAGRAFICA!$B$1:$G$306,5,FALSE)</f>
        <v>#N/A</v>
      </c>
      <c r="G228" s="109" t="str">
        <f>VLOOKUP($B228,ANAGRAFICA!$B$1:$G$306,6,FALSE)</f>
        <v>#N/A</v>
      </c>
      <c r="H228" s="94"/>
      <c r="I228" s="94"/>
      <c r="J228" s="94"/>
      <c r="K228" s="94"/>
      <c r="L228" s="94"/>
      <c r="M228" s="94"/>
      <c r="N228" s="94"/>
      <c r="O228" s="94"/>
    </row>
    <row r="229">
      <c r="A229" s="117"/>
      <c r="B229" s="117"/>
      <c r="C229" s="108" t="str">
        <f>VLOOKUP($B229,ANAGRAFICA!$B$1:$G$306,2,FALSE)</f>
        <v>#N/A</v>
      </c>
      <c r="D229" s="108" t="str">
        <f>VLOOKUP($B229,ANAGRAFICA!$B$1:$G$306,3,FALSE)</f>
        <v>#N/A</v>
      </c>
      <c r="E229" s="109" t="str">
        <f>VLOOKUP($B229,ANAGRAFICA!$B$1:$G$306,4,FALSE)</f>
        <v>#N/A</v>
      </c>
      <c r="F229" s="109" t="str">
        <f>VLOOKUP($B229,ANAGRAFICA!$B$1:$G$306,5,FALSE)</f>
        <v>#N/A</v>
      </c>
      <c r="G229" s="109" t="str">
        <f>VLOOKUP($B229,ANAGRAFICA!$B$1:$G$306,6,FALSE)</f>
        <v>#N/A</v>
      </c>
      <c r="H229" s="94"/>
      <c r="I229" s="94"/>
      <c r="J229" s="94"/>
      <c r="K229" s="94"/>
      <c r="L229" s="94"/>
      <c r="M229" s="94"/>
      <c r="N229" s="94"/>
      <c r="O229" s="94"/>
    </row>
    <row r="230">
      <c r="A230" s="117"/>
      <c r="B230" s="117"/>
      <c r="C230" s="108" t="str">
        <f>VLOOKUP($B230,ANAGRAFICA!$B$1:$G$306,2,FALSE)</f>
        <v>#N/A</v>
      </c>
      <c r="D230" s="108" t="str">
        <f>VLOOKUP($B230,ANAGRAFICA!$B$1:$G$306,3,FALSE)</f>
        <v>#N/A</v>
      </c>
      <c r="E230" s="109" t="str">
        <f>VLOOKUP($B230,ANAGRAFICA!$B$1:$G$306,4,FALSE)</f>
        <v>#N/A</v>
      </c>
      <c r="F230" s="109" t="str">
        <f>VLOOKUP($B230,ANAGRAFICA!$B$1:$G$306,5,FALSE)</f>
        <v>#N/A</v>
      </c>
      <c r="G230" s="109" t="str">
        <f>VLOOKUP($B230,ANAGRAFICA!$B$1:$G$306,6,FALSE)</f>
        <v>#N/A</v>
      </c>
      <c r="H230" s="94"/>
      <c r="I230" s="94"/>
      <c r="J230" s="94"/>
      <c r="K230" s="94"/>
      <c r="L230" s="94"/>
      <c r="M230" s="94"/>
      <c r="N230" s="94"/>
      <c r="O230" s="94"/>
    </row>
    <row r="231">
      <c r="A231" s="117"/>
      <c r="B231" s="117"/>
      <c r="C231" s="108" t="str">
        <f>VLOOKUP($B231,ANAGRAFICA!$B$1:$G$306,2,FALSE)</f>
        <v>#N/A</v>
      </c>
      <c r="D231" s="108" t="str">
        <f>VLOOKUP($B231,ANAGRAFICA!$B$1:$G$306,3,FALSE)</f>
        <v>#N/A</v>
      </c>
      <c r="E231" s="109" t="str">
        <f>VLOOKUP($B231,ANAGRAFICA!$B$1:$G$306,4,FALSE)</f>
        <v>#N/A</v>
      </c>
      <c r="F231" s="109" t="str">
        <f>VLOOKUP($B231,ANAGRAFICA!$B$1:$G$306,5,FALSE)</f>
        <v>#N/A</v>
      </c>
      <c r="G231" s="109" t="str">
        <f>VLOOKUP($B231,ANAGRAFICA!$B$1:$G$306,6,FALSE)</f>
        <v>#N/A</v>
      </c>
      <c r="H231" s="94"/>
      <c r="I231" s="94"/>
      <c r="J231" s="94"/>
      <c r="K231" s="94"/>
      <c r="L231" s="94"/>
      <c r="M231" s="94"/>
      <c r="N231" s="94"/>
      <c r="O231" s="94"/>
    </row>
    <row r="232">
      <c r="A232" s="117"/>
      <c r="B232" s="117"/>
      <c r="C232" s="108" t="str">
        <f>VLOOKUP($B232,ANAGRAFICA!$B$1:$G$306,2,FALSE)</f>
        <v>#N/A</v>
      </c>
      <c r="D232" s="108" t="str">
        <f>VLOOKUP($B232,ANAGRAFICA!$B$1:$G$306,3,FALSE)</f>
        <v>#N/A</v>
      </c>
      <c r="E232" s="109" t="str">
        <f>VLOOKUP($B232,ANAGRAFICA!$B$1:$G$306,4,FALSE)</f>
        <v>#N/A</v>
      </c>
      <c r="F232" s="109" t="str">
        <f>VLOOKUP($B232,ANAGRAFICA!$B$1:$G$306,5,FALSE)</f>
        <v>#N/A</v>
      </c>
      <c r="G232" s="109" t="str">
        <f>VLOOKUP($B232,ANAGRAFICA!$B$1:$G$306,6,FALSE)</f>
        <v>#N/A</v>
      </c>
      <c r="H232" s="94"/>
      <c r="I232" s="94"/>
      <c r="J232" s="94"/>
      <c r="K232" s="94"/>
      <c r="L232" s="94"/>
      <c r="M232" s="94"/>
      <c r="N232" s="94"/>
      <c r="O232" s="94"/>
    </row>
    <row r="233">
      <c r="A233" s="117"/>
      <c r="B233" s="117"/>
      <c r="C233" s="108" t="str">
        <f>VLOOKUP($B233,ANAGRAFICA!$B$1:$G$306,2,FALSE)</f>
        <v>#N/A</v>
      </c>
      <c r="D233" s="108" t="str">
        <f>VLOOKUP($B233,ANAGRAFICA!$B$1:$G$306,3,FALSE)</f>
        <v>#N/A</v>
      </c>
      <c r="E233" s="109" t="str">
        <f>VLOOKUP($B233,ANAGRAFICA!$B$1:$G$306,4,FALSE)</f>
        <v>#N/A</v>
      </c>
      <c r="F233" s="109" t="str">
        <f>VLOOKUP($B233,ANAGRAFICA!$B$1:$G$306,5,FALSE)</f>
        <v>#N/A</v>
      </c>
      <c r="G233" s="109" t="str">
        <f>VLOOKUP($B233,ANAGRAFICA!$B$1:$G$306,6,FALSE)</f>
        <v>#N/A</v>
      </c>
      <c r="H233" s="94"/>
      <c r="I233" s="94"/>
      <c r="J233" s="94"/>
      <c r="K233" s="94"/>
      <c r="L233" s="94"/>
      <c r="M233" s="94"/>
      <c r="N233" s="94"/>
      <c r="O233" s="94"/>
    </row>
    <row r="234">
      <c r="A234" s="117"/>
      <c r="B234" s="117"/>
      <c r="C234" s="108" t="str">
        <f>VLOOKUP($B234,ANAGRAFICA!$B$1:$G$306,2,FALSE)</f>
        <v>#N/A</v>
      </c>
      <c r="D234" s="108" t="str">
        <f>VLOOKUP($B234,ANAGRAFICA!$B$1:$G$306,3,FALSE)</f>
        <v>#N/A</v>
      </c>
      <c r="E234" s="109" t="str">
        <f>VLOOKUP($B234,ANAGRAFICA!$B$1:$G$306,4,FALSE)</f>
        <v>#N/A</v>
      </c>
      <c r="F234" s="109" t="str">
        <f>VLOOKUP($B234,ANAGRAFICA!$B$1:$G$306,5,FALSE)</f>
        <v>#N/A</v>
      </c>
      <c r="G234" s="109" t="str">
        <f>VLOOKUP($B234,ANAGRAFICA!$B$1:$G$306,6,FALSE)</f>
        <v>#N/A</v>
      </c>
      <c r="H234" s="94"/>
      <c r="I234" s="94"/>
      <c r="J234" s="94"/>
      <c r="K234" s="94"/>
      <c r="L234" s="94"/>
      <c r="M234" s="94"/>
      <c r="N234" s="94"/>
      <c r="O234" s="94"/>
    </row>
    <row r="235">
      <c r="A235" s="117"/>
      <c r="B235" s="117"/>
      <c r="C235" s="108" t="str">
        <f>VLOOKUP($B235,ANAGRAFICA!$B$1:$G$306,2,FALSE)</f>
        <v>#N/A</v>
      </c>
      <c r="D235" s="108" t="str">
        <f>VLOOKUP($B235,ANAGRAFICA!$B$1:$G$306,3,FALSE)</f>
        <v>#N/A</v>
      </c>
      <c r="E235" s="109" t="str">
        <f>VLOOKUP($B235,ANAGRAFICA!$B$1:$G$306,4,FALSE)</f>
        <v>#N/A</v>
      </c>
      <c r="F235" s="109" t="str">
        <f>VLOOKUP($B235,ANAGRAFICA!$B$1:$G$306,5,FALSE)</f>
        <v>#N/A</v>
      </c>
      <c r="G235" s="109" t="str">
        <f>VLOOKUP($B235,ANAGRAFICA!$B$1:$G$306,6,FALSE)</f>
        <v>#N/A</v>
      </c>
      <c r="H235" s="94"/>
      <c r="I235" s="94"/>
      <c r="J235" s="94"/>
      <c r="K235" s="94"/>
      <c r="L235" s="94"/>
      <c r="M235" s="94"/>
      <c r="N235" s="94"/>
      <c r="O235" s="94"/>
    </row>
    <row r="236">
      <c r="A236" s="117"/>
      <c r="B236" s="117"/>
      <c r="C236" s="108" t="str">
        <f>VLOOKUP($B236,ANAGRAFICA!$B$1:$G$306,2,FALSE)</f>
        <v>#N/A</v>
      </c>
      <c r="D236" s="108" t="str">
        <f>VLOOKUP($B236,ANAGRAFICA!$B$1:$G$306,3,FALSE)</f>
        <v>#N/A</v>
      </c>
      <c r="E236" s="109" t="str">
        <f>VLOOKUP($B236,ANAGRAFICA!$B$1:$G$306,4,FALSE)</f>
        <v>#N/A</v>
      </c>
      <c r="F236" s="109" t="str">
        <f>VLOOKUP($B236,ANAGRAFICA!$B$1:$G$306,5,FALSE)</f>
        <v>#N/A</v>
      </c>
      <c r="G236" s="109" t="str">
        <f>VLOOKUP($B236,ANAGRAFICA!$B$1:$G$306,6,FALSE)</f>
        <v>#N/A</v>
      </c>
      <c r="H236" s="94"/>
      <c r="I236" s="94"/>
      <c r="J236" s="94"/>
      <c r="K236" s="94"/>
      <c r="L236" s="94"/>
      <c r="M236" s="94"/>
      <c r="N236" s="94"/>
      <c r="O236" s="94"/>
    </row>
    <row r="237">
      <c r="A237" s="117"/>
      <c r="B237" s="117"/>
      <c r="C237" s="108" t="str">
        <f>VLOOKUP($B237,ANAGRAFICA!$B$1:$G$306,2,FALSE)</f>
        <v>#N/A</v>
      </c>
      <c r="D237" s="108" t="str">
        <f>VLOOKUP($B237,ANAGRAFICA!$B$1:$G$306,3,FALSE)</f>
        <v>#N/A</v>
      </c>
      <c r="E237" s="109" t="str">
        <f>VLOOKUP($B237,ANAGRAFICA!$B$1:$G$306,4,FALSE)</f>
        <v>#N/A</v>
      </c>
      <c r="F237" s="109" t="str">
        <f>VLOOKUP($B237,ANAGRAFICA!$B$1:$G$306,5,FALSE)</f>
        <v>#N/A</v>
      </c>
      <c r="G237" s="109" t="str">
        <f>VLOOKUP($B237,ANAGRAFICA!$B$1:$G$306,6,FALSE)</f>
        <v>#N/A</v>
      </c>
      <c r="H237" s="94"/>
      <c r="I237" s="94"/>
      <c r="J237" s="94"/>
      <c r="K237" s="94"/>
      <c r="L237" s="94"/>
      <c r="M237" s="94"/>
      <c r="N237" s="94"/>
      <c r="O237" s="94"/>
    </row>
    <row r="238">
      <c r="A238" s="117"/>
      <c r="B238" s="117"/>
      <c r="C238" s="108" t="str">
        <f>VLOOKUP($B238,ANAGRAFICA!$B$1:$G$306,2,FALSE)</f>
        <v>#N/A</v>
      </c>
      <c r="D238" s="108" t="str">
        <f>VLOOKUP($B238,ANAGRAFICA!$B$1:$G$306,3,FALSE)</f>
        <v>#N/A</v>
      </c>
      <c r="E238" s="109" t="str">
        <f>VLOOKUP($B238,ANAGRAFICA!$B$1:$G$306,4,FALSE)</f>
        <v>#N/A</v>
      </c>
      <c r="F238" s="109" t="str">
        <f>VLOOKUP($B238,ANAGRAFICA!$B$1:$G$306,5,FALSE)</f>
        <v>#N/A</v>
      </c>
      <c r="G238" s="109" t="str">
        <f>VLOOKUP($B238,ANAGRAFICA!$B$1:$G$306,6,FALSE)</f>
        <v>#N/A</v>
      </c>
      <c r="H238" s="94"/>
      <c r="I238" s="94"/>
      <c r="J238" s="94"/>
      <c r="K238" s="94"/>
      <c r="L238" s="94"/>
      <c r="M238" s="94"/>
      <c r="N238" s="94"/>
      <c r="O238" s="94"/>
    </row>
    <row r="239">
      <c r="A239" s="117"/>
      <c r="B239" s="117"/>
      <c r="C239" s="108" t="str">
        <f>VLOOKUP($B239,ANAGRAFICA!$B$1:$G$306,2,FALSE)</f>
        <v>#N/A</v>
      </c>
      <c r="D239" s="108" t="str">
        <f>VLOOKUP($B239,ANAGRAFICA!$B$1:$G$306,3,FALSE)</f>
        <v>#N/A</v>
      </c>
      <c r="E239" s="109" t="str">
        <f>VLOOKUP($B239,ANAGRAFICA!$B$1:$G$306,4,FALSE)</f>
        <v>#N/A</v>
      </c>
      <c r="F239" s="109" t="str">
        <f>VLOOKUP($B239,ANAGRAFICA!$B$1:$G$306,5,FALSE)</f>
        <v>#N/A</v>
      </c>
      <c r="G239" s="109" t="str">
        <f>VLOOKUP($B239,ANAGRAFICA!$B$1:$G$306,6,FALSE)</f>
        <v>#N/A</v>
      </c>
      <c r="H239" s="94"/>
      <c r="I239" s="94"/>
      <c r="J239" s="94"/>
      <c r="K239" s="94"/>
      <c r="L239" s="94"/>
      <c r="M239" s="94"/>
      <c r="N239" s="94"/>
      <c r="O239" s="94"/>
    </row>
    <row r="240">
      <c r="A240" s="117"/>
      <c r="B240" s="117"/>
      <c r="C240" s="108" t="str">
        <f>VLOOKUP($B240,ANAGRAFICA!$B$1:$G$306,2,FALSE)</f>
        <v>#N/A</v>
      </c>
      <c r="D240" s="108" t="str">
        <f>VLOOKUP($B240,ANAGRAFICA!$B$1:$G$306,3,FALSE)</f>
        <v>#N/A</v>
      </c>
      <c r="E240" s="109" t="str">
        <f>VLOOKUP($B240,ANAGRAFICA!$B$1:$G$306,4,FALSE)</f>
        <v>#N/A</v>
      </c>
      <c r="F240" s="109" t="str">
        <f>VLOOKUP($B240,ANAGRAFICA!$B$1:$G$306,5,FALSE)</f>
        <v>#N/A</v>
      </c>
      <c r="G240" s="109" t="str">
        <f>VLOOKUP($B240,ANAGRAFICA!$B$1:$G$306,6,FALSE)</f>
        <v>#N/A</v>
      </c>
      <c r="H240" s="94"/>
      <c r="I240" s="94"/>
      <c r="J240" s="94"/>
      <c r="K240" s="94"/>
      <c r="L240" s="94"/>
      <c r="M240" s="94"/>
      <c r="N240" s="94"/>
      <c r="O240" s="94"/>
    </row>
    <row r="241">
      <c r="A241" s="117"/>
      <c r="B241" s="117"/>
      <c r="C241" s="108" t="str">
        <f>VLOOKUP($B241,ANAGRAFICA!$B$1:$G$306,2,FALSE)</f>
        <v>#N/A</v>
      </c>
      <c r="D241" s="108" t="str">
        <f>VLOOKUP($B241,ANAGRAFICA!$B$1:$G$306,3,FALSE)</f>
        <v>#N/A</v>
      </c>
      <c r="E241" s="109" t="str">
        <f>VLOOKUP($B241,ANAGRAFICA!$B$1:$G$306,4,FALSE)</f>
        <v>#N/A</v>
      </c>
      <c r="F241" s="109" t="str">
        <f>VLOOKUP($B241,ANAGRAFICA!$B$1:$G$306,5,FALSE)</f>
        <v>#N/A</v>
      </c>
      <c r="G241" s="109" t="str">
        <f>VLOOKUP($B241,ANAGRAFICA!$B$1:$G$306,6,FALSE)</f>
        <v>#N/A</v>
      </c>
      <c r="H241" s="94"/>
      <c r="I241" s="94"/>
      <c r="J241" s="94"/>
      <c r="K241" s="94"/>
      <c r="L241" s="94"/>
      <c r="M241" s="94"/>
      <c r="N241" s="94"/>
      <c r="O241" s="94"/>
    </row>
    <row r="242">
      <c r="A242" s="117"/>
      <c r="B242" s="117"/>
      <c r="C242" s="108" t="str">
        <f>VLOOKUP($B242,ANAGRAFICA!$B$1:$G$306,2,FALSE)</f>
        <v>#N/A</v>
      </c>
      <c r="D242" s="108" t="str">
        <f>VLOOKUP($B242,ANAGRAFICA!$B$1:$G$306,3,FALSE)</f>
        <v>#N/A</v>
      </c>
      <c r="E242" s="109" t="str">
        <f>VLOOKUP($B242,ANAGRAFICA!$B$1:$G$306,4,FALSE)</f>
        <v>#N/A</v>
      </c>
      <c r="F242" s="109" t="str">
        <f>VLOOKUP($B242,ANAGRAFICA!$B$1:$G$306,5,FALSE)</f>
        <v>#N/A</v>
      </c>
      <c r="G242" s="109" t="str">
        <f>VLOOKUP($B242,ANAGRAFICA!$B$1:$G$306,6,FALSE)</f>
        <v>#N/A</v>
      </c>
      <c r="H242" s="94"/>
      <c r="I242" s="94"/>
      <c r="J242" s="94"/>
      <c r="K242" s="94"/>
      <c r="L242" s="94"/>
      <c r="M242" s="94"/>
      <c r="N242" s="94"/>
      <c r="O242" s="94"/>
    </row>
    <row r="243">
      <c r="A243" s="117"/>
      <c r="B243" s="117"/>
      <c r="C243" s="108" t="str">
        <f>VLOOKUP($B243,ANAGRAFICA!$B$1:$G$306,2,FALSE)</f>
        <v>#N/A</v>
      </c>
      <c r="D243" s="108" t="str">
        <f>VLOOKUP($B243,ANAGRAFICA!$B$1:$G$306,3,FALSE)</f>
        <v>#N/A</v>
      </c>
      <c r="E243" s="109" t="str">
        <f>VLOOKUP($B243,ANAGRAFICA!$B$1:$G$306,4,FALSE)</f>
        <v>#N/A</v>
      </c>
      <c r="F243" s="109" t="str">
        <f>VLOOKUP($B243,ANAGRAFICA!$B$1:$G$306,5,FALSE)</f>
        <v>#N/A</v>
      </c>
      <c r="G243" s="109" t="str">
        <f>VLOOKUP($B243,ANAGRAFICA!$B$1:$G$306,6,FALSE)</f>
        <v>#N/A</v>
      </c>
      <c r="H243" s="94"/>
      <c r="I243" s="94"/>
      <c r="J243" s="94"/>
      <c r="K243" s="94"/>
      <c r="L243" s="94"/>
      <c r="M243" s="94"/>
      <c r="N243" s="94"/>
      <c r="O243" s="94"/>
    </row>
    <row r="244">
      <c r="A244" s="117"/>
      <c r="B244" s="117"/>
      <c r="C244" s="108" t="str">
        <f>VLOOKUP($B244,ANAGRAFICA!$B$1:$G$306,2,FALSE)</f>
        <v>#N/A</v>
      </c>
      <c r="D244" s="108" t="str">
        <f>VLOOKUP($B244,ANAGRAFICA!$B$1:$G$306,3,FALSE)</f>
        <v>#N/A</v>
      </c>
      <c r="E244" s="109" t="str">
        <f>VLOOKUP($B244,ANAGRAFICA!$B$1:$G$306,4,FALSE)</f>
        <v>#N/A</v>
      </c>
      <c r="F244" s="109" t="str">
        <f>VLOOKUP($B244,ANAGRAFICA!$B$1:$G$306,5,FALSE)</f>
        <v>#N/A</v>
      </c>
      <c r="G244" s="109" t="str">
        <f>VLOOKUP($B244,ANAGRAFICA!$B$1:$G$306,6,FALSE)</f>
        <v>#N/A</v>
      </c>
      <c r="H244" s="94"/>
      <c r="I244" s="94"/>
      <c r="J244" s="94"/>
      <c r="K244" s="94"/>
      <c r="L244" s="94"/>
      <c r="M244" s="94"/>
      <c r="N244" s="94"/>
      <c r="O244" s="94"/>
    </row>
    <row r="245">
      <c r="A245" s="117"/>
      <c r="B245" s="117"/>
      <c r="C245" s="108" t="str">
        <f>VLOOKUP($B245,ANAGRAFICA!$B$1:$G$306,2,FALSE)</f>
        <v>#N/A</v>
      </c>
      <c r="D245" s="108" t="str">
        <f>VLOOKUP($B245,ANAGRAFICA!$B$1:$G$306,3,FALSE)</f>
        <v>#N/A</v>
      </c>
      <c r="E245" s="109" t="str">
        <f>VLOOKUP($B245,ANAGRAFICA!$B$1:$G$306,4,FALSE)</f>
        <v>#N/A</v>
      </c>
      <c r="F245" s="109" t="str">
        <f>VLOOKUP($B245,ANAGRAFICA!$B$1:$G$306,5,FALSE)</f>
        <v>#N/A</v>
      </c>
      <c r="G245" s="109" t="str">
        <f>VLOOKUP($B245,ANAGRAFICA!$B$1:$G$306,6,FALSE)</f>
        <v>#N/A</v>
      </c>
      <c r="H245" s="94"/>
      <c r="I245" s="94"/>
      <c r="J245" s="94"/>
      <c r="K245" s="94"/>
      <c r="L245" s="94"/>
      <c r="M245" s="94"/>
      <c r="N245" s="94"/>
      <c r="O245" s="94"/>
    </row>
    <row r="246">
      <c r="A246" s="117"/>
      <c r="B246" s="117"/>
      <c r="C246" s="108" t="str">
        <f>VLOOKUP($B246,ANAGRAFICA!$B$1:$G$306,2,FALSE)</f>
        <v>#N/A</v>
      </c>
      <c r="D246" s="108" t="str">
        <f>VLOOKUP($B246,ANAGRAFICA!$B$1:$G$306,3,FALSE)</f>
        <v>#N/A</v>
      </c>
      <c r="E246" s="109" t="str">
        <f>VLOOKUP($B246,ANAGRAFICA!$B$1:$G$306,4,FALSE)</f>
        <v>#N/A</v>
      </c>
      <c r="F246" s="109" t="str">
        <f>VLOOKUP($B246,ANAGRAFICA!$B$1:$G$306,5,FALSE)</f>
        <v>#N/A</v>
      </c>
      <c r="G246" s="109" t="str">
        <f>VLOOKUP($B246,ANAGRAFICA!$B$1:$G$306,6,FALSE)</f>
        <v>#N/A</v>
      </c>
      <c r="H246" s="94"/>
      <c r="I246" s="94"/>
      <c r="J246" s="94"/>
      <c r="K246" s="94"/>
      <c r="L246" s="94"/>
      <c r="M246" s="94"/>
      <c r="N246" s="94"/>
      <c r="O246" s="94"/>
    </row>
    <row r="247">
      <c r="A247" s="117"/>
      <c r="B247" s="117"/>
      <c r="C247" s="108" t="str">
        <f>VLOOKUP($B247,ANAGRAFICA!$B$1:$G$306,2,FALSE)</f>
        <v>#N/A</v>
      </c>
      <c r="D247" s="108" t="str">
        <f>VLOOKUP($B247,ANAGRAFICA!$B$1:$G$306,3,FALSE)</f>
        <v>#N/A</v>
      </c>
      <c r="E247" s="109" t="str">
        <f>VLOOKUP($B247,ANAGRAFICA!$B$1:$G$306,4,FALSE)</f>
        <v>#N/A</v>
      </c>
      <c r="F247" s="109" t="str">
        <f>VLOOKUP($B247,ANAGRAFICA!$B$1:$G$306,5,FALSE)</f>
        <v>#N/A</v>
      </c>
      <c r="G247" s="109" t="str">
        <f>VLOOKUP($B247,ANAGRAFICA!$B$1:$G$306,6,FALSE)</f>
        <v>#N/A</v>
      </c>
      <c r="H247" s="94"/>
      <c r="I247" s="94"/>
      <c r="J247" s="94"/>
      <c r="K247" s="94"/>
      <c r="L247" s="94"/>
      <c r="M247" s="94"/>
      <c r="N247" s="94"/>
      <c r="O247" s="94"/>
    </row>
    <row r="248">
      <c r="A248" s="117"/>
      <c r="B248" s="117"/>
      <c r="C248" s="108" t="str">
        <f>VLOOKUP($B248,ANAGRAFICA!$B$1:$G$306,2,FALSE)</f>
        <v>#N/A</v>
      </c>
      <c r="D248" s="108" t="str">
        <f>VLOOKUP($B248,ANAGRAFICA!$B$1:$G$306,3,FALSE)</f>
        <v>#N/A</v>
      </c>
      <c r="E248" s="109" t="str">
        <f>VLOOKUP($B248,ANAGRAFICA!$B$1:$G$306,4,FALSE)</f>
        <v>#N/A</v>
      </c>
      <c r="F248" s="109" t="str">
        <f>VLOOKUP($B248,ANAGRAFICA!$B$1:$G$306,5,FALSE)</f>
        <v>#N/A</v>
      </c>
      <c r="G248" s="109" t="str">
        <f>VLOOKUP($B248,ANAGRAFICA!$B$1:$G$306,6,FALSE)</f>
        <v>#N/A</v>
      </c>
      <c r="H248" s="94"/>
      <c r="I248" s="94"/>
      <c r="J248" s="94"/>
      <c r="K248" s="94"/>
      <c r="L248" s="94"/>
      <c r="M248" s="94"/>
      <c r="N248" s="94"/>
      <c r="O248" s="94"/>
    </row>
    <row r="249">
      <c r="A249" s="117"/>
      <c r="B249" s="117"/>
      <c r="C249" s="108" t="str">
        <f>VLOOKUP($B249,ANAGRAFICA!$B$1:$G$306,2,FALSE)</f>
        <v>#N/A</v>
      </c>
      <c r="D249" s="108" t="str">
        <f>VLOOKUP($B249,ANAGRAFICA!$B$1:$G$306,3,FALSE)</f>
        <v>#N/A</v>
      </c>
      <c r="E249" s="109" t="str">
        <f>VLOOKUP($B249,ANAGRAFICA!$B$1:$G$306,4,FALSE)</f>
        <v>#N/A</v>
      </c>
      <c r="F249" s="109" t="str">
        <f>VLOOKUP($B249,ANAGRAFICA!$B$1:$G$306,5,FALSE)</f>
        <v>#N/A</v>
      </c>
      <c r="G249" s="109" t="str">
        <f>VLOOKUP($B249,ANAGRAFICA!$B$1:$G$306,6,FALSE)</f>
        <v>#N/A</v>
      </c>
      <c r="H249" s="94"/>
      <c r="I249" s="94"/>
      <c r="J249" s="94"/>
      <c r="K249" s="94"/>
      <c r="L249" s="94"/>
      <c r="M249" s="94"/>
      <c r="N249" s="94"/>
      <c r="O249" s="94"/>
    </row>
    <row r="250">
      <c r="A250" s="117"/>
      <c r="B250" s="117"/>
      <c r="C250" s="108" t="str">
        <f>VLOOKUP($B250,ANAGRAFICA!$B$1:$G$306,2,FALSE)</f>
        <v>#N/A</v>
      </c>
      <c r="D250" s="108" t="str">
        <f>VLOOKUP($B250,ANAGRAFICA!$B$1:$G$306,3,FALSE)</f>
        <v>#N/A</v>
      </c>
      <c r="E250" s="109" t="str">
        <f>VLOOKUP($B250,ANAGRAFICA!$B$1:$G$306,4,FALSE)</f>
        <v>#N/A</v>
      </c>
      <c r="F250" s="109" t="str">
        <f>VLOOKUP($B250,ANAGRAFICA!$B$1:$G$306,5,FALSE)</f>
        <v>#N/A</v>
      </c>
      <c r="G250" s="109" t="str">
        <f>VLOOKUP($B250,ANAGRAFICA!$B$1:$G$306,6,FALSE)</f>
        <v>#N/A</v>
      </c>
      <c r="H250" s="94"/>
      <c r="I250" s="94"/>
      <c r="J250" s="94"/>
      <c r="K250" s="94"/>
      <c r="L250" s="94"/>
      <c r="M250" s="94"/>
      <c r="N250" s="94"/>
      <c r="O250" s="94"/>
    </row>
    <row r="251">
      <c r="A251" s="117"/>
      <c r="B251" s="117"/>
      <c r="C251" s="108" t="str">
        <f>VLOOKUP($B251,ANAGRAFICA!$B$1:$G$306,2,FALSE)</f>
        <v>#N/A</v>
      </c>
      <c r="D251" s="108" t="str">
        <f>VLOOKUP($B251,ANAGRAFICA!$B$1:$G$306,3,FALSE)</f>
        <v>#N/A</v>
      </c>
      <c r="E251" s="109" t="str">
        <f>VLOOKUP($B251,ANAGRAFICA!$B$1:$G$306,4,FALSE)</f>
        <v>#N/A</v>
      </c>
      <c r="F251" s="109" t="str">
        <f>VLOOKUP($B251,ANAGRAFICA!$B$1:$G$306,5,FALSE)</f>
        <v>#N/A</v>
      </c>
      <c r="G251" s="109" t="str">
        <f>VLOOKUP($B251,ANAGRAFICA!$B$1:$G$306,6,FALSE)</f>
        <v>#N/A</v>
      </c>
      <c r="H251" s="94"/>
      <c r="I251" s="94"/>
      <c r="J251" s="94"/>
      <c r="K251" s="94"/>
      <c r="L251" s="94"/>
      <c r="M251" s="94"/>
      <c r="N251" s="94"/>
      <c r="O251" s="94"/>
    </row>
    <row r="252">
      <c r="A252" s="117"/>
      <c r="B252" s="117"/>
      <c r="C252" s="108" t="str">
        <f>VLOOKUP($B252,ANAGRAFICA!$B$1:$G$306,2,FALSE)</f>
        <v>#N/A</v>
      </c>
      <c r="D252" s="108" t="str">
        <f>VLOOKUP($B252,ANAGRAFICA!$B$1:$G$306,3,FALSE)</f>
        <v>#N/A</v>
      </c>
      <c r="E252" s="109" t="str">
        <f>VLOOKUP($B252,ANAGRAFICA!$B$1:$G$306,4,FALSE)</f>
        <v>#N/A</v>
      </c>
      <c r="F252" s="109" t="str">
        <f>VLOOKUP($B252,ANAGRAFICA!$B$1:$G$306,5,FALSE)</f>
        <v>#N/A</v>
      </c>
      <c r="G252" s="109" t="str">
        <f>VLOOKUP($B252,ANAGRAFICA!$B$1:$G$306,6,FALSE)</f>
        <v>#N/A</v>
      </c>
      <c r="H252" s="94"/>
      <c r="I252" s="94"/>
      <c r="J252" s="94"/>
      <c r="K252" s="94"/>
      <c r="L252" s="94"/>
      <c r="M252" s="94"/>
      <c r="N252" s="94"/>
      <c r="O252" s="94"/>
    </row>
    <row r="253">
      <c r="A253" s="117"/>
      <c r="B253" s="117"/>
      <c r="C253" s="108" t="str">
        <f>VLOOKUP($B253,ANAGRAFICA!$B$1:$G$306,2,FALSE)</f>
        <v>#N/A</v>
      </c>
      <c r="D253" s="108" t="str">
        <f>VLOOKUP($B253,ANAGRAFICA!$B$1:$G$306,3,FALSE)</f>
        <v>#N/A</v>
      </c>
      <c r="E253" s="109" t="str">
        <f>VLOOKUP($B253,ANAGRAFICA!$B$1:$G$306,4,FALSE)</f>
        <v>#N/A</v>
      </c>
      <c r="F253" s="109" t="str">
        <f>VLOOKUP($B253,ANAGRAFICA!$B$1:$G$306,5,FALSE)</f>
        <v>#N/A</v>
      </c>
      <c r="G253" s="109" t="str">
        <f>VLOOKUP($B253,ANAGRAFICA!$B$1:$G$306,6,FALSE)</f>
        <v>#N/A</v>
      </c>
      <c r="H253" s="94"/>
      <c r="I253" s="94"/>
      <c r="J253" s="94"/>
      <c r="K253" s="94"/>
      <c r="L253" s="94"/>
      <c r="M253" s="94"/>
      <c r="N253" s="94"/>
      <c r="O253" s="94"/>
    </row>
    <row r="254">
      <c r="A254" s="117"/>
      <c r="B254" s="117"/>
      <c r="C254" s="108" t="str">
        <f>VLOOKUP($B254,ANAGRAFICA!$B$1:$G$306,2,FALSE)</f>
        <v>#N/A</v>
      </c>
      <c r="D254" s="108" t="str">
        <f>VLOOKUP($B254,ANAGRAFICA!$B$1:$G$306,3,FALSE)</f>
        <v>#N/A</v>
      </c>
      <c r="E254" s="109" t="str">
        <f>VLOOKUP($B254,ANAGRAFICA!$B$1:$G$306,4,FALSE)</f>
        <v>#N/A</v>
      </c>
      <c r="F254" s="109" t="str">
        <f>VLOOKUP($B254,ANAGRAFICA!$B$1:$G$306,5,FALSE)</f>
        <v>#N/A</v>
      </c>
      <c r="G254" s="109" t="str">
        <f>VLOOKUP($B254,ANAGRAFICA!$B$1:$G$306,6,FALSE)</f>
        <v>#N/A</v>
      </c>
      <c r="H254" s="94"/>
      <c r="I254" s="94"/>
      <c r="J254" s="94"/>
      <c r="K254" s="94"/>
      <c r="L254" s="94"/>
      <c r="M254" s="94"/>
      <c r="N254" s="94"/>
      <c r="O254" s="94"/>
    </row>
    <row r="255">
      <c r="A255" s="117"/>
      <c r="B255" s="117"/>
      <c r="C255" s="108" t="str">
        <f>VLOOKUP($B255,ANAGRAFICA!$B$1:$G$306,2,FALSE)</f>
        <v>#N/A</v>
      </c>
      <c r="D255" s="108" t="str">
        <f>VLOOKUP($B255,ANAGRAFICA!$B$1:$G$306,3,FALSE)</f>
        <v>#N/A</v>
      </c>
      <c r="E255" s="109" t="str">
        <f>VLOOKUP($B255,ANAGRAFICA!$B$1:$G$306,4,FALSE)</f>
        <v>#N/A</v>
      </c>
      <c r="F255" s="109" t="str">
        <f>VLOOKUP($B255,ANAGRAFICA!$B$1:$G$306,5,FALSE)</f>
        <v>#N/A</v>
      </c>
      <c r="G255" s="109" t="str">
        <f>VLOOKUP($B255,ANAGRAFICA!$B$1:$G$306,6,FALSE)</f>
        <v>#N/A</v>
      </c>
      <c r="H255" s="94"/>
      <c r="I255" s="94"/>
      <c r="J255" s="94"/>
      <c r="K255" s="94"/>
      <c r="L255" s="94"/>
      <c r="M255" s="94"/>
      <c r="N255" s="94"/>
      <c r="O255" s="94"/>
    </row>
    <row r="256">
      <c r="A256" s="117"/>
      <c r="B256" s="117"/>
      <c r="C256" s="108" t="str">
        <f>VLOOKUP($B256,ANAGRAFICA!$B$1:$G$306,2,FALSE)</f>
        <v>#N/A</v>
      </c>
      <c r="D256" s="108" t="str">
        <f>VLOOKUP($B256,ANAGRAFICA!$B$1:$G$306,3,FALSE)</f>
        <v>#N/A</v>
      </c>
      <c r="E256" s="109" t="str">
        <f>VLOOKUP($B256,ANAGRAFICA!$B$1:$G$306,4,FALSE)</f>
        <v>#N/A</v>
      </c>
      <c r="F256" s="109" t="str">
        <f>VLOOKUP($B256,ANAGRAFICA!$B$1:$G$306,5,FALSE)</f>
        <v>#N/A</v>
      </c>
      <c r="G256" s="109" t="str">
        <f>VLOOKUP($B256,ANAGRAFICA!$B$1:$G$306,6,FALSE)</f>
        <v>#N/A</v>
      </c>
      <c r="H256" s="94"/>
      <c r="I256" s="94"/>
      <c r="J256" s="94"/>
      <c r="K256" s="94"/>
      <c r="L256" s="94"/>
      <c r="M256" s="94"/>
      <c r="N256" s="94"/>
      <c r="O256" s="94"/>
    </row>
    <row r="257">
      <c r="A257" s="117"/>
      <c r="B257" s="117"/>
      <c r="C257" s="108" t="str">
        <f>VLOOKUP($B257,ANAGRAFICA!$B$1:$G$306,2,FALSE)</f>
        <v>#N/A</v>
      </c>
      <c r="D257" s="108" t="str">
        <f>VLOOKUP($B257,ANAGRAFICA!$B$1:$G$306,3,FALSE)</f>
        <v>#N/A</v>
      </c>
      <c r="E257" s="109" t="str">
        <f>VLOOKUP($B257,ANAGRAFICA!$B$1:$G$306,4,FALSE)</f>
        <v>#N/A</v>
      </c>
      <c r="F257" s="109" t="str">
        <f>VLOOKUP($B257,ANAGRAFICA!$B$1:$G$306,5,FALSE)</f>
        <v>#N/A</v>
      </c>
      <c r="G257" s="109" t="str">
        <f>VLOOKUP($B257,ANAGRAFICA!$B$1:$G$306,6,FALSE)</f>
        <v>#N/A</v>
      </c>
      <c r="H257" s="94"/>
      <c r="I257" s="94"/>
      <c r="J257" s="94"/>
      <c r="K257" s="94"/>
      <c r="L257" s="94"/>
      <c r="M257" s="94"/>
      <c r="N257" s="94"/>
      <c r="O257" s="94"/>
    </row>
    <row r="258">
      <c r="A258" s="117"/>
      <c r="B258" s="117"/>
      <c r="C258" s="108" t="str">
        <f>VLOOKUP($B258,ANAGRAFICA!$B$1:$G$306,2,FALSE)</f>
        <v>#N/A</v>
      </c>
      <c r="D258" s="108" t="str">
        <f>VLOOKUP($B258,ANAGRAFICA!$B$1:$G$306,3,FALSE)</f>
        <v>#N/A</v>
      </c>
      <c r="E258" s="109" t="str">
        <f>VLOOKUP($B258,ANAGRAFICA!$B$1:$G$306,4,FALSE)</f>
        <v>#N/A</v>
      </c>
      <c r="F258" s="109" t="str">
        <f>VLOOKUP($B258,ANAGRAFICA!$B$1:$G$306,5,FALSE)</f>
        <v>#N/A</v>
      </c>
      <c r="G258" s="109" t="str">
        <f>VLOOKUP($B258,ANAGRAFICA!$B$1:$G$306,6,FALSE)</f>
        <v>#N/A</v>
      </c>
      <c r="H258" s="94"/>
      <c r="I258" s="94"/>
      <c r="J258" s="94"/>
      <c r="K258" s="94"/>
      <c r="L258" s="94"/>
      <c r="M258" s="94"/>
      <c r="N258" s="94"/>
      <c r="O258" s="94"/>
    </row>
    <row r="259">
      <c r="A259" s="117"/>
      <c r="B259" s="117"/>
      <c r="C259" s="108" t="str">
        <f>VLOOKUP($B259,ANAGRAFICA!$B$1:$G$306,2,FALSE)</f>
        <v>#N/A</v>
      </c>
      <c r="D259" s="108" t="str">
        <f>VLOOKUP($B259,ANAGRAFICA!$B$1:$G$306,3,FALSE)</f>
        <v>#N/A</v>
      </c>
      <c r="E259" s="109" t="str">
        <f>VLOOKUP($B259,ANAGRAFICA!$B$1:$G$306,4,FALSE)</f>
        <v>#N/A</v>
      </c>
      <c r="F259" s="109" t="str">
        <f>VLOOKUP($B259,ANAGRAFICA!$B$1:$G$306,5,FALSE)</f>
        <v>#N/A</v>
      </c>
      <c r="G259" s="109" t="str">
        <f>VLOOKUP($B259,ANAGRAFICA!$B$1:$G$306,6,FALSE)</f>
        <v>#N/A</v>
      </c>
      <c r="H259" s="94"/>
      <c r="I259" s="94"/>
      <c r="J259" s="94"/>
      <c r="K259" s="94"/>
      <c r="L259" s="94"/>
      <c r="M259" s="94"/>
      <c r="N259" s="94"/>
      <c r="O259" s="94"/>
    </row>
    <row r="260">
      <c r="A260" s="117"/>
      <c r="B260" s="117"/>
      <c r="C260" s="108" t="str">
        <f>VLOOKUP($B260,ANAGRAFICA!$B$1:$G$306,2,FALSE)</f>
        <v>#N/A</v>
      </c>
      <c r="D260" s="108" t="str">
        <f>VLOOKUP($B260,ANAGRAFICA!$B$1:$G$306,3,FALSE)</f>
        <v>#N/A</v>
      </c>
      <c r="E260" s="109" t="str">
        <f>VLOOKUP($B260,ANAGRAFICA!$B$1:$G$306,4,FALSE)</f>
        <v>#N/A</v>
      </c>
      <c r="F260" s="109" t="str">
        <f>VLOOKUP($B260,ANAGRAFICA!$B$1:$G$306,5,FALSE)</f>
        <v>#N/A</v>
      </c>
      <c r="G260" s="109" t="str">
        <f>VLOOKUP($B260,ANAGRAFICA!$B$1:$G$306,6,FALSE)</f>
        <v>#N/A</v>
      </c>
      <c r="H260" s="94"/>
      <c r="I260" s="94"/>
      <c r="J260" s="94"/>
      <c r="K260" s="94"/>
      <c r="L260" s="94"/>
      <c r="M260" s="94"/>
      <c r="N260" s="94"/>
      <c r="O260" s="94"/>
    </row>
    <row r="261">
      <c r="A261" s="117"/>
      <c r="B261" s="117"/>
      <c r="C261" s="108" t="str">
        <f>VLOOKUP($B261,ANAGRAFICA!$B$1:$G$306,2,FALSE)</f>
        <v>#N/A</v>
      </c>
      <c r="D261" s="108" t="str">
        <f>VLOOKUP($B261,ANAGRAFICA!$B$1:$G$306,3,FALSE)</f>
        <v>#N/A</v>
      </c>
      <c r="E261" s="109" t="str">
        <f>VLOOKUP($B261,ANAGRAFICA!$B$1:$G$306,4,FALSE)</f>
        <v>#N/A</v>
      </c>
      <c r="F261" s="109" t="str">
        <f>VLOOKUP($B261,ANAGRAFICA!$B$1:$G$306,5,FALSE)</f>
        <v>#N/A</v>
      </c>
      <c r="G261" s="109" t="str">
        <f>VLOOKUP($B261,ANAGRAFICA!$B$1:$G$306,6,FALSE)</f>
        <v>#N/A</v>
      </c>
      <c r="H261" s="94"/>
      <c r="I261" s="94"/>
      <c r="J261" s="94"/>
      <c r="K261" s="94"/>
      <c r="L261" s="94"/>
      <c r="M261" s="94"/>
      <c r="N261" s="94"/>
      <c r="O261" s="94"/>
    </row>
    <row r="262">
      <c r="A262" s="117"/>
      <c r="B262" s="117"/>
      <c r="C262" s="108" t="str">
        <f>VLOOKUP($B262,ANAGRAFICA!$B$1:$G$306,2,FALSE)</f>
        <v>#N/A</v>
      </c>
      <c r="D262" s="108" t="str">
        <f>VLOOKUP($B262,ANAGRAFICA!$B$1:$G$306,3,FALSE)</f>
        <v>#N/A</v>
      </c>
      <c r="E262" s="109" t="str">
        <f>VLOOKUP($B262,ANAGRAFICA!$B$1:$G$306,4,FALSE)</f>
        <v>#N/A</v>
      </c>
      <c r="F262" s="109" t="str">
        <f>VLOOKUP($B262,ANAGRAFICA!$B$1:$G$306,5,FALSE)</f>
        <v>#N/A</v>
      </c>
      <c r="G262" s="109" t="str">
        <f>VLOOKUP($B262,ANAGRAFICA!$B$1:$G$306,6,FALSE)</f>
        <v>#N/A</v>
      </c>
      <c r="H262" s="94"/>
      <c r="I262" s="94"/>
      <c r="J262" s="94"/>
      <c r="K262" s="94"/>
      <c r="L262" s="94"/>
      <c r="M262" s="94"/>
      <c r="N262" s="94"/>
      <c r="O262" s="94"/>
    </row>
    <row r="263">
      <c r="A263" s="117"/>
      <c r="B263" s="117"/>
      <c r="C263" s="108" t="str">
        <f>VLOOKUP($B263,ANAGRAFICA!$B$1:$G$306,2,FALSE)</f>
        <v>#N/A</v>
      </c>
      <c r="D263" s="108" t="str">
        <f>VLOOKUP($B263,ANAGRAFICA!$B$1:$G$306,3,FALSE)</f>
        <v>#N/A</v>
      </c>
      <c r="E263" s="109" t="str">
        <f>VLOOKUP($B263,ANAGRAFICA!$B$1:$G$306,4,FALSE)</f>
        <v>#N/A</v>
      </c>
      <c r="F263" s="109" t="str">
        <f>VLOOKUP($B263,ANAGRAFICA!$B$1:$G$306,5,FALSE)</f>
        <v>#N/A</v>
      </c>
      <c r="G263" s="109" t="str">
        <f>VLOOKUP($B263,ANAGRAFICA!$B$1:$G$306,6,FALSE)</f>
        <v>#N/A</v>
      </c>
      <c r="H263" s="94"/>
      <c r="I263" s="94"/>
      <c r="J263" s="94"/>
      <c r="K263" s="94"/>
      <c r="L263" s="94"/>
      <c r="M263" s="94"/>
      <c r="N263" s="94"/>
      <c r="O263" s="94"/>
    </row>
    <row r="264">
      <c r="A264" s="117"/>
      <c r="B264" s="117"/>
      <c r="C264" s="108" t="str">
        <f>VLOOKUP($B264,ANAGRAFICA!$B$1:$G$306,2,FALSE)</f>
        <v>#N/A</v>
      </c>
      <c r="D264" s="108" t="str">
        <f>VLOOKUP($B264,ANAGRAFICA!$B$1:$G$306,3,FALSE)</f>
        <v>#N/A</v>
      </c>
      <c r="E264" s="109" t="str">
        <f>VLOOKUP($B264,ANAGRAFICA!$B$1:$G$306,4,FALSE)</f>
        <v>#N/A</v>
      </c>
      <c r="F264" s="109" t="str">
        <f>VLOOKUP($B264,ANAGRAFICA!$B$1:$G$306,5,FALSE)</f>
        <v>#N/A</v>
      </c>
      <c r="G264" s="109" t="str">
        <f>VLOOKUP($B264,ANAGRAFICA!$B$1:$G$306,6,FALSE)</f>
        <v>#N/A</v>
      </c>
      <c r="H264" s="94"/>
      <c r="I264" s="94"/>
      <c r="J264" s="94"/>
      <c r="K264" s="94"/>
      <c r="L264" s="94"/>
      <c r="M264" s="94"/>
      <c r="N264" s="94"/>
      <c r="O264" s="94"/>
    </row>
    <row r="265">
      <c r="A265" s="117"/>
      <c r="B265" s="117"/>
      <c r="C265" s="108" t="str">
        <f>VLOOKUP($B265,ANAGRAFICA!$B$1:$G$306,2,FALSE)</f>
        <v>#N/A</v>
      </c>
      <c r="D265" s="108" t="str">
        <f>VLOOKUP($B265,ANAGRAFICA!$B$1:$G$306,3,FALSE)</f>
        <v>#N/A</v>
      </c>
      <c r="E265" s="109" t="str">
        <f>VLOOKUP($B265,ANAGRAFICA!$B$1:$G$306,4,FALSE)</f>
        <v>#N/A</v>
      </c>
      <c r="F265" s="109" t="str">
        <f>VLOOKUP($B265,ANAGRAFICA!$B$1:$G$306,5,FALSE)</f>
        <v>#N/A</v>
      </c>
      <c r="G265" s="109" t="str">
        <f>VLOOKUP($B265,ANAGRAFICA!$B$1:$G$306,6,FALSE)</f>
        <v>#N/A</v>
      </c>
      <c r="H265" s="94"/>
      <c r="I265" s="94"/>
      <c r="J265" s="94"/>
      <c r="K265" s="94"/>
      <c r="L265" s="94"/>
      <c r="M265" s="94"/>
      <c r="N265" s="94"/>
      <c r="O265" s="94"/>
    </row>
    <row r="266">
      <c r="A266" s="117"/>
      <c r="B266" s="117"/>
      <c r="C266" s="108" t="str">
        <f>VLOOKUP($B266,ANAGRAFICA!$B$1:$G$306,2,FALSE)</f>
        <v>#N/A</v>
      </c>
      <c r="D266" s="108" t="str">
        <f>VLOOKUP($B266,ANAGRAFICA!$B$1:$G$306,3,FALSE)</f>
        <v>#N/A</v>
      </c>
      <c r="E266" s="109" t="str">
        <f>VLOOKUP($B266,ANAGRAFICA!$B$1:$G$306,4,FALSE)</f>
        <v>#N/A</v>
      </c>
      <c r="F266" s="109" t="str">
        <f>VLOOKUP($B266,ANAGRAFICA!$B$1:$G$306,5,FALSE)</f>
        <v>#N/A</v>
      </c>
      <c r="G266" s="109" t="str">
        <f>VLOOKUP($B266,ANAGRAFICA!$B$1:$G$306,6,FALSE)</f>
        <v>#N/A</v>
      </c>
      <c r="H266" s="94"/>
      <c r="I266" s="94"/>
      <c r="J266" s="94"/>
      <c r="K266" s="94"/>
      <c r="L266" s="94"/>
      <c r="M266" s="94"/>
      <c r="N266" s="94"/>
      <c r="O266" s="94"/>
    </row>
    <row r="267">
      <c r="A267" s="117"/>
      <c r="B267" s="117"/>
      <c r="C267" s="108" t="str">
        <f>VLOOKUP($B267,ANAGRAFICA!$B$1:$G$306,2,FALSE)</f>
        <v>#N/A</v>
      </c>
      <c r="D267" s="108" t="str">
        <f>VLOOKUP($B267,ANAGRAFICA!$B$1:$G$306,3,FALSE)</f>
        <v>#N/A</v>
      </c>
      <c r="E267" s="109" t="str">
        <f>VLOOKUP($B267,ANAGRAFICA!$B$1:$G$306,4,FALSE)</f>
        <v>#N/A</v>
      </c>
      <c r="F267" s="109" t="str">
        <f>VLOOKUP($B267,ANAGRAFICA!$B$1:$G$306,5,FALSE)</f>
        <v>#N/A</v>
      </c>
      <c r="G267" s="109" t="str">
        <f>VLOOKUP($B267,ANAGRAFICA!$B$1:$G$306,6,FALSE)</f>
        <v>#N/A</v>
      </c>
      <c r="H267" s="94"/>
      <c r="I267" s="94"/>
      <c r="J267" s="94"/>
      <c r="K267" s="94"/>
      <c r="L267" s="94"/>
      <c r="M267" s="94"/>
      <c r="N267" s="94"/>
      <c r="O267" s="94"/>
    </row>
    <row r="268">
      <c r="A268" s="117"/>
      <c r="B268" s="117"/>
      <c r="C268" s="108" t="str">
        <f>VLOOKUP($B268,ANAGRAFICA!$B$1:$G$306,2,FALSE)</f>
        <v>#N/A</v>
      </c>
      <c r="D268" s="108" t="str">
        <f>VLOOKUP($B268,ANAGRAFICA!$B$1:$G$306,3,FALSE)</f>
        <v>#N/A</v>
      </c>
      <c r="E268" s="109" t="str">
        <f>VLOOKUP($B268,ANAGRAFICA!$B$1:$G$306,4,FALSE)</f>
        <v>#N/A</v>
      </c>
      <c r="F268" s="109" t="str">
        <f>VLOOKUP($B268,ANAGRAFICA!$B$1:$G$306,5,FALSE)</f>
        <v>#N/A</v>
      </c>
      <c r="G268" s="109" t="str">
        <f>VLOOKUP($B268,ANAGRAFICA!$B$1:$G$306,6,FALSE)</f>
        <v>#N/A</v>
      </c>
      <c r="H268" s="94"/>
      <c r="I268" s="94"/>
      <c r="J268" s="94"/>
      <c r="K268" s="94"/>
      <c r="L268" s="94"/>
      <c r="M268" s="94"/>
      <c r="N268" s="94"/>
      <c r="O268" s="94"/>
    </row>
    <row r="269">
      <c r="A269" s="117"/>
      <c r="B269" s="117"/>
      <c r="C269" s="108" t="str">
        <f>VLOOKUP($B269,ANAGRAFICA!$B$1:$G$306,2,FALSE)</f>
        <v>#N/A</v>
      </c>
      <c r="D269" s="108" t="str">
        <f>VLOOKUP($B269,ANAGRAFICA!$B$1:$G$306,3,FALSE)</f>
        <v>#N/A</v>
      </c>
      <c r="E269" s="109" t="str">
        <f>VLOOKUP($B269,ANAGRAFICA!$B$1:$G$306,4,FALSE)</f>
        <v>#N/A</v>
      </c>
      <c r="F269" s="109" t="str">
        <f>VLOOKUP($B269,ANAGRAFICA!$B$1:$G$306,5,FALSE)</f>
        <v>#N/A</v>
      </c>
      <c r="G269" s="109" t="str">
        <f>VLOOKUP($B269,ANAGRAFICA!$B$1:$G$306,6,FALSE)</f>
        <v>#N/A</v>
      </c>
      <c r="H269" s="94"/>
      <c r="I269" s="94"/>
      <c r="J269" s="94"/>
      <c r="K269" s="94"/>
      <c r="L269" s="94"/>
      <c r="M269" s="94"/>
      <c r="N269" s="94"/>
      <c r="O269" s="94"/>
    </row>
    <row r="270">
      <c r="A270" s="117"/>
      <c r="B270" s="117"/>
      <c r="C270" s="108" t="str">
        <f>VLOOKUP($B270,ANAGRAFICA!$B$1:$G$306,2,FALSE)</f>
        <v>#N/A</v>
      </c>
      <c r="D270" s="108" t="str">
        <f>VLOOKUP($B270,ANAGRAFICA!$B$1:$G$306,3,FALSE)</f>
        <v>#N/A</v>
      </c>
      <c r="E270" s="109" t="str">
        <f>VLOOKUP($B270,ANAGRAFICA!$B$1:$G$306,4,FALSE)</f>
        <v>#N/A</v>
      </c>
      <c r="F270" s="109" t="str">
        <f>VLOOKUP($B270,ANAGRAFICA!$B$1:$G$306,5,FALSE)</f>
        <v>#N/A</v>
      </c>
      <c r="G270" s="109" t="str">
        <f>VLOOKUP($B270,ANAGRAFICA!$B$1:$G$306,6,FALSE)</f>
        <v>#N/A</v>
      </c>
      <c r="H270" s="94"/>
      <c r="I270" s="94"/>
      <c r="J270" s="94"/>
      <c r="K270" s="94"/>
      <c r="L270" s="94"/>
      <c r="M270" s="94"/>
      <c r="N270" s="94"/>
      <c r="O270" s="94"/>
    </row>
    <row r="271">
      <c r="A271" s="117"/>
      <c r="B271" s="117"/>
      <c r="C271" s="108" t="str">
        <f>VLOOKUP($B271,ANAGRAFICA!$B$1:$G$306,2,FALSE)</f>
        <v>#N/A</v>
      </c>
      <c r="D271" s="108" t="str">
        <f>VLOOKUP($B271,ANAGRAFICA!$B$1:$G$306,3,FALSE)</f>
        <v>#N/A</v>
      </c>
      <c r="E271" s="109" t="str">
        <f>VLOOKUP($B271,ANAGRAFICA!$B$1:$G$306,4,FALSE)</f>
        <v>#N/A</v>
      </c>
      <c r="F271" s="109" t="str">
        <f>VLOOKUP($B271,ANAGRAFICA!$B$1:$G$306,5,FALSE)</f>
        <v>#N/A</v>
      </c>
      <c r="G271" s="109" t="str">
        <f>VLOOKUP($B271,ANAGRAFICA!$B$1:$G$306,6,FALSE)</f>
        <v>#N/A</v>
      </c>
      <c r="H271" s="94"/>
      <c r="I271" s="94"/>
      <c r="J271" s="94"/>
      <c r="K271" s="94"/>
      <c r="L271" s="94"/>
      <c r="M271" s="94"/>
      <c r="N271" s="94"/>
      <c r="O271" s="94"/>
    </row>
    <row r="272">
      <c r="A272" s="117"/>
      <c r="B272" s="117"/>
      <c r="C272" s="108" t="str">
        <f>VLOOKUP($B272,ANAGRAFICA!$B$1:$G$306,2,FALSE)</f>
        <v>#N/A</v>
      </c>
      <c r="D272" s="108" t="str">
        <f>VLOOKUP($B272,ANAGRAFICA!$B$1:$G$306,3,FALSE)</f>
        <v>#N/A</v>
      </c>
      <c r="E272" s="109" t="str">
        <f>VLOOKUP($B272,ANAGRAFICA!$B$1:$G$306,4,FALSE)</f>
        <v>#N/A</v>
      </c>
      <c r="F272" s="109" t="str">
        <f>VLOOKUP($B272,ANAGRAFICA!$B$1:$G$306,5,FALSE)</f>
        <v>#N/A</v>
      </c>
      <c r="G272" s="109" t="str">
        <f>VLOOKUP($B272,ANAGRAFICA!$B$1:$G$306,6,FALSE)</f>
        <v>#N/A</v>
      </c>
      <c r="H272" s="94"/>
      <c r="I272" s="94"/>
      <c r="J272" s="94"/>
      <c r="K272" s="94"/>
      <c r="L272" s="94"/>
      <c r="M272" s="94"/>
      <c r="N272" s="94"/>
      <c r="O272" s="94"/>
    </row>
    <row r="273">
      <c r="A273" s="117"/>
      <c r="B273" s="117"/>
      <c r="C273" s="108" t="str">
        <f>VLOOKUP($B273,ANAGRAFICA!$B$1:$G$306,2,FALSE)</f>
        <v>#N/A</v>
      </c>
      <c r="D273" s="108" t="str">
        <f>VLOOKUP($B273,ANAGRAFICA!$B$1:$G$306,3,FALSE)</f>
        <v>#N/A</v>
      </c>
      <c r="E273" s="109" t="str">
        <f>VLOOKUP($B273,ANAGRAFICA!$B$1:$G$306,4,FALSE)</f>
        <v>#N/A</v>
      </c>
      <c r="F273" s="109" t="str">
        <f>VLOOKUP($B273,ANAGRAFICA!$B$1:$G$306,5,FALSE)</f>
        <v>#N/A</v>
      </c>
      <c r="G273" s="109" t="str">
        <f>VLOOKUP($B273,ANAGRAFICA!$B$1:$G$306,6,FALSE)</f>
        <v>#N/A</v>
      </c>
      <c r="H273" s="94"/>
      <c r="I273" s="94"/>
      <c r="J273" s="94"/>
      <c r="K273" s="94"/>
      <c r="L273" s="94"/>
      <c r="M273" s="94"/>
      <c r="N273" s="94"/>
      <c r="O273" s="94"/>
    </row>
    <row r="274">
      <c r="A274" s="117"/>
      <c r="B274" s="117"/>
      <c r="C274" s="108" t="str">
        <f>VLOOKUP($B274,ANAGRAFICA!$B$1:$G$306,2,FALSE)</f>
        <v>#N/A</v>
      </c>
      <c r="D274" s="108" t="str">
        <f>VLOOKUP($B274,ANAGRAFICA!$B$1:$G$306,3,FALSE)</f>
        <v>#N/A</v>
      </c>
      <c r="E274" s="109" t="str">
        <f>VLOOKUP($B274,ANAGRAFICA!$B$1:$G$306,4,FALSE)</f>
        <v>#N/A</v>
      </c>
      <c r="F274" s="109" t="str">
        <f>VLOOKUP($B274,ANAGRAFICA!$B$1:$G$306,5,FALSE)</f>
        <v>#N/A</v>
      </c>
      <c r="G274" s="109" t="str">
        <f>VLOOKUP($B274,ANAGRAFICA!$B$1:$G$306,6,FALSE)</f>
        <v>#N/A</v>
      </c>
      <c r="H274" s="94"/>
      <c r="I274" s="94"/>
      <c r="J274" s="94"/>
      <c r="K274" s="94"/>
      <c r="L274" s="94"/>
      <c r="M274" s="94"/>
      <c r="N274" s="94"/>
      <c r="O274" s="94"/>
    </row>
    <row r="275">
      <c r="A275" s="117"/>
      <c r="B275" s="117"/>
      <c r="C275" s="108" t="str">
        <f>VLOOKUP($B275,ANAGRAFICA!$B$1:$G$306,2,FALSE)</f>
        <v>#N/A</v>
      </c>
      <c r="D275" s="108" t="str">
        <f>VLOOKUP($B275,ANAGRAFICA!$B$1:$G$306,3,FALSE)</f>
        <v>#N/A</v>
      </c>
      <c r="E275" s="109" t="str">
        <f>VLOOKUP($B275,ANAGRAFICA!$B$1:$G$306,4,FALSE)</f>
        <v>#N/A</v>
      </c>
      <c r="F275" s="109" t="str">
        <f>VLOOKUP($B275,ANAGRAFICA!$B$1:$G$306,5,FALSE)</f>
        <v>#N/A</v>
      </c>
      <c r="G275" s="109" t="str">
        <f>VLOOKUP($B275,ANAGRAFICA!$B$1:$G$306,6,FALSE)</f>
        <v>#N/A</v>
      </c>
      <c r="H275" s="94"/>
      <c r="I275" s="94"/>
      <c r="J275" s="94"/>
      <c r="K275" s="94"/>
      <c r="L275" s="94"/>
      <c r="M275" s="94"/>
      <c r="N275" s="94"/>
      <c r="O275" s="94"/>
    </row>
    <row r="276">
      <c r="A276" s="117"/>
      <c r="B276" s="117"/>
      <c r="C276" s="108" t="str">
        <f>VLOOKUP($B276,ANAGRAFICA!$B$1:$G$306,2,FALSE)</f>
        <v>#N/A</v>
      </c>
      <c r="D276" s="108" t="str">
        <f>VLOOKUP($B276,ANAGRAFICA!$B$1:$G$306,3,FALSE)</f>
        <v>#N/A</v>
      </c>
      <c r="E276" s="109" t="str">
        <f>VLOOKUP($B276,ANAGRAFICA!$B$1:$G$306,4,FALSE)</f>
        <v>#N/A</v>
      </c>
      <c r="F276" s="109" t="str">
        <f>VLOOKUP($B276,ANAGRAFICA!$B$1:$G$306,5,FALSE)</f>
        <v>#N/A</v>
      </c>
      <c r="G276" s="109" t="str">
        <f>VLOOKUP($B276,ANAGRAFICA!$B$1:$G$306,6,FALSE)</f>
        <v>#N/A</v>
      </c>
      <c r="H276" s="94"/>
      <c r="I276" s="94"/>
      <c r="J276" s="94"/>
      <c r="K276" s="94"/>
      <c r="L276" s="94"/>
      <c r="M276" s="94"/>
      <c r="N276" s="94"/>
      <c r="O276" s="94"/>
    </row>
    <row r="277">
      <c r="A277" s="117"/>
      <c r="B277" s="117"/>
      <c r="C277" s="108" t="str">
        <f>VLOOKUP($B277,ANAGRAFICA!$B$1:$G$306,2,FALSE)</f>
        <v>#N/A</v>
      </c>
      <c r="D277" s="108" t="str">
        <f>VLOOKUP($B277,ANAGRAFICA!$B$1:$G$306,3,FALSE)</f>
        <v>#N/A</v>
      </c>
      <c r="E277" s="109" t="str">
        <f>VLOOKUP($B277,ANAGRAFICA!$B$1:$G$306,4,FALSE)</f>
        <v>#N/A</v>
      </c>
      <c r="F277" s="109" t="str">
        <f>VLOOKUP($B277,ANAGRAFICA!$B$1:$G$306,5,FALSE)</f>
        <v>#N/A</v>
      </c>
      <c r="G277" s="109" t="str">
        <f>VLOOKUP($B277,ANAGRAFICA!$B$1:$G$306,6,FALSE)</f>
        <v>#N/A</v>
      </c>
      <c r="H277" s="94"/>
      <c r="I277" s="94"/>
      <c r="J277" s="94"/>
      <c r="K277" s="94"/>
      <c r="L277" s="94"/>
      <c r="M277" s="94"/>
      <c r="N277" s="94"/>
      <c r="O277" s="94"/>
    </row>
    <row r="278">
      <c r="A278" s="117"/>
      <c r="B278" s="117"/>
      <c r="C278" s="108" t="str">
        <f>VLOOKUP($B278,ANAGRAFICA!$B$1:$G$306,2,FALSE)</f>
        <v>#N/A</v>
      </c>
      <c r="D278" s="108" t="str">
        <f>VLOOKUP($B278,ANAGRAFICA!$B$1:$G$306,3,FALSE)</f>
        <v>#N/A</v>
      </c>
      <c r="E278" s="109" t="str">
        <f>VLOOKUP($B278,ANAGRAFICA!$B$1:$G$306,4,FALSE)</f>
        <v>#N/A</v>
      </c>
      <c r="F278" s="109" t="str">
        <f>VLOOKUP($B278,ANAGRAFICA!$B$1:$G$306,5,FALSE)</f>
        <v>#N/A</v>
      </c>
      <c r="G278" s="109" t="str">
        <f>VLOOKUP($B278,ANAGRAFICA!$B$1:$G$306,6,FALSE)</f>
        <v>#N/A</v>
      </c>
      <c r="H278" s="94"/>
      <c r="I278" s="94"/>
      <c r="J278" s="94"/>
      <c r="K278" s="94"/>
      <c r="L278" s="94"/>
      <c r="M278" s="94"/>
      <c r="N278" s="94"/>
      <c r="O278" s="94"/>
    </row>
    <row r="279">
      <c r="A279" s="117"/>
      <c r="B279" s="117"/>
      <c r="C279" s="108" t="str">
        <f>VLOOKUP($B279,ANAGRAFICA!$B$1:$G$306,2,FALSE)</f>
        <v>#N/A</v>
      </c>
      <c r="D279" s="108" t="str">
        <f>VLOOKUP($B279,ANAGRAFICA!$B$1:$G$306,3,FALSE)</f>
        <v>#N/A</v>
      </c>
      <c r="E279" s="109" t="str">
        <f>VLOOKUP($B279,ANAGRAFICA!$B$1:$G$306,4,FALSE)</f>
        <v>#N/A</v>
      </c>
      <c r="F279" s="109" t="str">
        <f>VLOOKUP($B279,ANAGRAFICA!$B$1:$G$306,5,FALSE)</f>
        <v>#N/A</v>
      </c>
      <c r="G279" s="109" t="str">
        <f>VLOOKUP($B279,ANAGRAFICA!$B$1:$G$306,6,FALSE)</f>
        <v>#N/A</v>
      </c>
      <c r="H279" s="94"/>
      <c r="I279" s="94"/>
      <c r="J279" s="94"/>
      <c r="K279" s="94"/>
      <c r="L279" s="94"/>
      <c r="M279" s="94"/>
      <c r="N279" s="94"/>
      <c r="O279" s="94"/>
    </row>
    <row r="280">
      <c r="A280" s="117"/>
      <c r="B280" s="117"/>
      <c r="C280" s="108" t="str">
        <f>VLOOKUP($B280,ANAGRAFICA!$B$1:$G$306,2,FALSE)</f>
        <v>#N/A</v>
      </c>
      <c r="D280" s="108" t="str">
        <f>VLOOKUP($B280,ANAGRAFICA!$B$1:$G$306,3,FALSE)</f>
        <v>#N/A</v>
      </c>
      <c r="E280" s="109" t="str">
        <f>VLOOKUP($B280,ANAGRAFICA!$B$1:$G$306,4,FALSE)</f>
        <v>#N/A</v>
      </c>
      <c r="F280" s="109" t="str">
        <f>VLOOKUP($B280,ANAGRAFICA!$B$1:$G$306,5,FALSE)</f>
        <v>#N/A</v>
      </c>
      <c r="G280" s="109" t="str">
        <f>VLOOKUP($B280,ANAGRAFICA!$B$1:$G$306,6,FALSE)</f>
        <v>#N/A</v>
      </c>
      <c r="H280" s="94"/>
      <c r="I280" s="94"/>
      <c r="J280" s="94"/>
      <c r="K280" s="94"/>
      <c r="L280" s="94"/>
      <c r="M280" s="94"/>
      <c r="N280" s="94"/>
      <c r="O280" s="94"/>
    </row>
    <row r="281">
      <c r="A281" s="117"/>
      <c r="B281" s="117"/>
      <c r="C281" s="108" t="str">
        <f>VLOOKUP($B281,ANAGRAFICA!$B$1:$G$306,2,FALSE)</f>
        <v>#N/A</v>
      </c>
      <c r="D281" s="108" t="str">
        <f>VLOOKUP($B281,ANAGRAFICA!$B$1:$G$306,3,FALSE)</f>
        <v>#N/A</v>
      </c>
      <c r="E281" s="109" t="str">
        <f>VLOOKUP($B281,ANAGRAFICA!$B$1:$G$306,4,FALSE)</f>
        <v>#N/A</v>
      </c>
      <c r="F281" s="109" t="str">
        <f>VLOOKUP($B281,ANAGRAFICA!$B$1:$G$306,5,FALSE)</f>
        <v>#N/A</v>
      </c>
      <c r="G281" s="109" t="str">
        <f>VLOOKUP($B281,ANAGRAFICA!$B$1:$G$306,6,FALSE)</f>
        <v>#N/A</v>
      </c>
      <c r="H281" s="94"/>
      <c r="I281" s="94"/>
      <c r="J281" s="94"/>
      <c r="K281" s="94"/>
      <c r="L281" s="94"/>
      <c r="M281" s="94"/>
      <c r="N281" s="94"/>
      <c r="O281" s="94"/>
    </row>
    <row r="282">
      <c r="A282" s="117"/>
      <c r="B282" s="117"/>
      <c r="C282" s="108" t="str">
        <f>VLOOKUP($B282,ANAGRAFICA!$B$1:$G$306,2,FALSE)</f>
        <v>#N/A</v>
      </c>
      <c r="D282" s="108" t="str">
        <f>VLOOKUP($B282,ANAGRAFICA!$B$1:$G$306,3,FALSE)</f>
        <v>#N/A</v>
      </c>
      <c r="E282" s="109" t="str">
        <f>VLOOKUP($B282,ANAGRAFICA!$B$1:$G$306,4,FALSE)</f>
        <v>#N/A</v>
      </c>
      <c r="F282" s="109" t="str">
        <f>VLOOKUP($B282,ANAGRAFICA!$B$1:$G$306,5,FALSE)</f>
        <v>#N/A</v>
      </c>
      <c r="G282" s="109" t="str">
        <f>VLOOKUP($B282,ANAGRAFICA!$B$1:$G$306,6,FALSE)</f>
        <v>#N/A</v>
      </c>
      <c r="H282" s="94"/>
      <c r="I282" s="94"/>
      <c r="J282" s="94"/>
      <c r="K282" s="94"/>
      <c r="L282" s="94"/>
      <c r="M282" s="94"/>
      <c r="N282" s="94"/>
      <c r="O282" s="94"/>
    </row>
    <row r="283">
      <c r="A283" s="117"/>
      <c r="B283" s="117"/>
      <c r="C283" s="108" t="str">
        <f>VLOOKUP($B283,ANAGRAFICA!$B$1:$G$306,2,FALSE)</f>
        <v>#N/A</v>
      </c>
      <c r="D283" s="108" t="str">
        <f>VLOOKUP($B283,ANAGRAFICA!$B$1:$G$306,3,FALSE)</f>
        <v>#N/A</v>
      </c>
      <c r="E283" s="109" t="str">
        <f>VLOOKUP($B283,ANAGRAFICA!$B$1:$G$306,4,FALSE)</f>
        <v>#N/A</v>
      </c>
      <c r="F283" s="109" t="str">
        <f>VLOOKUP($B283,ANAGRAFICA!$B$1:$G$306,5,FALSE)</f>
        <v>#N/A</v>
      </c>
      <c r="G283" s="109" t="str">
        <f>VLOOKUP($B283,ANAGRAFICA!$B$1:$G$306,6,FALSE)</f>
        <v>#N/A</v>
      </c>
      <c r="H283" s="94"/>
      <c r="I283" s="94"/>
      <c r="J283" s="94"/>
      <c r="K283" s="94"/>
      <c r="L283" s="94"/>
      <c r="M283" s="94"/>
      <c r="N283" s="94"/>
      <c r="O283" s="94"/>
    </row>
    <row r="284">
      <c r="A284" s="117"/>
      <c r="B284" s="117"/>
      <c r="C284" s="108" t="str">
        <f>VLOOKUP($B284,ANAGRAFICA!$B$1:$G$306,2,FALSE)</f>
        <v>#N/A</v>
      </c>
      <c r="D284" s="108" t="str">
        <f>VLOOKUP($B284,ANAGRAFICA!$B$1:$G$306,3,FALSE)</f>
        <v>#N/A</v>
      </c>
      <c r="E284" s="109" t="str">
        <f>VLOOKUP($B284,ANAGRAFICA!$B$1:$G$306,4,FALSE)</f>
        <v>#N/A</v>
      </c>
      <c r="F284" s="109" t="str">
        <f>VLOOKUP($B284,ANAGRAFICA!$B$1:$G$306,5,FALSE)</f>
        <v>#N/A</v>
      </c>
      <c r="G284" s="109" t="str">
        <f>VLOOKUP($B284,ANAGRAFICA!$B$1:$G$306,6,FALSE)</f>
        <v>#N/A</v>
      </c>
      <c r="H284" s="94"/>
      <c r="I284" s="94"/>
      <c r="J284" s="94"/>
      <c r="K284" s="94"/>
      <c r="L284" s="94"/>
      <c r="M284" s="94"/>
      <c r="N284" s="94"/>
      <c r="O284" s="94"/>
    </row>
    <row r="285">
      <c r="A285" s="117"/>
      <c r="B285" s="117"/>
      <c r="C285" s="108" t="str">
        <f>VLOOKUP($B285,ANAGRAFICA!$B$1:$G$306,2,FALSE)</f>
        <v>#N/A</v>
      </c>
      <c r="D285" s="108" t="str">
        <f>VLOOKUP($B285,ANAGRAFICA!$B$1:$G$306,3,FALSE)</f>
        <v>#N/A</v>
      </c>
      <c r="E285" s="109" t="str">
        <f>VLOOKUP($B285,ANAGRAFICA!$B$1:$G$306,4,FALSE)</f>
        <v>#N/A</v>
      </c>
      <c r="F285" s="109" t="str">
        <f>VLOOKUP($B285,ANAGRAFICA!$B$1:$G$306,5,FALSE)</f>
        <v>#N/A</v>
      </c>
      <c r="G285" s="109" t="str">
        <f>VLOOKUP($B285,ANAGRAFICA!$B$1:$G$306,6,FALSE)</f>
        <v>#N/A</v>
      </c>
      <c r="H285" s="94"/>
      <c r="I285" s="94"/>
      <c r="J285" s="94"/>
      <c r="K285" s="94"/>
      <c r="L285" s="94"/>
      <c r="M285" s="94"/>
      <c r="N285" s="94"/>
      <c r="O285" s="94"/>
    </row>
    <row r="286">
      <c r="C286" s="108" t="str">
        <f>VLOOKUP($B286,ANAGRAFICA!$B$1:$G$306,2,FALSE)</f>
        <v>#N/A</v>
      </c>
      <c r="D286" s="108" t="str">
        <f>VLOOKUP($B286,ANAGRAFICA!$B$1:$G$306,3,FALSE)</f>
        <v>#N/A</v>
      </c>
      <c r="E286" s="109" t="str">
        <f>VLOOKUP($B286,ANAGRAFICA!$B$1:$G$306,4,FALSE)</f>
        <v>#N/A</v>
      </c>
      <c r="F286" s="109" t="str">
        <f>VLOOKUP($B286,ANAGRAFICA!$B$1:$G$306,5,FALSE)</f>
        <v>#N/A</v>
      </c>
      <c r="G286" s="109" t="str">
        <f>VLOOKUP($B286,ANAGRAFICA!$B$1:$G$306,6,FALSE)</f>
        <v>#N/A</v>
      </c>
      <c r="H286" s="94"/>
      <c r="I286" s="94"/>
      <c r="J286" s="94"/>
      <c r="K286" s="94"/>
      <c r="L286" s="94"/>
      <c r="M286" s="94"/>
      <c r="N286" s="94"/>
      <c r="O286" s="94"/>
    </row>
    <row r="287">
      <c r="C287" s="108" t="str">
        <f>VLOOKUP($B287,ANAGRAFICA!$B$1:$G$306,2,FALSE)</f>
        <v>#N/A</v>
      </c>
      <c r="D287" s="108" t="str">
        <f>VLOOKUP($B287,ANAGRAFICA!$B$1:$G$306,3,FALSE)</f>
        <v>#N/A</v>
      </c>
      <c r="E287" s="109" t="str">
        <f>VLOOKUP($B287,ANAGRAFICA!$B$1:$G$306,4,FALSE)</f>
        <v>#N/A</v>
      </c>
      <c r="F287" s="109" t="str">
        <f>VLOOKUP($B287,ANAGRAFICA!$B$1:$G$306,5,FALSE)</f>
        <v>#N/A</v>
      </c>
      <c r="G287" s="109" t="str">
        <f>VLOOKUP($B287,ANAGRAFICA!$B$1:$G$306,6,FALSE)</f>
        <v>#N/A</v>
      </c>
      <c r="H287" s="94"/>
      <c r="I287" s="94"/>
      <c r="J287" s="94"/>
      <c r="K287" s="94"/>
      <c r="L287" s="94"/>
      <c r="M287" s="94"/>
      <c r="N287" s="94"/>
      <c r="O287" s="94"/>
    </row>
    <row r="288">
      <c r="C288" s="108" t="str">
        <f>VLOOKUP($B288,ANAGRAFICA!$B$1:$G$306,2,FALSE)</f>
        <v>#N/A</v>
      </c>
      <c r="D288" s="108" t="str">
        <f>VLOOKUP($B288,ANAGRAFICA!$B$1:$G$306,3,FALSE)</f>
        <v>#N/A</v>
      </c>
      <c r="E288" s="109" t="str">
        <f>VLOOKUP($B288,ANAGRAFICA!$B$1:$G$306,4,FALSE)</f>
        <v>#N/A</v>
      </c>
      <c r="F288" s="109" t="str">
        <f>VLOOKUP($B288,ANAGRAFICA!$B$1:$G$306,5,FALSE)</f>
        <v>#N/A</v>
      </c>
      <c r="G288" s="109" t="str">
        <f>VLOOKUP($B288,ANAGRAFICA!$B$1:$G$306,6,FALSE)</f>
        <v>#N/A</v>
      </c>
      <c r="H288" s="94"/>
      <c r="I288" s="94"/>
      <c r="J288" s="94"/>
      <c r="K288" s="94"/>
      <c r="L288" s="94"/>
      <c r="M288" s="94"/>
      <c r="N288" s="94"/>
      <c r="O288" s="94"/>
    </row>
    <row r="289">
      <c r="C289" s="108" t="str">
        <f>VLOOKUP($B289,ANAGRAFICA!$B$1:$G$306,2,FALSE)</f>
        <v>#N/A</v>
      </c>
      <c r="D289" s="108" t="str">
        <f>VLOOKUP($B289,ANAGRAFICA!$B$1:$G$306,3,FALSE)</f>
        <v>#N/A</v>
      </c>
      <c r="E289" s="109" t="str">
        <f>VLOOKUP($B289,ANAGRAFICA!$B$1:$G$306,4,FALSE)</f>
        <v>#N/A</v>
      </c>
      <c r="F289" s="109" t="str">
        <f>VLOOKUP($B289,ANAGRAFICA!$B$1:$G$306,5,FALSE)</f>
        <v>#N/A</v>
      </c>
      <c r="G289" s="109" t="str">
        <f>VLOOKUP($B289,ANAGRAFICA!$B$1:$G$306,6,FALSE)</f>
        <v>#N/A</v>
      </c>
      <c r="H289" s="94"/>
      <c r="I289" s="94"/>
      <c r="J289" s="94"/>
      <c r="K289" s="94"/>
      <c r="L289" s="94"/>
      <c r="M289" s="94"/>
      <c r="N289" s="94"/>
      <c r="O289" s="94"/>
    </row>
    <row r="290">
      <c r="C290" s="108" t="str">
        <f>VLOOKUP($B290,ANAGRAFICA!$B$1:$G$306,2,FALSE)</f>
        <v>#N/A</v>
      </c>
      <c r="D290" s="108" t="str">
        <f>VLOOKUP($B290,ANAGRAFICA!$B$1:$G$306,3,FALSE)</f>
        <v>#N/A</v>
      </c>
      <c r="E290" s="109" t="str">
        <f>VLOOKUP($B290,ANAGRAFICA!$B$1:$G$306,4,FALSE)</f>
        <v>#N/A</v>
      </c>
      <c r="F290" s="109" t="str">
        <f>VLOOKUP($B290,ANAGRAFICA!$B$1:$G$306,5,FALSE)</f>
        <v>#N/A</v>
      </c>
      <c r="G290" s="109" t="str">
        <f>VLOOKUP($B290,ANAGRAFICA!$B$1:$G$306,6,FALSE)</f>
        <v>#N/A</v>
      </c>
      <c r="H290" s="94"/>
      <c r="I290" s="94"/>
      <c r="J290" s="94"/>
      <c r="K290" s="94"/>
      <c r="L290" s="94"/>
      <c r="M290" s="94"/>
      <c r="N290" s="94"/>
      <c r="O290" s="94"/>
    </row>
    <row r="291">
      <c r="C291" s="108" t="str">
        <f>VLOOKUP($B291,ANAGRAFICA!$B$1:$G$306,2,FALSE)</f>
        <v>#N/A</v>
      </c>
      <c r="D291" s="108" t="str">
        <f>VLOOKUP($B291,ANAGRAFICA!$B$1:$G$306,3,FALSE)</f>
        <v>#N/A</v>
      </c>
      <c r="E291" s="109" t="str">
        <f>VLOOKUP($B291,ANAGRAFICA!$B$1:$G$306,4,FALSE)</f>
        <v>#N/A</v>
      </c>
      <c r="F291" s="109" t="str">
        <f>VLOOKUP($B291,ANAGRAFICA!$B$1:$G$306,5,FALSE)</f>
        <v>#N/A</v>
      </c>
      <c r="G291" s="109" t="str">
        <f>VLOOKUP($B291,ANAGRAFICA!$B$1:$G$306,6,FALSE)</f>
        <v>#N/A</v>
      </c>
      <c r="H291" s="94"/>
      <c r="I291" s="94"/>
      <c r="J291" s="94"/>
      <c r="K291" s="94"/>
      <c r="L291" s="94"/>
      <c r="M291" s="94"/>
      <c r="N291" s="94"/>
      <c r="O291" s="94"/>
    </row>
    <row r="292">
      <c r="C292" s="108" t="str">
        <f>VLOOKUP($B292,ANAGRAFICA!$B$1:$G$306,2,FALSE)</f>
        <v>#N/A</v>
      </c>
      <c r="D292" s="108" t="str">
        <f>VLOOKUP($B292,ANAGRAFICA!$B$1:$G$306,3,FALSE)</f>
        <v>#N/A</v>
      </c>
      <c r="E292" s="109" t="str">
        <f>VLOOKUP($B292,ANAGRAFICA!$B$1:$G$306,4,FALSE)</f>
        <v>#N/A</v>
      </c>
      <c r="F292" s="109" t="str">
        <f>VLOOKUP($B292,ANAGRAFICA!$B$1:$G$306,5,FALSE)</f>
        <v>#N/A</v>
      </c>
      <c r="G292" s="109" t="str">
        <f>VLOOKUP($B292,ANAGRAFICA!$B$1:$G$306,6,FALSE)</f>
        <v>#N/A</v>
      </c>
      <c r="H292" s="94"/>
      <c r="I292" s="94"/>
      <c r="J292" s="94"/>
      <c r="K292" s="94"/>
      <c r="L292" s="94"/>
      <c r="M292" s="94"/>
      <c r="N292" s="94"/>
      <c r="O292" s="94"/>
    </row>
    <row r="293">
      <c r="C293" s="108" t="str">
        <f>VLOOKUP($B293,ANAGRAFICA!$B$1:$G$306,2,FALSE)</f>
        <v>#N/A</v>
      </c>
      <c r="D293" s="108" t="str">
        <f>VLOOKUP($B293,ANAGRAFICA!$B$1:$G$306,3,FALSE)</f>
        <v>#N/A</v>
      </c>
      <c r="E293" s="109" t="str">
        <f>VLOOKUP($B293,ANAGRAFICA!$B$1:$G$306,4,FALSE)</f>
        <v>#N/A</v>
      </c>
      <c r="F293" s="109" t="str">
        <f>VLOOKUP($B293,ANAGRAFICA!$B$1:$G$306,5,FALSE)</f>
        <v>#N/A</v>
      </c>
      <c r="G293" s="109" t="str">
        <f>VLOOKUP($B293,ANAGRAFICA!$B$1:$G$306,6,FALSE)</f>
        <v>#N/A</v>
      </c>
      <c r="H293" s="94"/>
      <c r="I293" s="94"/>
      <c r="J293" s="94"/>
      <c r="K293" s="94"/>
      <c r="L293" s="94"/>
      <c r="M293" s="94"/>
      <c r="N293" s="94"/>
      <c r="O293" s="94"/>
    </row>
    <row r="294">
      <c r="C294" s="108" t="str">
        <f>VLOOKUP($B294,ANAGRAFICA!$B$1:$G$306,2,FALSE)</f>
        <v>#N/A</v>
      </c>
      <c r="D294" s="108" t="str">
        <f>VLOOKUP($B294,ANAGRAFICA!$B$1:$G$306,3,FALSE)</f>
        <v>#N/A</v>
      </c>
      <c r="E294" s="109" t="str">
        <f>VLOOKUP($B294,ANAGRAFICA!$B$1:$G$306,4,FALSE)</f>
        <v>#N/A</v>
      </c>
      <c r="F294" s="109" t="str">
        <f>VLOOKUP($B294,ANAGRAFICA!$B$1:$G$306,5,FALSE)</f>
        <v>#N/A</v>
      </c>
      <c r="G294" s="109" t="str">
        <f>VLOOKUP($B294,ANAGRAFICA!$B$1:$G$306,6,FALSE)</f>
        <v>#N/A</v>
      </c>
      <c r="H294" s="94"/>
      <c r="I294" s="94"/>
      <c r="J294" s="94"/>
      <c r="K294" s="94"/>
      <c r="L294" s="94"/>
      <c r="M294" s="94"/>
      <c r="N294" s="94"/>
      <c r="O294" s="94"/>
    </row>
    <row r="295">
      <c r="C295" s="108" t="str">
        <f>VLOOKUP($B295,ANAGRAFICA!$B$1:$G$306,2,FALSE)</f>
        <v>#N/A</v>
      </c>
      <c r="D295" s="108" t="str">
        <f>VLOOKUP($B295,ANAGRAFICA!$B$1:$G$306,3,FALSE)</f>
        <v>#N/A</v>
      </c>
      <c r="E295" s="109" t="str">
        <f>VLOOKUP($B295,ANAGRAFICA!$B$1:$G$306,4,FALSE)</f>
        <v>#N/A</v>
      </c>
      <c r="F295" s="109" t="str">
        <f>VLOOKUP($B295,ANAGRAFICA!$B$1:$G$306,5,FALSE)</f>
        <v>#N/A</v>
      </c>
      <c r="G295" s="109" t="str">
        <f>VLOOKUP($B295,ANAGRAFICA!$B$1:$G$306,6,FALSE)</f>
        <v>#N/A</v>
      </c>
      <c r="H295" s="94"/>
      <c r="I295" s="94"/>
      <c r="J295" s="94"/>
      <c r="K295" s="94"/>
      <c r="L295" s="94"/>
      <c r="M295" s="94"/>
      <c r="N295" s="94"/>
      <c r="O295" s="94"/>
    </row>
    <row r="296">
      <c r="C296" s="108" t="str">
        <f>VLOOKUP($B296,ANAGRAFICA!$B$1:$G$306,2,FALSE)</f>
        <v>#N/A</v>
      </c>
      <c r="D296" s="108" t="str">
        <f>VLOOKUP($B296,ANAGRAFICA!$B$1:$G$306,3,FALSE)</f>
        <v>#N/A</v>
      </c>
      <c r="E296" s="109" t="str">
        <f>VLOOKUP($B296,ANAGRAFICA!$B$1:$G$306,4,FALSE)</f>
        <v>#N/A</v>
      </c>
      <c r="F296" s="109" t="str">
        <f>VLOOKUP($B296,ANAGRAFICA!$B$1:$G$306,5,FALSE)</f>
        <v>#N/A</v>
      </c>
      <c r="G296" s="109" t="str">
        <f>VLOOKUP($B296,ANAGRAFICA!$B$1:$G$306,6,FALSE)</f>
        <v>#N/A</v>
      </c>
      <c r="H296" s="94"/>
      <c r="I296" s="94"/>
      <c r="J296" s="94"/>
      <c r="K296" s="94"/>
      <c r="L296" s="94"/>
      <c r="M296" s="94"/>
      <c r="N296" s="94"/>
      <c r="O296" s="94"/>
    </row>
    <row r="297">
      <c r="C297" s="108" t="str">
        <f>VLOOKUP($B297,ANAGRAFICA!$B$1:$G$306,2,FALSE)</f>
        <v>#N/A</v>
      </c>
      <c r="D297" s="108" t="str">
        <f>VLOOKUP($B297,ANAGRAFICA!$B$1:$G$306,3,FALSE)</f>
        <v>#N/A</v>
      </c>
      <c r="E297" s="109" t="str">
        <f>VLOOKUP($B297,ANAGRAFICA!$B$1:$G$306,4,FALSE)</f>
        <v>#N/A</v>
      </c>
      <c r="F297" s="109" t="str">
        <f>VLOOKUP($B297,ANAGRAFICA!$B$1:$G$306,5,FALSE)</f>
        <v>#N/A</v>
      </c>
      <c r="G297" s="109" t="str">
        <f>VLOOKUP($B297,ANAGRAFICA!$B$1:$G$306,6,FALSE)</f>
        <v>#N/A</v>
      </c>
      <c r="H297" s="94"/>
      <c r="I297" s="94"/>
      <c r="J297" s="94"/>
      <c r="K297" s="94"/>
      <c r="L297" s="94"/>
      <c r="M297" s="94"/>
      <c r="N297" s="94"/>
      <c r="O297" s="94"/>
    </row>
    <row r="298">
      <c r="C298" s="108" t="str">
        <f>VLOOKUP($B298,ANAGRAFICA!$B$1:$G$306,2,FALSE)</f>
        <v>#N/A</v>
      </c>
      <c r="D298" s="108" t="str">
        <f>VLOOKUP($B298,ANAGRAFICA!$B$1:$G$306,3,FALSE)</f>
        <v>#N/A</v>
      </c>
      <c r="E298" s="109" t="str">
        <f>VLOOKUP($B298,ANAGRAFICA!$B$1:$G$306,4,FALSE)</f>
        <v>#N/A</v>
      </c>
      <c r="F298" s="109" t="str">
        <f>VLOOKUP($B298,ANAGRAFICA!$B$1:$G$306,5,FALSE)</f>
        <v>#N/A</v>
      </c>
      <c r="G298" s="109" t="str">
        <f>VLOOKUP($B298,ANAGRAFICA!$B$1:$G$306,6,FALSE)</f>
        <v>#N/A</v>
      </c>
      <c r="H298" s="94"/>
      <c r="I298" s="94"/>
      <c r="J298" s="94"/>
      <c r="K298" s="94"/>
      <c r="L298" s="94"/>
      <c r="M298" s="94"/>
      <c r="N298" s="94"/>
      <c r="O298" s="94"/>
    </row>
    <row r="299">
      <c r="C299" s="108" t="str">
        <f>VLOOKUP($B299,ANAGRAFICA!$B$1:$G$306,2,FALSE)</f>
        <v>#N/A</v>
      </c>
      <c r="D299" s="108" t="str">
        <f>VLOOKUP($B299,ANAGRAFICA!$B$1:$G$306,3,FALSE)</f>
        <v>#N/A</v>
      </c>
      <c r="E299" s="109" t="str">
        <f>VLOOKUP($B299,ANAGRAFICA!$B$1:$G$306,4,FALSE)</f>
        <v>#N/A</v>
      </c>
      <c r="F299" s="109" t="str">
        <f>VLOOKUP($B299,ANAGRAFICA!$B$1:$G$306,5,FALSE)</f>
        <v>#N/A</v>
      </c>
      <c r="G299" s="109" t="str">
        <f>VLOOKUP($B299,ANAGRAFICA!$B$1:$G$306,6,FALSE)</f>
        <v>#N/A</v>
      </c>
      <c r="H299" s="94"/>
      <c r="I299" s="94"/>
      <c r="J299" s="94"/>
      <c r="K299" s="94"/>
      <c r="L299" s="94"/>
      <c r="M299" s="94"/>
      <c r="N299" s="94"/>
      <c r="O299" s="94"/>
    </row>
    <row r="300">
      <c r="C300" s="108" t="str">
        <f>VLOOKUP($B300,ANAGRAFICA!$B$1:$G$306,2,FALSE)</f>
        <v>#N/A</v>
      </c>
      <c r="D300" s="108" t="str">
        <f>VLOOKUP($B300,ANAGRAFICA!$B$1:$G$306,3,FALSE)</f>
        <v>#N/A</v>
      </c>
      <c r="E300" s="109" t="str">
        <f>VLOOKUP($B300,ANAGRAFICA!$B$1:$G$306,4,FALSE)</f>
        <v>#N/A</v>
      </c>
      <c r="F300" s="109" t="str">
        <f>VLOOKUP($B300,ANAGRAFICA!$B$1:$G$306,5,FALSE)</f>
        <v>#N/A</v>
      </c>
      <c r="G300" s="109" t="str">
        <f>VLOOKUP($B300,ANAGRAFICA!$B$1:$G$306,6,FALSE)</f>
        <v>#N/A</v>
      </c>
      <c r="H300" s="94"/>
      <c r="I300" s="94"/>
      <c r="J300" s="94"/>
      <c r="K300" s="94"/>
      <c r="L300" s="94"/>
      <c r="M300" s="94"/>
      <c r="N300" s="94"/>
      <c r="O300" s="94"/>
    </row>
    <row r="301">
      <c r="C301" s="119"/>
      <c r="D301" s="107"/>
      <c r="H301" s="94"/>
      <c r="I301" s="94"/>
      <c r="J301" s="94"/>
      <c r="K301" s="94"/>
      <c r="L301" s="94"/>
      <c r="M301" s="94"/>
      <c r="N301" s="94"/>
      <c r="O301" s="94"/>
    </row>
    <row r="302">
      <c r="C302" s="119"/>
      <c r="D302" s="107"/>
      <c r="H302" s="94"/>
      <c r="I302" s="94"/>
      <c r="J302" s="94"/>
      <c r="K302" s="94"/>
      <c r="L302" s="94"/>
      <c r="M302" s="94"/>
      <c r="N302" s="94"/>
      <c r="O302" s="94"/>
    </row>
    <row r="303">
      <c r="C303" s="119"/>
      <c r="D303" s="107"/>
      <c r="H303" s="94"/>
      <c r="I303" s="94"/>
      <c r="J303" s="94"/>
      <c r="K303" s="94"/>
      <c r="L303" s="94"/>
      <c r="M303" s="94"/>
      <c r="N303" s="94"/>
      <c r="O303" s="94"/>
    </row>
    <row r="304">
      <c r="C304" s="119"/>
      <c r="D304" s="107"/>
      <c r="H304" s="94"/>
      <c r="I304" s="94"/>
      <c r="J304" s="94"/>
      <c r="K304" s="94"/>
      <c r="L304" s="94"/>
      <c r="M304" s="94"/>
      <c r="N304" s="94"/>
      <c r="O304" s="94"/>
    </row>
    <row r="305">
      <c r="C305" s="119"/>
      <c r="D305" s="107"/>
      <c r="H305" s="94"/>
      <c r="I305" s="94"/>
      <c r="J305" s="94"/>
      <c r="K305" s="94"/>
      <c r="L305" s="94"/>
      <c r="M305" s="94"/>
      <c r="N305" s="94"/>
      <c r="O305" s="94"/>
    </row>
    <row r="306">
      <c r="C306" s="119"/>
      <c r="D306" s="107"/>
      <c r="H306" s="94"/>
      <c r="I306" s="94"/>
      <c r="J306" s="94"/>
      <c r="K306" s="94"/>
      <c r="L306" s="94"/>
      <c r="M306" s="94"/>
      <c r="N306" s="94"/>
      <c r="O306" s="94"/>
    </row>
    <row r="307">
      <c r="C307" s="119"/>
      <c r="D307" s="107"/>
      <c r="H307" s="94"/>
      <c r="I307" s="94"/>
      <c r="J307" s="94"/>
      <c r="K307" s="94"/>
      <c r="L307" s="94"/>
      <c r="M307" s="94"/>
      <c r="N307" s="94"/>
      <c r="O307" s="94"/>
    </row>
    <row r="308">
      <c r="C308" s="119"/>
      <c r="D308" s="107"/>
      <c r="H308" s="94"/>
      <c r="I308" s="94"/>
      <c r="J308" s="94"/>
      <c r="K308" s="94"/>
      <c r="L308" s="94"/>
      <c r="M308" s="94"/>
      <c r="N308" s="94"/>
      <c r="O308" s="94"/>
    </row>
    <row r="309">
      <c r="C309" s="119"/>
      <c r="D309" s="107"/>
      <c r="H309" s="94"/>
      <c r="I309" s="94"/>
      <c r="J309" s="94"/>
      <c r="K309" s="94"/>
      <c r="L309" s="94"/>
      <c r="M309" s="94"/>
      <c r="N309" s="94"/>
      <c r="O309" s="94"/>
    </row>
    <row r="310">
      <c r="C310" s="119"/>
      <c r="D310" s="107"/>
      <c r="H310" s="94"/>
      <c r="I310" s="94"/>
      <c r="J310" s="94"/>
      <c r="K310" s="94"/>
      <c r="L310" s="94"/>
      <c r="M310" s="94"/>
      <c r="N310" s="94"/>
      <c r="O310" s="94"/>
    </row>
    <row r="311">
      <c r="C311" s="119"/>
      <c r="D311" s="107"/>
      <c r="H311" s="94"/>
      <c r="I311" s="94"/>
      <c r="J311" s="94"/>
      <c r="K311" s="94"/>
      <c r="L311" s="94"/>
      <c r="M311" s="94"/>
      <c r="N311" s="94"/>
      <c r="O311" s="94"/>
    </row>
    <row r="312">
      <c r="C312" s="119"/>
      <c r="D312" s="107"/>
      <c r="H312" s="94"/>
      <c r="I312" s="94"/>
      <c r="J312" s="94"/>
      <c r="K312" s="94"/>
      <c r="L312" s="94"/>
      <c r="M312" s="94"/>
      <c r="N312" s="94"/>
      <c r="O312" s="94"/>
    </row>
    <row r="313">
      <c r="C313" s="119"/>
      <c r="D313" s="107"/>
      <c r="H313" s="94"/>
      <c r="I313" s="94"/>
      <c r="J313" s="94"/>
      <c r="K313" s="94"/>
      <c r="L313" s="94"/>
      <c r="M313" s="94"/>
      <c r="N313" s="94"/>
      <c r="O313" s="94"/>
    </row>
    <row r="314">
      <c r="C314" s="119"/>
      <c r="D314" s="107"/>
      <c r="H314" s="94"/>
      <c r="I314" s="94"/>
      <c r="J314" s="94"/>
      <c r="K314" s="94"/>
      <c r="L314" s="94"/>
      <c r="M314" s="94"/>
      <c r="N314" s="94"/>
      <c r="O314" s="94"/>
    </row>
    <row r="315">
      <c r="C315" s="119"/>
      <c r="D315" s="107"/>
      <c r="H315" s="94"/>
      <c r="I315" s="94"/>
      <c r="J315" s="94"/>
      <c r="K315" s="94"/>
      <c r="L315" s="94"/>
      <c r="M315" s="94"/>
      <c r="N315" s="94"/>
      <c r="O315" s="94"/>
    </row>
    <row r="316">
      <c r="C316" s="119"/>
      <c r="D316" s="107"/>
      <c r="H316" s="94"/>
      <c r="I316" s="94"/>
      <c r="J316" s="94"/>
      <c r="K316" s="94"/>
      <c r="L316" s="94"/>
      <c r="M316" s="94"/>
      <c r="N316" s="94"/>
      <c r="O316" s="94"/>
    </row>
    <row r="317">
      <c r="C317" s="119"/>
      <c r="D317" s="107"/>
      <c r="H317" s="94"/>
      <c r="I317" s="94"/>
      <c r="J317" s="94"/>
      <c r="K317" s="94"/>
      <c r="L317" s="94"/>
      <c r="M317" s="94"/>
      <c r="N317" s="94"/>
      <c r="O317" s="94"/>
    </row>
    <row r="318">
      <c r="C318" s="119"/>
      <c r="D318" s="107"/>
      <c r="H318" s="94"/>
      <c r="I318" s="94"/>
      <c r="J318" s="94"/>
      <c r="K318" s="94"/>
      <c r="L318" s="94"/>
      <c r="M318" s="94"/>
      <c r="N318" s="94"/>
      <c r="O318" s="94"/>
    </row>
    <row r="319">
      <c r="C319" s="119"/>
      <c r="D319" s="107"/>
      <c r="H319" s="94"/>
      <c r="I319" s="94"/>
      <c r="J319" s="94"/>
      <c r="K319" s="94"/>
      <c r="L319" s="94"/>
      <c r="M319" s="94"/>
      <c r="N319" s="94"/>
      <c r="O319" s="94"/>
    </row>
    <row r="320">
      <c r="C320" s="119"/>
      <c r="D320" s="107"/>
      <c r="H320" s="94"/>
      <c r="I320" s="94"/>
      <c r="J320" s="94"/>
      <c r="K320" s="94"/>
      <c r="L320" s="94"/>
      <c r="M320" s="94"/>
      <c r="N320" s="94"/>
      <c r="O320" s="94"/>
    </row>
    <row r="321">
      <c r="C321" s="119"/>
      <c r="D321" s="107"/>
      <c r="H321" s="94"/>
      <c r="I321" s="94"/>
      <c r="J321" s="94"/>
      <c r="K321" s="94"/>
      <c r="L321" s="94"/>
      <c r="M321" s="94"/>
      <c r="N321" s="94"/>
      <c r="O321" s="94"/>
    </row>
    <row r="322">
      <c r="C322" s="119"/>
      <c r="D322" s="107"/>
      <c r="H322" s="94"/>
      <c r="I322" s="94"/>
      <c r="J322" s="94"/>
      <c r="K322" s="94"/>
      <c r="L322" s="94"/>
      <c r="M322" s="94"/>
      <c r="N322" s="94"/>
      <c r="O322" s="94"/>
    </row>
    <row r="323">
      <c r="C323" s="119"/>
      <c r="D323" s="107"/>
      <c r="H323" s="94"/>
      <c r="I323" s="94"/>
      <c r="J323" s="94"/>
      <c r="K323" s="94"/>
      <c r="L323" s="94"/>
      <c r="M323" s="94"/>
      <c r="N323" s="94"/>
      <c r="O323" s="94"/>
    </row>
    <row r="324">
      <c r="C324" s="119"/>
      <c r="D324" s="107"/>
      <c r="H324" s="94"/>
      <c r="I324" s="94"/>
      <c r="J324" s="94"/>
      <c r="K324" s="94"/>
      <c r="L324" s="94"/>
      <c r="M324" s="94"/>
      <c r="N324" s="94"/>
      <c r="O324" s="94"/>
    </row>
    <row r="325">
      <c r="C325" s="119"/>
      <c r="D325" s="107"/>
      <c r="H325" s="94"/>
      <c r="I325" s="94"/>
      <c r="J325" s="94"/>
      <c r="K325" s="94"/>
      <c r="L325" s="94"/>
      <c r="M325" s="94"/>
      <c r="N325" s="94"/>
      <c r="O325" s="94"/>
    </row>
    <row r="326">
      <c r="C326" s="119"/>
      <c r="D326" s="107"/>
      <c r="H326" s="94"/>
      <c r="I326" s="94"/>
      <c r="J326" s="94"/>
      <c r="K326" s="94"/>
      <c r="L326" s="94"/>
      <c r="M326" s="94"/>
      <c r="N326" s="94"/>
      <c r="O326" s="94"/>
    </row>
    <row r="327">
      <c r="C327" s="119"/>
      <c r="D327" s="107"/>
      <c r="H327" s="94"/>
      <c r="I327" s="94"/>
      <c r="J327" s="94"/>
      <c r="K327" s="94"/>
      <c r="L327" s="94"/>
      <c r="M327" s="94"/>
      <c r="N327" s="94"/>
      <c r="O327" s="94"/>
    </row>
    <row r="328">
      <c r="C328" s="119"/>
      <c r="D328" s="107"/>
      <c r="H328" s="94"/>
      <c r="I328" s="94"/>
      <c r="J328" s="94"/>
      <c r="K328" s="94"/>
      <c r="L328" s="94"/>
      <c r="M328" s="94"/>
      <c r="N328" s="94"/>
      <c r="O328" s="94"/>
    </row>
    <row r="329">
      <c r="C329" s="119"/>
      <c r="D329" s="107"/>
      <c r="H329" s="94"/>
      <c r="I329" s="94"/>
      <c r="J329" s="94"/>
      <c r="K329" s="94"/>
      <c r="L329" s="94"/>
      <c r="M329" s="94"/>
      <c r="N329" s="94"/>
      <c r="O329" s="94"/>
    </row>
    <row r="330">
      <c r="C330" s="119"/>
      <c r="D330" s="107"/>
      <c r="H330" s="94"/>
      <c r="I330" s="94"/>
      <c r="J330" s="94"/>
      <c r="K330" s="94"/>
      <c r="L330" s="94"/>
      <c r="M330" s="94"/>
      <c r="N330" s="94"/>
      <c r="O330" s="94"/>
    </row>
    <row r="331">
      <c r="C331" s="119"/>
      <c r="D331" s="107"/>
      <c r="H331" s="94"/>
      <c r="I331" s="94"/>
      <c r="J331" s="94"/>
      <c r="K331" s="94"/>
      <c r="L331" s="94"/>
      <c r="M331" s="94"/>
      <c r="N331" s="94"/>
      <c r="O331" s="94"/>
    </row>
    <row r="332">
      <c r="C332" s="119"/>
      <c r="D332" s="107"/>
      <c r="H332" s="94"/>
      <c r="I332" s="94"/>
      <c r="J332" s="94"/>
      <c r="K332" s="94"/>
      <c r="L332" s="94"/>
      <c r="M332" s="94"/>
      <c r="N332" s="94"/>
      <c r="O332" s="94"/>
    </row>
    <row r="333">
      <c r="C333" s="119"/>
      <c r="D333" s="107"/>
      <c r="H333" s="94"/>
      <c r="I333" s="94"/>
      <c r="J333" s="94"/>
      <c r="K333" s="94"/>
      <c r="L333" s="94"/>
      <c r="M333" s="94"/>
      <c r="N333" s="94"/>
      <c r="O333" s="94"/>
    </row>
    <row r="334">
      <c r="C334" s="119"/>
      <c r="D334" s="107"/>
      <c r="H334" s="94"/>
      <c r="I334" s="94"/>
      <c r="J334" s="94"/>
      <c r="K334" s="94"/>
      <c r="L334" s="94"/>
      <c r="M334" s="94"/>
      <c r="N334" s="94"/>
      <c r="O334" s="94"/>
    </row>
    <row r="335">
      <c r="C335" s="119"/>
      <c r="D335" s="107"/>
      <c r="H335" s="94"/>
      <c r="I335" s="94"/>
      <c r="J335" s="94"/>
      <c r="K335" s="94"/>
      <c r="L335" s="94"/>
      <c r="M335" s="94"/>
      <c r="N335" s="94"/>
      <c r="O335" s="94"/>
    </row>
    <row r="336">
      <c r="C336" s="119"/>
      <c r="D336" s="107"/>
      <c r="H336" s="94"/>
      <c r="I336" s="94"/>
      <c r="J336" s="94"/>
      <c r="K336" s="94"/>
      <c r="L336" s="94"/>
      <c r="M336" s="94"/>
      <c r="N336" s="94"/>
      <c r="O336" s="94"/>
    </row>
    <row r="337">
      <c r="C337" s="119"/>
      <c r="D337" s="107"/>
      <c r="H337" s="94"/>
      <c r="I337" s="94"/>
      <c r="J337" s="94"/>
      <c r="K337" s="94"/>
      <c r="L337" s="94"/>
      <c r="M337" s="94"/>
      <c r="N337" s="94"/>
      <c r="O337" s="94"/>
    </row>
    <row r="338">
      <c r="C338" s="119"/>
      <c r="D338" s="107"/>
      <c r="H338" s="94"/>
      <c r="I338" s="94"/>
      <c r="J338" s="94"/>
      <c r="K338" s="94"/>
      <c r="L338" s="94"/>
      <c r="M338" s="94"/>
      <c r="N338" s="94"/>
      <c r="O338" s="94"/>
    </row>
    <row r="339">
      <c r="C339" s="119"/>
      <c r="D339" s="107"/>
      <c r="H339" s="94"/>
      <c r="I339" s="94"/>
      <c r="J339" s="94"/>
      <c r="K339" s="94"/>
      <c r="L339" s="94"/>
      <c r="M339" s="94"/>
      <c r="N339" s="94"/>
      <c r="O339" s="94"/>
    </row>
    <row r="340">
      <c r="C340" s="119"/>
      <c r="D340" s="107"/>
      <c r="H340" s="94"/>
      <c r="I340" s="94"/>
      <c r="J340" s="94"/>
      <c r="K340" s="94"/>
      <c r="L340" s="94"/>
      <c r="M340" s="94"/>
      <c r="N340" s="94"/>
      <c r="O340" s="94"/>
    </row>
    <row r="341">
      <c r="C341" s="119"/>
      <c r="D341" s="107"/>
      <c r="H341" s="94"/>
      <c r="I341" s="94"/>
      <c r="J341" s="94"/>
      <c r="K341" s="94"/>
      <c r="L341" s="94"/>
      <c r="M341" s="94"/>
      <c r="N341" s="94"/>
      <c r="O341" s="94"/>
    </row>
    <row r="342">
      <c r="C342" s="119"/>
      <c r="D342" s="107"/>
      <c r="H342" s="94"/>
      <c r="I342" s="94"/>
      <c r="J342" s="94"/>
      <c r="K342" s="94"/>
      <c r="L342" s="94"/>
      <c r="M342" s="94"/>
      <c r="N342" s="94"/>
      <c r="O342" s="94"/>
    </row>
    <row r="343">
      <c r="C343" s="119"/>
      <c r="D343" s="107"/>
      <c r="H343" s="94"/>
      <c r="I343" s="94"/>
      <c r="J343" s="94"/>
      <c r="K343" s="94"/>
      <c r="L343" s="94"/>
      <c r="M343" s="94"/>
      <c r="N343" s="94"/>
      <c r="O343" s="94"/>
    </row>
    <row r="344">
      <c r="C344" s="119"/>
      <c r="D344" s="107"/>
      <c r="H344" s="94"/>
      <c r="I344" s="94"/>
      <c r="J344" s="94"/>
      <c r="K344" s="94"/>
      <c r="L344" s="94"/>
      <c r="M344" s="94"/>
      <c r="N344" s="94"/>
      <c r="O344" s="94"/>
    </row>
    <row r="345">
      <c r="C345" s="119"/>
      <c r="D345" s="107"/>
      <c r="H345" s="94"/>
      <c r="I345" s="94"/>
      <c r="J345" s="94"/>
      <c r="K345" s="94"/>
      <c r="L345" s="94"/>
      <c r="M345" s="94"/>
      <c r="N345" s="94"/>
      <c r="O345" s="94"/>
    </row>
    <row r="346">
      <c r="C346" s="119"/>
      <c r="D346" s="107"/>
      <c r="H346" s="94"/>
      <c r="I346" s="94"/>
      <c r="J346" s="94"/>
      <c r="K346" s="94"/>
      <c r="L346" s="94"/>
      <c r="M346" s="94"/>
      <c r="N346" s="94"/>
      <c r="O346" s="94"/>
    </row>
    <row r="347">
      <c r="C347" s="119"/>
      <c r="D347" s="107"/>
      <c r="H347" s="94"/>
      <c r="I347" s="94"/>
      <c r="J347" s="94"/>
      <c r="K347" s="94"/>
      <c r="L347" s="94"/>
      <c r="M347" s="94"/>
      <c r="N347" s="94"/>
      <c r="O347" s="94"/>
    </row>
    <row r="348">
      <c r="C348" s="119"/>
      <c r="D348" s="107"/>
      <c r="H348" s="94"/>
      <c r="I348" s="94"/>
      <c r="J348" s="94"/>
      <c r="K348" s="94"/>
      <c r="L348" s="94"/>
      <c r="M348" s="94"/>
      <c r="N348" s="94"/>
      <c r="O348" s="94"/>
    </row>
    <row r="349">
      <c r="C349" s="119"/>
      <c r="D349" s="107"/>
      <c r="H349" s="94"/>
      <c r="I349" s="94"/>
      <c r="J349" s="94"/>
      <c r="K349" s="94"/>
      <c r="L349" s="94"/>
      <c r="M349" s="94"/>
      <c r="N349" s="94"/>
      <c r="O349" s="94"/>
    </row>
    <row r="350">
      <c r="C350" s="119"/>
      <c r="D350" s="107"/>
      <c r="H350" s="94"/>
      <c r="I350" s="94"/>
      <c r="J350" s="94"/>
      <c r="K350" s="94"/>
      <c r="L350" s="94"/>
      <c r="M350" s="94"/>
      <c r="N350" s="94"/>
      <c r="O350" s="94"/>
    </row>
    <row r="351">
      <c r="C351" s="119"/>
      <c r="D351" s="107"/>
      <c r="H351" s="94"/>
      <c r="I351" s="94"/>
      <c r="J351" s="94"/>
      <c r="K351" s="94"/>
      <c r="L351" s="94"/>
      <c r="M351" s="94"/>
      <c r="N351" s="94"/>
      <c r="O351" s="94"/>
    </row>
    <row r="352">
      <c r="C352" s="119"/>
      <c r="D352" s="107"/>
      <c r="H352" s="94"/>
      <c r="I352" s="94"/>
      <c r="J352" s="94"/>
      <c r="K352" s="94"/>
      <c r="L352" s="94"/>
      <c r="M352" s="94"/>
      <c r="N352" s="94"/>
      <c r="O352" s="94"/>
    </row>
    <row r="353">
      <c r="C353" s="119"/>
      <c r="D353" s="107"/>
      <c r="H353" s="94"/>
      <c r="I353" s="94"/>
      <c r="J353" s="94"/>
      <c r="K353" s="94"/>
      <c r="L353" s="94"/>
      <c r="M353" s="94"/>
      <c r="N353" s="94"/>
      <c r="O353" s="94"/>
    </row>
    <row r="354">
      <c r="C354" s="119"/>
      <c r="D354" s="107"/>
      <c r="H354" s="94"/>
      <c r="I354" s="94"/>
      <c r="J354" s="94"/>
      <c r="K354" s="94"/>
      <c r="L354" s="94"/>
      <c r="M354" s="94"/>
      <c r="N354" s="94"/>
      <c r="O354" s="94"/>
    </row>
    <row r="355">
      <c r="C355" s="119"/>
      <c r="D355" s="107"/>
      <c r="H355" s="94"/>
      <c r="I355" s="94"/>
      <c r="J355" s="94"/>
      <c r="K355" s="94"/>
      <c r="L355" s="94"/>
      <c r="M355" s="94"/>
      <c r="N355" s="94"/>
      <c r="O355" s="94"/>
    </row>
    <row r="356">
      <c r="C356" s="119"/>
      <c r="D356" s="107"/>
      <c r="H356" s="94"/>
      <c r="I356" s="94"/>
      <c r="J356" s="94"/>
      <c r="K356" s="94"/>
      <c r="L356" s="94"/>
      <c r="M356" s="94"/>
      <c r="N356" s="94"/>
      <c r="O356" s="94"/>
    </row>
    <row r="357">
      <c r="C357" s="119"/>
      <c r="D357" s="107"/>
      <c r="H357" s="94"/>
      <c r="I357" s="94"/>
      <c r="J357" s="94"/>
      <c r="K357" s="94"/>
      <c r="L357" s="94"/>
      <c r="M357" s="94"/>
      <c r="N357" s="94"/>
      <c r="O357" s="94"/>
    </row>
    <row r="358">
      <c r="C358" s="119"/>
      <c r="D358" s="107"/>
      <c r="H358" s="94"/>
      <c r="I358" s="94"/>
      <c r="J358" s="94"/>
      <c r="K358" s="94"/>
      <c r="L358" s="94"/>
      <c r="M358" s="94"/>
      <c r="N358" s="94"/>
      <c r="O358" s="94"/>
    </row>
    <row r="359">
      <c r="C359" s="119"/>
      <c r="D359" s="107"/>
      <c r="H359" s="94"/>
      <c r="I359" s="94"/>
      <c r="J359" s="94"/>
      <c r="K359" s="94"/>
      <c r="L359" s="94"/>
      <c r="M359" s="94"/>
      <c r="N359" s="94"/>
      <c r="O359" s="94"/>
    </row>
    <row r="360">
      <c r="C360" s="119"/>
      <c r="D360" s="107"/>
      <c r="H360" s="94"/>
      <c r="I360" s="94"/>
      <c r="J360" s="94"/>
      <c r="K360" s="94"/>
      <c r="L360" s="94"/>
      <c r="M360" s="94"/>
      <c r="N360" s="94"/>
      <c r="O360" s="94"/>
    </row>
    <row r="361">
      <c r="C361" s="119"/>
      <c r="D361" s="107"/>
      <c r="H361" s="94"/>
      <c r="I361" s="94"/>
      <c r="J361" s="94"/>
      <c r="K361" s="94"/>
      <c r="L361" s="94"/>
      <c r="M361" s="94"/>
      <c r="N361" s="94"/>
      <c r="O361" s="94"/>
    </row>
    <row r="362">
      <c r="C362" s="119"/>
      <c r="D362" s="107"/>
      <c r="H362" s="94"/>
      <c r="I362" s="94"/>
      <c r="J362" s="94"/>
      <c r="K362" s="94"/>
      <c r="L362" s="94"/>
      <c r="M362" s="94"/>
      <c r="N362" s="94"/>
      <c r="O362" s="94"/>
    </row>
    <row r="363">
      <c r="C363" s="119"/>
      <c r="D363" s="107"/>
      <c r="H363" s="94"/>
      <c r="I363" s="94"/>
      <c r="J363" s="94"/>
      <c r="K363" s="94"/>
      <c r="L363" s="94"/>
      <c r="M363" s="94"/>
      <c r="N363" s="94"/>
      <c r="O363" s="94"/>
    </row>
    <row r="364">
      <c r="C364" s="119"/>
      <c r="D364" s="107"/>
      <c r="H364" s="94"/>
      <c r="I364" s="94"/>
      <c r="J364" s="94"/>
      <c r="K364" s="94"/>
      <c r="L364" s="94"/>
      <c r="M364" s="94"/>
      <c r="N364" s="94"/>
      <c r="O364" s="94"/>
    </row>
    <row r="365">
      <c r="C365" s="119"/>
      <c r="D365" s="107"/>
      <c r="H365" s="94"/>
      <c r="I365" s="94"/>
      <c r="J365" s="94"/>
      <c r="K365" s="94"/>
      <c r="L365" s="94"/>
      <c r="M365" s="94"/>
      <c r="N365" s="94"/>
      <c r="O365" s="94"/>
    </row>
    <row r="366">
      <c r="C366" s="119"/>
      <c r="D366" s="107"/>
      <c r="H366" s="94"/>
      <c r="I366" s="94"/>
      <c r="J366" s="94"/>
      <c r="K366" s="94"/>
      <c r="L366" s="94"/>
      <c r="M366" s="94"/>
      <c r="N366" s="94"/>
      <c r="O366" s="94"/>
    </row>
    <row r="367">
      <c r="C367" s="119"/>
      <c r="D367" s="107"/>
      <c r="H367" s="94"/>
      <c r="I367" s="94"/>
      <c r="J367" s="94"/>
      <c r="K367" s="94"/>
      <c r="L367" s="94"/>
      <c r="M367" s="94"/>
      <c r="N367" s="94"/>
      <c r="O367" s="94"/>
    </row>
    <row r="368">
      <c r="C368" s="119"/>
      <c r="D368" s="107"/>
      <c r="H368" s="94"/>
      <c r="I368" s="94"/>
      <c r="J368" s="94"/>
      <c r="K368" s="94"/>
      <c r="L368" s="94"/>
      <c r="M368" s="94"/>
      <c r="N368" s="94"/>
      <c r="O368" s="94"/>
    </row>
    <row r="369">
      <c r="C369" s="119"/>
      <c r="D369" s="107"/>
      <c r="H369" s="94"/>
      <c r="I369" s="94"/>
      <c r="J369" s="94"/>
      <c r="K369" s="94"/>
      <c r="L369" s="94"/>
      <c r="M369" s="94"/>
      <c r="N369" s="94"/>
      <c r="O369" s="94"/>
    </row>
    <row r="370">
      <c r="C370" s="119"/>
      <c r="D370" s="107"/>
      <c r="H370" s="94"/>
      <c r="I370" s="94"/>
      <c r="J370" s="94"/>
      <c r="K370" s="94"/>
      <c r="L370" s="94"/>
      <c r="M370" s="94"/>
      <c r="N370" s="94"/>
      <c r="O370" s="94"/>
    </row>
    <row r="371">
      <c r="C371" s="119"/>
      <c r="D371" s="107"/>
      <c r="H371" s="94"/>
      <c r="I371" s="94"/>
      <c r="J371" s="94"/>
      <c r="K371" s="94"/>
      <c r="L371" s="94"/>
      <c r="M371" s="94"/>
      <c r="N371" s="94"/>
      <c r="O371" s="94"/>
    </row>
    <row r="372">
      <c r="C372" s="119"/>
      <c r="D372" s="107"/>
      <c r="H372" s="94"/>
      <c r="I372" s="94"/>
      <c r="J372" s="94"/>
      <c r="K372" s="94"/>
      <c r="L372" s="94"/>
      <c r="M372" s="94"/>
      <c r="N372" s="94"/>
      <c r="O372" s="94"/>
    </row>
    <row r="373">
      <c r="C373" s="119"/>
      <c r="D373" s="107"/>
      <c r="H373" s="94"/>
      <c r="I373" s="94"/>
      <c r="J373" s="94"/>
      <c r="K373" s="94"/>
      <c r="L373" s="94"/>
      <c r="M373" s="94"/>
      <c r="N373" s="94"/>
      <c r="O373" s="94"/>
    </row>
    <row r="374">
      <c r="C374" s="119"/>
      <c r="D374" s="107"/>
      <c r="H374" s="94"/>
      <c r="I374" s="94"/>
      <c r="J374" s="94"/>
      <c r="K374" s="94"/>
      <c r="L374" s="94"/>
      <c r="M374" s="94"/>
      <c r="N374" s="94"/>
      <c r="O374" s="94"/>
    </row>
    <row r="375">
      <c r="C375" s="119"/>
      <c r="D375" s="107"/>
      <c r="H375" s="94"/>
      <c r="I375" s="94"/>
      <c r="J375" s="94"/>
      <c r="K375" s="94"/>
      <c r="L375" s="94"/>
      <c r="M375" s="94"/>
      <c r="N375" s="94"/>
      <c r="O375" s="94"/>
    </row>
    <row r="376">
      <c r="C376" s="119"/>
      <c r="D376" s="107"/>
      <c r="H376" s="94"/>
      <c r="I376" s="94"/>
      <c r="J376" s="94"/>
      <c r="K376" s="94"/>
      <c r="L376" s="94"/>
      <c r="M376" s="94"/>
      <c r="N376" s="94"/>
      <c r="O376" s="94"/>
    </row>
    <row r="377">
      <c r="C377" s="119"/>
      <c r="D377" s="107"/>
      <c r="H377" s="94"/>
      <c r="I377" s="94"/>
      <c r="J377" s="94"/>
      <c r="K377" s="94"/>
      <c r="L377" s="94"/>
      <c r="M377" s="94"/>
      <c r="N377" s="94"/>
      <c r="O377" s="94"/>
    </row>
    <row r="378">
      <c r="C378" s="119"/>
      <c r="D378" s="107"/>
      <c r="H378" s="94"/>
      <c r="I378" s="94"/>
      <c r="J378" s="94"/>
      <c r="K378" s="94"/>
      <c r="L378" s="94"/>
      <c r="M378" s="94"/>
      <c r="N378" s="94"/>
      <c r="O378" s="94"/>
    </row>
    <row r="379">
      <c r="C379" s="119"/>
      <c r="D379" s="107"/>
      <c r="H379" s="94"/>
      <c r="I379" s="94"/>
      <c r="J379" s="94"/>
      <c r="K379" s="94"/>
      <c r="L379" s="94"/>
      <c r="M379" s="94"/>
      <c r="N379" s="94"/>
      <c r="O379" s="94"/>
    </row>
    <row r="380">
      <c r="C380" s="119"/>
      <c r="D380" s="107"/>
      <c r="H380" s="94"/>
      <c r="I380" s="94"/>
      <c r="J380" s="94"/>
      <c r="K380" s="94"/>
      <c r="L380" s="94"/>
      <c r="M380" s="94"/>
      <c r="N380" s="94"/>
      <c r="O380" s="94"/>
    </row>
    <row r="381">
      <c r="C381" s="119"/>
      <c r="D381" s="107"/>
      <c r="H381" s="94"/>
      <c r="I381" s="94"/>
      <c r="J381" s="94"/>
      <c r="K381" s="94"/>
      <c r="L381" s="94"/>
      <c r="M381" s="94"/>
      <c r="N381" s="94"/>
      <c r="O381" s="94"/>
    </row>
    <row r="382">
      <c r="C382" s="119"/>
      <c r="D382" s="107"/>
      <c r="H382" s="94"/>
      <c r="I382" s="94"/>
      <c r="J382" s="94"/>
      <c r="K382" s="94"/>
      <c r="L382" s="94"/>
      <c r="M382" s="94"/>
      <c r="N382" s="94"/>
      <c r="O382" s="94"/>
    </row>
    <row r="383">
      <c r="C383" s="119"/>
      <c r="D383" s="107"/>
      <c r="H383" s="94"/>
      <c r="I383" s="94"/>
      <c r="J383" s="94"/>
      <c r="K383" s="94"/>
      <c r="L383" s="94"/>
      <c r="M383" s="94"/>
      <c r="N383" s="94"/>
      <c r="O383" s="94"/>
    </row>
    <row r="384">
      <c r="C384" s="119"/>
      <c r="D384" s="107"/>
      <c r="H384" s="94"/>
      <c r="I384" s="94"/>
      <c r="J384" s="94"/>
      <c r="K384" s="94"/>
      <c r="L384" s="94"/>
      <c r="M384" s="94"/>
      <c r="N384" s="94"/>
      <c r="O384" s="94"/>
    </row>
    <row r="385">
      <c r="C385" s="119"/>
      <c r="D385" s="107"/>
      <c r="H385" s="94"/>
      <c r="I385" s="94"/>
      <c r="J385" s="94"/>
      <c r="K385" s="94"/>
      <c r="L385" s="94"/>
      <c r="M385" s="94"/>
      <c r="N385" s="94"/>
      <c r="O385" s="94"/>
    </row>
    <row r="386">
      <c r="C386" s="119"/>
      <c r="D386" s="107"/>
      <c r="H386" s="94"/>
      <c r="I386" s="94"/>
      <c r="J386" s="94"/>
      <c r="K386" s="94"/>
      <c r="L386" s="94"/>
      <c r="M386" s="94"/>
      <c r="N386" s="94"/>
      <c r="O386" s="94"/>
    </row>
    <row r="387">
      <c r="C387" s="119"/>
      <c r="D387" s="107"/>
      <c r="H387" s="94"/>
      <c r="I387" s="94"/>
      <c r="J387" s="94"/>
      <c r="K387" s="94"/>
      <c r="L387" s="94"/>
      <c r="M387" s="94"/>
      <c r="N387" s="94"/>
      <c r="O387" s="94"/>
    </row>
    <row r="388">
      <c r="C388" s="119"/>
      <c r="D388" s="107"/>
      <c r="H388" s="94"/>
      <c r="I388" s="94"/>
      <c r="J388" s="94"/>
      <c r="K388" s="94"/>
      <c r="L388" s="94"/>
      <c r="M388" s="94"/>
      <c r="N388" s="94"/>
      <c r="O388" s="94"/>
    </row>
    <row r="389">
      <c r="C389" s="119"/>
      <c r="D389" s="107"/>
      <c r="H389" s="94"/>
      <c r="I389" s="94"/>
      <c r="J389" s="94"/>
      <c r="K389" s="94"/>
      <c r="L389" s="94"/>
      <c r="M389" s="94"/>
      <c r="N389" s="94"/>
      <c r="O389" s="94"/>
    </row>
    <row r="390">
      <c r="C390" s="119"/>
      <c r="D390" s="107"/>
      <c r="H390" s="94"/>
      <c r="I390" s="94"/>
      <c r="J390" s="94"/>
      <c r="K390" s="94"/>
      <c r="L390" s="94"/>
      <c r="M390" s="94"/>
      <c r="N390" s="94"/>
      <c r="O390" s="94"/>
    </row>
    <row r="391">
      <c r="C391" s="119"/>
      <c r="D391" s="107"/>
      <c r="H391" s="94"/>
      <c r="I391" s="94"/>
      <c r="J391" s="94"/>
      <c r="K391" s="94"/>
      <c r="L391" s="94"/>
      <c r="M391" s="94"/>
      <c r="N391" s="94"/>
      <c r="O391" s="94"/>
    </row>
    <row r="392">
      <c r="C392" s="119"/>
      <c r="D392" s="107"/>
      <c r="H392" s="94"/>
      <c r="I392" s="94"/>
      <c r="J392" s="94"/>
      <c r="K392" s="94"/>
      <c r="L392" s="94"/>
      <c r="M392" s="94"/>
      <c r="N392" s="94"/>
      <c r="O392" s="94"/>
    </row>
    <row r="393">
      <c r="C393" s="119"/>
      <c r="D393" s="107"/>
      <c r="H393" s="94"/>
      <c r="I393" s="94"/>
      <c r="J393" s="94"/>
      <c r="K393" s="94"/>
      <c r="L393" s="94"/>
      <c r="M393" s="94"/>
      <c r="N393" s="94"/>
      <c r="O393" s="94"/>
    </row>
    <row r="394">
      <c r="C394" s="119"/>
      <c r="D394" s="107"/>
      <c r="H394" s="94"/>
      <c r="I394" s="94"/>
      <c r="J394" s="94"/>
      <c r="K394" s="94"/>
      <c r="L394" s="94"/>
      <c r="M394" s="94"/>
      <c r="N394" s="94"/>
      <c r="O394" s="94"/>
    </row>
    <row r="395">
      <c r="C395" s="119"/>
      <c r="D395" s="107"/>
      <c r="H395" s="94"/>
      <c r="I395" s="94"/>
      <c r="J395" s="94"/>
      <c r="K395" s="94"/>
      <c r="L395" s="94"/>
      <c r="M395" s="94"/>
      <c r="N395" s="94"/>
      <c r="O395" s="94"/>
    </row>
    <row r="396">
      <c r="C396" s="119"/>
      <c r="D396" s="107"/>
      <c r="H396" s="94"/>
      <c r="I396" s="94"/>
      <c r="J396" s="94"/>
      <c r="K396" s="94"/>
      <c r="L396" s="94"/>
      <c r="M396" s="94"/>
      <c r="N396" s="94"/>
      <c r="O396" s="94"/>
    </row>
    <row r="397">
      <c r="C397" s="119"/>
      <c r="D397" s="107"/>
      <c r="H397" s="94"/>
      <c r="I397" s="94"/>
      <c r="J397" s="94"/>
      <c r="K397" s="94"/>
      <c r="L397" s="94"/>
      <c r="M397" s="94"/>
      <c r="N397" s="94"/>
      <c r="O397" s="94"/>
    </row>
    <row r="398">
      <c r="C398" s="119"/>
      <c r="D398" s="107"/>
      <c r="H398" s="94"/>
      <c r="I398" s="94"/>
      <c r="J398" s="94"/>
      <c r="K398" s="94"/>
      <c r="L398" s="94"/>
      <c r="M398" s="94"/>
      <c r="N398" s="94"/>
      <c r="O398" s="94"/>
    </row>
    <row r="399">
      <c r="C399" s="119"/>
      <c r="D399" s="107"/>
      <c r="H399" s="94"/>
      <c r="I399" s="94"/>
      <c r="J399" s="94"/>
      <c r="K399" s="94"/>
      <c r="L399" s="94"/>
      <c r="M399" s="94"/>
      <c r="N399" s="94"/>
      <c r="O399" s="94"/>
    </row>
    <row r="400">
      <c r="C400" s="119"/>
      <c r="D400" s="107"/>
      <c r="H400" s="94"/>
      <c r="I400" s="94"/>
      <c r="J400" s="94"/>
      <c r="K400" s="94"/>
      <c r="L400" s="94"/>
      <c r="M400" s="94"/>
      <c r="N400" s="94"/>
      <c r="O400" s="94"/>
    </row>
    <row r="401">
      <c r="C401" s="119"/>
      <c r="D401" s="107"/>
      <c r="H401" s="94"/>
      <c r="I401" s="94"/>
      <c r="J401" s="94"/>
      <c r="K401" s="94"/>
      <c r="L401" s="94"/>
      <c r="M401" s="94"/>
      <c r="N401" s="94"/>
      <c r="O401" s="94"/>
    </row>
    <row r="402">
      <c r="C402" s="119"/>
      <c r="D402" s="107"/>
      <c r="H402" s="94"/>
      <c r="I402" s="94"/>
      <c r="J402" s="94"/>
      <c r="K402" s="94"/>
      <c r="L402" s="94"/>
      <c r="M402" s="94"/>
      <c r="N402" s="94"/>
      <c r="O402" s="94"/>
    </row>
    <row r="403">
      <c r="C403" s="119"/>
      <c r="D403" s="107"/>
      <c r="H403" s="94"/>
      <c r="I403" s="94"/>
      <c r="J403" s="94"/>
      <c r="K403" s="94"/>
      <c r="L403" s="94"/>
      <c r="M403" s="94"/>
      <c r="N403" s="94"/>
      <c r="O403" s="94"/>
    </row>
    <row r="404">
      <c r="C404" s="119"/>
      <c r="D404" s="107"/>
      <c r="H404" s="94"/>
      <c r="I404" s="94"/>
      <c r="J404" s="94"/>
      <c r="K404" s="94"/>
      <c r="L404" s="94"/>
      <c r="M404" s="94"/>
      <c r="N404" s="94"/>
      <c r="O404" s="94"/>
    </row>
    <row r="405">
      <c r="C405" s="119"/>
      <c r="D405" s="107"/>
      <c r="H405" s="94"/>
      <c r="I405" s="94"/>
      <c r="J405" s="94"/>
      <c r="K405" s="94"/>
      <c r="L405" s="94"/>
      <c r="M405" s="94"/>
      <c r="N405" s="94"/>
      <c r="O405" s="94"/>
    </row>
    <row r="406">
      <c r="C406" s="119"/>
      <c r="D406" s="107"/>
      <c r="H406" s="94"/>
      <c r="I406" s="94"/>
      <c r="J406" s="94"/>
      <c r="K406" s="94"/>
      <c r="L406" s="94"/>
      <c r="M406" s="94"/>
      <c r="N406" s="94"/>
      <c r="O406" s="94"/>
    </row>
    <row r="407">
      <c r="C407" s="119"/>
      <c r="D407" s="107"/>
      <c r="H407" s="94"/>
      <c r="I407" s="94"/>
      <c r="J407" s="94"/>
      <c r="K407" s="94"/>
      <c r="L407" s="94"/>
      <c r="M407" s="94"/>
      <c r="N407" s="94"/>
      <c r="O407" s="94"/>
    </row>
    <row r="408">
      <c r="C408" s="119"/>
      <c r="D408" s="107"/>
      <c r="H408" s="94"/>
      <c r="I408" s="94"/>
      <c r="J408" s="94"/>
      <c r="K408" s="94"/>
      <c r="L408" s="94"/>
      <c r="M408" s="94"/>
      <c r="N408" s="94"/>
      <c r="O408" s="94"/>
    </row>
    <row r="409">
      <c r="C409" s="119"/>
      <c r="D409" s="107"/>
      <c r="H409" s="94"/>
      <c r="I409" s="94"/>
      <c r="J409" s="94"/>
      <c r="K409" s="94"/>
      <c r="L409" s="94"/>
      <c r="M409" s="94"/>
      <c r="N409" s="94"/>
      <c r="O409" s="94"/>
    </row>
    <row r="410">
      <c r="C410" s="119"/>
      <c r="D410" s="107"/>
      <c r="H410" s="94"/>
      <c r="I410" s="94"/>
      <c r="J410" s="94"/>
      <c r="K410" s="94"/>
      <c r="L410" s="94"/>
      <c r="M410" s="94"/>
      <c r="N410" s="94"/>
      <c r="O410" s="94"/>
    </row>
    <row r="411">
      <c r="C411" s="119"/>
      <c r="D411" s="107"/>
      <c r="H411" s="94"/>
      <c r="I411" s="94"/>
      <c r="J411" s="94"/>
      <c r="K411" s="94"/>
      <c r="L411" s="94"/>
      <c r="M411" s="94"/>
      <c r="N411" s="94"/>
      <c r="O411" s="94"/>
    </row>
    <row r="412">
      <c r="C412" s="119"/>
      <c r="D412" s="107"/>
      <c r="H412" s="94"/>
      <c r="I412" s="94"/>
      <c r="J412" s="94"/>
      <c r="K412" s="94"/>
      <c r="L412" s="94"/>
      <c r="M412" s="94"/>
      <c r="N412" s="94"/>
      <c r="O412" s="94"/>
    </row>
    <row r="413">
      <c r="C413" s="119"/>
      <c r="D413" s="107"/>
      <c r="H413" s="94"/>
      <c r="I413" s="94"/>
      <c r="J413" s="94"/>
      <c r="K413" s="94"/>
      <c r="L413" s="94"/>
      <c r="M413" s="94"/>
      <c r="N413" s="94"/>
      <c r="O413" s="94"/>
    </row>
    <row r="414">
      <c r="C414" s="119"/>
      <c r="D414" s="107"/>
      <c r="H414" s="94"/>
      <c r="I414" s="94"/>
      <c r="J414" s="94"/>
      <c r="K414" s="94"/>
      <c r="L414" s="94"/>
      <c r="M414" s="94"/>
      <c r="N414" s="94"/>
      <c r="O414" s="94"/>
    </row>
    <row r="415">
      <c r="C415" s="119"/>
      <c r="D415" s="107"/>
      <c r="H415" s="94"/>
      <c r="I415" s="94"/>
      <c r="J415" s="94"/>
      <c r="K415" s="94"/>
      <c r="L415" s="94"/>
      <c r="M415" s="94"/>
      <c r="N415" s="94"/>
      <c r="O415" s="94"/>
    </row>
    <row r="416">
      <c r="C416" s="119"/>
      <c r="D416" s="107"/>
      <c r="H416" s="94"/>
      <c r="I416" s="94"/>
      <c r="J416" s="94"/>
      <c r="K416" s="94"/>
      <c r="L416" s="94"/>
      <c r="M416" s="94"/>
      <c r="N416" s="94"/>
      <c r="O416" s="94"/>
    </row>
    <row r="417">
      <c r="C417" s="119"/>
      <c r="D417" s="107"/>
      <c r="H417" s="94"/>
      <c r="I417" s="94"/>
      <c r="J417" s="94"/>
      <c r="K417" s="94"/>
      <c r="L417" s="94"/>
      <c r="M417" s="94"/>
      <c r="N417" s="94"/>
      <c r="O417" s="94"/>
    </row>
    <row r="418">
      <c r="C418" s="119"/>
      <c r="D418" s="107"/>
      <c r="H418" s="94"/>
      <c r="I418" s="94"/>
      <c r="J418" s="94"/>
      <c r="K418" s="94"/>
      <c r="L418" s="94"/>
      <c r="M418" s="94"/>
      <c r="N418" s="94"/>
      <c r="O418" s="94"/>
    </row>
    <row r="419">
      <c r="C419" s="119"/>
      <c r="D419" s="107"/>
      <c r="H419" s="94"/>
      <c r="I419" s="94"/>
      <c r="J419" s="94"/>
      <c r="K419" s="94"/>
      <c r="L419" s="94"/>
      <c r="M419" s="94"/>
      <c r="N419" s="94"/>
      <c r="O419" s="94"/>
    </row>
    <row r="420">
      <c r="C420" s="119"/>
      <c r="D420" s="107"/>
      <c r="H420" s="94"/>
      <c r="I420" s="94"/>
      <c r="J420" s="94"/>
      <c r="K420" s="94"/>
      <c r="L420" s="94"/>
      <c r="M420" s="94"/>
      <c r="N420" s="94"/>
      <c r="O420" s="94"/>
    </row>
    <row r="421">
      <c r="C421" s="119"/>
      <c r="D421" s="107"/>
      <c r="H421" s="94"/>
      <c r="I421" s="94"/>
      <c r="J421" s="94"/>
      <c r="K421" s="94"/>
      <c r="L421" s="94"/>
      <c r="M421" s="94"/>
      <c r="N421" s="94"/>
      <c r="O421" s="94"/>
    </row>
    <row r="422">
      <c r="C422" s="119"/>
      <c r="D422" s="107"/>
      <c r="H422" s="94"/>
      <c r="I422" s="94"/>
      <c r="J422" s="94"/>
      <c r="K422" s="94"/>
      <c r="L422" s="94"/>
      <c r="M422" s="94"/>
      <c r="N422" s="94"/>
      <c r="O422" s="94"/>
    </row>
    <row r="423">
      <c r="C423" s="119"/>
      <c r="D423" s="107"/>
      <c r="H423" s="94"/>
      <c r="I423" s="94"/>
      <c r="J423" s="94"/>
      <c r="K423" s="94"/>
      <c r="L423" s="94"/>
      <c r="M423" s="94"/>
      <c r="N423" s="94"/>
      <c r="O423" s="94"/>
    </row>
    <row r="424">
      <c r="C424" s="119"/>
      <c r="D424" s="107"/>
      <c r="H424" s="94"/>
      <c r="I424" s="94"/>
      <c r="J424" s="94"/>
      <c r="K424" s="94"/>
      <c r="L424" s="94"/>
      <c r="M424" s="94"/>
      <c r="N424" s="94"/>
      <c r="O424" s="94"/>
    </row>
    <row r="425">
      <c r="C425" s="119"/>
      <c r="D425" s="107"/>
      <c r="H425" s="94"/>
      <c r="I425" s="94"/>
      <c r="J425" s="94"/>
      <c r="K425" s="94"/>
      <c r="L425" s="94"/>
      <c r="M425" s="94"/>
      <c r="N425" s="94"/>
      <c r="O425" s="94"/>
    </row>
    <row r="426">
      <c r="C426" s="119"/>
      <c r="D426" s="107"/>
      <c r="H426" s="94"/>
      <c r="I426" s="94"/>
      <c r="J426" s="94"/>
      <c r="K426" s="94"/>
      <c r="L426" s="94"/>
      <c r="M426" s="94"/>
      <c r="N426" s="94"/>
      <c r="O426" s="94"/>
    </row>
    <row r="427">
      <c r="C427" s="119"/>
      <c r="D427" s="107"/>
      <c r="H427" s="94"/>
      <c r="I427" s="94"/>
      <c r="J427" s="94"/>
      <c r="K427" s="94"/>
      <c r="L427" s="94"/>
      <c r="M427" s="94"/>
      <c r="N427" s="94"/>
      <c r="O427" s="94"/>
    </row>
    <row r="428">
      <c r="C428" s="119"/>
      <c r="D428" s="107"/>
      <c r="H428" s="94"/>
      <c r="I428" s="94"/>
      <c r="J428" s="94"/>
      <c r="K428" s="94"/>
      <c r="L428" s="94"/>
      <c r="M428" s="94"/>
      <c r="N428" s="94"/>
      <c r="O428" s="94"/>
    </row>
    <row r="429">
      <c r="C429" s="119"/>
      <c r="D429" s="107"/>
      <c r="H429" s="94"/>
      <c r="I429" s="94"/>
      <c r="J429" s="94"/>
      <c r="K429" s="94"/>
      <c r="L429" s="94"/>
      <c r="M429" s="94"/>
      <c r="N429" s="94"/>
      <c r="O429" s="94"/>
    </row>
    <row r="430">
      <c r="C430" s="119"/>
      <c r="D430" s="107"/>
      <c r="H430" s="94"/>
      <c r="I430" s="94"/>
      <c r="J430" s="94"/>
      <c r="K430" s="94"/>
      <c r="L430" s="94"/>
      <c r="M430" s="94"/>
      <c r="N430" s="94"/>
      <c r="O430" s="94"/>
    </row>
    <row r="431">
      <c r="C431" s="119"/>
      <c r="D431" s="107"/>
      <c r="H431" s="94"/>
      <c r="I431" s="94"/>
      <c r="J431" s="94"/>
      <c r="K431" s="94"/>
      <c r="L431" s="94"/>
      <c r="M431" s="94"/>
      <c r="N431" s="94"/>
      <c r="O431" s="94"/>
    </row>
    <row r="432">
      <c r="C432" s="119"/>
      <c r="D432" s="107"/>
      <c r="H432" s="94"/>
      <c r="I432" s="94"/>
      <c r="J432" s="94"/>
      <c r="K432" s="94"/>
      <c r="L432" s="94"/>
      <c r="M432" s="94"/>
      <c r="N432" s="94"/>
      <c r="O432" s="94"/>
    </row>
    <row r="433">
      <c r="C433" s="119"/>
      <c r="D433" s="107"/>
      <c r="H433" s="94"/>
      <c r="I433" s="94"/>
      <c r="J433" s="94"/>
      <c r="K433" s="94"/>
      <c r="L433" s="94"/>
      <c r="M433" s="94"/>
      <c r="N433" s="94"/>
      <c r="O433" s="94"/>
    </row>
    <row r="434">
      <c r="C434" s="119"/>
      <c r="D434" s="107"/>
      <c r="H434" s="94"/>
      <c r="I434" s="94"/>
      <c r="J434" s="94"/>
      <c r="K434" s="94"/>
      <c r="L434" s="94"/>
      <c r="M434" s="94"/>
      <c r="N434" s="94"/>
      <c r="O434" s="94"/>
    </row>
    <row r="435">
      <c r="C435" s="119"/>
      <c r="D435" s="107"/>
      <c r="H435" s="94"/>
      <c r="I435" s="94"/>
      <c r="J435" s="94"/>
      <c r="K435" s="94"/>
      <c r="L435" s="94"/>
      <c r="M435" s="94"/>
      <c r="N435" s="94"/>
      <c r="O435" s="94"/>
    </row>
    <row r="436">
      <c r="C436" s="119"/>
      <c r="D436" s="107"/>
      <c r="H436" s="94"/>
      <c r="I436" s="94"/>
      <c r="J436" s="94"/>
      <c r="K436" s="94"/>
      <c r="L436" s="94"/>
      <c r="M436" s="94"/>
      <c r="N436" s="94"/>
      <c r="O436" s="94"/>
    </row>
    <row r="437">
      <c r="C437" s="119"/>
      <c r="D437" s="107"/>
      <c r="H437" s="94"/>
      <c r="I437" s="94"/>
      <c r="J437" s="94"/>
      <c r="K437" s="94"/>
      <c r="L437" s="94"/>
      <c r="M437" s="94"/>
      <c r="N437" s="94"/>
      <c r="O437" s="94"/>
    </row>
    <row r="438">
      <c r="C438" s="119"/>
      <c r="D438" s="107"/>
      <c r="H438" s="94"/>
      <c r="I438" s="94"/>
      <c r="J438" s="94"/>
      <c r="K438" s="94"/>
      <c r="L438" s="94"/>
      <c r="M438" s="94"/>
      <c r="N438" s="94"/>
      <c r="O438" s="94"/>
    </row>
    <row r="439">
      <c r="C439" s="119"/>
      <c r="D439" s="107"/>
      <c r="H439" s="94"/>
      <c r="I439" s="94"/>
      <c r="J439" s="94"/>
      <c r="K439" s="94"/>
      <c r="L439" s="94"/>
      <c r="M439" s="94"/>
      <c r="N439" s="94"/>
      <c r="O439" s="94"/>
    </row>
    <row r="440">
      <c r="C440" s="119"/>
      <c r="D440" s="107"/>
      <c r="H440" s="94"/>
      <c r="I440" s="94"/>
      <c r="J440" s="94"/>
      <c r="K440" s="94"/>
      <c r="L440" s="94"/>
      <c r="M440" s="94"/>
      <c r="N440" s="94"/>
      <c r="O440" s="94"/>
    </row>
    <row r="441">
      <c r="C441" s="119"/>
      <c r="D441" s="107"/>
      <c r="H441" s="94"/>
      <c r="I441" s="94"/>
      <c r="J441" s="94"/>
      <c r="K441" s="94"/>
      <c r="L441" s="94"/>
      <c r="M441" s="94"/>
      <c r="N441" s="94"/>
      <c r="O441" s="94"/>
    </row>
    <row r="442">
      <c r="C442" s="119"/>
      <c r="D442" s="107"/>
      <c r="H442" s="94"/>
      <c r="I442" s="94"/>
      <c r="J442" s="94"/>
      <c r="K442" s="94"/>
      <c r="L442" s="94"/>
      <c r="M442" s="94"/>
      <c r="N442" s="94"/>
      <c r="O442" s="94"/>
    </row>
    <row r="443">
      <c r="C443" s="119"/>
      <c r="D443" s="107"/>
      <c r="H443" s="94"/>
      <c r="I443" s="94"/>
      <c r="J443" s="94"/>
      <c r="K443" s="94"/>
      <c r="L443" s="94"/>
      <c r="M443" s="94"/>
      <c r="N443" s="94"/>
      <c r="O443" s="94"/>
    </row>
    <row r="444">
      <c r="C444" s="119"/>
      <c r="D444" s="107"/>
      <c r="H444" s="94"/>
      <c r="I444" s="94"/>
      <c r="J444" s="94"/>
      <c r="K444" s="94"/>
      <c r="L444" s="94"/>
      <c r="M444" s="94"/>
      <c r="N444" s="94"/>
      <c r="O444" s="94"/>
    </row>
    <row r="445">
      <c r="C445" s="119"/>
      <c r="D445" s="107"/>
      <c r="H445" s="94"/>
      <c r="I445" s="94"/>
      <c r="J445" s="94"/>
      <c r="K445" s="94"/>
      <c r="L445" s="94"/>
      <c r="M445" s="94"/>
      <c r="N445" s="94"/>
      <c r="O445" s="94"/>
    </row>
    <row r="446">
      <c r="C446" s="119"/>
      <c r="D446" s="107"/>
      <c r="H446" s="94"/>
      <c r="I446" s="94"/>
      <c r="J446" s="94"/>
      <c r="K446" s="94"/>
      <c r="L446" s="94"/>
      <c r="M446" s="94"/>
      <c r="N446" s="94"/>
      <c r="O446" s="94"/>
    </row>
    <row r="447">
      <c r="C447" s="119"/>
      <c r="D447" s="107"/>
      <c r="H447" s="94"/>
      <c r="I447" s="94"/>
      <c r="J447" s="94"/>
      <c r="K447" s="94"/>
      <c r="L447" s="94"/>
      <c r="M447" s="94"/>
      <c r="N447" s="94"/>
      <c r="O447" s="94"/>
    </row>
    <row r="448">
      <c r="C448" s="119"/>
      <c r="D448" s="107"/>
      <c r="H448" s="94"/>
      <c r="I448" s="94"/>
      <c r="J448" s="94"/>
      <c r="K448" s="94"/>
      <c r="L448" s="94"/>
      <c r="M448" s="94"/>
      <c r="N448" s="94"/>
      <c r="O448" s="94"/>
    </row>
    <row r="449">
      <c r="C449" s="119"/>
      <c r="D449" s="107"/>
      <c r="H449" s="94"/>
      <c r="I449" s="94"/>
      <c r="J449" s="94"/>
      <c r="K449" s="94"/>
      <c r="L449" s="94"/>
      <c r="M449" s="94"/>
      <c r="N449" s="94"/>
      <c r="O449" s="94"/>
    </row>
    <row r="450">
      <c r="C450" s="119"/>
      <c r="D450" s="107"/>
      <c r="H450" s="94"/>
      <c r="I450" s="94"/>
      <c r="J450" s="94"/>
      <c r="K450" s="94"/>
      <c r="L450" s="94"/>
      <c r="M450" s="94"/>
      <c r="N450" s="94"/>
      <c r="O450" s="94"/>
    </row>
    <row r="451">
      <c r="C451" s="119"/>
      <c r="D451" s="107"/>
      <c r="H451" s="94"/>
      <c r="I451" s="94"/>
      <c r="J451" s="94"/>
      <c r="K451" s="94"/>
      <c r="L451" s="94"/>
      <c r="M451" s="94"/>
      <c r="N451" s="94"/>
      <c r="O451" s="94"/>
    </row>
    <row r="452">
      <c r="C452" s="119"/>
      <c r="D452" s="107"/>
      <c r="H452" s="94"/>
      <c r="I452" s="94"/>
      <c r="J452" s="94"/>
      <c r="K452" s="94"/>
      <c r="L452" s="94"/>
      <c r="M452" s="94"/>
      <c r="N452" s="94"/>
      <c r="O452" s="94"/>
    </row>
    <row r="453">
      <c r="C453" s="119"/>
      <c r="D453" s="107"/>
      <c r="H453" s="94"/>
      <c r="I453" s="94"/>
      <c r="J453" s="94"/>
      <c r="K453" s="94"/>
      <c r="L453" s="94"/>
      <c r="M453" s="94"/>
      <c r="N453" s="94"/>
      <c r="O453" s="94"/>
    </row>
    <row r="454">
      <c r="C454" s="119"/>
      <c r="D454" s="107"/>
      <c r="H454" s="94"/>
      <c r="I454" s="94"/>
      <c r="J454" s="94"/>
      <c r="K454" s="94"/>
      <c r="L454" s="94"/>
      <c r="M454" s="94"/>
      <c r="N454" s="94"/>
      <c r="O454" s="94"/>
    </row>
    <row r="455">
      <c r="C455" s="119"/>
      <c r="D455" s="107"/>
      <c r="H455" s="94"/>
      <c r="I455" s="94"/>
      <c r="J455" s="94"/>
      <c r="K455" s="94"/>
      <c r="L455" s="94"/>
      <c r="M455" s="94"/>
      <c r="N455" s="94"/>
      <c r="O455" s="94"/>
    </row>
    <row r="456">
      <c r="C456" s="119"/>
      <c r="D456" s="107"/>
      <c r="H456" s="94"/>
      <c r="I456" s="94"/>
      <c r="J456" s="94"/>
      <c r="K456" s="94"/>
      <c r="L456" s="94"/>
      <c r="M456" s="94"/>
      <c r="N456" s="94"/>
      <c r="O456" s="94"/>
    </row>
    <row r="457">
      <c r="C457" s="119"/>
      <c r="D457" s="107"/>
      <c r="H457" s="94"/>
      <c r="I457" s="94"/>
      <c r="J457" s="94"/>
      <c r="K457" s="94"/>
      <c r="L457" s="94"/>
      <c r="M457" s="94"/>
      <c r="N457" s="94"/>
      <c r="O457" s="94"/>
    </row>
    <row r="458">
      <c r="C458" s="119"/>
      <c r="D458" s="107"/>
      <c r="H458" s="94"/>
      <c r="I458" s="94"/>
      <c r="J458" s="94"/>
      <c r="K458" s="94"/>
      <c r="L458" s="94"/>
      <c r="M458" s="94"/>
      <c r="N458" s="94"/>
      <c r="O458" s="94"/>
    </row>
    <row r="459">
      <c r="C459" s="119"/>
      <c r="D459" s="107"/>
      <c r="H459" s="94"/>
      <c r="I459" s="94"/>
      <c r="J459" s="94"/>
      <c r="K459" s="94"/>
      <c r="L459" s="94"/>
      <c r="M459" s="94"/>
      <c r="N459" s="94"/>
      <c r="O459" s="94"/>
    </row>
    <row r="460">
      <c r="C460" s="119"/>
      <c r="D460" s="107"/>
      <c r="H460" s="94"/>
      <c r="I460" s="94"/>
      <c r="J460" s="94"/>
      <c r="K460" s="94"/>
      <c r="L460" s="94"/>
      <c r="M460" s="94"/>
      <c r="N460" s="94"/>
      <c r="O460" s="94"/>
    </row>
    <row r="461">
      <c r="C461" s="119"/>
      <c r="D461" s="107"/>
      <c r="H461" s="94"/>
      <c r="I461" s="94"/>
      <c r="J461" s="94"/>
      <c r="K461" s="94"/>
      <c r="L461" s="94"/>
      <c r="M461" s="94"/>
      <c r="N461" s="94"/>
      <c r="O461" s="94"/>
    </row>
    <row r="462">
      <c r="C462" s="119"/>
      <c r="D462" s="107"/>
      <c r="H462" s="94"/>
      <c r="I462" s="94"/>
      <c r="J462" s="94"/>
      <c r="K462" s="94"/>
      <c r="L462" s="94"/>
      <c r="M462" s="94"/>
      <c r="N462" s="94"/>
      <c r="O462" s="94"/>
    </row>
    <row r="463">
      <c r="C463" s="119"/>
      <c r="D463" s="107"/>
      <c r="H463" s="94"/>
      <c r="I463" s="94"/>
      <c r="J463" s="94"/>
      <c r="K463" s="94"/>
      <c r="L463" s="94"/>
      <c r="M463" s="94"/>
      <c r="N463" s="94"/>
      <c r="O463" s="94"/>
    </row>
    <row r="464">
      <c r="C464" s="119"/>
      <c r="D464" s="107"/>
      <c r="H464" s="94"/>
      <c r="I464" s="94"/>
      <c r="J464" s="94"/>
      <c r="K464" s="94"/>
      <c r="L464" s="94"/>
      <c r="M464" s="94"/>
      <c r="N464" s="94"/>
      <c r="O464" s="94"/>
    </row>
    <row r="465">
      <c r="C465" s="119"/>
      <c r="D465" s="107"/>
      <c r="H465" s="94"/>
      <c r="I465" s="94"/>
      <c r="J465" s="94"/>
      <c r="K465" s="94"/>
      <c r="L465" s="94"/>
      <c r="M465" s="94"/>
      <c r="N465" s="94"/>
      <c r="O465" s="94"/>
    </row>
    <row r="466">
      <c r="C466" s="119"/>
      <c r="D466" s="107"/>
      <c r="H466" s="94"/>
      <c r="I466" s="94"/>
      <c r="J466" s="94"/>
      <c r="K466" s="94"/>
      <c r="L466" s="94"/>
      <c r="M466" s="94"/>
      <c r="N466" s="94"/>
      <c r="O466" s="94"/>
    </row>
    <row r="467">
      <c r="C467" s="119"/>
      <c r="D467" s="107"/>
      <c r="H467" s="94"/>
      <c r="I467" s="94"/>
      <c r="J467" s="94"/>
      <c r="K467" s="94"/>
      <c r="L467" s="94"/>
      <c r="M467" s="94"/>
      <c r="N467" s="94"/>
      <c r="O467" s="94"/>
    </row>
    <row r="468">
      <c r="C468" s="119"/>
      <c r="D468" s="107"/>
      <c r="H468" s="94"/>
      <c r="I468" s="94"/>
      <c r="J468" s="94"/>
      <c r="K468" s="94"/>
      <c r="L468" s="94"/>
      <c r="M468" s="94"/>
      <c r="N468" s="94"/>
      <c r="O468" s="94"/>
    </row>
    <row r="469">
      <c r="C469" s="119"/>
      <c r="D469" s="107"/>
      <c r="H469" s="94"/>
      <c r="I469" s="94"/>
      <c r="J469" s="94"/>
      <c r="K469" s="94"/>
      <c r="L469" s="94"/>
      <c r="M469" s="94"/>
      <c r="N469" s="94"/>
      <c r="O469" s="94"/>
    </row>
    <row r="470">
      <c r="C470" s="119"/>
      <c r="D470" s="107"/>
      <c r="H470" s="94"/>
      <c r="I470" s="94"/>
      <c r="J470" s="94"/>
      <c r="K470" s="94"/>
      <c r="L470" s="94"/>
      <c r="M470" s="94"/>
      <c r="N470" s="94"/>
      <c r="O470" s="94"/>
    </row>
    <row r="471">
      <c r="C471" s="119"/>
      <c r="D471" s="107"/>
      <c r="H471" s="94"/>
      <c r="I471" s="94"/>
      <c r="J471" s="94"/>
      <c r="K471" s="94"/>
      <c r="L471" s="94"/>
      <c r="M471" s="94"/>
      <c r="N471" s="94"/>
      <c r="O471" s="94"/>
    </row>
    <row r="472">
      <c r="C472" s="119"/>
      <c r="D472" s="107"/>
      <c r="H472" s="94"/>
      <c r="I472" s="94"/>
      <c r="J472" s="94"/>
      <c r="K472" s="94"/>
      <c r="L472" s="94"/>
      <c r="M472" s="94"/>
      <c r="N472" s="94"/>
      <c r="O472" s="94"/>
    </row>
    <row r="473">
      <c r="C473" s="119"/>
      <c r="D473" s="107"/>
      <c r="H473" s="94"/>
      <c r="I473" s="94"/>
      <c r="J473" s="94"/>
      <c r="K473" s="94"/>
      <c r="L473" s="94"/>
      <c r="M473" s="94"/>
      <c r="N473" s="94"/>
      <c r="O473" s="94"/>
    </row>
    <row r="474">
      <c r="C474" s="119"/>
      <c r="D474" s="107"/>
      <c r="H474" s="94"/>
      <c r="I474" s="94"/>
      <c r="J474" s="94"/>
      <c r="K474" s="94"/>
      <c r="L474" s="94"/>
      <c r="M474" s="94"/>
      <c r="N474" s="94"/>
      <c r="O474" s="94"/>
    </row>
    <row r="475">
      <c r="C475" s="119"/>
      <c r="D475" s="107"/>
      <c r="H475" s="94"/>
      <c r="I475" s="94"/>
      <c r="J475" s="94"/>
      <c r="K475" s="94"/>
      <c r="L475" s="94"/>
      <c r="M475" s="94"/>
      <c r="N475" s="94"/>
      <c r="O475" s="94"/>
    </row>
    <row r="476">
      <c r="C476" s="119"/>
      <c r="D476" s="107"/>
      <c r="H476" s="94"/>
      <c r="I476" s="94"/>
      <c r="J476" s="94"/>
      <c r="K476" s="94"/>
      <c r="L476" s="94"/>
      <c r="M476" s="94"/>
      <c r="N476" s="94"/>
      <c r="O476" s="94"/>
    </row>
    <row r="477">
      <c r="C477" s="119"/>
      <c r="D477" s="107"/>
      <c r="H477" s="94"/>
      <c r="I477" s="94"/>
      <c r="J477" s="94"/>
      <c r="K477" s="94"/>
      <c r="L477" s="94"/>
      <c r="M477" s="94"/>
      <c r="N477" s="94"/>
      <c r="O477" s="94"/>
    </row>
    <row r="478">
      <c r="C478" s="119"/>
      <c r="D478" s="107"/>
      <c r="H478" s="94"/>
      <c r="I478" s="94"/>
      <c r="J478" s="94"/>
      <c r="K478" s="94"/>
      <c r="L478" s="94"/>
      <c r="M478" s="94"/>
      <c r="N478" s="94"/>
      <c r="O478" s="94"/>
    </row>
    <row r="479">
      <c r="C479" s="119"/>
      <c r="D479" s="107"/>
      <c r="H479" s="94"/>
      <c r="I479" s="94"/>
      <c r="J479" s="94"/>
      <c r="K479" s="94"/>
      <c r="L479" s="94"/>
      <c r="M479" s="94"/>
      <c r="N479" s="94"/>
      <c r="O479" s="94"/>
    </row>
    <row r="480">
      <c r="C480" s="119"/>
      <c r="D480" s="107"/>
      <c r="H480" s="94"/>
      <c r="I480" s="94"/>
      <c r="J480" s="94"/>
      <c r="K480" s="94"/>
      <c r="L480" s="94"/>
      <c r="M480" s="94"/>
      <c r="N480" s="94"/>
      <c r="O480" s="94"/>
    </row>
    <row r="481">
      <c r="C481" s="119"/>
      <c r="D481" s="107"/>
      <c r="H481" s="94"/>
      <c r="I481" s="94"/>
      <c r="J481" s="94"/>
      <c r="K481" s="94"/>
      <c r="L481" s="94"/>
      <c r="M481" s="94"/>
      <c r="N481" s="94"/>
      <c r="O481" s="94"/>
    </row>
    <row r="482">
      <c r="C482" s="119"/>
      <c r="D482" s="107"/>
      <c r="H482" s="94"/>
      <c r="I482" s="94"/>
      <c r="J482" s="94"/>
      <c r="K482" s="94"/>
      <c r="L482" s="94"/>
      <c r="M482" s="94"/>
      <c r="N482" s="94"/>
      <c r="O482" s="94"/>
    </row>
    <row r="483">
      <c r="C483" s="119"/>
      <c r="D483" s="107"/>
      <c r="H483" s="94"/>
      <c r="I483" s="94"/>
      <c r="J483" s="94"/>
      <c r="K483" s="94"/>
      <c r="L483" s="94"/>
      <c r="M483" s="94"/>
      <c r="N483" s="94"/>
      <c r="O483" s="94"/>
    </row>
    <row r="484">
      <c r="C484" s="119"/>
      <c r="D484" s="107"/>
      <c r="H484" s="94"/>
      <c r="I484" s="94"/>
      <c r="J484" s="94"/>
      <c r="K484" s="94"/>
      <c r="L484" s="94"/>
      <c r="M484" s="94"/>
      <c r="N484" s="94"/>
      <c r="O484" s="94"/>
    </row>
    <row r="485">
      <c r="C485" s="119"/>
      <c r="D485" s="107"/>
      <c r="H485" s="94"/>
      <c r="I485" s="94"/>
      <c r="J485" s="94"/>
      <c r="K485" s="94"/>
      <c r="L485" s="94"/>
      <c r="M485" s="94"/>
      <c r="N485" s="94"/>
      <c r="O485" s="94"/>
    </row>
    <row r="486">
      <c r="C486" s="119"/>
      <c r="D486" s="107"/>
      <c r="H486" s="94"/>
      <c r="I486" s="94"/>
      <c r="J486" s="94"/>
      <c r="K486" s="94"/>
      <c r="L486" s="94"/>
      <c r="M486" s="94"/>
      <c r="N486" s="94"/>
      <c r="O486" s="94"/>
    </row>
    <row r="487">
      <c r="C487" s="119"/>
      <c r="D487" s="107"/>
      <c r="H487" s="94"/>
      <c r="I487" s="94"/>
      <c r="J487" s="94"/>
      <c r="K487" s="94"/>
      <c r="L487" s="94"/>
      <c r="M487" s="94"/>
      <c r="N487" s="94"/>
      <c r="O487" s="94"/>
    </row>
    <row r="488">
      <c r="C488" s="119"/>
      <c r="D488" s="107"/>
      <c r="H488" s="94"/>
      <c r="I488" s="94"/>
      <c r="J488" s="94"/>
      <c r="K488" s="94"/>
      <c r="L488" s="94"/>
      <c r="M488" s="94"/>
      <c r="N488" s="94"/>
      <c r="O488" s="94"/>
    </row>
    <row r="489">
      <c r="C489" s="119"/>
      <c r="D489" s="107"/>
      <c r="H489" s="94"/>
      <c r="I489" s="94"/>
      <c r="J489" s="94"/>
      <c r="K489" s="94"/>
      <c r="L489" s="94"/>
      <c r="M489" s="94"/>
      <c r="N489" s="94"/>
      <c r="O489" s="94"/>
    </row>
    <row r="490">
      <c r="C490" s="119"/>
      <c r="D490" s="107"/>
      <c r="H490" s="94"/>
      <c r="I490" s="94"/>
      <c r="J490" s="94"/>
      <c r="K490" s="94"/>
      <c r="L490" s="94"/>
      <c r="M490" s="94"/>
      <c r="N490" s="94"/>
      <c r="O490" s="94"/>
    </row>
    <row r="491">
      <c r="C491" s="119"/>
      <c r="D491" s="107"/>
      <c r="H491" s="94"/>
      <c r="I491" s="94"/>
      <c r="J491" s="94"/>
      <c r="K491" s="94"/>
      <c r="L491" s="94"/>
      <c r="M491" s="94"/>
      <c r="N491" s="94"/>
      <c r="O491" s="94"/>
    </row>
    <row r="492">
      <c r="C492" s="119"/>
      <c r="D492" s="107"/>
      <c r="H492" s="94"/>
      <c r="I492" s="94"/>
      <c r="J492" s="94"/>
      <c r="K492" s="94"/>
      <c r="L492" s="94"/>
      <c r="M492" s="94"/>
      <c r="N492" s="94"/>
      <c r="O492" s="94"/>
    </row>
    <row r="493">
      <c r="C493" s="119"/>
      <c r="D493" s="107"/>
      <c r="H493" s="94"/>
      <c r="I493" s="94"/>
      <c r="J493" s="94"/>
      <c r="K493" s="94"/>
      <c r="L493" s="94"/>
      <c r="M493" s="94"/>
      <c r="N493" s="94"/>
      <c r="O493" s="94"/>
    </row>
    <row r="494">
      <c r="C494" s="119"/>
      <c r="D494" s="107"/>
      <c r="H494" s="94"/>
      <c r="I494" s="94"/>
      <c r="J494" s="94"/>
      <c r="K494" s="94"/>
      <c r="L494" s="94"/>
      <c r="M494" s="94"/>
      <c r="N494" s="94"/>
      <c r="O494" s="94"/>
    </row>
    <row r="495">
      <c r="C495" s="119"/>
      <c r="D495" s="107"/>
      <c r="H495" s="94"/>
      <c r="I495" s="94"/>
      <c r="J495" s="94"/>
      <c r="K495" s="94"/>
      <c r="L495" s="94"/>
      <c r="M495" s="94"/>
      <c r="N495" s="94"/>
      <c r="O495" s="94"/>
    </row>
    <row r="496">
      <c r="C496" s="119"/>
      <c r="D496" s="107"/>
      <c r="H496" s="94"/>
      <c r="I496" s="94"/>
      <c r="J496" s="94"/>
      <c r="K496" s="94"/>
      <c r="L496" s="94"/>
      <c r="M496" s="94"/>
      <c r="N496" s="94"/>
      <c r="O496" s="94"/>
    </row>
    <row r="497">
      <c r="C497" s="119"/>
      <c r="D497" s="107"/>
      <c r="H497" s="94"/>
      <c r="I497" s="94"/>
      <c r="J497" s="94"/>
      <c r="K497" s="94"/>
      <c r="L497" s="94"/>
      <c r="M497" s="94"/>
      <c r="N497" s="94"/>
      <c r="O497" s="94"/>
    </row>
    <row r="498">
      <c r="C498" s="119"/>
      <c r="D498" s="107"/>
      <c r="H498" s="94"/>
      <c r="I498" s="94"/>
      <c r="J498" s="94"/>
      <c r="K498" s="94"/>
      <c r="L498" s="94"/>
      <c r="M498" s="94"/>
      <c r="N498" s="94"/>
      <c r="O498" s="94"/>
    </row>
    <row r="499">
      <c r="C499" s="119"/>
      <c r="D499" s="107"/>
      <c r="H499" s="94"/>
      <c r="I499" s="94"/>
      <c r="J499" s="94"/>
      <c r="K499" s="94"/>
      <c r="L499" s="94"/>
      <c r="M499" s="94"/>
      <c r="N499" s="94"/>
      <c r="O499" s="94"/>
    </row>
    <row r="500">
      <c r="C500" s="119"/>
      <c r="D500" s="107"/>
      <c r="H500" s="94"/>
      <c r="I500" s="94"/>
      <c r="J500" s="94"/>
      <c r="K500" s="94"/>
      <c r="L500" s="94"/>
      <c r="M500" s="94"/>
      <c r="N500" s="94"/>
      <c r="O500" s="94"/>
    </row>
    <row r="501">
      <c r="C501" s="119"/>
      <c r="D501" s="107"/>
      <c r="H501" s="94"/>
      <c r="I501" s="94"/>
      <c r="J501" s="94"/>
      <c r="K501" s="94"/>
      <c r="L501" s="94"/>
      <c r="M501" s="94"/>
      <c r="N501" s="94"/>
      <c r="O501" s="94"/>
    </row>
    <row r="502">
      <c r="C502" s="119"/>
      <c r="D502" s="107"/>
      <c r="H502" s="94"/>
      <c r="I502" s="94"/>
      <c r="J502" s="94"/>
      <c r="K502" s="94"/>
      <c r="L502" s="94"/>
      <c r="M502" s="94"/>
      <c r="N502" s="94"/>
      <c r="O502" s="94"/>
    </row>
    <row r="503">
      <c r="C503" s="119"/>
      <c r="D503" s="107"/>
      <c r="H503" s="94"/>
      <c r="I503" s="94"/>
      <c r="J503" s="94"/>
      <c r="K503" s="94"/>
      <c r="L503" s="94"/>
      <c r="M503" s="94"/>
      <c r="N503" s="94"/>
      <c r="O503" s="94"/>
    </row>
    <row r="504">
      <c r="C504" s="119"/>
      <c r="D504" s="107"/>
      <c r="H504" s="94"/>
      <c r="I504" s="94"/>
      <c r="J504" s="94"/>
      <c r="K504" s="94"/>
      <c r="L504" s="94"/>
      <c r="M504" s="94"/>
      <c r="N504" s="94"/>
      <c r="O504" s="94"/>
    </row>
    <row r="505">
      <c r="C505" s="119"/>
      <c r="D505" s="107"/>
      <c r="H505" s="94"/>
      <c r="I505" s="94"/>
      <c r="J505" s="94"/>
      <c r="K505" s="94"/>
      <c r="L505" s="94"/>
      <c r="M505" s="94"/>
      <c r="N505" s="94"/>
      <c r="O505" s="94"/>
    </row>
    <row r="506">
      <c r="C506" s="119"/>
      <c r="D506" s="107"/>
      <c r="H506" s="94"/>
      <c r="I506" s="94"/>
      <c r="J506" s="94"/>
      <c r="K506" s="94"/>
      <c r="L506" s="94"/>
      <c r="M506" s="94"/>
      <c r="N506" s="94"/>
      <c r="O506" s="94"/>
    </row>
    <row r="507">
      <c r="C507" s="119"/>
      <c r="D507" s="107"/>
      <c r="H507" s="94"/>
      <c r="I507" s="94"/>
      <c r="J507" s="94"/>
      <c r="K507" s="94"/>
      <c r="L507" s="94"/>
      <c r="M507" s="94"/>
      <c r="N507" s="94"/>
      <c r="O507" s="94"/>
    </row>
    <row r="508">
      <c r="C508" s="119"/>
      <c r="D508" s="107"/>
      <c r="H508" s="94"/>
      <c r="I508" s="94"/>
      <c r="J508" s="94"/>
      <c r="K508" s="94"/>
      <c r="L508" s="94"/>
      <c r="M508" s="94"/>
      <c r="N508" s="94"/>
      <c r="O508" s="94"/>
    </row>
    <row r="509">
      <c r="C509" s="119"/>
      <c r="D509" s="107"/>
      <c r="H509" s="94"/>
      <c r="I509" s="94"/>
      <c r="J509" s="94"/>
      <c r="K509" s="94"/>
      <c r="L509" s="94"/>
      <c r="M509" s="94"/>
      <c r="N509" s="94"/>
      <c r="O509" s="94"/>
    </row>
    <row r="510">
      <c r="C510" s="119"/>
      <c r="D510" s="107"/>
      <c r="H510" s="94"/>
      <c r="I510" s="94"/>
      <c r="J510" s="94"/>
      <c r="K510" s="94"/>
      <c r="L510" s="94"/>
      <c r="M510" s="94"/>
      <c r="N510" s="94"/>
      <c r="O510" s="94"/>
    </row>
    <row r="511">
      <c r="C511" s="119"/>
      <c r="D511" s="107"/>
      <c r="H511" s="94"/>
      <c r="I511" s="94"/>
      <c r="J511" s="94"/>
      <c r="K511" s="94"/>
      <c r="L511" s="94"/>
      <c r="M511" s="94"/>
      <c r="N511" s="94"/>
      <c r="O511" s="94"/>
    </row>
    <row r="512">
      <c r="C512" s="119"/>
      <c r="D512" s="107"/>
      <c r="H512" s="94"/>
      <c r="I512" s="94"/>
      <c r="J512" s="94"/>
      <c r="K512" s="94"/>
      <c r="L512" s="94"/>
      <c r="M512" s="94"/>
      <c r="N512" s="94"/>
      <c r="O512" s="94"/>
    </row>
    <row r="513">
      <c r="C513" s="119"/>
      <c r="D513" s="107"/>
      <c r="H513" s="94"/>
      <c r="I513" s="94"/>
      <c r="J513" s="94"/>
      <c r="K513" s="94"/>
      <c r="L513" s="94"/>
      <c r="M513" s="94"/>
      <c r="N513" s="94"/>
      <c r="O513" s="94"/>
    </row>
    <row r="514">
      <c r="C514" s="119"/>
      <c r="D514" s="107"/>
      <c r="H514" s="94"/>
      <c r="I514" s="94"/>
      <c r="J514" s="94"/>
      <c r="K514" s="94"/>
      <c r="L514" s="94"/>
      <c r="M514" s="94"/>
      <c r="N514" s="94"/>
      <c r="O514" s="94"/>
    </row>
    <row r="515">
      <c r="C515" s="119"/>
      <c r="D515" s="107"/>
      <c r="H515" s="94"/>
      <c r="I515" s="94"/>
      <c r="J515" s="94"/>
      <c r="K515" s="94"/>
      <c r="L515" s="94"/>
      <c r="M515" s="94"/>
      <c r="N515" s="94"/>
      <c r="O515" s="94"/>
    </row>
    <row r="516">
      <c r="C516" s="119"/>
      <c r="D516" s="107"/>
      <c r="H516" s="94"/>
      <c r="I516" s="94"/>
      <c r="J516" s="94"/>
      <c r="K516" s="94"/>
      <c r="L516" s="94"/>
      <c r="M516" s="94"/>
      <c r="N516" s="94"/>
      <c r="O516" s="94"/>
    </row>
    <row r="517">
      <c r="C517" s="119"/>
      <c r="D517" s="107"/>
      <c r="H517" s="94"/>
      <c r="I517" s="94"/>
      <c r="J517" s="94"/>
      <c r="K517" s="94"/>
      <c r="L517" s="94"/>
      <c r="M517" s="94"/>
      <c r="N517" s="94"/>
      <c r="O517" s="94"/>
    </row>
    <row r="518">
      <c r="C518" s="119"/>
      <c r="D518" s="107"/>
      <c r="H518" s="94"/>
      <c r="I518" s="94"/>
      <c r="J518" s="94"/>
      <c r="K518" s="94"/>
      <c r="L518" s="94"/>
      <c r="M518" s="94"/>
      <c r="N518" s="94"/>
      <c r="O518" s="94"/>
    </row>
    <row r="519">
      <c r="C519" s="119"/>
      <c r="D519" s="107"/>
      <c r="H519" s="94"/>
      <c r="I519" s="94"/>
      <c r="J519" s="94"/>
      <c r="K519" s="94"/>
      <c r="L519" s="94"/>
      <c r="M519" s="94"/>
      <c r="N519" s="94"/>
      <c r="O519" s="94"/>
    </row>
    <row r="520">
      <c r="C520" s="119"/>
      <c r="D520" s="107"/>
      <c r="H520" s="94"/>
      <c r="I520" s="94"/>
      <c r="J520" s="94"/>
      <c r="K520" s="94"/>
      <c r="L520" s="94"/>
      <c r="M520" s="94"/>
      <c r="N520" s="94"/>
      <c r="O520" s="94"/>
    </row>
    <row r="521">
      <c r="C521" s="119"/>
      <c r="D521" s="107"/>
      <c r="H521" s="94"/>
      <c r="I521" s="94"/>
      <c r="J521" s="94"/>
      <c r="K521" s="94"/>
      <c r="L521" s="94"/>
      <c r="M521" s="94"/>
      <c r="N521" s="94"/>
      <c r="O521" s="94"/>
    </row>
    <row r="522">
      <c r="C522" s="119"/>
      <c r="D522" s="107"/>
      <c r="H522" s="94"/>
      <c r="I522" s="94"/>
      <c r="J522" s="94"/>
      <c r="K522" s="94"/>
      <c r="L522" s="94"/>
      <c r="M522" s="94"/>
      <c r="N522" s="94"/>
      <c r="O522" s="94"/>
    </row>
    <row r="523">
      <c r="C523" s="119"/>
      <c r="D523" s="107"/>
      <c r="H523" s="94"/>
      <c r="I523" s="94"/>
      <c r="J523" s="94"/>
      <c r="K523" s="94"/>
      <c r="L523" s="94"/>
      <c r="M523" s="94"/>
      <c r="N523" s="94"/>
      <c r="O523" s="94"/>
    </row>
    <row r="524">
      <c r="C524" s="119"/>
      <c r="D524" s="107"/>
      <c r="H524" s="94"/>
      <c r="I524" s="94"/>
      <c r="J524" s="94"/>
      <c r="K524" s="94"/>
      <c r="L524" s="94"/>
      <c r="M524" s="94"/>
      <c r="N524" s="94"/>
      <c r="O524" s="94"/>
    </row>
    <row r="525">
      <c r="C525" s="119"/>
      <c r="D525" s="107"/>
      <c r="H525" s="94"/>
      <c r="I525" s="94"/>
      <c r="J525" s="94"/>
      <c r="K525" s="94"/>
      <c r="L525" s="94"/>
      <c r="M525" s="94"/>
      <c r="N525" s="94"/>
      <c r="O525" s="94"/>
    </row>
    <row r="526">
      <c r="C526" s="119"/>
      <c r="D526" s="107"/>
      <c r="H526" s="94"/>
      <c r="I526" s="94"/>
      <c r="J526" s="94"/>
      <c r="K526" s="94"/>
      <c r="L526" s="94"/>
      <c r="M526" s="94"/>
      <c r="N526" s="94"/>
      <c r="O526" s="94"/>
    </row>
    <row r="527">
      <c r="C527" s="119"/>
      <c r="D527" s="107"/>
      <c r="H527" s="94"/>
      <c r="I527" s="94"/>
      <c r="J527" s="94"/>
      <c r="K527" s="94"/>
      <c r="L527" s="94"/>
      <c r="M527" s="94"/>
      <c r="N527" s="94"/>
      <c r="O527" s="94"/>
    </row>
    <row r="528">
      <c r="C528" s="119"/>
      <c r="D528" s="107"/>
      <c r="H528" s="94"/>
      <c r="I528" s="94"/>
      <c r="J528" s="94"/>
      <c r="K528" s="94"/>
      <c r="L528" s="94"/>
      <c r="M528" s="94"/>
      <c r="N528" s="94"/>
      <c r="O528" s="94"/>
    </row>
    <row r="529">
      <c r="C529" s="119"/>
      <c r="D529" s="107"/>
      <c r="H529" s="94"/>
      <c r="I529" s="94"/>
      <c r="J529" s="94"/>
      <c r="K529" s="94"/>
      <c r="L529" s="94"/>
      <c r="M529" s="94"/>
      <c r="N529" s="94"/>
      <c r="O529" s="94"/>
    </row>
    <row r="530">
      <c r="C530" s="119"/>
      <c r="D530" s="107"/>
      <c r="H530" s="94"/>
      <c r="I530" s="94"/>
      <c r="J530" s="94"/>
      <c r="K530" s="94"/>
      <c r="L530" s="94"/>
      <c r="M530" s="94"/>
      <c r="N530" s="94"/>
      <c r="O530" s="94"/>
    </row>
    <row r="531">
      <c r="C531" s="119"/>
      <c r="D531" s="107"/>
      <c r="H531" s="94"/>
      <c r="I531" s="94"/>
      <c r="J531" s="94"/>
      <c r="K531" s="94"/>
      <c r="L531" s="94"/>
      <c r="M531" s="94"/>
      <c r="N531" s="94"/>
      <c r="O531" s="94"/>
    </row>
    <row r="532">
      <c r="C532" s="119"/>
      <c r="D532" s="107"/>
      <c r="H532" s="94"/>
      <c r="I532" s="94"/>
      <c r="J532" s="94"/>
      <c r="K532" s="94"/>
      <c r="L532" s="94"/>
      <c r="M532" s="94"/>
      <c r="N532" s="94"/>
      <c r="O532" s="94"/>
    </row>
    <row r="533">
      <c r="C533" s="119"/>
      <c r="D533" s="107"/>
      <c r="H533" s="94"/>
      <c r="I533" s="94"/>
      <c r="J533" s="94"/>
      <c r="K533" s="94"/>
      <c r="L533" s="94"/>
      <c r="M533" s="94"/>
      <c r="N533" s="94"/>
      <c r="O533" s="94"/>
    </row>
    <row r="534">
      <c r="C534" s="119"/>
      <c r="D534" s="107"/>
      <c r="H534" s="94"/>
      <c r="I534" s="94"/>
      <c r="J534" s="94"/>
      <c r="K534" s="94"/>
      <c r="L534" s="94"/>
      <c r="M534" s="94"/>
      <c r="N534" s="94"/>
      <c r="O534" s="94"/>
    </row>
    <row r="535">
      <c r="C535" s="119"/>
      <c r="D535" s="107"/>
      <c r="H535" s="94"/>
      <c r="I535" s="94"/>
      <c r="J535" s="94"/>
      <c r="K535" s="94"/>
      <c r="L535" s="94"/>
      <c r="M535" s="94"/>
      <c r="N535" s="94"/>
      <c r="O535" s="94"/>
    </row>
    <row r="536">
      <c r="C536" s="119"/>
      <c r="D536" s="107"/>
      <c r="H536" s="94"/>
      <c r="I536" s="94"/>
      <c r="J536" s="94"/>
      <c r="K536" s="94"/>
      <c r="L536" s="94"/>
      <c r="M536" s="94"/>
      <c r="N536" s="94"/>
      <c r="O536" s="94"/>
    </row>
    <row r="537">
      <c r="C537" s="119"/>
      <c r="D537" s="107"/>
      <c r="H537" s="94"/>
      <c r="I537" s="94"/>
      <c r="J537" s="94"/>
      <c r="K537" s="94"/>
      <c r="L537" s="94"/>
      <c r="M537" s="94"/>
      <c r="N537" s="94"/>
      <c r="O537" s="94"/>
    </row>
    <row r="538">
      <c r="C538" s="119"/>
      <c r="D538" s="107"/>
      <c r="H538" s="94"/>
      <c r="I538" s="94"/>
      <c r="J538" s="94"/>
      <c r="K538" s="94"/>
      <c r="L538" s="94"/>
      <c r="M538" s="94"/>
      <c r="N538" s="94"/>
      <c r="O538" s="94"/>
    </row>
    <row r="539">
      <c r="C539" s="119"/>
      <c r="D539" s="107"/>
      <c r="H539" s="94"/>
      <c r="I539" s="94"/>
      <c r="J539" s="94"/>
      <c r="K539" s="94"/>
      <c r="L539" s="94"/>
      <c r="M539" s="94"/>
      <c r="N539" s="94"/>
      <c r="O539" s="94"/>
    </row>
    <row r="540">
      <c r="C540" s="119"/>
      <c r="D540" s="107"/>
      <c r="H540" s="94"/>
      <c r="I540" s="94"/>
      <c r="J540" s="94"/>
      <c r="K540" s="94"/>
      <c r="L540" s="94"/>
      <c r="M540" s="94"/>
      <c r="N540" s="94"/>
      <c r="O540" s="94"/>
    </row>
    <row r="541">
      <c r="C541" s="119"/>
      <c r="D541" s="107"/>
      <c r="H541" s="94"/>
      <c r="I541" s="94"/>
      <c r="J541" s="94"/>
      <c r="K541" s="94"/>
      <c r="L541" s="94"/>
      <c r="M541" s="94"/>
      <c r="N541" s="94"/>
      <c r="O541" s="94"/>
    </row>
    <row r="542">
      <c r="C542" s="119"/>
      <c r="D542" s="107"/>
      <c r="H542" s="94"/>
      <c r="I542" s="94"/>
      <c r="J542" s="94"/>
      <c r="K542" s="94"/>
      <c r="L542" s="94"/>
      <c r="M542" s="94"/>
      <c r="N542" s="94"/>
      <c r="O542" s="94"/>
    </row>
    <row r="543">
      <c r="C543" s="119"/>
      <c r="D543" s="107"/>
      <c r="H543" s="94"/>
      <c r="I543" s="94"/>
      <c r="J543" s="94"/>
      <c r="K543" s="94"/>
      <c r="L543" s="94"/>
      <c r="M543" s="94"/>
      <c r="N543" s="94"/>
      <c r="O543" s="94"/>
    </row>
    <row r="544">
      <c r="C544" s="119"/>
      <c r="D544" s="107"/>
      <c r="H544" s="94"/>
      <c r="I544" s="94"/>
      <c r="J544" s="94"/>
      <c r="K544" s="94"/>
      <c r="L544" s="94"/>
      <c r="M544" s="94"/>
      <c r="N544" s="94"/>
      <c r="O544" s="94"/>
    </row>
    <row r="545">
      <c r="C545" s="119"/>
      <c r="D545" s="107"/>
      <c r="H545" s="94"/>
      <c r="I545" s="94"/>
      <c r="J545" s="94"/>
      <c r="K545" s="94"/>
      <c r="L545" s="94"/>
      <c r="M545" s="94"/>
      <c r="N545" s="94"/>
      <c r="O545" s="94"/>
    </row>
    <row r="546">
      <c r="C546" s="119"/>
      <c r="D546" s="107"/>
      <c r="H546" s="94"/>
      <c r="I546" s="94"/>
      <c r="J546" s="94"/>
      <c r="K546" s="94"/>
      <c r="L546" s="94"/>
      <c r="M546" s="94"/>
      <c r="N546" s="94"/>
      <c r="O546" s="94"/>
    </row>
    <row r="547">
      <c r="C547" s="119"/>
      <c r="D547" s="107"/>
      <c r="H547" s="94"/>
      <c r="I547" s="94"/>
      <c r="J547" s="94"/>
      <c r="K547" s="94"/>
      <c r="L547" s="94"/>
      <c r="M547" s="94"/>
      <c r="N547" s="94"/>
      <c r="O547" s="94"/>
    </row>
    <row r="548">
      <c r="C548" s="119"/>
      <c r="D548" s="107"/>
      <c r="H548" s="94"/>
      <c r="I548" s="94"/>
      <c r="J548" s="94"/>
      <c r="K548" s="94"/>
      <c r="L548" s="94"/>
      <c r="M548" s="94"/>
      <c r="N548" s="94"/>
      <c r="O548" s="94"/>
    </row>
    <row r="549">
      <c r="C549" s="119"/>
      <c r="D549" s="107"/>
      <c r="H549" s="94"/>
      <c r="I549" s="94"/>
      <c r="J549" s="94"/>
      <c r="K549" s="94"/>
      <c r="L549" s="94"/>
      <c r="M549" s="94"/>
      <c r="N549" s="94"/>
      <c r="O549" s="94"/>
    </row>
    <row r="550">
      <c r="C550" s="119"/>
      <c r="D550" s="107"/>
      <c r="H550" s="94"/>
      <c r="I550" s="94"/>
      <c r="J550" s="94"/>
      <c r="K550" s="94"/>
      <c r="L550" s="94"/>
      <c r="M550" s="94"/>
      <c r="N550" s="94"/>
      <c r="O550" s="94"/>
    </row>
    <row r="551">
      <c r="C551" s="119"/>
      <c r="D551" s="107"/>
      <c r="H551" s="94"/>
      <c r="I551" s="94"/>
      <c r="J551" s="94"/>
      <c r="K551" s="94"/>
      <c r="L551" s="94"/>
      <c r="M551" s="94"/>
      <c r="N551" s="94"/>
      <c r="O551" s="94"/>
    </row>
    <row r="552">
      <c r="C552" s="119"/>
      <c r="D552" s="107"/>
      <c r="H552" s="94"/>
      <c r="I552" s="94"/>
      <c r="J552" s="94"/>
      <c r="K552" s="94"/>
      <c r="L552" s="94"/>
      <c r="M552" s="94"/>
      <c r="N552" s="94"/>
      <c r="O552" s="94"/>
    </row>
    <row r="553">
      <c r="C553" s="119"/>
      <c r="D553" s="107"/>
      <c r="H553" s="94"/>
      <c r="I553" s="94"/>
      <c r="J553" s="94"/>
      <c r="K553" s="94"/>
      <c r="L553" s="94"/>
      <c r="M553" s="94"/>
      <c r="N553" s="94"/>
      <c r="O553" s="94"/>
    </row>
    <row r="554">
      <c r="C554" s="119"/>
      <c r="D554" s="107"/>
      <c r="H554" s="94"/>
      <c r="I554" s="94"/>
      <c r="J554" s="94"/>
      <c r="K554" s="94"/>
      <c r="L554" s="94"/>
      <c r="M554" s="94"/>
      <c r="N554" s="94"/>
      <c r="O554" s="94"/>
    </row>
    <row r="555">
      <c r="C555" s="119"/>
      <c r="D555" s="107"/>
      <c r="H555" s="94"/>
      <c r="I555" s="94"/>
      <c r="J555" s="94"/>
      <c r="K555" s="94"/>
      <c r="L555" s="94"/>
      <c r="M555" s="94"/>
      <c r="N555" s="94"/>
      <c r="O555" s="94"/>
    </row>
    <row r="556">
      <c r="C556" s="119"/>
      <c r="D556" s="107"/>
      <c r="H556" s="94"/>
      <c r="I556" s="94"/>
      <c r="J556" s="94"/>
      <c r="K556" s="94"/>
      <c r="L556" s="94"/>
      <c r="M556" s="94"/>
      <c r="N556" s="94"/>
      <c r="O556" s="94"/>
    </row>
    <row r="557">
      <c r="C557" s="119"/>
      <c r="D557" s="107"/>
      <c r="H557" s="94"/>
      <c r="I557" s="94"/>
      <c r="J557" s="94"/>
      <c r="K557" s="94"/>
      <c r="L557" s="94"/>
      <c r="M557" s="94"/>
      <c r="N557" s="94"/>
      <c r="O557" s="94"/>
    </row>
    <row r="558">
      <c r="C558" s="119"/>
      <c r="D558" s="107"/>
      <c r="H558" s="94"/>
      <c r="I558" s="94"/>
      <c r="J558" s="94"/>
      <c r="K558" s="94"/>
      <c r="L558" s="94"/>
      <c r="M558" s="94"/>
      <c r="N558" s="94"/>
      <c r="O558" s="94"/>
    </row>
    <row r="559">
      <c r="C559" s="119"/>
      <c r="D559" s="107"/>
      <c r="H559" s="94"/>
      <c r="I559" s="94"/>
      <c r="J559" s="94"/>
      <c r="K559" s="94"/>
      <c r="L559" s="94"/>
      <c r="M559" s="94"/>
      <c r="N559" s="94"/>
      <c r="O559" s="94"/>
    </row>
    <row r="560">
      <c r="C560" s="119"/>
      <c r="D560" s="107"/>
      <c r="H560" s="94"/>
      <c r="I560" s="94"/>
      <c r="J560" s="94"/>
      <c r="K560" s="94"/>
      <c r="L560" s="94"/>
      <c r="M560" s="94"/>
      <c r="N560" s="94"/>
      <c r="O560" s="94"/>
    </row>
    <row r="561">
      <c r="C561" s="119"/>
      <c r="D561" s="107"/>
      <c r="H561" s="94"/>
      <c r="I561" s="94"/>
      <c r="J561" s="94"/>
      <c r="K561" s="94"/>
      <c r="L561" s="94"/>
      <c r="M561" s="94"/>
      <c r="N561" s="94"/>
      <c r="O561" s="94"/>
    </row>
    <row r="562">
      <c r="C562" s="119"/>
      <c r="D562" s="107"/>
      <c r="H562" s="94"/>
      <c r="I562" s="94"/>
      <c r="J562" s="94"/>
      <c r="K562" s="94"/>
      <c r="L562" s="94"/>
      <c r="M562" s="94"/>
      <c r="N562" s="94"/>
      <c r="O562" s="94"/>
    </row>
    <row r="563">
      <c r="C563" s="119"/>
      <c r="D563" s="107"/>
      <c r="H563" s="94"/>
      <c r="I563" s="94"/>
      <c r="J563" s="94"/>
      <c r="K563" s="94"/>
      <c r="L563" s="94"/>
      <c r="M563" s="94"/>
      <c r="N563" s="94"/>
      <c r="O563" s="94"/>
    </row>
    <row r="564">
      <c r="C564" s="119"/>
      <c r="D564" s="107"/>
      <c r="H564" s="94"/>
      <c r="I564" s="94"/>
      <c r="J564" s="94"/>
      <c r="K564" s="94"/>
      <c r="L564" s="94"/>
      <c r="M564" s="94"/>
      <c r="N564" s="94"/>
      <c r="O564" s="94"/>
    </row>
    <row r="565">
      <c r="C565" s="119"/>
      <c r="D565" s="107"/>
      <c r="H565" s="94"/>
      <c r="I565" s="94"/>
      <c r="J565" s="94"/>
      <c r="K565" s="94"/>
      <c r="L565" s="94"/>
      <c r="M565" s="94"/>
      <c r="N565" s="94"/>
      <c r="O565" s="94"/>
    </row>
    <row r="566">
      <c r="C566" s="119"/>
      <c r="D566" s="107"/>
      <c r="H566" s="94"/>
      <c r="I566" s="94"/>
      <c r="J566" s="94"/>
      <c r="K566" s="94"/>
      <c r="L566" s="94"/>
      <c r="M566" s="94"/>
      <c r="N566" s="94"/>
      <c r="O566" s="94"/>
    </row>
    <row r="567">
      <c r="C567" s="119"/>
      <c r="D567" s="107"/>
      <c r="H567" s="94"/>
      <c r="I567" s="94"/>
      <c r="J567" s="94"/>
      <c r="K567" s="94"/>
      <c r="L567" s="94"/>
      <c r="M567" s="94"/>
      <c r="N567" s="94"/>
      <c r="O567" s="94"/>
    </row>
    <row r="568">
      <c r="C568" s="119"/>
      <c r="D568" s="107"/>
      <c r="H568" s="94"/>
      <c r="I568" s="94"/>
      <c r="J568" s="94"/>
      <c r="K568" s="94"/>
      <c r="L568" s="94"/>
      <c r="M568" s="94"/>
      <c r="N568" s="94"/>
      <c r="O568" s="94"/>
    </row>
    <row r="569">
      <c r="C569" s="119"/>
      <c r="D569" s="107"/>
      <c r="H569" s="94"/>
      <c r="I569" s="94"/>
      <c r="J569" s="94"/>
      <c r="K569" s="94"/>
      <c r="L569" s="94"/>
      <c r="M569" s="94"/>
      <c r="N569" s="94"/>
      <c r="O569" s="94"/>
    </row>
    <row r="570">
      <c r="C570" s="119"/>
      <c r="D570" s="107"/>
      <c r="H570" s="94"/>
      <c r="I570" s="94"/>
      <c r="J570" s="94"/>
      <c r="K570" s="94"/>
      <c r="L570" s="94"/>
      <c r="M570" s="94"/>
      <c r="N570" s="94"/>
      <c r="O570" s="94"/>
    </row>
    <row r="571">
      <c r="C571" s="119"/>
      <c r="D571" s="107"/>
      <c r="H571" s="94"/>
      <c r="I571" s="94"/>
      <c r="J571" s="94"/>
      <c r="K571" s="94"/>
      <c r="L571" s="94"/>
      <c r="M571" s="94"/>
      <c r="N571" s="94"/>
      <c r="O571" s="94"/>
    </row>
    <row r="572">
      <c r="C572" s="119"/>
      <c r="D572" s="107"/>
      <c r="H572" s="94"/>
      <c r="I572" s="94"/>
      <c r="J572" s="94"/>
      <c r="K572" s="94"/>
      <c r="L572" s="94"/>
      <c r="M572" s="94"/>
      <c r="N572" s="94"/>
      <c r="O572" s="94"/>
    </row>
    <row r="573">
      <c r="C573" s="119"/>
      <c r="D573" s="107"/>
      <c r="H573" s="94"/>
      <c r="I573" s="94"/>
      <c r="J573" s="94"/>
      <c r="K573" s="94"/>
      <c r="L573" s="94"/>
      <c r="M573" s="94"/>
      <c r="N573" s="94"/>
      <c r="O573" s="94"/>
    </row>
    <row r="574">
      <c r="C574" s="119"/>
      <c r="D574" s="107"/>
      <c r="H574" s="94"/>
      <c r="I574" s="94"/>
      <c r="J574" s="94"/>
      <c r="K574" s="94"/>
      <c r="L574" s="94"/>
      <c r="M574" s="94"/>
      <c r="N574" s="94"/>
      <c r="O574" s="94"/>
    </row>
    <row r="575">
      <c r="C575" s="119"/>
      <c r="D575" s="107"/>
      <c r="H575" s="94"/>
      <c r="I575" s="94"/>
      <c r="J575" s="94"/>
      <c r="K575" s="94"/>
      <c r="L575" s="94"/>
      <c r="M575" s="94"/>
      <c r="N575" s="94"/>
      <c r="O575" s="94"/>
    </row>
    <row r="576">
      <c r="C576" s="119"/>
      <c r="D576" s="107"/>
      <c r="H576" s="94"/>
      <c r="I576" s="94"/>
      <c r="J576" s="94"/>
      <c r="K576" s="94"/>
      <c r="L576" s="94"/>
      <c r="M576" s="94"/>
      <c r="N576" s="94"/>
      <c r="O576" s="94"/>
    </row>
    <row r="577">
      <c r="C577" s="119"/>
      <c r="D577" s="107"/>
      <c r="H577" s="94"/>
      <c r="I577" s="94"/>
      <c r="J577" s="94"/>
      <c r="K577" s="94"/>
      <c r="L577" s="94"/>
      <c r="M577" s="94"/>
      <c r="N577" s="94"/>
      <c r="O577" s="94"/>
    </row>
    <row r="578">
      <c r="C578" s="119"/>
      <c r="D578" s="107"/>
      <c r="H578" s="94"/>
      <c r="I578" s="94"/>
      <c r="J578" s="94"/>
      <c r="K578" s="94"/>
      <c r="L578" s="94"/>
      <c r="M578" s="94"/>
      <c r="N578" s="94"/>
      <c r="O578" s="94"/>
    </row>
    <row r="579">
      <c r="C579" s="119"/>
      <c r="D579" s="107"/>
      <c r="H579" s="94"/>
      <c r="I579" s="94"/>
      <c r="J579" s="94"/>
      <c r="K579" s="94"/>
      <c r="L579" s="94"/>
      <c r="M579" s="94"/>
      <c r="N579" s="94"/>
      <c r="O579" s="94"/>
    </row>
    <row r="580">
      <c r="C580" s="119"/>
      <c r="D580" s="107"/>
      <c r="H580" s="94"/>
      <c r="I580" s="94"/>
      <c r="J580" s="94"/>
      <c r="K580" s="94"/>
      <c r="L580" s="94"/>
      <c r="M580" s="94"/>
      <c r="N580" s="94"/>
      <c r="O580" s="94"/>
    </row>
    <row r="581">
      <c r="C581" s="119"/>
      <c r="D581" s="107"/>
      <c r="H581" s="94"/>
      <c r="I581" s="94"/>
      <c r="J581" s="94"/>
      <c r="K581" s="94"/>
      <c r="L581" s="94"/>
      <c r="M581" s="94"/>
      <c r="N581" s="94"/>
      <c r="O581" s="94"/>
    </row>
    <row r="582">
      <c r="C582" s="119"/>
      <c r="D582" s="107"/>
      <c r="H582" s="94"/>
      <c r="I582" s="94"/>
      <c r="J582" s="94"/>
      <c r="K582" s="94"/>
      <c r="L582" s="94"/>
      <c r="M582" s="94"/>
      <c r="N582" s="94"/>
      <c r="O582" s="94"/>
    </row>
    <row r="583">
      <c r="C583" s="119"/>
      <c r="D583" s="107"/>
      <c r="H583" s="94"/>
      <c r="I583" s="94"/>
      <c r="J583" s="94"/>
      <c r="K583" s="94"/>
      <c r="L583" s="94"/>
      <c r="M583" s="94"/>
      <c r="N583" s="94"/>
      <c r="O583" s="94"/>
    </row>
    <row r="584">
      <c r="C584" s="119"/>
      <c r="D584" s="107"/>
      <c r="H584" s="94"/>
      <c r="I584" s="94"/>
      <c r="J584" s="94"/>
      <c r="K584" s="94"/>
      <c r="L584" s="94"/>
      <c r="M584" s="94"/>
      <c r="N584" s="94"/>
      <c r="O584" s="94"/>
    </row>
    <row r="585">
      <c r="C585" s="119"/>
      <c r="D585" s="107"/>
      <c r="H585" s="94"/>
      <c r="I585" s="94"/>
      <c r="J585" s="94"/>
      <c r="K585" s="94"/>
      <c r="L585" s="94"/>
      <c r="M585" s="94"/>
      <c r="N585" s="94"/>
      <c r="O585" s="94"/>
    </row>
    <row r="586">
      <c r="C586" s="119"/>
      <c r="D586" s="107"/>
      <c r="H586" s="94"/>
      <c r="I586" s="94"/>
      <c r="J586" s="94"/>
      <c r="K586" s="94"/>
      <c r="L586" s="94"/>
      <c r="M586" s="94"/>
      <c r="N586" s="94"/>
      <c r="O586" s="94"/>
    </row>
    <row r="587">
      <c r="C587" s="119"/>
      <c r="D587" s="107"/>
      <c r="H587" s="94"/>
      <c r="I587" s="94"/>
      <c r="J587" s="94"/>
      <c r="K587" s="94"/>
      <c r="L587" s="94"/>
      <c r="M587" s="94"/>
      <c r="N587" s="94"/>
      <c r="O587" s="94"/>
    </row>
    <row r="588">
      <c r="C588" s="119"/>
      <c r="D588" s="107"/>
      <c r="H588" s="94"/>
      <c r="I588" s="94"/>
      <c r="J588" s="94"/>
      <c r="K588" s="94"/>
      <c r="L588" s="94"/>
      <c r="M588" s="94"/>
      <c r="N588" s="94"/>
      <c r="O588" s="94"/>
    </row>
    <row r="589">
      <c r="C589" s="119"/>
      <c r="D589" s="107"/>
      <c r="H589" s="94"/>
      <c r="I589" s="94"/>
      <c r="J589" s="94"/>
      <c r="K589" s="94"/>
      <c r="L589" s="94"/>
      <c r="M589" s="94"/>
      <c r="N589" s="94"/>
      <c r="O589" s="94"/>
    </row>
    <row r="590">
      <c r="C590" s="119"/>
      <c r="D590" s="107"/>
      <c r="H590" s="94"/>
      <c r="I590" s="94"/>
      <c r="J590" s="94"/>
      <c r="K590" s="94"/>
      <c r="L590" s="94"/>
      <c r="M590" s="94"/>
      <c r="N590" s="94"/>
      <c r="O590" s="94"/>
    </row>
    <row r="591">
      <c r="C591" s="119"/>
      <c r="D591" s="107"/>
      <c r="H591" s="94"/>
      <c r="I591" s="94"/>
      <c r="J591" s="94"/>
      <c r="K591" s="94"/>
      <c r="L591" s="94"/>
      <c r="M591" s="94"/>
      <c r="N591" s="94"/>
      <c r="O591" s="94"/>
    </row>
    <row r="592">
      <c r="C592" s="119"/>
      <c r="D592" s="107"/>
      <c r="H592" s="94"/>
      <c r="I592" s="94"/>
      <c r="J592" s="94"/>
      <c r="K592" s="94"/>
      <c r="L592" s="94"/>
      <c r="M592" s="94"/>
      <c r="N592" s="94"/>
      <c r="O592" s="94"/>
    </row>
    <row r="593">
      <c r="C593" s="119"/>
      <c r="D593" s="107"/>
      <c r="H593" s="94"/>
      <c r="I593" s="94"/>
      <c r="J593" s="94"/>
      <c r="K593" s="94"/>
      <c r="L593" s="94"/>
      <c r="M593" s="94"/>
      <c r="N593" s="94"/>
      <c r="O593" s="94"/>
    </row>
    <row r="594">
      <c r="C594" s="119"/>
      <c r="D594" s="107"/>
      <c r="H594" s="94"/>
      <c r="I594" s="94"/>
      <c r="J594" s="94"/>
      <c r="K594" s="94"/>
      <c r="L594" s="94"/>
      <c r="M594" s="94"/>
      <c r="N594" s="94"/>
      <c r="O594" s="94"/>
    </row>
    <row r="595">
      <c r="C595" s="119"/>
      <c r="D595" s="107"/>
      <c r="H595" s="94"/>
      <c r="I595" s="94"/>
      <c r="J595" s="94"/>
      <c r="K595" s="94"/>
      <c r="L595" s="94"/>
      <c r="M595" s="94"/>
      <c r="N595" s="94"/>
      <c r="O595" s="94"/>
    </row>
    <row r="596">
      <c r="C596" s="119"/>
      <c r="D596" s="107"/>
      <c r="H596" s="94"/>
      <c r="I596" s="94"/>
      <c r="J596" s="94"/>
      <c r="K596" s="94"/>
      <c r="L596" s="94"/>
      <c r="M596" s="94"/>
      <c r="N596" s="94"/>
      <c r="O596" s="94"/>
    </row>
    <row r="597">
      <c r="C597" s="119"/>
      <c r="D597" s="107"/>
      <c r="H597" s="94"/>
      <c r="I597" s="94"/>
      <c r="J597" s="94"/>
      <c r="K597" s="94"/>
      <c r="L597" s="94"/>
      <c r="M597" s="94"/>
      <c r="N597" s="94"/>
      <c r="O597" s="94"/>
    </row>
    <row r="598">
      <c r="C598" s="119"/>
      <c r="D598" s="107"/>
      <c r="H598" s="94"/>
      <c r="I598" s="94"/>
      <c r="J598" s="94"/>
      <c r="K598" s="94"/>
      <c r="L598" s="94"/>
      <c r="M598" s="94"/>
      <c r="N598" s="94"/>
      <c r="O598" s="94"/>
    </row>
    <row r="599">
      <c r="C599" s="119"/>
      <c r="D599" s="107"/>
      <c r="H599" s="94"/>
      <c r="I599" s="94"/>
      <c r="J599" s="94"/>
      <c r="K599" s="94"/>
      <c r="L599" s="94"/>
      <c r="M599" s="94"/>
      <c r="N599" s="94"/>
      <c r="O599" s="94"/>
    </row>
    <row r="600">
      <c r="C600" s="119"/>
      <c r="D600" s="107"/>
      <c r="H600" s="94"/>
      <c r="I600" s="94"/>
      <c r="J600" s="94"/>
      <c r="K600" s="94"/>
      <c r="L600" s="94"/>
      <c r="M600" s="94"/>
      <c r="N600" s="94"/>
      <c r="O600" s="94"/>
    </row>
    <row r="601">
      <c r="C601" s="119"/>
      <c r="D601" s="107"/>
      <c r="H601" s="94"/>
      <c r="I601" s="94"/>
      <c r="J601" s="94"/>
      <c r="K601" s="94"/>
      <c r="L601" s="94"/>
      <c r="M601" s="94"/>
      <c r="N601" s="94"/>
      <c r="O601" s="94"/>
    </row>
    <row r="602">
      <c r="C602" s="119"/>
      <c r="D602" s="107"/>
      <c r="H602" s="94"/>
      <c r="I602" s="94"/>
      <c r="J602" s="94"/>
      <c r="K602" s="94"/>
      <c r="L602" s="94"/>
      <c r="M602" s="94"/>
      <c r="N602" s="94"/>
      <c r="O602" s="94"/>
    </row>
    <row r="603">
      <c r="C603" s="119"/>
      <c r="D603" s="107"/>
      <c r="H603" s="94"/>
      <c r="I603" s="94"/>
      <c r="J603" s="94"/>
      <c r="K603" s="94"/>
      <c r="L603" s="94"/>
      <c r="M603" s="94"/>
      <c r="N603" s="94"/>
      <c r="O603" s="94"/>
    </row>
    <row r="604">
      <c r="C604" s="119"/>
      <c r="D604" s="107"/>
      <c r="H604" s="94"/>
      <c r="I604" s="94"/>
      <c r="J604" s="94"/>
      <c r="K604" s="94"/>
      <c r="L604" s="94"/>
      <c r="M604" s="94"/>
      <c r="N604" s="94"/>
      <c r="O604" s="94"/>
    </row>
    <row r="605">
      <c r="C605" s="119"/>
      <c r="D605" s="107"/>
      <c r="H605" s="94"/>
      <c r="I605" s="94"/>
      <c r="J605" s="94"/>
      <c r="K605" s="94"/>
      <c r="L605" s="94"/>
      <c r="M605" s="94"/>
      <c r="N605" s="94"/>
      <c r="O605" s="94"/>
    </row>
    <row r="606">
      <c r="C606" s="119"/>
      <c r="D606" s="107"/>
      <c r="H606" s="94"/>
      <c r="I606" s="94"/>
      <c r="J606" s="94"/>
      <c r="K606" s="94"/>
      <c r="L606" s="94"/>
      <c r="M606" s="94"/>
      <c r="N606" s="94"/>
      <c r="O606" s="94"/>
    </row>
    <row r="607">
      <c r="C607" s="119"/>
      <c r="D607" s="107"/>
      <c r="H607" s="94"/>
      <c r="I607" s="94"/>
      <c r="J607" s="94"/>
      <c r="K607" s="94"/>
      <c r="L607" s="94"/>
      <c r="M607" s="94"/>
      <c r="N607" s="94"/>
      <c r="O607" s="94"/>
    </row>
    <row r="608">
      <c r="C608" s="119"/>
      <c r="D608" s="107"/>
      <c r="H608" s="94"/>
      <c r="I608" s="94"/>
      <c r="J608" s="94"/>
      <c r="K608" s="94"/>
      <c r="L608" s="94"/>
      <c r="M608" s="94"/>
      <c r="N608" s="94"/>
      <c r="O608" s="94"/>
    </row>
    <row r="609">
      <c r="C609" s="119"/>
      <c r="D609" s="107"/>
      <c r="H609" s="94"/>
      <c r="I609" s="94"/>
      <c r="J609" s="94"/>
      <c r="K609" s="94"/>
      <c r="L609" s="94"/>
      <c r="M609" s="94"/>
      <c r="N609" s="94"/>
      <c r="O609" s="94"/>
    </row>
    <row r="610">
      <c r="C610" s="119"/>
      <c r="D610" s="107"/>
      <c r="H610" s="94"/>
      <c r="I610" s="94"/>
      <c r="J610" s="94"/>
      <c r="K610" s="94"/>
      <c r="L610" s="94"/>
      <c r="M610" s="94"/>
      <c r="N610" s="94"/>
      <c r="O610" s="94"/>
    </row>
    <row r="611">
      <c r="C611" s="119"/>
      <c r="D611" s="107"/>
      <c r="H611" s="94"/>
      <c r="I611" s="94"/>
      <c r="J611" s="94"/>
      <c r="K611" s="94"/>
      <c r="L611" s="94"/>
      <c r="M611" s="94"/>
      <c r="N611" s="94"/>
      <c r="O611" s="94"/>
    </row>
    <row r="612">
      <c r="C612" s="119"/>
      <c r="D612" s="107"/>
      <c r="H612" s="94"/>
      <c r="I612" s="94"/>
      <c r="J612" s="94"/>
      <c r="K612" s="94"/>
      <c r="L612" s="94"/>
      <c r="M612" s="94"/>
      <c r="N612" s="94"/>
      <c r="O612" s="94"/>
    </row>
    <row r="613">
      <c r="C613" s="119"/>
      <c r="D613" s="107"/>
      <c r="H613" s="94"/>
      <c r="I613" s="94"/>
      <c r="J613" s="94"/>
      <c r="K613" s="94"/>
      <c r="L613" s="94"/>
      <c r="M613" s="94"/>
      <c r="N613" s="94"/>
      <c r="O613" s="94"/>
    </row>
    <row r="614">
      <c r="C614" s="119"/>
      <c r="D614" s="107"/>
      <c r="H614" s="94"/>
      <c r="I614" s="94"/>
      <c r="J614" s="94"/>
      <c r="K614" s="94"/>
      <c r="L614" s="94"/>
      <c r="M614" s="94"/>
      <c r="N614" s="94"/>
      <c r="O614" s="94"/>
    </row>
    <row r="615">
      <c r="C615" s="119"/>
      <c r="D615" s="107"/>
      <c r="H615" s="94"/>
      <c r="I615" s="94"/>
      <c r="J615" s="94"/>
      <c r="K615" s="94"/>
      <c r="L615" s="94"/>
      <c r="M615" s="94"/>
      <c r="N615" s="94"/>
      <c r="O615" s="94"/>
    </row>
    <row r="616">
      <c r="C616" s="119"/>
      <c r="D616" s="107"/>
      <c r="H616" s="94"/>
      <c r="I616" s="94"/>
      <c r="J616" s="94"/>
      <c r="K616" s="94"/>
      <c r="L616" s="94"/>
      <c r="M616" s="94"/>
      <c r="N616" s="94"/>
      <c r="O616" s="94"/>
    </row>
    <row r="617">
      <c r="C617" s="119"/>
      <c r="D617" s="107"/>
      <c r="H617" s="94"/>
      <c r="I617" s="94"/>
      <c r="J617" s="94"/>
      <c r="K617" s="94"/>
      <c r="L617" s="94"/>
      <c r="M617" s="94"/>
      <c r="N617" s="94"/>
      <c r="O617" s="94"/>
    </row>
    <row r="618">
      <c r="C618" s="119"/>
      <c r="D618" s="107"/>
      <c r="H618" s="94"/>
      <c r="I618" s="94"/>
      <c r="J618" s="94"/>
      <c r="K618" s="94"/>
      <c r="L618" s="94"/>
      <c r="M618" s="94"/>
      <c r="N618" s="94"/>
      <c r="O618" s="94"/>
    </row>
    <row r="619">
      <c r="C619" s="119"/>
      <c r="D619" s="107"/>
      <c r="H619" s="94"/>
      <c r="I619" s="94"/>
      <c r="J619" s="94"/>
      <c r="K619" s="94"/>
      <c r="L619" s="94"/>
      <c r="M619" s="94"/>
      <c r="N619" s="94"/>
      <c r="O619" s="94"/>
    </row>
    <row r="620">
      <c r="C620" s="119"/>
      <c r="D620" s="107"/>
      <c r="H620" s="94"/>
      <c r="I620" s="94"/>
      <c r="J620" s="94"/>
      <c r="K620" s="94"/>
      <c r="L620" s="94"/>
      <c r="M620" s="94"/>
      <c r="N620" s="94"/>
      <c r="O620" s="94"/>
    </row>
    <row r="621">
      <c r="C621" s="119"/>
      <c r="D621" s="107"/>
      <c r="H621" s="94"/>
      <c r="I621" s="94"/>
      <c r="J621" s="94"/>
      <c r="K621" s="94"/>
      <c r="L621" s="94"/>
      <c r="M621" s="94"/>
      <c r="N621" s="94"/>
      <c r="O621" s="94"/>
    </row>
    <row r="622">
      <c r="C622" s="119"/>
      <c r="D622" s="107"/>
      <c r="H622" s="94"/>
      <c r="I622" s="94"/>
      <c r="J622" s="94"/>
      <c r="K622" s="94"/>
      <c r="L622" s="94"/>
      <c r="M622" s="94"/>
      <c r="N622" s="94"/>
      <c r="O622" s="94"/>
    </row>
    <row r="623">
      <c r="C623" s="119"/>
      <c r="D623" s="107"/>
      <c r="H623" s="94"/>
      <c r="I623" s="94"/>
      <c r="J623" s="94"/>
      <c r="K623" s="94"/>
      <c r="L623" s="94"/>
      <c r="M623" s="94"/>
      <c r="N623" s="94"/>
      <c r="O623" s="94"/>
    </row>
    <row r="624">
      <c r="C624" s="119"/>
      <c r="D624" s="107"/>
      <c r="H624" s="94"/>
      <c r="I624" s="94"/>
      <c r="J624" s="94"/>
      <c r="K624" s="94"/>
      <c r="L624" s="94"/>
      <c r="M624" s="94"/>
      <c r="N624" s="94"/>
      <c r="O624" s="94"/>
    </row>
    <row r="625">
      <c r="C625" s="119"/>
      <c r="D625" s="107"/>
      <c r="H625" s="94"/>
      <c r="I625" s="94"/>
      <c r="J625" s="94"/>
      <c r="K625" s="94"/>
      <c r="L625" s="94"/>
      <c r="M625" s="94"/>
      <c r="N625" s="94"/>
      <c r="O625" s="94"/>
    </row>
    <row r="626">
      <c r="C626" s="119"/>
      <c r="D626" s="107"/>
      <c r="H626" s="94"/>
      <c r="I626" s="94"/>
      <c r="J626" s="94"/>
      <c r="K626" s="94"/>
      <c r="L626" s="94"/>
      <c r="M626" s="94"/>
      <c r="N626" s="94"/>
      <c r="O626" s="94"/>
    </row>
    <row r="627">
      <c r="C627" s="119"/>
      <c r="D627" s="107"/>
      <c r="H627" s="94"/>
      <c r="I627" s="94"/>
      <c r="J627" s="94"/>
      <c r="K627" s="94"/>
      <c r="L627" s="94"/>
      <c r="M627" s="94"/>
      <c r="N627" s="94"/>
      <c r="O627" s="94"/>
    </row>
    <row r="628">
      <c r="C628" s="119"/>
      <c r="D628" s="107"/>
      <c r="H628" s="94"/>
      <c r="I628" s="94"/>
      <c r="J628" s="94"/>
      <c r="K628" s="94"/>
      <c r="L628" s="94"/>
      <c r="M628" s="94"/>
      <c r="N628" s="94"/>
      <c r="O628" s="94"/>
    </row>
    <row r="629">
      <c r="C629" s="119"/>
      <c r="D629" s="107"/>
      <c r="H629" s="94"/>
      <c r="I629" s="94"/>
      <c r="J629" s="94"/>
      <c r="K629" s="94"/>
      <c r="L629" s="94"/>
      <c r="M629" s="94"/>
      <c r="N629" s="94"/>
      <c r="O629" s="94"/>
    </row>
    <row r="630">
      <c r="C630" s="119"/>
      <c r="D630" s="107"/>
      <c r="H630" s="94"/>
      <c r="I630" s="94"/>
      <c r="J630" s="94"/>
      <c r="K630" s="94"/>
      <c r="L630" s="94"/>
      <c r="M630" s="94"/>
      <c r="N630" s="94"/>
      <c r="O630" s="94"/>
    </row>
    <row r="631">
      <c r="C631" s="119"/>
      <c r="D631" s="107"/>
      <c r="H631" s="94"/>
      <c r="I631" s="94"/>
      <c r="J631" s="94"/>
      <c r="K631" s="94"/>
      <c r="L631" s="94"/>
      <c r="M631" s="94"/>
      <c r="N631" s="94"/>
      <c r="O631" s="94"/>
    </row>
    <row r="632">
      <c r="C632" s="119"/>
      <c r="D632" s="107"/>
      <c r="H632" s="94"/>
      <c r="I632" s="94"/>
      <c r="J632" s="94"/>
      <c r="K632" s="94"/>
      <c r="L632" s="94"/>
      <c r="M632" s="94"/>
      <c r="N632" s="94"/>
      <c r="O632" s="94"/>
    </row>
    <row r="633">
      <c r="C633" s="119"/>
      <c r="D633" s="107"/>
      <c r="H633" s="94"/>
      <c r="I633" s="94"/>
      <c r="J633" s="94"/>
      <c r="K633" s="94"/>
      <c r="L633" s="94"/>
      <c r="M633" s="94"/>
      <c r="N633" s="94"/>
      <c r="O633" s="94"/>
    </row>
    <row r="634">
      <c r="C634" s="119"/>
      <c r="D634" s="107"/>
      <c r="H634" s="94"/>
      <c r="I634" s="94"/>
      <c r="J634" s="94"/>
      <c r="K634" s="94"/>
      <c r="L634" s="94"/>
      <c r="M634" s="94"/>
      <c r="N634" s="94"/>
      <c r="O634" s="94"/>
    </row>
    <row r="635">
      <c r="C635" s="119"/>
      <c r="D635" s="107"/>
      <c r="H635" s="94"/>
      <c r="I635" s="94"/>
      <c r="J635" s="94"/>
      <c r="K635" s="94"/>
      <c r="L635" s="94"/>
      <c r="M635" s="94"/>
      <c r="N635" s="94"/>
      <c r="O635" s="94"/>
    </row>
    <row r="636">
      <c r="C636" s="119"/>
      <c r="D636" s="107"/>
      <c r="H636" s="94"/>
      <c r="I636" s="94"/>
      <c r="J636" s="94"/>
      <c r="K636" s="94"/>
      <c r="L636" s="94"/>
      <c r="M636" s="94"/>
      <c r="N636" s="94"/>
      <c r="O636" s="94"/>
    </row>
    <row r="637">
      <c r="C637" s="119"/>
      <c r="D637" s="107"/>
      <c r="H637" s="94"/>
      <c r="I637" s="94"/>
      <c r="J637" s="94"/>
      <c r="K637" s="94"/>
      <c r="L637" s="94"/>
      <c r="M637" s="94"/>
      <c r="N637" s="94"/>
      <c r="O637" s="94"/>
    </row>
    <row r="638">
      <c r="C638" s="119"/>
      <c r="D638" s="107"/>
      <c r="H638" s="94"/>
      <c r="I638" s="94"/>
      <c r="J638" s="94"/>
      <c r="K638" s="94"/>
      <c r="L638" s="94"/>
      <c r="M638" s="94"/>
      <c r="N638" s="94"/>
      <c r="O638" s="94"/>
    </row>
    <row r="639">
      <c r="C639" s="119"/>
      <c r="D639" s="107"/>
      <c r="H639" s="94"/>
      <c r="I639" s="94"/>
      <c r="J639" s="94"/>
      <c r="K639" s="94"/>
      <c r="L639" s="94"/>
      <c r="M639" s="94"/>
      <c r="N639" s="94"/>
      <c r="O639" s="94"/>
    </row>
    <row r="640">
      <c r="C640" s="119"/>
      <c r="D640" s="107"/>
      <c r="H640" s="94"/>
      <c r="I640" s="94"/>
      <c r="J640" s="94"/>
      <c r="K640" s="94"/>
      <c r="L640" s="94"/>
      <c r="M640" s="94"/>
      <c r="N640" s="94"/>
      <c r="O640" s="94"/>
    </row>
    <row r="641">
      <c r="C641" s="119"/>
      <c r="D641" s="107"/>
      <c r="H641" s="94"/>
      <c r="I641" s="94"/>
      <c r="J641" s="94"/>
      <c r="K641" s="94"/>
      <c r="L641" s="94"/>
      <c r="M641" s="94"/>
      <c r="N641" s="94"/>
      <c r="O641" s="94"/>
    </row>
    <row r="642">
      <c r="C642" s="119"/>
      <c r="D642" s="107"/>
      <c r="H642" s="94"/>
      <c r="I642" s="94"/>
      <c r="J642" s="94"/>
      <c r="K642" s="94"/>
      <c r="L642" s="94"/>
      <c r="M642" s="94"/>
      <c r="N642" s="94"/>
      <c r="O642" s="94"/>
    </row>
    <row r="643">
      <c r="C643" s="119"/>
      <c r="D643" s="107"/>
      <c r="H643" s="94"/>
      <c r="I643" s="94"/>
      <c r="J643" s="94"/>
      <c r="K643" s="94"/>
      <c r="L643" s="94"/>
      <c r="M643" s="94"/>
      <c r="N643" s="94"/>
      <c r="O643" s="94"/>
    </row>
    <row r="644">
      <c r="C644" s="119"/>
      <c r="D644" s="107"/>
      <c r="H644" s="94"/>
      <c r="I644" s="94"/>
      <c r="J644" s="94"/>
      <c r="K644" s="94"/>
      <c r="L644" s="94"/>
      <c r="M644" s="94"/>
      <c r="N644" s="94"/>
      <c r="O644" s="94"/>
    </row>
    <row r="645">
      <c r="C645" s="119"/>
      <c r="D645" s="107"/>
      <c r="H645" s="94"/>
      <c r="I645" s="94"/>
      <c r="J645" s="94"/>
      <c r="K645" s="94"/>
      <c r="L645" s="94"/>
      <c r="M645" s="94"/>
      <c r="N645" s="94"/>
      <c r="O645" s="94"/>
    </row>
    <row r="646">
      <c r="C646" s="119"/>
      <c r="D646" s="107"/>
      <c r="H646" s="94"/>
      <c r="I646" s="94"/>
      <c r="J646" s="94"/>
      <c r="K646" s="94"/>
      <c r="L646" s="94"/>
      <c r="M646" s="94"/>
      <c r="N646" s="94"/>
      <c r="O646" s="94"/>
    </row>
    <row r="647">
      <c r="C647" s="119"/>
      <c r="D647" s="107"/>
      <c r="H647" s="94"/>
      <c r="I647" s="94"/>
      <c r="J647" s="94"/>
      <c r="K647" s="94"/>
      <c r="L647" s="94"/>
      <c r="M647" s="94"/>
      <c r="N647" s="94"/>
      <c r="O647" s="94"/>
    </row>
    <row r="648">
      <c r="C648" s="119"/>
      <c r="D648" s="107"/>
      <c r="H648" s="94"/>
      <c r="I648" s="94"/>
      <c r="J648" s="94"/>
      <c r="K648" s="94"/>
      <c r="L648" s="94"/>
      <c r="M648" s="94"/>
      <c r="N648" s="94"/>
      <c r="O648" s="94"/>
    </row>
    <row r="649">
      <c r="C649" s="119"/>
      <c r="D649" s="107"/>
      <c r="H649" s="94"/>
      <c r="I649" s="94"/>
      <c r="J649" s="94"/>
      <c r="K649" s="94"/>
      <c r="L649" s="94"/>
      <c r="M649" s="94"/>
      <c r="N649" s="94"/>
      <c r="O649" s="94"/>
    </row>
    <row r="650">
      <c r="C650" s="119"/>
      <c r="D650" s="107"/>
      <c r="H650" s="94"/>
      <c r="I650" s="94"/>
      <c r="J650" s="94"/>
      <c r="K650" s="94"/>
      <c r="L650" s="94"/>
      <c r="M650" s="94"/>
      <c r="N650" s="94"/>
      <c r="O650" s="94"/>
    </row>
    <row r="651">
      <c r="C651" s="119"/>
      <c r="D651" s="107"/>
      <c r="H651" s="94"/>
      <c r="I651" s="94"/>
      <c r="J651" s="94"/>
      <c r="K651" s="94"/>
      <c r="L651" s="94"/>
      <c r="M651" s="94"/>
      <c r="N651" s="94"/>
      <c r="O651" s="94"/>
    </row>
    <row r="652">
      <c r="C652" s="119"/>
      <c r="D652" s="107"/>
      <c r="H652" s="94"/>
      <c r="I652" s="94"/>
      <c r="J652" s="94"/>
      <c r="K652" s="94"/>
      <c r="L652" s="94"/>
      <c r="M652" s="94"/>
      <c r="N652" s="94"/>
      <c r="O652" s="94"/>
    </row>
    <row r="653">
      <c r="C653" s="119"/>
      <c r="D653" s="107"/>
      <c r="H653" s="94"/>
      <c r="I653" s="94"/>
      <c r="J653" s="94"/>
      <c r="K653" s="94"/>
      <c r="L653" s="94"/>
      <c r="M653" s="94"/>
      <c r="N653" s="94"/>
      <c r="O653" s="94"/>
    </row>
    <row r="654">
      <c r="C654" s="119"/>
      <c r="D654" s="107"/>
      <c r="H654" s="94"/>
      <c r="I654" s="94"/>
      <c r="J654" s="94"/>
      <c r="K654" s="94"/>
      <c r="L654" s="94"/>
      <c r="M654" s="94"/>
      <c r="N654" s="94"/>
      <c r="O654" s="94"/>
    </row>
    <row r="655">
      <c r="C655" s="119"/>
      <c r="D655" s="107"/>
      <c r="H655" s="94"/>
      <c r="I655" s="94"/>
      <c r="J655" s="94"/>
      <c r="K655" s="94"/>
      <c r="L655" s="94"/>
      <c r="M655" s="94"/>
      <c r="N655" s="94"/>
      <c r="O655" s="94"/>
    </row>
    <row r="656">
      <c r="C656" s="119"/>
      <c r="D656" s="107"/>
      <c r="H656" s="94"/>
      <c r="I656" s="94"/>
      <c r="J656" s="94"/>
      <c r="K656" s="94"/>
      <c r="L656" s="94"/>
      <c r="M656" s="94"/>
      <c r="N656" s="94"/>
      <c r="O656" s="94"/>
    </row>
    <row r="657">
      <c r="C657" s="119"/>
      <c r="D657" s="107"/>
      <c r="H657" s="94"/>
      <c r="I657" s="94"/>
      <c r="J657" s="94"/>
      <c r="K657" s="94"/>
      <c r="L657" s="94"/>
      <c r="M657" s="94"/>
      <c r="N657" s="94"/>
      <c r="O657" s="94"/>
    </row>
    <row r="658">
      <c r="C658" s="119"/>
      <c r="D658" s="107"/>
      <c r="H658" s="94"/>
      <c r="I658" s="94"/>
      <c r="J658" s="94"/>
      <c r="K658" s="94"/>
      <c r="L658" s="94"/>
      <c r="M658" s="94"/>
      <c r="N658" s="94"/>
      <c r="O658" s="94"/>
    </row>
    <row r="659">
      <c r="C659" s="119"/>
      <c r="D659" s="107"/>
      <c r="H659" s="94"/>
      <c r="I659" s="94"/>
      <c r="J659" s="94"/>
      <c r="K659" s="94"/>
      <c r="L659" s="94"/>
      <c r="M659" s="94"/>
      <c r="N659" s="94"/>
      <c r="O659" s="94"/>
    </row>
    <row r="660">
      <c r="C660" s="119"/>
      <c r="D660" s="107"/>
      <c r="H660" s="94"/>
      <c r="I660" s="94"/>
      <c r="J660" s="94"/>
      <c r="K660" s="94"/>
      <c r="L660" s="94"/>
      <c r="M660" s="94"/>
      <c r="N660" s="94"/>
      <c r="O660" s="94"/>
    </row>
    <row r="661">
      <c r="C661" s="119"/>
      <c r="D661" s="107"/>
      <c r="H661" s="94"/>
      <c r="I661" s="94"/>
      <c r="J661" s="94"/>
      <c r="K661" s="94"/>
      <c r="L661" s="94"/>
      <c r="M661" s="94"/>
      <c r="N661" s="94"/>
      <c r="O661" s="94"/>
    </row>
    <row r="662">
      <c r="C662" s="119"/>
      <c r="D662" s="107"/>
      <c r="H662" s="94"/>
      <c r="I662" s="94"/>
      <c r="J662" s="94"/>
      <c r="K662" s="94"/>
      <c r="L662" s="94"/>
      <c r="M662" s="94"/>
      <c r="N662" s="94"/>
      <c r="O662" s="94"/>
    </row>
    <row r="663">
      <c r="C663" s="119"/>
      <c r="D663" s="107"/>
      <c r="H663" s="94"/>
      <c r="I663" s="94"/>
      <c r="J663" s="94"/>
      <c r="K663" s="94"/>
      <c r="L663" s="94"/>
      <c r="M663" s="94"/>
      <c r="N663" s="94"/>
      <c r="O663" s="94"/>
    </row>
    <row r="664">
      <c r="C664" s="119"/>
      <c r="D664" s="107"/>
      <c r="H664" s="94"/>
      <c r="I664" s="94"/>
      <c r="J664" s="94"/>
      <c r="K664" s="94"/>
      <c r="L664" s="94"/>
      <c r="M664" s="94"/>
      <c r="N664" s="94"/>
      <c r="O664" s="94"/>
    </row>
    <row r="665">
      <c r="C665" s="119"/>
      <c r="D665" s="107"/>
      <c r="H665" s="94"/>
      <c r="I665" s="94"/>
      <c r="J665" s="94"/>
      <c r="K665" s="94"/>
      <c r="L665" s="94"/>
      <c r="M665" s="94"/>
      <c r="N665" s="94"/>
      <c r="O665" s="94"/>
    </row>
    <row r="666">
      <c r="C666" s="119"/>
      <c r="D666" s="107"/>
      <c r="H666" s="94"/>
      <c r="I666" s="94"/>
      <c r="J666" s="94"/>
      <c r="K666" s="94"/>
      <c r="L666" s="94"/>
      <c r="M666" s="94"/>
      <c r="N666" s="94"/>
      <c r="O666" s="94"/>
    </row>
    <row r="667">
      <c r="C667" s="119"/>
      <c r="D667" s="107"/>
      <c r="H667" s="94"/>
      <c r="I667" s="94"/>
      <c r="J667" s="94"/>
      <c r="K667" s="94"/>
      <c r="L667" s="94"/>
      <c r="M667" s="94"/>
      <c r="N667" s="94"/>
      <c r="O667" s="94"/>
    </row>
    <row r="668">
      <c r="C668" s="119"/>
      <c r="D668" s="107"/>
      <c r="H668" s="94"/>
      <c r="I668" s="94"/>
      <c r="J668" s="94"/>
      <c r="K668" s="94"/>
      <c r="L668" s="94"/>
      <c r="M668" s="94"/>
      <c r="N668" s="94"/>
      <c r="O668" s="94"/>
    </row>
    <row r="669">
      <c r="C669" s="119"/>
      <c r="D669" s="107"/>
      <c r="H669" s="94"/>
      <c r="I669" s="94"/>
      <c r="J669" s="94"/>
      <c r="K669" s="94"/>
      <c r="L669" s="94"/>
      <c r="M669" s="94"/>
      <c r="N669" s="94"/>
      <c r="O669" s="94"/>
    </row>
    <row r="670">
      <c r="C670" s="119"/>
      <c r="D670" s="107"/>
      <c r="H670" s="94"/>
      <c r="I670" s="94"/>
      <c r="J670" s="94"/>
      <c r="K670" s="94"/>
      <c r="L670" s="94"/>
      <c r="M670" s="94"/>
      <c r="N670" s="94"/>
      <c r="O670" s="94"/>
    </row>
    <row r="671">
      <c r="C671" s="119"/>
      <c r="D671" s="107"/>
      <c r="H671" s="94"/>
      <c r="I671" s="94"/>
      <c r="J671" s="94"/>
      <c r="K671" s="94"/>
      <c r="L671" s="94"/>
      <c r="M671" s="94"/>
      <c r="N671" s="94"/>
      <c r="O671" s="94"/>
    </row>
    <row r="672">
      <c r="C672" s="119"/>
      <c r="D672" s="107"/>
      <c r="H672" s="94"/>
      <c r="I672" s="94"/>
      <c r="J672" s="94"/>
      <c r="K672" s="94"/>
      <c r="L672" s="94"/>
      <c r="M672" s="94"/>
      <c r="N672" s="94"/>
      <c r="O672" s="94"/>
    </row>
    <row r="673">
      <c r="C673" s="119"/>
      <c r="D673" s="107"/>
      <c r="H673" s="94"/>
      <c r="I673" s="94"/>
      <c r="J673" s="94"/>
      <c r="K673" s="94"/>
      <c r="L673" s="94"/>
      <c r="M673" s="94"/>
      <c r="N673" s="94"/>
      <c r="O673" s="94"/>
    </row>
    <row r="674">
      <c r="C674" s="119"/>
      <c r="D674" s="107"/>
      <c r="H674" s="94"/>
      <c r="I674" s="94"/>
      <c r="J674" s="94"/>
      <c r="K674" s="94"/>
      <c r="L674" s="94"/>
      <c r="M674" s="94"/>
      <c r="N674" s="94"/>
      <c r="O674" s="94"/>
    </row>
    <row r="675">
      <c r="C675" s="119"/>
      <c r="D675" s="107"/>
      <c r="H675" s="94"/>
      <c r="I675" s="94"/>
      <c r="J675" s="94"/>
      <c r="K675" s="94"/>
      <c r="L675" s="94"/>
      <c r="M675" s="94"/>
      <c r="N675" s="94"/>
      <c r="O675" s="94"/>
    </row>
    <row r="676">
      <c r="C676" s="119"/>
      <c r="D676" s="107"/>
      <c r="H676" s="94"/>
      <c r="I676" s="94"/>
      <c r="J676" s="94"/>
      <c r="K676" s="94"/>
      <c r="L676" s="94"/>
      <c r="M676" s="94"/>
      <c r="N676" s="94"/>
      <c r="O676" s="94"/>
    </row>
    <row r="677">
      <c r="C677" s="119"/>
      <c r="D677" s="107"/>
      <c r="H677" s="94"/>
      <c r="I677" s="94"/>
      <c r="J677" s="94"/>
      <c r="K677" s="94"/>
      <c r="L677" s="94"/>
      <c r="M677" s="94"/>
      <c r="N677" s="94"/>
      <c r="O677" s="94"/>
    </row>
    <row r="678">
      <c r="C678" s="119"/>
      <c r="D678" s="107"/>
      <c r="H678" s="94"/>
      <c r="I678" s="94"/>
      <c r="J678" s="94"/>
      <c r="K678" s="94"/>
      <c r="L678" s="94"/>
      <c r="M678" s="94"/>
      <c r="N678" s="94"/>
      <c r="O678" s="94"/>
    </row>
    <row r="679">
      <c r="C679" s="119"/>
      <c r="D679" s="107"/>
      <c r="H679" s="94"/>
      <c r="I679" s="94"/>
      <c r="J679" s="94"/>
      <c r="K679" s="94"/>
      <c r="L679" s="94"/>
      <c r="M679" s="94"/>
      <c r="N679" s="94"/>
      <c r="O679" s="94"/>
    </row>
    <row r="680">
      <c r="C680" s="119"/>
      <c r="D680" s="107"/>
      <c r="H680" s="94"/>
      <c r="I680" s="94"/>
      <c r="J680" s="94"/>
      <c r="K680" s="94"/>
      <c r="L680" s="94"/>
      <c r="M680" s="94"/>
      <c r="N680" s="94"/>
      <c r="O680" s="94"/>
    </row>
    <row r="681">
      <c r="C681" s="119"/>
      <c r="D681" s="107"/>
      <c r="H681" s="94"/>
      <c r="I681" s="94"/>
      <c r="J681" s="94"/>
      <c r="K681" s="94"/>
      <c r="L681" s="94"/>
      <c r="M681" s="94"/>
      <c r="N681" s="94"/>
      <c r="O681" s="94"/>
    </row>
    <row r="682">
      <c r="C682" s="119"/>
      <c r="D682" s="107"/>
      <c r="H682" s="94"/>
      <c r="I682" s="94"/>
      <c r="J682" s="94"/>
      <c r="K682" s="94"/>
      <c r="L682" s="94"/>
      <c r="M682" s="94"/>
      <c r="N682" s="94"/>
      <c r="O682" s="94"/>
    </row>
    <row r="683">
      <c r="C683" s="119"/>
      <c r="D683" s="107"/>
      <c r="H683" s="94"/>
      <c r="I683" s="94"/>
      <c r="J683" s="94"/>
      <c r="K683" s="94"/>
      <c r="L683" s="94"/>
      <c r="M683" s="94"/>
      <c r="N683" s="94"/>
      <c r="O683" s="94"/>
    </row>
    <row r="684">
      <c r="C684" s="119"/>
      <c r="D684" s="107"/>
      <c r="H684" s="94"/>
      <c r="I684" s="94"/>
      <c r="J684" s="94"/>
      <c r="K684" s="94"/>
      <c r="L684" s="94"/>
      <c r="M684" s="94"/>
      <c r="N684" s="94"/>
      <c r="O684" s="94"/>
    </row>
    <row r="685">
      <c r="C685" s="119"/>
      <c r="D685" s="107"/>
      <c r="H685" s="94"/>
      <c r="I685" s="94"/>
      <c r="J685" s="94"/>
      <c r="K685" s="94"/>
      <c r="L685" s="94"/>
      <c r="M685" s="94"/>
      <c r="N685" s="94"/>
      <c r="O685" s="94"/>
    </row>
    <row r="686">
      <c r="C686" s="119"/>
      <c r="D686" s="107"/>
      <c r="H686" s="94"/>
      <c r="I686" s="94"/>
      <c r="J686" s="94"/>
      <c r="K686" s="94"/>
      <c r="L686" s="94"/>
      <c r="M686" s="94"/>
      <c r="N686" s="94"/>
      <c r="O686" s="94"/>
    </row>
    <row r="687">
      <c r="C687" s="119"/>
      <c r="D687" s="107"/>
      <c r="H687" s="94"/>
      <c r="I687" s="94"/>
      <c r="J687" s="94"/>
      <c r="K687" s="94"/>
      <c r="L687" s="94"/>
      <c r="M687" s="94"/>
      <c r="N687" s="94"/>
      <c r="O687" s="94"/>
    </row>
    <row r="688">
      <c r="C688" s="119"/>
      <c r="D688" s="107"/>
      <c r="H688" s="94"/>
      <c r="I688" s="94"/>
      <c r="J688" s="94"/>
      <c r="K688" s="94"/>
      <c r="L688" s="94"/>
      <c r="M688" s="94"/>
      <c r="N688" s="94"/>
      <c r="O688" s="94"/>
    </row>
    <row r="689">
      <c r="C689" s="119"/>
      <c r="D689" s="107"/>
      <c r="H689" s="94"/>
      <c r="I689" s="94"/>
      <c r="J689" s="94"/>
      <c r="K689" s="94"/>
      <c r="L689" s="94"/>
      <c r="M689" s="94"/>
      <c r="N689" s="94"/>
      <c r="O689" s="94"/>
    </row>
    <row r="690">
      <c r="C690" s="119"/>
      <c r="D690" s="107"/>
      <c r="H690" s="94"/>
      <c r="I690" s="94"/>
      <c r="J690" s="94"/>
      <c r="K690" s="94"/>
      <c r="L690" s="94"/>
      <c r="M690" s="94"/>
      <c r="N690" s="94"/>
      <c r="O690" s="94"/>
    </row>
    <row r="691">
      <c r="C691" s="119"/>
      <c r="D691" s="107"/>
      <c r="H691" s="94"/>
      <c r="I691" s="94"/>
      <c r="J691" s="94"/>
      <c r="K691" s="94"/>
      <c r="L691" s="94"/>
      <c r="M691" s="94"/>
      <c r="N691" s="94"/>
      <c r="O691" s="94"/>
    </row>
    <row r="692">
      <c r="C692" s="119"/>
      <c r="D692" s="107"/>
      <c r="H692" s="94"/>
      <c r="I692" s="94"/>
      <c r="J692" s="94"/>
      <c r="K692" s="94"/>
      <c r="L692" s="94"/>
      <c r="M692" s="94"/>
      <c r="N692" s="94"/>
      <c r="O692" s="94"/>
    </row>
    <row r="693">
      <c r="C693" s="119"/>
      <c r="D693" s="107"/>
      <c r="H693" s="94"/>
      <c r="I693" s="94"/>
      <c r="J693" s="94"/>
      <c r="K693" s="94"/>
      <c r="L693" s="94"/>
      <c r="M693" s="94"/>
      <c r="N693" s="94"/>
      <c r="O693" s="94"/>
    </row>
    <row r="694">
      <c r="C694" s="119"/>
      <c r="D694" s="107"/>
      <c r="H694" s="94"/>
      <c r="I694" s="94"/>
      <c r="J694" s="94"/>
      <c r="K694" s="94"/>
      <c r="L694" s="94"/>
      <c r="M694" s="94"/>
      <c r="N694" s="94"/>
      <c r="O694" s="94"/>
    </row>
    <row r="695">
      <c r="C695" s="119"/>
      <c r="D695" s="107"/>
      <c r="H695" s="94"/>
      <c r="I695" s="94"/>
      <c r="J695" s="94"/>
      <c r="K695" s="94"/>
      <c r="L695" s="94"/>
      <c r="M695" s="94"/>
      <c r="N695" s="94"/>
      <c r="O695" s="94"/>
    </row>
    <row r="696">
      <c r="C696" s="119"/>
      <c r="D696" s="107"/>
      <c r="H696" s="94"/>
      <c r="I696" s="94"/>
      <c r="J696" s="94"/>
      <c r="K696" s="94"/>
      <c r="L696" s="94"/>
      <c r="M696" s="94"/>
      <c r="N696" s="94"/>
      <c r="O696" s="94"/>
    </row>
    <row r="697">
      <c r="C697" s="119"/>
      <c r="D697" s="107"/>
      <c r="H697" s="94"/>
      <c r="I697" s="94"/>
      <c r="J697" s="94"/>
      <c r="K697" s="94"/>
      <c r="L697" s="94"/>
      <c r="M697" s="94"/>
      <c r="N697" s="94"/>
      <c r="O697" s="94"/>
    </row>
    <row r="698">
      <c r="C698" s="119"/>
      <c r="D698" s="107"/>
      <c r="H698" s="94"/>
      <c r="I698" s="94"/>
      <c r="J698" s="94"/>
      <c r="K698" s="94"/>
      <c r="L698" s="94"/>
      <c r="M698" s="94"/>
      <c r="N698" s="94"/>
      <c r="O698" s="94"/>
    </row>
    <row r="699">
      <c r="C699" s="119"/>
      <c r="D699" s="107"/>
      <c r="H699" s="94"/>
      <c r="I699" s="94"/>
      <c r="J699" s="94"/>
      <c r="K699" s="94"/>
      <c r="L699" s="94"/>
      <c r="M699" s="94"/>
      <c r="N699" s="94"/>
      <c r="O699" s="94"/>
    </row>
    <row r="700">
      <c r="C700" s="119"/>
      <c r="D700" s="107"/>
      <c r="H700" s="94"/>
      <c r="I700" s="94"/>
      <c r="J700" s="94"/>
      <c r="K700" s="94"/>
      <c r="L700" s="94"/>
      <c r="M700" s="94"/>
      <c r="N700" s="94"/>
      <c r="O700" s="94"/>
    </row>
    <row r="701">
      <c r="C701" s="119"/>
      <c r="D701" s="107"/>
      <c r="H701" s="94"/>
      <c r="I701" s="94"/>
      <c r="J701" s="94"/>
      <c r="K701" s="94"/>
      <c r="L701" s="94"/>
      <c r="M701" s="94"/>
      <c r="N701" s="94"/>
      <c r="O701" s="94"/>
    </row>
    <row r="702">
      <c r="C702" s="119"/>
      <c r="D702" s="107"/>
      <c r="H702" s="94"/>
      <c r="I702" s="94"/>
      <c r="J702" s="94"/>
      <c r="K702" s="94"/>
      <c r="L702" s="94"/>
      <c r="M702" s="94"/>
      <c r="N702" s="94"/>
      <c r="O702" s="94"/>
    </row>
    <row r="703">
      <c r="C703" s="119"/>
      <c r="D703" s="107"/>
      <c r="H703" s="94"/>
      <c r="I703" s="94"/>
      <c r="J703" s="94"/>
      <c r="K703" s="94"/>
      <c r="L703" s="94"/>
      <c r="M703" s="94"/>
      <c r="N703" s="94"/>
      <c r="O703" s="94"/>
    </row>
    <row r="704">
      <c r="C704" s="119"/>
      <c r="D704" s="107"/>
      <c r="H704" s="94"/>
      <c r="I704" s="94"/>
      <c r="J704" s="94"/>
      <c r="K704" s="94"/>
      <c r="L704" s="94"/>
      <c r="M704" s="94"/>
      <c r="N704" s="94"/>
      <c r="O704" s="94"/>
    </row>
    <row r="705">
      <c r="C705" s="119"/>
      <c r="D705" s="107"/>
      <c r="H705" s="94"/>
      <c r="I705" s="94"/>
      <c r="J705" s="94"/>
      <c r="K705" s="94"/>
      <c r="L705" s="94"/>
      <c r="M705" s="94"/>
      <c r="N705" s="94"/>
      <c r="O705" s="94"/>
    </row>
    <row r="706">
      <c r="C706" s="119"/>
      <c r="D706" s="107"/>
      <c r="H706" s="94"/>
      <c r="I706" s="94"/>
      <c r="J706" s="94"/>
      <c r="K706" s="94"/>
      <c r="L706" s="94"/>
      <c r="M706" s="94"/>
      <c r="N706" s="94"/>
      <c r="O706" s="94"/>
    </row>
    <row r="707">
      <c r="C707" s="119"/>
      <c r="D707" s="107"/>
      <c r="H707" s="94"/>
      <c r="I707" s="94"/>
      <c r="J707" s="94"/>
      <c r="K707" s="94"/>
      <c r="L707" s="94"/>
      <c r="M707" s="94"/>
      <c r="N707" s="94"/>
      <c r="O707" s="94"/>
    </row>
    <row r="708">
      <c r="C708" s="119"/>
      <c r="D708" s="107"/>
      <c r="H708" s="94"/>
      <c r="I708" s="94"/>
      <c r="J708" s="94"/>
      <c r="K708" s="94"/>
      <c r="L708" s="94"/>
      <c r="M708" s="94"/>
      <c r="N708" s="94"/>
      <c r="O708" s="94"/>
    </row>
    <row r="709">
      <c r="C709" s="119"/>
      <c r="D709" s="107"/>
      <c r="H709" s="94"/>
      <c r="I709" s="94"/>
      <c r="J709" s="94"/>
      <c r="K709" s="94"/>
      <c r="L709" s="94"/>
      <c r="M709" s="94"/>
      <c r="N709" s="94"/>
      <c r="O709" s="94"/>
    </row>
    <row r="710">
      <c r="C710" s="119"/>
      <c r="D710" s="107"/>
      <c r="H710" s="94"/>
      <c r="I710" s="94"/>
      <c r="J710" s="94"/>
      <c r="K710" s="94"/>
      <c r="L710" s="94"/>
      <c r="M710" s="94"/>
      <c r="N710" s="94"/>
      <c r="O710" s="94"/>
    </row>
    <row r="711">
      <c r="C711" s="119"/>
      <c r="D711" s="107"/>
      <c r="H711" s="94"/>
      <c r="I711" s="94"/>
      <c r="J711" s="94"/>
      <c r="K711" s="94"/>
      <c r="L711" s="94"/>
      <c r="M711" s="94"/>
      <c r="N711" s="94"/>
      <c r="O711" s="94"/>
    </row>
    <row r="712">
      <c r="C712" s="119"/>
      <c r="D712" s="107"/>
      <c r="H712" s="94"/>
      <c r="I712" s="94"/>
      <c r="J712" s="94"/>
      <c r="K712" s="94"/>
      <c r="L712" s="94"/>
      <c r="M712" s="94"/>
      <c r="N712" s="94"/>
      <c r="O712" s="94"/>
    </row>
    <row r="713">
      <c r="C713" s="119"/>
      <c r="D713" s="107"/>
      <c r="H713" s="94"/>
      <c r="I713" s="94"/>
      <c r="J713" s="94"/>
      <c r="K713" s="94"/>
      <c r="L713" s="94"/>
      <c r="M713" s="94"/>
      <c r="N713" s="94"/>
      <c r="O713" s="94"/>
    </row>
    <row r="714">
      <c r="C714" s="119"/>
      <c r="D714" s="107"/>
      <c r="H714" s="94"/>
      <c r="I714" s="94"/>
      <c r="J714" s="94"/>
      <c r="K714" s="94"/>
      <c r="L714" s="94"/>
      <c r="M714" s="94"/>
      <c r="N714" s="94"/>
      <c r="O714" s="94"/>
    </row>
    <row r="715">
      <c r="C715" s="119"/>
      <c r="D715" s="107"/>
      <c r="H715" s="94"/>
      <c r="I715" s="94"/>
      <c r="J715" s="94"/>
      <c r="K715" s="94"/>
      <c r="L715" s="94"/>
      <c r="M715" s="94"/>
      <c r="N715" s="94"/>
      <c r="O715" s="94"/>
    </row>
    <row r="716">
      <c r="C716" s="119"/>
      <c r="D716" s="107"/>
      <c r="H716" s="94"/>
      <c r="I716" s="94"/>
      <c r="J716" s="94"/>
      <c r="K716" s="94"/>
      <c r="L716" s="94"/>
      <c r="M716" s="94"/>
      <c r="N716" s="94"/>
      <c r="O716" s="94"/>
    </row>
    <row r="717">
      <c r="C717" s="119"/>
      <c r="D717" s="107"/>
      <c r="H717" s="94"/>
      <c r="I717" s="94"/>
      <c r="J717" s="94"/>
      <c r="K717" s="94"/>
      <c r="L717" s="94"/>
      <c r="M717" s="94"/>
      <c r="N717" s="94"/>
      <c r="O717" s="94"/>
    </row>
    <row r="718">
      <c r="C718" s="119"/>
      <c r="D718" s="107"/>
      <c r="H718" s="94"/>
      <c r="I718" s="94"/>
      <c r="J718" s="94"/>
      <c r="K718" s="94"/>
      <c r="L718" s="94"/>
      <c r="M718" s="94"/>
      <c r="N718" s="94"/>
      <c r="O718" s="94"/>
    </row>
    <row r="719">
      <c r="C719" s="119"/>
      <c r="D719" s="107"/>
      <c r="H719" s="94"/>
      <c r="I719" s="94"/>
      <c r="J719" s="94"/>
      <c r="K719" s="94"/>
      <c r="L719" s="94"/>
      <c r="M719" s="94"/>
      <c r="N719" s="94"/>
      <c r="O719" s="94"/>
    </row>
    <row r="720">
      <c r="C720" s="119"/>
      <c r="D720" s="107"/>
      <c r="H720" s="94"/>
      <c r="I720" s="94"/>
      <c r="J720" s="94"/>
      <c r="K720" s="94"/>
      <c r="L720" s="94"/>
      <c r="M720" s="94"/>
      <c r="N720" s="94"/>
      <c r="O720" s="94"/>
    </row>
    <row r="721">
      <c r="C721" s="119"/>
      <c r="D721" s="107"/>
      <c r="H721" s="94"/>
      <c r="I721" s="94"/>
      <c r="J721" s="94"/>
      <c r="K721" s="94"/>
      <c r="L721" s="94"/>
      <c r="M721" s="94"/>
      <c r="N721" s="94"/>
      <c r="O721" s="94"/>
    </row>
    <row r="722">
      <c r="C722" s="119"/>
      <c r="D722" s="107"/>
      <c r="H722" s="94"/>
      <c r="I722" s="94"/>
      <c r="J722" s="94"/>
      <c r="K722" s="94"/>
      <c r="L722" s="94"/>
      <c r="M722" s="94"/>
      <c r="N722" s="94"/>
      <c r="O722" s="94"/>
    </row>
    <row r="723">
      <c r="C723" s="119"/>
      <c r="D723" s="107"/>
      <c r="H723" s="94"/>
      <c r="I723" s="94"/>
      <c r="J723" s="94"/>
      <c r="K723" s="94"/>
      <c r="L723" s="94"/>
      <c r="M723" s="94"/>
      <c r="N723" s="94"/>
      <c r="O723" s="94"/>
    </row>
    <row r="724">
      <c r="C724" s="119"/>
      <c r="D724" s="107"/>
      <c r="H724" s="94"/>
      <c r="I724" s="94"/>
      <c r="J724" s="94"/>
      <c r="K724" s="94"/>
      <c r="L724" s="94"/>
      <c r="M724" s="94"/>
      <c r="N724" s="94"/>
      <c r="O724" s="94"/>
    </row>
    <row r="725">
      <c r="C725" s="119"/>
      <c r="D725" s="107"/>
      <c r="H725" s="94"/>
      <c r="I725" s="94"/>
      <c r="J725" s="94"/>
      <c r="K725" s="94"/>
      <c r="L725" s="94"/>
      <c r="M725" s="94"/>
      <c r="N725" s="94"/>
      <c r="O725" s="94"/>
    </row>
    <row r="726">
      <c r="C726" s="119"/>
      <c r="D726" s="107"/>
      <c r="H726" s="94"/>
      <c r="I726" s="94"/>
      <c r="J726" s="94"/>
      <c r="K726" s="94"/>
      <c r="L726" s="94"/>
      <c r="M726" s="94"/>
      <c r="N726" s="94"/>
      <c r="O726" s="94"/>
    </row>
    <row r="727">
      <c r="C727" s="119"/>
      <c r="D727" s="107"/>
      <c r="H727" s="94"/>
      <c r="I727" s="94"/>
      <c r="J727" s="94"/>
      <c r="K727" s="94"/>
      <c r="L727" s="94"/>
      <c r="M727" s="94"/>
      <c r="N727" s="94"/>
      <c r="O727" s="94"/>
    </row>
    <row r="728">
      <c r="C728" s="119"/>
      <c r="D728" s="107"/>
      <c r="H728" s="94"/>
      <c r="I728" s="94"/>
      <c r="J728" s="94"/>
      <c r="K728" s="94"/>
      <c r="L728" s="94"/>
      <c r="M728" s="94"/>
      <c r="N728" s="94"/>
      <c r="O728" s="94"/>
    </row>
    <row r="729">
      <c r="C729" s="119"/>
      <c r="D729" s="107"/>
      <c r="H729" s="94"/>
      <c r="I729" s="94"/>
      <c r="J729" s="94"/>
      <c r="K729" s="94"/>
      <c r="L729" s="94"/>
      <c r="M729" s="94"/>
      <c r="N729" s="94"/>
      <c r="O729" s="94"/>
    </row>
    <row r="730">
      <c r="C730" s="119"/>
      <c r="D730" s="107"/>
      <c r="H730" s="94"/>
      <c r="I730" s="94"/>
      <c r="J730" s="94"/>
      <c r="K730" s="94"/>
      <c r="L730" s="94"/>
      <c r="M730" s="94"/>
      <c r="N730" s="94"/>
      <c r="O730" s="94"/>
    </row>
    <row r="731">
      <c r="C731" s="119"/>
      <c r="D731" s="107"/>
      <c r="H731" s="94"/>
      <c r="I731" s="94"/>
      <c r="J731" s="94"/>
      <c r="K731" s="94"/>
      <c r="L731" s="94"/>
      <c r="M731" s="94"/>
      <c r="N731" s="94"/>
      <c r="O731" s="94"/>
    </row>
    <row r="732">
      <c r="C732" s="119"/>
      <c r="D732" s="107"/>
      <c r="H732" s="94"/>
      <c r="I732" s="94"/>
      <c r="J732" s="94"/>
      <c r="K732" s="94"/>
      <c r="L732" s="94"/>
      <c r="M732" s="94"/>
      <c r="N732" s="94"/>
      <c r="O732" s="94"/>
    </row>
    <row r="733">
      <c r="C733" s="119"/>
      <c r="D733" s="107"/>
      <c r="H733" s="94"/>
      <c r="I733" s="94"/>
      <c r="J733" s="94"/>
      <c r="K733" s="94"/>
      <c r="L733" s="94"/>
      <c r="M733" s="94"/>
      <c r="N733" s="94"/>
      <c r="O733" s="94"/>
    </row>
    <row r="734">
      <c r="C734" s="119"/>
      <c r="D734" s="107"/>
      <c r="H734" s="94"/>
      <c r="I734" s="94"/>
      <c r="J734" s="94"/>
      <c r="K734" s="94"/>
      <c r="L734" s="94"/>
      <c r="M734" s="94"/>
      <c r="N734" s="94"/>
      <c r="O734" s="94"/>
    </row>
    <row r="735">
      <c r="C735" s="119"/>
      <c r="D735" s="107"/>
      <c r="H735" s="94"/>
      <c r="I735" s="94"/>
      <c r="J735" s="94"/>
      <c r="K735" s="94"/>
      <c r="L735" s="94"/>
      <c r="M735" s="94"/>
      <c r="N735" s="94"/>
      <c r="O735" s="94"/>
    </row>
    <row r="736">
      <c r="C736" s="119"/>
      <c r="D736" s="107"/>
      <c r="H736" s="94"/>
      <c r="I736" s="94"/>
      <c r="J736" s="94"/>
      <c r="K736" s="94"/>
      <c r="L736" s="94"/>
      <c r="M736" s="94"/>
      <c r="N736" s="94"/>
      <c r="O736" s="94"/>
    </row>
    <row r="737">
      <c r="C737" s="119"/>
      <c r="D737" s="107"/>
      <c r="H737" s="94"/>
      <c r="I737" s="94"/>
      <c r="J737" s="94"/>
      <c r="K737" s="94"/>
      <c r="L737" s="94"/>
      <c r="M737" s="94"/>
      <c r="N737" s="94"/>
      <c r="O737" s="94"/>
    </row>
    <row r="738">
      <c r="C738" s="119"/>
      <c r="D738" s="107"/>
      <c r="H738" s="94"/>
      <c r="I738" s="94"/>
      <c r="J738" s="94"/>
      <c r="K738" s="94"/>
      <c r="L738" s="94"/>
      <c r="M738" s="94"/>
      <c r="N738" s="94"/>
      <c r="O738" s="94"/>
    </row>
    <row r="739">
      <c r="C739" s="119"/>
      <c r="D739" s="107"/>
      <c r="H739" s="94"/>
      <c r="I739" s="94"/>
      <c r="J739" s="94"/>
      <c r="K739" s="94"/>
      <c r="L739" s="94"/>
      <c r="M739" s="94"/>
      <c r="N739" s="94"/>
      <c r="O739" s="94"/>
    </row>
    <row r="740">
      <c r="C740" s="119"/>
      <c r="D740" s="107"/>
      <c r="H740" s="94"/>
      <c r="I740" s="94"/>
      <c r="J740" s="94"/>
      <c r="K740" s="94"/>
      <c r="L740" s="94"/>
      <c r="M740" s="94"/>
      <c r="N740" s="94"/>
      <c r="O740" s="94"/>
    </row>
    <row r="741">
      <c r="C741" s="119"/>
      <c r="D741" s="107"/>
      <c r="H741" s="94"/>
      <c r="I741" s="94"/>
      <c r="J741" s="94"/>
      <c r="K741" s="94"/>
      <c r="L741" s="94"/>
      <c r="M741" s="94"/>
      <c r="N741" s="94"/>
      <c r="O741" s="94"/>
    </row>
    <row r="742">
      <c r="C742" s="119"/>
      <c r="D742" s="107"/>
      <c r="H742" s="94"/>
      <c r="I742" s="94"/>
      <c r="J742" s="94"/>
      <c r="K742" s="94"/>
      <c r="L742" s="94"/>
      <c r="M742" s="94"/>
      <c r="N742" s="94"/>
      <c r="O742" s="94"/>
    </row>
    <row r="743">
      <c r="C743" s="119"/>
      <c r="D743" s="107"/>
      <c r="H743" s="94"/>
      <c r="I743" s="94"/>
      <c r="J743" s="94"/>
      <c r="K743" s="94"/>
      <c r="L743" s="94"/>
      <c r="M743" s="94"/>
      <c r="N743" s="94"/>
      <c r="O743" s="94"/>
    </row>
    <row r="744">
      <c r="C744" s="119"/>
      <c r="D744" s="107"/>
      <c r="H744" s="94"/>
      <c r="I744" s="94"/>
      <c r="J744" s="94"/>
      <c r="K744" s="94"/>
      <c r="L744" s="94"/>
      <c r="M744" s="94"/>
      <c r="N744" s="94"/>
      <c r="O744" s="94"/>
    </row>
    <row r="745">
      <c r="C745" s="119"/>
      <c r="D745" s="107"/>
      <c r="H745" s="94"/>
      <c r="I745" s="94"/>
      <c r="J745" s="94"/>
      <c r="K745" s="94"/>
      <c r="L745" s="94"/>
      <c r="M745" s="94"/>
      <c r="N745" s="94"/>
      <c r="O745" s="94"/>
    </row>
    <row r="746">
      <c r="C746" s="119"/>
      <c r="D746" s="107"/>
      <c r="H746" s="94"/>
      <c r="I746" s="94"/>
      <c r="J746" s="94"/>
      <c r="K746" s="94"/>
      <c r="L746" s="94"/>
      <c r="M746" s="94"/>
      <c r="N746" s="94"/>
      <c r="O746" s="94"/>
    </row>
    <row r="747">
      <c r="C747" s="119"/>
      <c r="D747" s="107"/>
      <c r="H747" s="94"/>
      <c r="I747" s="94"/>
      <c r="J747" s="94"/>
      <c r="K747" s="94"/>
      <c r="L747" s="94"/>
      <c r="M747" s="94"/>
      <c r="N747" s="94"/>
      <c r="O747" s="94"/>
    </row>
    <row r="748">
      <c r="C748" s="119"/>
      <c r="D748" s="107"/>
      <c r="H748" s="94"/>
      <c r="I748" s="94"/>
      <c r="J748" s="94"/>
      <c r="K748" s="94"/>
      <c r="L748" s="94"/>
      <c r="M748" s="94"/>
      <c r="N748" s="94"/>
      <c r="O748" s="94"/>
    </row>
    <row r="749">
      <c r="C749" s="119"/>
      <c r="D749" s="107"/>
      <c r="H749" s="94"/>
      <c r="I749" s="94"/>
      <c r="J749" s="94"/>
      <c r="K749" s="94"/>
      <c r="L749" s="94"/>
      <c r="M749" s="94"/>
      <c r="N749" s="94"/>
      <c r="O749" s="94"/>
    </row>
    <row r="750">
      <c r="C750" s="119"/>
      <c r="D750" s="107"/>
      <c r="H750" s="94"/>
      <c r="I750" s="94"/>
      <c r="J750" s="94"/>
      <c r="K750" s="94"/>
      <c r="L750" s="94"/>
      <c r="M750" s="94"/>
      <c r="N750" s="94"/>
      <c r="O750" s="94"/>
    </row>
    <row r="751">
      <c r="C751" s="119"/>
      <c r="D751" s="107"/>
      <c r="H751" s="94"/>
      <c r="I751" s="94"/>
      <c r="J751" s="94"/>
      <c r="K751" s="94"/>
      <c r="L751" s="94"/>
      <c r="M751" s="94"/>
      <c r="N751" s="94"/>
      <c r="O751" s="94"/>
    </row>
    <row r="752">
      <c r="C752" s="119"/>
      <c r="D752" s="107"/>
      <c r="H752" s="94"/>
      <c r="I752" s="94"/>
      <c r="J752" s="94"/>
      <c r="K752" s="94"/>
      <c r="L752" s="94"/>
      <c r="M752" s="94"/>
      <c r="N752" s="94"/>
      <c r="O752" s="94"/>
    </row>
    <row r="753">
      <c r="C753" s="119"/>
      <c r="D753" s="107"/>
      <c r="H753" s="94"/>
      <c r="I753" s="94"/>
      <c r="J753" s="94"/>
      <c r="K753" s="94"/>
      <c r="L753" s="94"/>
      <c r="M753" s="94"/>
      <c r="N753" s="94"/>
      <c r="O753" s="94"/>
    </row>
    <row r="754">
      <c r="C754" s="119"/>
      <c r="D754" s="107"/>
      <c r="H754" s="94"/>
      <c r="I754" s="94"/>
      <c r="J754" s="94"/>
      <c r="K754" s="94"/>
      <c r="L754" s="94"/>
      <c r="M754" s="94"/>
      <c r="N754" s="94"/>
      <c r="O754" s="94"/>
    </row>
    <row r="755">
      <c r="C755" s="119"/>
      <c r="D755" s="107"/>
      <c r="H755" s="94"/>
      <c r="I755" s="94"/>
      <c r="J755" s="94"/>
      <c r="K755" s="94"/>
      <c r="L755" s="94"/>
      <c r="M755" s="94"/>
      <c r="N755" s="94"/>
      <c r="O755" s="94"/>
    </row>
    <row r="756">
      <c r="C756" s="119"/>
      <c r="D756" s="107"/>
      <c r="H756" s="94"/>
      <c r="I756" s="94"/>
      <c r="J756" s="94"/>
      <c r="K756" s="94"/>
      <c r="L756" s="94"/>
      <c r="M756" s="94"/>
      <c r="N756" s="94"/>
      <c r="O756" s="94"/>
    </row>
    <row r="757">
      <c r="C757" s="119"/>
      <c r="D757" s="107"/>
      <c r="H757" s="94"/>
      <c r="I757" s="94"/>
      <c r="J757" s="94"/>
      <c r="K757" s="94"/>
      <c r="L757" s="94"/>
      <c r="M757" s="94"/>
      <c r="N757" s="94"/>
      <c r="O757" s="94"/>
    </row>
    <row r="758">
      <c r="C758" s="119"/>
      <c r="D758" s="107"/>
      <c r="H758" s="94"/>
      <c r="I758" s="94"/>
      <c r="J758" s="94"/>
      <c r="K758" s="94"/>
      <c r="L758" s="94"/>
      <c r="M758" s="94"/>
      <c r="N758" s="94"/>
      <c r="O758" s="94"/>
    </row>
    <row r="759">
      <c r="C759" s="119"/>
      <c r="D759" s="107"/>
      <c r="H759" s="94"/>
      <c r="I759" s="94"/>
      <c r="J759" s="94"/>
      <c r="K759" s="94"/>
      <c r="L759" s="94"/>
      <c r="M759" s="94"/>
      <c r="N759" s="94"/>
      <c r="O759" s="94"/>
    </row>
    <row r="760">
      <c r="C760" s="119"/>
      <c r="D760" s="107"/>
      <c r="H760" s="94"/>
      <c r="I760" s="94"/>
      <c r="J760" s="94"/>
      <c r="K760" s="94"/>
      <c r="L760" s="94"/>
      <c r="M760" s="94"/>
      <c r="N760" s="94"/>
      <c r="O760" s="94"/>
    </row>
    <row r="761">
      <c r="C761" s="119"/>
      <c r="D761" s="107"/>
      <c r="H761" s="94"/>
      <c r="I761" s="94"/>
      <c r="J761" s="94"/>
      <c r="K761" s="94"/>
      <c r="L761" s="94"/>
      <c r="M761" s="94"/>
      <c r="N761" s="94"/>
      <c r="O761" s="94"/>
    </row>
    <row r="762">
      <c r="C762" s="119"/>
      <c r="D762" s="107"/>
      <c r="H762" s="94"/>
      <c r="I762" s="94"/>
      <c r="J762" s="94"/>
      <c r="K762" s="94"/>
      <c r="L762" s="94"/>
      <c r="M762" s="94"/>
      <c r="N762" s="94"/>
      <c r="O762" s="94"/>
    </row>
    <row r="763">
      <c r="C763" s="119"/>
      <c r="D763" s="107"/>
      <c r="H763" s="94"/>
      <c r="I763" s="94"/>
      <c r="J763" s="94"/>
      <c r="K763" s="94"/>
      <c r="L763" s="94"/>
      <c r="M763" s="94"/>
      <c r="N763" s="94"/>
      <c r="O763" s="94"/>
    </row>
    <row r="764">
      <c r="C764" s="119"/>
      <c r="D764" s="107"/>
      <c r="H764" s="94"/>
      <c r="I764" s="94"/>
      <c r="J764" s="94"/>
      <c r="K764" s="94"/>
      <c r="L764" s="94"/>
      <c r="M764" s="94"/>
      <c r="N764" s="94"/>
      <c r="O764" s="94"/>
    </row>
    <row r="765">
      <c r="C765" s="119"/>
      <c r="D765" s="107"/>
      <c r="H765" s="94"/>
      <c r="I765" s="94"/>
      <c r="J765" s="94"/>
      <c r="K765" s="94"/>
      <c r="L765" s="94"/>
      <c r="M765" s="94"/>
      <c r="N765" s="94"/>
      <c r="O765" s="94"/>
    </row>
    <row r="766">
      <c r="C766" s="119"/>
      <c r="D766" s="107"/>
      <c r="H766" s="94"/>
      <c r="I766" s="94"/>
      <c r="J766" s="94"/>
      <c r="K766" s="94"/>
      <c r="L766" s="94"/>
      <c r="M766" s="94"/>
      <c r="N766" s="94"/>
      <c r="O766" s="94"/>
    </row>
    <row r="767">
      <c r="C767" s="119"/>
      <c r="D767" s="107"/>
      <c r="H767" s="94"/>
      <c r="I767" s="94"/>
      <c r="J767" s="94"/>
      <c r="K767" s="94"/>
      <c r="L767" s="94"/>
      <c r="M767" s="94"/>
      <c r="N767" s="94"/>
      <c r="O767" s="94"/>
    </row>
    <row r="768">
      <c r="C768" s="119"/>
      <c r="D768" s="107"/>
      <c r="H768" s="94"/>
      <c r="I768" s="94"/>
      <c r="J768" s="94"/>
      <c r="K768" s="94"/>
      <c r="L768" s="94"/>
      <c r="M768" s="94"/>
      <c r="N768" s="94"/>
      <c r="O768" s="94"/>
    </row>
    <row r="769">
      <c r="C769" s="119"/>
      <c r="D769" s="107"/>
      <c r="H769" s="94"/>
      <c r="I769" s="94"/>
      <c r="J769" s="94"/>
      <c r="K769" s="94"/>
      <c r="L769" s="94"/>
      <c r="M769" s="94"/>
      <c r="N769" s="94"/>
      <c r="O769" s="94"/>
    </row>
    <row r="770">
      <c r="C770" s="119"/>
      <c r="D770" s="107"/>
      <c r="H770" s="94"/>
      <c r="I770" s="94"/>
      <c r="J770" s="94"/>
      <c r="K770" s="94"/>
      <c r="L770" s="94"/>
      <c r="M770" s="94"/>
      <c r="N770" s="94"/>
      <c r="O770" s="94"/>
    </row>
    <row r="771">
      <c r="C771" s="119"/>
      <c r="D771" s="107"/>
      <c r="H771" s="94"/>
      <c r="I771" s="94"/>
      <c r="J771" s="94"/>
      <c r="K771" s="94"/>
      <c r="L771" s="94"/>
      <c r="M771" s="94"/>
      <c r="N771" s="94"/>
      <c r="O771" s="94"/>
    </row>
    <row r="772">
      <c r="C772" s="119"/>
      <c r="D772" s="107"/>
      <c r="H772" s="94"/>
      <c r="I772" s="94"/>
      <c r="J772" s="94"/>
      <c r="K772" s="94"/>
      <c r="L772" s="94"/>
      <c r="M772" s="94"/>
      <c r="N772" s="94"/>
      <c r="O772" s="94"/>
    </row>
    <row r="773">
      <c r="C773" s="119"/>
      <c r="D773" s="107"/>
      <c r="H773" s="94"/>
      <c r="I773" s="94"/>
      <c r="J773" s="94"/>
      <c r="K773" s="94"/>
      <c r="L773" s="94"/>
      <c r="M773" s="94"/>
      <c r="N773" s="94"/>
      <c r="O773" s="94"/>
    </row>
    <row r="774">
      <c r="C774" s="119"/>
      <c r="D774" s="107"/>
      <c r="H774" s="94"/>
      <c r="I774" s="94"/>
      <c r="J774" s="94"/>
      <c r="K774" s="94"/>
      <c r="L774" s="94"/>
      <c r="M774" s="94"/>
      <c r="N774" s="94"/>
      <c r="O774" s="94"/>
    </row>
    <row r="775">
      <c r="C775" s="119"/>
      <c r="D775" s="107"/>
      <c r="H775" s="94"/>
      <c r="I775" s="94"/>
      <c r="J775" s="94"/>
      <c r="K775" s="94"/>
      <c r="L775" s="94"/>
      <c r="M775" s="94"/>
      <c r="N775" s="94"/>
      <c r="O775" s="94"/>
    </row>
    <row r="776">
      <c r="C776" s="119"/>
      <c r="D776" s="107"/>
      <c r="H776" s="94"/>
      <c r="I776" s="94"/>
      <c r="J776" s="94"/>
      <c r="K776" s="94"/>
      <c r="L776" s="94"/>
      <c r="M776" s="94"/>
      <c r="N776" s="94"/>
      <c r="O776" s="94"/>
    </row>
    <row r="777">
      <c r="C777" s="119"/>
      <c r="D777" s="107"/>
      <c r="H777" s="94"/>
      <c r="I777" s="94"/>
      <c r="J777" s="94"/>
      <c r="K777" s="94"/>
      <c r="L777" s="94"/>
      <c r="M777" s="94"/>
      <c r="N777" s="94"/>
      <c r="O777" s="94"/>
    </row>
    <row r="778">
      <c r="C778" s="119"/>
      <c r="D778" s="107"/>
      <c r="H778" s="94"/>
      <c r="I778" s="94"/>
      <c r="J778" s="94"/>
      <c r="K778" s="94"/>
      <c r="L778" s="94"/>
      <c r="M778" s="94"/>
      <c r="N778" s="94"/>
      <c r="O778" s="94"/>
    </row>
    <row r="779">
      <c r="C779" s="119"/>
      <c r="D779" s="107"/>
      <c r="H779" s="94"/>
      <c r="I779" s="94"/>
      <c r="J779" s="94"/>
      <c r="K779" s="94"/>
      <c r="L779" s="94"/>
      <c r="M779" s="94"/>
      <c r="N779" s="94"/>
      <c r="O779" s="94"/>
    </row>
    <row r="780">
      <c r="C780" s="119"/>
      <c r="D780" s="107"/>
      <c r="H780" s="94"/>
      <c r="I780" s="94"/>
      <c r="J780" s="94"/>
      <c r="K780" s="94"/>
      <c r="L780" s="94"/>
      <c r="M780" s="94"/>
      <c r="N780" s="94"/>
      <c r="O780" s="94"/>
    </row>
    <row r="781">
      <c r="C781" s="119"/>
      <c r="D781" s="107"/>
      <c r="H781" s="94"/>
      <c r="I781" s="94"/>
      <c r="J781" s="94"/>
      <c r="K781" s="94"/>
      <c r="L781" s="94"/>
      <c r="M781" s="94"/>
      <c r="N781" s="94"/>
      <c r="O781" s="94"/>
    </row>
    <row r="782">
      <c r="C782" s="119"/>
      <c r="D782" s="107"/>
      <c r="H782" s="94"/>
      <c r="I782" s="94"/>
      <c r="J782" s="94"/>
      <c r="K782" s="94"/>
      <c r="L782" s="94"/>
      <c r="M782" s="94"/>
      <c r="N782" s="94"/>
      <c r="O782" s="94"/>
    </row>
    <row r="783">
      <c r="C783" s="119"/>
      <c r="D783" s="107"/>
      <c r="H783" s="94"/>
      <c r="I783" s="94"/>
      <c r="J783" s="94"/>
      <c r="K783" s="94"/>
      <c r="L783" s="94"/>
      <c r="M783" s="94"/>
      <c r="N783" s="94"/>
      <c r="O783" s="94"/>
    </row>
    <row r="784">
      <c r="C784" s="119"/>
      <c r="D784" s="107"/>
      <c r="H784" s="94"/>
      <c r="I784" s="94"/>
      <c r="J784" s="94"/>
      <c r="K784" s="94"/>
      <c r="L784" s="94"/>
      <c r="M784" s="94"/>
      <c r="N784" s="94"/>
      <c r="O784" s="94"/>
    </row>
    <row r="785">
      <c r="C785" s="119"/>
      <c r="D785" s="107"/>
      <c r="H785" s="94"/>
      <c r="I785" s="94"/>
      <c r="J785" s="94"/>
      <c r="K785" s="94"/>
      <c r="L785" s="94"/>
      <c r="M785" s="94"/>
      <c r="N785" s="94"/>
      <c r="O785" s="94"/>
    </row>
    <row r="786">
      <c r="C786" s="119"/>
      <c r="D786" s="107"/>
      <c r="H786" s="94"/>
      <c r="I786" s="94"/>
      <c r="J786" s="94"/>
      <c r="K786" s="94"/>
      <c r="L786" s="94"/>
      <c r="M786" s="94"/>
      <c r="N786" s="94"/>
      <c r="O786" s="94"/>
    </row>
    <row r="787">
      <c r="C787" s="119"/>
      <c r="D787" s="107"/>
      <c r="H787" s="94"/>
      <c r="I787" s="94"/>
      <c r="J787" s="94"/>
      <c r="K787" s="94"/>
      <c r="L787" s="94"/>
      <c r="M787" s="94"/>
      <c r="N787" s="94"/>
      <c r="O787" s="94"/>
    </row>
    <row r="788">
      <c r="C788" s="119"/>
      <c r="D788" s="107"/>
      <c r="H788" s="94"/>
      <c r="I788" s="94"/>
      <c r="J788" s="94"/>
      <c r="K788" s="94"/>
      <c r="L788" s="94"/>
      <c r="M788" s="94"/>
      <c r="N788" s="94"/>
      <c r="O788" s="94"/>
    </row>
    <row r="789">
      <c r="C789" s="119"/>
      <c r="D789" s="107"/>
      <c r="H789" s="94"/>
      <c r="I789" s="94"/>
      <c r="J789" s="94"/>
      <c r="K789" s="94"/>
      <c r="L789" s="94"/>
      <c r="M789" s="94"/>
      <c r="N789" s="94"/>
      <c r="O789" s="94"/>
    </row>
    <row r="790">
      <c r="C790" s="119"/>
      <c r="D790" s="107"/>
      <c r="H790" s="94"/>
      <c r="I790" s="94"/>
      <c r="J790" s="94"/>
      <c r="K790" s="94"/>
      <c r="L790" s="94"/>
      <c r="M790" s="94"/>
      <c r="N790" s="94"/>
      <c r="O790" s="94"/>
    </row>
    <row r="791">
      <c r="C791" s="119"/>
      <c r="D791" s="107"/>
      <c r="H791" s="94"/>
      <c r="I791" s="94"/>
      <c r="J791" s="94"/>
      <c r="K791" s="94"/>
      <c r="L791" s="94"/>
      <c r="M791" s="94"/>
      <c r="N791" s="94"/>
      <c r="O791" s="94"/>
    </row>
    <row r="792">
      <c r="C792" s="119"/>
      <c r="D792" s="107"/>
      <c r="H792" s="94"/>
      <c r="I792" s="94"/>
      <c r="J792" s="94"/>
      <c r="K792" s="94"/>
      <c r="L792" s="94"/>
      <c r="M792" s="94"/>
      <c r="N792" s="94"/>
      <c r="O792" s="94"/>
    </row>
    <row r="793">
      <c r="C793" s="119"/>
      <c r="D793" s="107"/>
      <c r="H793" s="94"/>
      <c r="I793" s="94"/>
      <c r="J793" s="94"/>
      <c r="K793" s="94"/>
      <c r="L793" s="94"/>
      <c r="M793" s="94"/>
      <c r="N793" s="94"/>
      <c r="O793" s="94"/>
    </row>
    <row r="794">
      <c r="C794" s="119"/>
      <c r="D794" s="107"/>
      <c r="H794" s="94"/>
      <c r="I794" s="94"/>
      <c r="J794" s="94"/>
      <c r="K794" s="94"/>
      <c r="L794" s="94"/>
      <c r="M794" s="94"/>
      <c r="N794" s="94"/>
      <c r="O794" s="94"/>
    </row>
    <row r="795">
      <c r="C795" s="119"/>
      <c r="D795" s="107"/>
      <c r="H795" s="94"/>
      <c r="I795" s="94"/>
      <c r="J795" s="94"/>
      <c r="K795" s="94"/>
      <c r="L795" s="94"/>
      <c r="M795" s="94"/>
      <c r="N795" s="94"/>
      <c r="O795" s="94"/>
    </row>
    <row r="796">
      <c r="C796" s="119"/>
      <c r="D796" s="107"/>
      <c r="H796" s="94"/>
      <c r="I796" s="94"/>
      <c r="J796" s="94"/>
      <c r="K796" s="94"/>
      <c r="L796" s="94"/>
      <c r="M796" s="94"/>
      <c r="N796" s="94"/>
      <c r="O796" s="94"/>
    </row>
    <row r="797">
      <c r="C797" s="119"/>
      <c r="D797" s="107"/>
      <c r="H797" s="94"/>
      <c r="I797" s="94"/>
      <c r="J797" s="94"/>
      <c r="K797" s="94"/>
      <c r="L797" s="94"/>
      <c r="M797" s="94"/>
      <c r="N797" s="94"/>
      <c r="O797" s="94"/>
    </row>
    <row r="798">
      <c r="C798" s="119"/>
      <c r="D798" s="107"/>
      <c r="H798" s="94"/>
      <c r="I798" s="94"/>
      <c r="J798" s="94"/>
      <c r="K798" s="94"/>
      <c r="L798" s="94"/>
      <c r="M798" s="94"/>
      <c r="N798" s="94"/>
      <c r="O798" s="94"/>
    </row>
    <row r="799">
      <c r="C799" s="119"/>
      <c r="D799" s="107"/>
      <c r="H799" s="94"/>
      <c r="I799" s="94"/>
      <c r="J799" s="94"/>
      <c r="K799" s="94"/>
      <c r="L799" s="94"/>
      <c r="M799" s="94"/>
      <c r="N799" s="94"/>
      <c r="O799" s="94"/>
    </row>
    <row r="800">
      <c r="C800" s="119"/>
      <c r="D800" s="107"/>
      <c r="H800" s="94"/>
      <c r="I800" s="94"/>
      <c r="J800" s="94"/>
      <c r="K800" s="94"/>
      <c r="L800" s="94"/>
      <c r="M800" s="94"/>
      <c r="N800" s="94"/>
      <c r="O800" s="94"/>
    </row>
    <row r="801">
      <c r="C801" s="119"/>
      <c r="D801" s="107"/>
      <c r="H801" s="94"/>
      <c r="I801" s="94"/>
      <c r="J801" s="94"/>
      <c r="K801" s="94"/>
      <c r="L801" s="94"/>
      <c r="M801" s="94"/>
      <c r="N801" s="94"/>
      <c r="O801" s="94"/>
    </row>
    <row r="802">
      <c r="C802" s="119"/>
      <c r="D802" s="107"/>
      <c r="H802" s="94"/>
      <c r="I802" s="94"/>
      <c r="J802" s="94"/>
      <c r="K802" s="94"/>
      <c r="L802" s="94"/>
      <c r="M802" s="94"/>
      <c r="N802" s="94"/>
      <c r="O802" s="94"/>
    </row>
    <row r="803">
      <c r="C803" s="119"/>
      <c r="D803" s="107"/>
      <c r="H803" s="94"/>
      <c r="I803" s="94"/>
      <c r="J803" s="94"/>
      <c r="K803" s="94"/>
      <c r="L803" s="94"/>
      <c r="M803" s="94"/>
      <c r="N803" s="94"/>
      <c r="O803" s="94"/>
    </row>
    <row r="804">
      <c r="C804" s="119"/>
      <c r="D804" s="107"/>
      <c r="H804" s="94"/>
      <c r="I804" s="94"/>
      <c r="J804" s="94"/>
      <c r="K804" s="94"/>
      <c r="L804" s="94"/>
      <c r="M804" s="94"/>
      <c r="N804" s="94"/>
      <c r="O804" s="94"/>
    </row>
    <row r="805">
      <c r="C805" s="119"/>
      <c r="D805" s="107"/>
      <c r="H805" s="94"/>
      <c r="I805" s="94"/>
      <c r="J805" s="94"/>
      <c r="K805" s="94"/>
      <c r="L805" s="94"/>
      <c r="M805" s="94"/>
      <c r="N805" s="94"/>
      <c r="O805" s="94"/>
    </row>
    <row r="806">
      <c r="C806" s="119"/>
      <c r="D806" s="107"/>
      <c r="H806" s="94"/>
      <c r="I806" s="94"/>
      <c r="J806" s="94"/>
      <c r="K806" s="94"/>
      <c r="L806" s="94"/>
      <c r="M806" s="94"/>
      <c r="N806" s="94"/>
      <c r="O806" s="94"/>
    </row>
    <row r="807">
      <c r="C807" s="119"/>
      <c r="D807" s="107"/>
      <c r="H807" s="94"/>
      <c r="I807" s="94"/>
      <c r="J807" s="94"/>
      <c r="K807" s="94"/>
      <c r="L807" s="94"/>
      <c r="M807" s="94"/>
      <c r="N807" s="94"/>
      <c r="O807" s="94"/>
    </row>
    <row r="808">
      <c r="C808" s="119"/>
      <c r="D808" s="107"/>
      <c r="H808" s="94"/>
      <c r="I808" s="94"/>
      <c r="J808" s="94"/>
      <c r="K808" s="94"/>
      <c r="L808" s="94"/>
      <c r="M808" s="94"/>
      <c r="N808" s="94"/>
      <c r="O808" s="94"/>
    </row>
    <row r="809">
      <c r="C809" s="119"/>
      <c r="D809" s="107"/>
      <c r="H809" s="94"/>
      <c r="I809" s="94"/>
      <c r="J809" s="94"/>
      <c r="K809" s="94"/>
      <c r="L809" s="94"/>
      <c r="M809" s="94"/>
      <c r="N809" s="94"/>
      <c r="O809" s="94"/>
    </row>
    <row r="810">
      <c r="C810" s="119"/>
      <c r="D810" s="107"/>
      <c r="H810" s="94"/>
      <c r="I810" s="94"/>
      <c r="J810" s="94"/>
      <c r="K810" s="94"/>
      <c r="L810" s="94"/>
      <c r="M810" s="94"/>
      <c r="N810" s="94"/>
      <c r="O810" s="94"/>
    </row>
    <row r="811">
      <c r="C811" s="119"/>
      <c r="D811" s="107"/>
      <c r="H811" s="94"/>
      <c r="I811" s="94"/>
      <c r="J811" s="94"/>
      <c r="K811" s="94"/>
      <c r="L811" s="94"/>
      <c r="M811" s="94"/>
      <c r="N811" s="94"/>
      <c r="O811" s="94"/>
    </row>
    <row r="812">
      <c r="C812" s="119"/>
      <c r="D812" s="107"/>
      <c r="H812" s="94"/>
      <c r="I812" s="94"/>
      <c r="J812" s="94"/>
      <c r="K812" s="94"/>
      <c r="L812" s="94"/>
      <c r="M812" s="94"/>
      <c r="N812" s="94"/>
      <c r="O812" s="94"/>
    </row>
    <row r="813">
      <c r="C813" s="119"/>
      <c r="D813" s="107"/>
      <c r="H813" s="94"/>
      <c r="I813" s="94"/>
      <c r="J813" s="94"/>
      <c r="K813" s="94"/>
      <c r="L813" s="94"/>
      <c r="M813" s="94"/>
      <c r="N813" s="94"/>
      <c r="O813" s="94"/>
    </row>
    <row r="814">
      <c r="C814" s="119"/>
      <c r="D814" s="107"/>
      <c r="H814" s="94"/>
      <c r="I814" s="94"/>
      <c r="J814" s="94"/>
      <c r="K814" s="94"/>
      <c r="L814" s="94"/>
      <c r="M814" s="94"/>
      <c r="N814" s="94"/>
      <c r="O814" s="94"/>
    </row>
    <row r="815">
      <c r="C815" s="119"/>
      <c r="D815" s="107"/>
      <c r="H815" s="94"/>
      <c r="I815" s="94"/>
      <c r="J815" s="94"/>
      <c r="K815" s="94"/>
      <c r="L815" s="94"/>
      <c r="M815" s="94"/>
      <c r="N815" s="94"/>
      <c r="O815" s="94"/>
    </row>
    <row r="816">
      <c r="C816" s="119"/>
      <c r="D816" s="107"/>
      <c r="H816" s="94"/>
      <c r="I816" s="94"/>
      <c r="J816" s="94"/>
      <c r="K816" s="94"/>
      <c r="L816" s="94"/>
      <c r="M816" s="94"/>
      <c r="N816" s="94"/>
      <c r="O816" s="94"/>
    </row>
    <row r="817">
      <c r="C817" s="119"/>
      <c r="D817" s="107"/>
      <c r="H817" s="94"/>
      <c r="I817" s="94"/>
      <c r="J817" s="94"/>
      <c r="K817" s="94"/>
      <c r="L817" s="94"/>
      <c r="M817" s="94"/>
      <c r="N817" s="94"/>
      <c r="O817" s="94"/>
    </row>
    <row r="818">
      <c r="C818" s="119"/>
      <c r="D818" s="107"/>
      <c r="H818" s="94"/>
      <c r="I818" s="94"/>
      <c r="J818" s="94"/>
      <c r="K818" s="94"/>
      <c r="L818" s="94"/>
      <c r="M818" s="94"/>
      <c r="N818" s="94"/>
      <c r="O818" s="94"/>
    </row>
    <row r="819">
      <c r="C819" s="119"/>
      <c r="D819" s="107"/>
      <c r="H819" s="94"/>
      <c r="I819" s="94"/>
      <c r="J819" s="94"/>
      <c r="K819" s="94"/>
      <c r="L819" s="94"/>
      <c r="M819" s="94"/>
      <c r="N819" s="94"/>
      <c r="O819" s="94"/>
    </row>
    <row r="820">
      <c r="C820" s="119"/>
      <c r="D820" s="107"/>
      <c r="H820" s="94"/>
      <c r="I820" s="94"/>
      <c r="J820" s="94"/>
      <c r="K820" s="94"/>
      <c r="L820" s="94"/>
      <c r="M820" s="94"/>
      <c r="N820" s="94"/>
      <c r="O820" s="94"/>
    </row>
    <row r="821">
      <c r="C821" s="119"/>
      <c r="D821" s="107"/>
      <c r="H821" s="94"/>
      <c r="I821" s="94"/>
      <c r="J821" s="94"/>
      <c r="K821" s="94"/>
      <c r="L821" s="94"/>
      <c r="M821" s="94"/>
      <c r="N821" s="94"/>
      <c r="O821" s="94"/>
    </row>
    <row r="822">
      <c r="C822" s="119"/>
      <c r="D822" s="107"/>
      <c r="H822" s="94"/>
      <c r="I822" s="94"/>
      <c r="J822" s="94"/>
      <c r="K822" s="94"/>
      <c r="L822" s="94"/>
      <c r="M822" s="94"/>
      <c r="N822" s="94"/>
      <c r="O822" s="94"/>
    </row>
    <row r="823">
      <c r="C823" s="119"/>
      <c r="D823" s="107"/>
      <c r="H823" s="94"/>
      <c r="I823" s="94"/>
      <c r="J823" s="94"/>
      <c r="K823" s="94"/>
      <c r="L823" s="94"/>
      <c r="M823" s="94"/>
      <c r="N823" s="94"/>
      <c r="O823" s="94"/>
    </row>
    <row r="824">
      <c r="C824" s="119"/>
      <c r="D824" s="107"/>
      <c r="H824" s="94"/>
      <c r="I824" s="94"/>
      <c r="J824" s="94"/>
      <c r="K824" s="94"/>
      <c r="L824" s="94"/>
      <c r="M824" s="94"/>
      <c r="N824" s="94"/>
      <c r="O824" s="94"/>
    </row>
    <row r="825">
      <c r="C825" s="119"/>
      <c r="D825" s="107"/>
      <c r="H825" s="94"/>
      <c r="I825" s="94"/>
      <c r="J825" s="94"/>
      <c r="K825" s="94"/>
      <c r="L825" s="94"/>
      <c r="M825" s="94"/>
      <c r="N825" s="94"/>
      <c r="O825" s="94"/>
    </row>
    <row r="826">
      <c r="C826" s="119"/>
      <c r="D826" s="107"/>
      <c r="H826" s="94"/>
      <c r="I826" s="94"/>
      <c r="J826" s="94"/>
      <c r="K826" s="94"/>
      <c r="L826" s="94"/>
      <c r="M826" s="94"/>
      <c r="N826" s="94"/>
      <c r="O826" s="94"/>
    </row>
    <row r="827">
      <c r="C827" s="119"/>
      <c r="D827" s="107"/>
      <c r="H827" s="94"/>
      <c r="I827" s="94"/>
      <c r="J827" s="94"/>
      <c r="K827" s="94"/>
      <c r="L827" s="94"/>
      <c r="M827" s="94"/>
      <c r="N827" s="94"/>
      <c r="O827" s="94"/>
    </row>
    <row r="828">
      <c r="C828" s="119"/>
      <c r="D828" s="107"/>
      <c r="H828" s="94"/>
      <c r="I828" s="94"/>
      <c r="J828" s="94"/>
      <c r="K828" s="94"/>
      <c r="L828" s="94"/>
      <c r="M828" s="94"/>
      <c r="N828" s="94"/>
      <c r="O828" s="94"/>
    </row>
    <row r="829">
      <c r="C829" s="119"/>
      <c r="D829" s="107"/>
      <c r="H829" s="94"/>
      <c r="I829" s="94"/>
      <c r="J829" s="94"/>
      <c r="K829" s="94"/>
      <c r="L829" s="94"/>
      <c r="M829" s="94"/>
      <c r="N829" s="94"/>
      <c r="O829" s="94"/>
    </row>
    <row r="830">
      <c r="C830" s="119"/>
      <c r="D830" s="107"/>
      <c r="H830" s="94"/>
      <c r="I830" s="94"/>
      <c r="J830" s="94"/>
      <c r="K830" s="94"/>
      <c r="L830" s="94"/>
      <c r="M830" s="94"/>
      <c r="N830" s="94"/>
      <c r="O830" s="94"/>
    </row>
    <row r="831">
      <c r="C831" s="119"/>
      <c r="D831" s="107"/>
      <c r="H831" s="94"/>
      <c r="I831" s="94"/>
      <c r="J831" s="94"/>
      <c r="K831" s="94"/>
      <c r="L831" s="94"/>
      <c r="M831" s="94"/>
      <c r="N831" s="94"/>
      <c r="O831" s="94"/>
    </row>
    <row r="832">
      <c r="C832" s="119"/>
      <c r="D832" s="107"/>
      <c r="H832" s="94"/>
      <c r="I832" s="94"/>
      <c r="J832" s="94"/>
      <c r="K832" s="94"/>
      <c r="L832" s="94"/>
      <c r="M832" s="94"/>
      <c r="N832" s="94"/>
      <c r="O832" s="94"/>
    </row>
    <row r="833">
      <c r="C833" s="119"/>
      <c r="D833" s="107"/>
      <c r="H833" s="94"/>
      <c r="I833" s="94"/>
      <c r="J833" s="94"/>
      <c r="K833" s="94"/>
      <c r="L833" s="94"/>
      <c r="M833" s="94"/>
      <c r="N833" s="94"/>
      <c r="O833" s="94"/>
    </row>
    <row r="834">
      <c r="C834" s="119"/>
      <c r="D834" s="107"/>
      <c r="H834" s="94"/>
      <c r="I834" s="94"/>
      <c r="J834" s="94"/>
      <c r="K834" s="94"/>
      <c r="L834" s="94"/>
      <c r="M834" s="94"/>
      <c r="N834" s="94"/>
      <c r="O834" s="94"/>
    </row>
    <row r="835">
      <c r="C835" s="119"/>
      <c r="D835" s="107"/>
      <c r="H835" s="94"/>
      <c r="I835" s="94"/>
      <c r="J835" s="94"/>
      <c r="K835" s="94"/>
      <c r="L835" s="94"/>
      <c r="M835" s="94"/>
      <c r="N835" s="94"/>
      <c r="O835" s="94"/>
    </row>
    <row r="836">
      <c r="C836" s="119"/>
      <c r="D836" s="107"/>
      <c r="H836" s="94"/>
      <c r="I836" s="94"/>
      <c r="J836" s="94"/>
      <c r="K836" s="94"/>
      <c r="L836" s="94"/>
      <c r="M836" s="94"/>
      <c r="N836" s="94"/>
      <c r="O836" s="94"/>
    </row>
    <row r="837">
      <c r="C837" s="119"/>
      <c r="D837" s="107"/>
      <c r="H837" s="94"/>
      <c r="I837" s="94"/>
      <c r="J837" s="94"/>
      <c r="K837" s="94"/>
      <c r="L837" s="94"/>
      <c r="M837" s="94"/>
      <c r="N837" s="94"/>
      <c r="O837" s="94"/>
    </row>
    <row r="838">
      <c r="C838" s="119"/>
      <c r="D838" s="107"/>
      <c r="H838" s="94"/>
      <c r="I838" s="94"/>
      <c r="J838" s="94"/>
      <c r="K838" s="94"/>
      <c r="L838" s="94"/>
      <c r="M838" s="94"/>
      <c r="N838" s="94"/>
      <c r="O838" s="94"/>
    </row>
    <row r="839">
      <c r="C839" s="119"/>
      <c r="D839" s="107"/>
      <c r="H839" s="94"/>
      <c r="I839" s="94"/>
      <c r="J839" s="94"/>
      <c r="K839" s="94"/>
      <c r="L839" s="94"/>
      <c r="M839" s="94"/>
      <c r="N839" s="94"/>
      <c r="O839" s="94"/>
    </row>
    <row r="840">
      <c r="C840" s="119"/>
      <c r="D840" s="107"/>
      <c r="H840" s="94"/>
      <c r="I840" s="94"/>
      <c r="J840" s="94"/>
      <c r="K840" s="94"/>
      <c r="L840" s="94"/>
      <c r="M840" s="94"/>
      <c r="N840" s="94"/>
      <c r="O840" s="94"/>
    </row>
    <row r="841">
      <c r="C841" s="119"/>
      <c r="D841" s="107"/>
      <c r="H841" s="94"/>
      <c r="I841" s="94"/>
      <c r="J841" s="94"/>
      <c r="K841" s="94"/>
      <c r="L841" s="94"/>
      <c r="M841" s="94"/>
      <c r="N841" s="94"/>
      <c r="O841" s="94"/>
    </row>
    <row r="842">
      <c r="C842" s="119"/>
      <c r="D842" s="107"/>
      <c r="H842" s="94"/>
      <c r="I842" s="94"/>
      <c r="J842" s="94"/>
      <c r="K842" s="94"/>
      <c r="L842" s="94"/>
      <c r="M842" s="94"/>
      <c r="N842" s="94"/>
      <c r="O842" s="94"/>
    </row>
    <row r="843">
      <c r="C843" s="119"/>
      <c r="D843" s="107"/>
      <c r="H843" s="94"/>
      <c r="I843" s="94"/>
      <c r="J843" s="94"/>
      <c r="K843" s="94"/>
      <c r="L843" s="94"/>
      <c r="M843" s="94"/>
      <c r="N843" s="94"/>
      <c r="O843" s="94"/>
    </row>
    <row r="844">
      <c r="C844" s="119"/>
      <c r="D844" s="107"/>
      <c r="H844" s="94"/>
      <c r="I844" s="94"/>
      <c r="J844" s="94"/>
      <c r="K844" s="94"/>
      <c r="L844" s="94"/>
      <c r="M844" s="94"/>
      <c r="N844" s="94"/>
      <c r="O844" s="94"/>
    </row>
    <row r="845">
      <c r="C845" s="119"/>
      <c r="D845" s="107"/>
      <c r="H845" s="94"/>
      <c r="I845" s="94"/>
      <c r="J845" s="94"/>
      <c r="K845" s="94"/>
      <c r="L845" s="94"/>
      <c r="M845" s="94"/>
      <c r="N845" s="94"/>
      <c r="O845" s="94"/>
    </row>
    <row r="846">
      <c r="C846" s="119"/>
      <c r="D846" s="107"/>
      <c r="H846" s="94"/>
      <c r="I846" s="94"/>
      <c r="J846" s="94"/>
      <c r="K846" s="94"/>
      <c r="L846" s="94"/>
      <c r="M846" s="94"/>
      <c r="N846" s="94"/>
      <c r="O846" s="94"/>
    </row>
    <row r="847">
      <c r="C847" s="119"/>
      <c r="D847" s="107"/>
      <c r="H847" s="94"/>
      <c r="I847" s="94"/>
      <c r="J847" s="94"/>
      <c r="K847" s="94"/>
      <c r="L847" s="94"/>
      <c r="M847" s="94"/>
      <c r="N847" s="94"/>
      <c r="O847" s="94"/>
    </row>
    <row r="848">
      <c r="C848" s="119"/>
      <c r="D848" s="107"/>
      <c r="H848" s="94"/>
      <c r="I848" s="94"/>
      <c r="J848" s="94"/>
      <c r="K848" s="94"/>
      <c r="L848" s="94"/>
      <c r="M848" s="94"/>
      <c r="N848" s="94"/>
      <c r="O848" s="94"/>
    </row>
    <row r="849">
      <c r="C849" s="119"/>
      <c r="D849" s="107"/>
      <c r="H849" s="94"/>
      <c r="I849" s="94"/>
      <c r="J849" s="94"/>
      <c r="K849" s="94"/>
      <c r="L849" s="94"/>
      <c r="M849" s="94"/>
      <c r="N849" s="94"/>
      <c r="O849" s="94"/>
    </row>
    <row r="850">
      <c r="C850" s="119"/>
      <c r="D850" s="107"/>
      <c r="H850" s="94"/>
      <c r="I850" s="94"/>
      <c r="J850" s="94"/>
      <c r="K850" s="94"/>
      <c r="L850" s="94"/>
      <c r="M850" s="94"/>
      <c r="N850" s="94"/>
      <c r="O850" s="94"/>
    </row>
    <row r="851">
      <c r="C851" s="119"/>
      <c r="D851" s="107"/>
      <c r="H851" s="94"/>
      <c r="I851" s="94"/>
      <c r="J851" s="94"/>
      <c r="K851" s="94"/>
      <c r="L851" s="94"/>
      <c r="M851" s="94"/>
      <c r="N851" s="94"/>
      <c r="O851" s="94"/>
    </row>
    <row r="852">
      <c r="C852" s="119"/>
      <c r="D852" s="107"/>
      <c r="H852" s="94"/>
      <c r="I852" s="94"/>
      <c r="J852" s="94"/>
      <c r="K852" s="94"/>
      <c r="L852" s="94"/>
      <c r="M852" s="94"/>
      <c r="N852" s="94"/>
      <c r="O852" s="94"/>
    </row>
    <row r="853">
      <c r="C853" s="119"/>
      <c r="D853" s="107"/>
      <c r="H853" s="94"/>
      <c r="I853" s="94"/>
      <c r="J853" s="94"/>
      <c r="K853" s="94"/>
      <c r="L853" s="94"/>
      <c r="M853" s="94"/>
      <c r="N853" s="94"/>
      <c r="O853" s="94"/>
    </row>
    <row r="854">
      <c r="C854" s="119"/>
      <c r="D854" s="107"/>
      <c r="H854" s="94"/>
      <c r="I854" s="94"/>
      <c r="J854" s="94"/>
      <c r="K854" s="94"/>
      <c r="L854" s="94"/>
      <c r="M854" s="94"/>
      <c r="N854" s="94"/>
      <c r="O854" s="94"/>
    </row>
    <row r="855">
      <c r="C855" s="119"/>
      <c r="D855" s="107"/>
      <c r="H855" s="94"/>
      <c r="I855" s="94"/>
      <c r="J855" s="94"/>
      <c r="K855" s="94"/>
      <c r="L855" s="94"/>
      <c r="M855" s="94"/>
      <c r="N855" s="94"/>
      <c r="O855" s="94"/>
    </row>
    <row r="856">
      <c r="C856" s="119"/>
      <c r="D856" s="107"/>
      <c r="H856" s="94"/>
      <c r="I856" s="94"/>
      <c r="J856" s="94"/>
      <c r="K856" s="94"/>
      <c r="L856" s="94"/>
      <c r="M856" s="94"/>
      <c r="N856" s="94"/>
      <c r="O856" s="94"/>
    </row>
    <row r="857">
      <c r="C857" s="119"/>
      <c r="D857" s="107"/>
      <c r="H857" s="94"/>
      <c r="I857" s="94"/>
      <c r="J857" s="94"/>
      <c r="K857" s="94"/>
      <c r="L857" s="94"/>
      <c r="M857" s="94"/>
      <c r="N857" s="94"/>
      <c r="O857" s="94"/>
    </row>
    <row r="858">
      <c r="C858" s="119"/>
      <c r="D858" s="107"/>
      <c r="H858" s="94"/>
      <c r="I858" s="94"/>
      <c r="J858" s="94"/>
      <c r="K858" s="94"/>
      <c r="L858" s="94"/>
      <c r="M858" s="94"/>
      <c r="N858" s="94"/>
      <c r="O858" s="94"/>
    </row>
    <row r="859">
      <c r="C859" s="119"/>
      <c r="D859" s="107"/>
      <c r="H859" s="94"/>
      <c r="I859" s="94"/>
      <c r="J859" s="94"/>
      <c r="K859" s="94"/>
      <c r="L859" s="94"/>
      <c r="M859" s="94"/>
      <c r="N859" s="94"/>
      <c r="O859" s="94"/>
    </row>
    <row r="860">
      <c r="C860" s="119"/>
      <c r="D860" s="107"/>
      <c r="H860" s="94"/>
      <c r="I860" s="94"/>
      <c r="J860" s="94"/>
      <c r="K860" s="94"/>
      <c r="L860" s="94"/>
      <c r="M860" s="94"/>
      <c r="N860" s="94"/>
      <c r="O860" s="94"/>
    </row>
    <row r="861">
      <c r="C861" s="119"/>
      <c r="D861" s="107"/>
      <c r="H861" s="94"/>
      <c r="I861" s="94"/>
      <c r="J861" s="94"/>
      <c r="K861" s="94"/>
      <c r="L861" s="94"/>
      <c r="M861" s="94"/>
      <c r="N861" s="94"/>
      <c r="O861" s="94"/>
    </row>
    <row r="862">
      <c r="C862" s="119"/>
      <c r="D862" s="107"/>
      <c r="H862" s="94"/>
      <c r="I862" s="94"/>
      <c r="J862" s="94"/>
      <c r="K862" s="94"/>
      <c r="L862" s="94"/>
      <c r="M862" s="94"/>
      <c r="N862" s="94"/>
      <c r="O862" s="94"/>
    </row>
    <row r="863">
      <c r="C863" s="119"/>
      <c r="D863" s="107"/>
      <c r="H863" s="94"/>
      <c r="I863" s="94"/>
      <c r="J863" s="94"/>
      <c r="K863" s="94"/>
      <c r="L863" s="94"/>
      <c r="M863" s="94"/>
      <c r="N863" s="94"/>
      <c r="O863" s="94"/>
    </row>
    <row r="864">
      <c r="C864" s="119"/>
      <c r="D864" s="107"/>
      <c r="H864" s="94"/>
      <c r="I864" s="94"/>
      <c r="J864" s="94"/>
      <c r="K864" s="94"/>
      <c r="L864" s="94"/>
      <c r="M864" s="94"/>
      <c r="N864" s="94"/>
      <c r="O864" s="94"/>
    </row>
    <row r="865">
      <c r="C865" s="119"/>
      <c r="D865" s="107"/>
      <c r="H865" s="94"/>
      <c r="I865" s="94"/>
      <c r="J865" s="94"/>
      <c r="K865" s="94"/>
      <c r="L865" s="94"/>
      <c r="M865" s="94"/>
      <c r="N865" s="94"/>
      <c r="O865" s="94"/>
    </row>
    <row r="866">
      <c r="C866" s="119"/>
      <c r="D866" s="107"/>
      <c r="H866" s="94"/>
      <c r="I866" s="94"/>
      <c r="J866" s="94"/>
      <c r="K866" s="94"/>
      <c r="L866" s="94"/>
      <c r="M866" s="94"/>
      <c r="N866" s="94"/>
      <c r="O866" s="94"/>
    </row>
    <row r="867">
      <c r="C867" s="119"/>
      <c r="D867" s="107"/>
      <c r="H867" s="94"/>
      <c r="I867" s="94"/>
      <c r="J867" s="94"/>
      <c r="K867" s="94"/>
      <c r="L867" s="94"/>
      <c r="M867" s="94"/>
      <c r="N867" s="94"/>
      <c r="O867" s="94"/>
    </row>
    <row r="868">
      <c r="C868" s="119"/>
      <c r="D868" s="107"/>
      <c r="H868" s="94"/>
      <c r="I868" s="94"/>
      <c r="J868" s="94"/>
      <c r="K868" s="94"/>
      <c r="L868" s="94"/>
      <c r="M868" s="94"/>
      <c r="N868" s="94"/>
      <c r="O868" s="94"/>
    </row>
    <row r="869">
      <c r="C869" s="119"/>
      <c r="D869" s="107"/>
      <c r="H869" s="94"/>
      <c r="I869" s="94"/>
      <c r="J869" s="94"/>
      <c r="K869" s="94"/>
      <c r="L869" s="94"/>
      <c r="M869" s="94"/>
      <c r="N869" s="94"/>
      <c r="O869" s="94"/>
    </row>
    <row r="870">
      <c r="C870" s="119"/>
      <c r="D870" s="107"/>
      <c r="H870" s="94"/>
      <c r="I870" s="94"/>
      <c r="J870" s="94"/>
      <c r="K870" s="94"/>
      <c r="L870" s="94"/>
      <c r="M870" s="94"/>
      <c r="N870" s="94"/>
      <c r="O870" s="94"/>
    </row>
    <row r="871">
      <c r="C871" s="119"/>
      <c r="D871" s="107"/>
      <c r="H871" s="94"/>
      <c r="I871" s="94"/>
      <c r="J871" s="94"/>
      <c r="K871" s="94"/>
      <c r="L871" s="94"/>
      <c r="M871" s="94"/>
      <c r="N871" s="94"/>
      <c r="O871" s="94"/>
    </row>
    <row r="872">
      <c r="C872" s="119"/>
      <c r="D872" s="107"/>
      <c r="H872" s="94"/>
      <c r="I872" s="94"/>
      <c r="J872" s="94"/>
      <c r="K872" s="94"/>
      <c r="L872" s="94"/>
      <c r="M872" s="94"/>
      <c r="N872" s="94"/>
      <c r="O872" s="94"/>
    </row>
    <row r="873">
      <c r="C873" s="119"/>
      <c r="D873" s="107"/>
      <c r="H873" s="94"/>
      <c r="I873" s="94"/>
      <c r="J873" s="94"/>
      <c r="K873" s="94"/>
      <c r="L873" s="94"/>
      <c r="M873" s="94"/>
      <c r="N873" s="94"/>
      <c r="O873" s="94"/>
    </row>
    <row r="874">
      <c r="C874" s="119"/>
      <c r="D874" s="107"/>
      <c r="H874" s="94"/>
      <c r="I874" s="94"/>
      <c r="J874" s="94"/>
      <c r="K874" s="94"/>
      <c r="L874" s="94"/>
      <c r="M874" s="94"/>
      <c r="N874" s="94"/>
      <c r="O874" s="94"/>
    </row>
    <row r="875">
      <c r="C875" s="119"/>
      <c r="D875" s="107"/>
      <c r="H875" s="94"/>
      <c r="I875" s="94"/>
      <c r="J875" s="94"/>
      <c r="K875" s="94"/>
      <c r="L875" s="94"/>
      <c r="M875" s="94"/>
      <c r="N875" s="94"/>
      <c r="O875" s="94"/>
    </row>
    <row r="876">
      <c r="C876" s="119"/>
      <c r="D876" s="107"/>
      <c r="H876" s="94"/>
      <c r="I876" s="94"/>
      <c r="J876" s="94"/>
      <c r="K876" s="94"/>
      <c r="L876" s="94"/>
      <c r="M876" s="94"/>
      <c r="N876" s="94"/>
      <c r="O876" s="94"/>
    </row>
    <row r="877">
      <c r="C877" s="119"/>
      <c r="D877" s="107"/>
      <c r="H877" s="94"/>
      <c r="I877" s="94"/>
      <c r="J877" s="94"/>
      <c r="K877" s="94"/>
      <c r="L877" s="94"/>
      <c r="M877" s="94"/>
      <c r="N877" s="94"/>
      <c r="O877" s="94"/>
    </row>
    <row r="878">
      <c r="C878" s="119"/>
      <c r="D878" s="107"/>
      <c r="H878" s="94"/>
      <c r="I878" s="94"/>
      <c r="J878" s="94"/>
      <c r="K878" s="94"/>
      <c r="L878" s="94"/>
      <c r="M878" s="94"/>
      <c r="N878" s="94"/>
      <c r="O878" s="94"/>
    </row>
    <row r="879">
      <c r="C879" s="119"/>
      <c r="D879" s="107"/>
      <c r="H879" s="94"/>
      <c r="I879" s="94"/>
      <c r="J879" s="94"/>
      <c r="K879" s="94"/>
      <c r="L879" s="94"/>
      <c r="M879" s="94"/>
      <c r="N879" s="94"/>
      <c r="O879" s="94"/>
    </row>
    <row r="880">
      <c r="C880" s="119"/>
      <c r="D880" s="107"/>
      <c r="H880" s="94"/>
      <c r="I880" s="94"/>
      <c r="J880" s="94"/>
      <c r="K880" s="94"/>
      <c r="L880" s="94"/>
      <c r="M880" s="94"/>
      <c r="N880" s="94"/>
      <c r="O880" s="94"/>
    </row>
    <row r="881">
      <c r="C881" s="119"/>
      <c r="D881" s="107"/>
      <c r="H881" s="94"/>
      <c r="I881" s="94"/>
      <c r="J881" s="94"/>
      <c r="K881" s="94"/>
      <c r="L881" s="94"/>
      <c r="M881" s="94"/>
      <c r="N881" s="94"/>
      <c r="O881" s="94"/>
    </row>
    <row r="882">
      <c r="C882" s="119"/>
      <c r="D882" s="107"/>
      <c r="H882" s="94"/>
      <c r="I882" s="94"/>
      <c r="J882" s="94"/>
      <c r="K882" s="94"/>
      <c r="L882" s="94"/>
      <c r="M882" s="94"/>
      <c r="N882" s="94"/>
      <c r="O882" s="94"/>
    </row>
    <row r="883">
      <c r="C883" s="119"/>
      <c r="D883" s="107"/>
      <c r="H883" s="94"/>
      <c r="I883" s="94"/>
      <c r="J883" s="94"/>
      <c r="K883" s="94"/>
      <c r="L883" s="94"/>
      <c r="M883" s="94"/>
      <c r="N883" s="94"/>
      <c r="O883" s="94"/>
    </row>
    <row r="884">
      <c r="C884" s="119"/>
      <c r="D884" s="107"/>
      <c r="H884" s="94"/>
      <c r="I884" s="94"/>
      <c r="J884" s="94"/>
      <c r="K884" s="94"/>
      <c r="L884" s="94"/>
      <c r="M884" s="94"/>
      <c r="N884" s="94"/>
      <c r="O884" s="94"/>
    </row>
    <row r="885">
      <c r="C885" s="119"/>
      <c r="D885" s="107"/>
      <c r="H885" s="94"/>
      <c r="I885" s="94"/>
      <c r="J885" s="94"/>
      <c r="K885" s="94"/>
      <c r="L885" s="94"/>
      <c r="M885" s="94"/>
      <c r="N885" s="94"/>
      <c r="O885" s="94"/>
    </row>
    <row r="886">
      <c r="C886" s="119"/>
      <c r="D886" s="107"/>
      <c r="H886" s="94"/>
      <c r="I886" s="94"/>
      <c r="J886" s="94"/>
      <c r="K886" s="94"/>
      <c r="L886" s="94"/>
      <c r="M886" s="94"/>
      <c r="N886" s="94"/>
      <c r="O886" s="94"/>
    </row>
    <row r="887">
      <c r="C887" s="119"/>
      <c r="D887" s="107"/>
      <c r="H887" s="94"/>
      <c r="I887" s="94"/>
      <c r="J887" s="94"/>
      <c r="K887" s="94"/>
      <c r="L887" s="94"/>
      <c r="M887" s="94"/>
      <c r="N887" s="94"/>
      <c r="O887" s="94"/>
    </row>
    <row r="888">
      <c r="C888" s="119"/>
      <c r="D888" s="107"/>
      <c r="H888" s="94"/>
      <c r="I888" s="94"/>
      <c r="J888" s="94"/>
      <c r="K888" s="94"/>
      <c r="L888" s="94"/>
      <c r="M888" s="94"/>
      <c r="N888" s="94"/>
      <c r="O888" s="94"/>
    </row>
    <row r="889">
      <c r="C889" s="119"/>
      <c r="D889" s="107"/>
      <c r="H889" s="94"/>
      <c r="I889" s="94"/>
      <c r="J889" s="94"/>
      <c r="K889" s="94"/>
      <c r="L889" s="94"/>
      <c r="M889" s="94"/>
      <c r="N889" s="94"/>
      <c r="O889" s="94"/>
    </row>
    <row r="890">
      <c r="C890" s="119"/>
      <c r="D890" s="107"/>
      <c r="H890" s="94"/>
      <c r="I890" s="94"/>
      <c r="J890" s="94"/>
      <c r="K890" s="94"/>
      <c r="L890" s="94"/>
      <c r="M890" s="94"/>
      <c r="N890" s="94"/>
      <c r="O890" s="94"/>
    </row>
    <row r="891">
      <c r="C891" s="119"/>
      <c r="D891" s="107"/>
      <c r="H891" s="94"/>
      <c r="I891" s="94"/>
      <c r="J891" s="94"/>
      <c r="K891" s="94"/>
      <c r="L891" s="94"/>
      <c r="M891" s="94"/>
      <c r="N891" s="94"/>
      <c r="O891" s="94"/>
    </row>
    <row r="892">
      <c r="C892" s="119"/>
      <c r="D892" s="107"/>
      <c r="H892" s="94"/>
      <c r="I892" s="94"/>
      <c r="J892" s="94"/>
      <c r="K892" s="94"/>
      <c r="L892" s="94"/>
      <c r="M892" s="94"/>
      <c r="N892" s="94"/>
      <c r="O892" s="94"/>
    </row>
    <row r="893">
      <c r="C893" s="119"/>
      <c r="D893" s="107"/>
      <c r="H893" s="94"/>
      <c r="I893" s="94"/>
      <c r="J893" s="94"/>
      <c r="K893" s="94"/>
      <c r="L893" s="94"/>
      <c r="M893" s="94"/>
      <c r="N893" s="94"/>
      <c r="O893" s="94"/>
    </row>
    <row r="894">
      <c r="C894" s="119"/>
      <c r="D894" s="107"/>
      <c r="H894" s="94"/>
      <c r="I894" s="94"/>
      <c r="J894" s="94"/>
      <c r="K894" s="94"/>
      <c r="L894" s="94"/>
      <c r="M894" s="94"/>
      <c r="N894" s="94"/>
      <c r="O894" s="94"/>
    </row>
    <row r="895">
      <c r="C895" s="119"/>
      <c r="D895" s="107"/>
      <c r="H895" s="94"/>
      <c r="I895" s="94"/>
      <c r="J895" s="94"/>
      <c r="K895" s="94"/>
      <c r="L895" s="94"/>
      <c r="M895" s="94"/>
      <c r="N895" s="94"/>
      <c r="O895" s="94"/>
    </row>
    <row r="896">
      <c r="C896" s="119"/>
      <c r="D896" s="107"/>
      <c r="H896" s="94"/>
      <c r="I896" s="94"/>
      <c r="J896" s="94"/>
      <c r="K896" s="94"/>
      <c r="L896" s="94"/>
      <c r="M896" s="94"/>
      <c r="N896" s="94"/>
      <c r="O896" s="94"/>
    </row>
    <row r="897">
      <c r="C897" s="119"/>
      <c r="D897" s="107"/>
      <c r="H897" s="94"/>
      <c r="I897" s="94"/>
      <c r="J897" s="94"/>
      <c r="K897" s="94"/>
      <c r="L897" s="94"/>
      <c r="M897" s="94"/>
      <c r="N897" s="94"/>
      <c r="O897" s="94"/>
    </row>
    <row r="898">
      <c r="C898" s="119"/>
      <c r="D898" s="107"/>
      <c r="H898" s="94"/>
      <c r="I898" s="94"/>
      <c r="J898" s="94"/>
      <c r="K898" s="94"/>
      <c r="L898" s="94"/>
      <c r="M898" s="94"/>
      <c r="N898" s="94"/>
      <c r="O898" s="94"/>
    </row>
    <row r="899">
      <c r="C899" s="119"/>
      <c r="D899" s="107"/>
      <c r="H899" s="94"/>
      <c r="I899" s="94"/>
      <c r="J899" s="94"/>
      <c r="K899" s="94"/>
      <c r="L899" s="94"/>
      <c r="M899" s="94"/>
      <c r="N899" s="94"/>
      <c r="O899" s="94"/>
    </row>
    <row r="900">
      <c r="C900" s="119"/>
      <c r="D900" s="107"/>
      <c r="H900" s="94"/>
      <c r="I900" s="94"/>
      <c r="J900" s="94"/>
      <c r="K900" s="94"/>
      <c r="L900" s="94"/>
      <c r="M900" s="94"/>
      <c r="N900" s="94"/>
      <c r="O900" s="94"/>
    </row>
    <row r="901">
      <c r="C901" s="119"/>
      <c r="D901" s="107"/>
      <c r="H901" s="94"/>
      <c r="I901" s="94"/>
      <c r="J901" s="94"/>
      <c r="K901" s="94"/>
      <c r="L901" s="94"/>
      <c r="M901" s="94"/>
      <c r="N901" s="94"/>
      <c r="O901" s="94"/>
    </row>
    <row r="902">
      <c r="C902" s="119"/>
      <c r="D902" s="107"/>
      <c r="H902" s="94"/>
      <c r="I902" s="94"/>
      <c r="J902" s="94"/>
      <c r="K902" s="94"/>
      <c r="L902" s="94"/>
      <c r="M902" s="94"/>
      <c r="N902" s="94"/>
      <c r="O902" s="94"/>
    </row>
    <row r="903">
      <c r="C903" s="119"/>
      <c r="D903" s="107"/>
      <c r="H903" s="94"/>
      <c r="I903" s="94"/>
      <c r="J903" s="94"/>
      <c r="K903" s="94"/>
      <c r="L903" s="94"/>
      <c r="M903" s="94"/>
      <c r="N903" s="94"/>
      <c r="O903" s="94"/>
    </row>
    <row r="904">
      <c r="C904" s="119"/>
      <c r="D904" s="107"/>
      <c r="H904" s="94"/>
      <c r="I904" s="94"/>
      <c r="J904" s="94"/>
      <c r="K904" s="94"/>
      <c r="L904" s="94"/>
      <c r="M904" s="94"/>
      <c r="N904" s="94"/>
      <c r="O904" s="94"/>
    </row>
    <row r="905">
      <c r="C905" s="119"/>
      <c r="D905" s="107"/>
      <c r="H905" s="94"/>
      <c r="I905" s="94"/>
      <c r="J905" s="94"/>
      <c r="K905" s="94"/>
      <c r="L905" s="94"/>
      <c r="M905" s="94"/>
      <c r="N905" s="94"/>
      <c r="O905" s="94"/>
    </row>
    <row r="906">
      <c r="C906" s="119"/>
      <c r="D906" s="107"/>
      <c r="H906" s="94"/>
      <c r="I906" s="94"/>
      <c r="J906" s="94"/>
      <c r="K906" s="94"/>
      <c r="L906" s="94"/>
      <c r="M906" s="94"/>
      <c r="N906" s="94"/>
      <c r="O906" s="94"/>
    </row>
    <row r="907">
      <c r="C907" s="119"/>
      <c r="D907" s="107"/>
      <c r="H907" s="94"/>
      <c r="I907" s="94"/>
      <c r="J907" s="94"/>
      <c r="K907" s="94"/>
      <c r="L907" s="94"/>
      <c r="M907" s="94"/>
      <c r="N907" s="94"/>
      <c r="O907" s="94"/>
    </row>
    <row r="908">
      <c r="C908" s="119"/>
      <c r="D908" s="107"/>
      <c r="H908" s="94"/>
      <c r="I908" s="94"/>
      <c r="J908" s="94"/>
      <c r="K908" s="94"/>
      <c r="L908" s="94"/>
      <c r="M908" s="94"/>
      <c r="N908" s="94"/>
      <c r="O908" s="94"/>
    </row>
    <row r="909">
      <c r="C909" s="119"/>
      <c r="D909" s="107"/>
      <c r="H909" s="94"/>
      <c r="I909" s="94"/>
      <c r="J909" s="94"/>
      <c r="K909" s="94"/>
      <c r="L909" s="94"/>
      <c r="M909" s="94"/>
      <c r="N909" s="94"/>
      <c r="O909" s="94"/>
    </row>
    <row r="910">
      <c r="C910" s="119"/>
      <c r="D910" s="107"/>
      <c r="H910" s="94"/>
      <c r="I910" s="94"/>
      <c r="J910" s="94"/>
      <c r="K910" s="94"/>
      <c r="L910" s="94"/>
      <c r="M910" s="94"/>
      <c r="N910" s="94"/>
      <c r="O910" s="94"/>
    </row>
    <row r="911">
      <c r="C911" s="119"/>
      <c r="D911" s="107"/>
      <c r="H911" s="94"/>
      <c r="I911" s="94"/>
      <c r="J911" s="94"/>
      <c r="K911" s="94"/>
      <c r="L911" s="94"/>
      <c r="M911" s="94"/>
      <c r="N911" s="94"/>
      <c r="O911" s="94"/>
    </row>
    <row r="912">
      <c r="C912" s="119"/>
      <c r="D912" s="107"/>
      <c r="H912" s="94"/>
      <c r="I912" s="94"/>
      <c r="J912" s="94"/>
      <c r="K912" s="94"/>
      <c r="L912" s="94"/>
      <c r="M912" s="94"/>
      <c r="N912" s="94"/>
      <c r="O912" s="94"/>
    </row>
    <row r="913">
      <c r="C913" s="119"/>
      <c r="D913" s="107"/>
      <c r="H913" s="94"/>
      <c r="I913" s="94"/>
      <c r="J913" s="94"/>
      <c r="K913" s="94"/>
      <c r="L913" s="94"/>
      <c r="M913" s="94"/>
      <c r="N913" s="94"/>
      <c r="O913" s="94"/>
    </row>
    <row r="914">
      <c r="C914" s="119"/>
      <c r="D914" s="107"/>
      <c r="H914" s="94"/>
      <c r="I914" s="94"/>
      <c r="J914" s="94"/>
      <c r="K914" s="94"/>
      <c r="L914" s="94"/>
      <c r="M914" s="94"/>
      <c r="N914" s="94"/>
      <c r="O914" s="94"/>
    </row>
    <row r="915">
      <c r="C915" s="119"/>
      <c r="D915" s="107"/>
      <c r="H915" s="94"/>
      <c r="I915" s="94"/>
      <c r="J915" s="94"/>
      <c r="K915" s="94"/>
      <c r="L915" s="94"/>
      <c r="M915" s="94"/>
      <c r="N915" s="94"/>
      <c r="O915" s="94"/>
    </row>
    <row r="916">
      <c r="C916" s="119"/>
      <c r="D916" s="107"/>
      <c r="H916" s="94"/>
      <c r="I916" s="94"/>
      <c r="J916" s="94"/>
      <c r="K916" s="94"/>
      <c r="L916" s="94"/>
      <c r="M916" s="94"/>
      <c r="N916" s="94"/>
      <c r="O916" s="94"/>
    </row>
    <row r="917">
      <c r="C917" s="119"/>
      <c r="D917" s="107"/>
      <c r="H917" s="94"/>
      <c r="I917" s="94"/>
      <c r="J917" s="94"/>
      <c r="K917" s="94"/>
      <c r="L917" s="94"/>
      <c r="M917" s="94"/>
      <c r="N917" s="94"/>
      <c r="O917" s="94"/>
    </row>
    <row r="918">
      <c r="C918" s="119"/>
      <c r="D918" s="107"/>
      <c r="H918" s="94"/>
      <c r="I918" s="94"/>
      <c r="J918" s="94"/>
      <c r="K918" s="94"/>
      <c r="L918" s="94"/>
      <c r="M918" s="94"/>
      <c r="N918" s="94"/>
      <c r="O918" s="94"/>
    </row>
    <row r="919">
      <c r="C919" s="119"/>
      <c r="D919" s="107"/>
      <c r="H919" s="94"/>
      <c r="I919" s="94"/>
      <c r="J919" s="94"/>
      <c r="K919" s="94"/>
      <c r="L919" s="94"/>
      <c r="M919" s="94"/>
      <c r="N919" s="94"/>
      <c r="O919" s="94"/>
    </row>
    <row r="920">
      <c r="C920" s="119"/>
      <c r="D920" s="107"/>
      <c r="H920" s="94"/>
      <c r="I920" s="94"/>
      <c r="J920" s="94"/>
      <c r="K920" s="94"/>
      <c r="L920" s="94"/>
      <c r="M920" s="94"/>
      <c r="N920" s="94"/>
      <c r="O920" s="94"/>
    </row>
    <row r="921">
      <c r="C921" s="119"/>
      <c r="D921" s="107"/>
      <c r="H921" s="94"/>
      <c r="I921" s="94"/>
      <c r="J921" s="94"/>
      <c r="K921" s="94"/>
      <c r="L921" s="94"/>
      <c r="M921" s="94"/>
      <c r="N921" s="94"/>
      <c r="O921" s="94"/>
    </row>
    <row r="922">
      <c r="C922" s="119"/>
      <c r="D922" s="107"/>
      <c r="H922" s="94"/>
      <c r="I922" s="94"/>
      <c r="J922" s="94"/>
      <c r="K922" s="94"/>
      <c r="L922" s="94"/>
      <c r="M922" s="94"/>
      <c r="N922" s="94"/>
      <c r="O922" s="94"/>
    </row>
    <row r="923">
      <c r="C923" s="119"/>
      <c r="D923" s="107"/>
      <c r="H923" s="94"/>
      <c r="I923" s="94"/>
      <c r="J923" s="94"/>
      <c r="K923" s="94"/>
      <c r="L923" s="94"/>
      <c r="M923" s="94"/>
      <c r="N923" s="94"/>
      <c r="O923" s="94"/>
    </row>
    <row r="924">
      <c r="C924" s="119"/>
      <c r="D924" s="107"/>
      <c r="H924" s="94"/>
      <c r="I924" s="94"/>
      <c r="J924" s="94"/>
      <c r="K924" s="94"/>
      <c r="L924" s="94"/>
      <c r="M924" s="94"/>
      <c r="N924" s="94"/>
      <c r="O924" s="94"/>
    </row>
    <row r="925">
      <c r="C925" s="119"/>
      <c r="D925" s="107"/>
      <c r="H925" s="94"/>
      <c r="I925" s="94"/>
      <c r="J925" s="94"/>
      <c r="K925" s="94"/>
      <c r="L925" s="94"/>
      <c r="M925" s="94"/>
      <c r="N925" s="94"/>
      <c r="O925" s="94"/>
    </row>
    <row r="926">
      <c r="C926" s="119"/>
      <c r="D926" s="107"/>
      <c r="H926" s="94"/>
      <c r="I926" s="94"/>
      <c r="J926" s="94"/>
      <c r="K926" s="94"/>
      <c r="L926" s="94"/>
      <c r="M926" s="94"/>
      <c r="N926" s="94"/>
      <c r="O926" s="94"/>
    </row>
    <row r="927">
      <c r="C927" s="119"/>
      <c r="D927" s="107"/>
      <c r="H927" s="94"/>
      <c r="I927" s="94"/>
      <c r="J927" s="94"/>
      <c r="K927" s="94"/>
      <c r="L927" s="94"/>
      <c r="M927" s="94"/>
      <c r="N927" s="94"/>
      <c r="O927" s="94"/>
    </row>
    <row r="928">
      <c r="C928" s="119"/>
      <c r="D928" s="107"/>
      <c r="H928" s="94"/>
      <c r="I928" s="94"/>
      <c r="J928" s="94"/>
      <c r="K928" s="94"/>
      <c r="L928" s="94"/>
      <c r="M928" s="94"/>
      <c r="N928" s="94"/>
      <c r="O928" s="94"/>
    </row>
    <row r="929">
      <c r="C929" s="119"/>
      <c r="D929" s="107"/>
      <c r="H929" s="94"/>
      <c r="I929" s="94"/>
      <c r="J929" s="94"/>
      <c r="K929" s="94"/>
      <c r="L929" s="94"/>
      <c r="M929" s="94"/>
      <c r="N929" s="94"/>
      <c r="O929" s="94"/>
    </row>
    <row r="930">
      <c r="C930" s="119"/>
      <c r="D930" s="107"/>
      <c r="H930" s="94"/>
      <c r="I930" s="94"/>
      <c r="J930" s="94"/>
      <c r="K930" s="94"/>
      <c r="L930" s="94"/>
      <c r="M930" s="94"/>
      <c r="N930" s="94"/>
      <c r="O930" s="94"/>
    </row>
    <row r="931">
      <c r="C931" s="119"/>
      <c r="D931" s="107"/>
      <c r="H931" s="94"/>
      <c r="I931" s="94"/>
      <c r="J931" s="94"/>
      <c r="K931" s="94"/>
      <c r="L931" s="94"/>
      <c r="M931" s="94"/>
      <c r="N931" s="94"/>
      <c r="O931" s="94"/>
    </row>
    <row r="932">
      <c r="C932" s="119"/>
      <c r="D932" s="107"/>
      <c r="H932" s="94"/>
      <c r="I932" s="94"/>
      <c r="J932" s="94"/>
      <c r="K932" s="94"/>
      <c r="L932" s="94"/>
      <c r="M932" s="94"/>
      <c r="N932" s="94"/>
      <c r="O932" s="94"/>
    </row>
    <row r="933">
      <c r="C933" s="119"/>
      <c r="D933" s="107"/>
      <c r="H933" s="94"/>
      <c r="I933" s="94"/>
      <c r="J933" s="94"/>
      <c r="K933" s="94"/>
      <c r="L933" s="94"/>
      <c r="M933" s="94"/>
      <c r="N933" s="94"/>
      <c r="O933" s="94"/>
    </row>
    <row r="934">
      <c r="C934" s="119"/>
      <c r="D934" s="107"/>
      <c r="H934" s="94"/>
      <c r="I934" s="94"/>
      <c r="J934" s="94"/>
      <c r="K934" s="94"/>
      <c r="L934" s="94"/>
      <c r="M934" s="94"/>
      <c r="N934" s="94"/>
      <c r="O934" s="94"/>
    </row>
    <row r="935">
      <c r="C935" s="119"/>
      <c r="D935" s="107"/>
      <c r="H935" s="94"/>
      <c r="I935" s="94"/>
      <c r="J935" s="94"/>
      <c r="K935" s="94"/>
      <c r="L935" s="94"/>
      <c r="M935" s="94"/>
      <c r="N935" s="94"/>
      <c r="O935" s="94"/>
    </row>
    <row r="936">
      <c r="C936" s="119"/>
      <c r="D936" s="107"/>
      <c r="H936" s="94"/>
      <c r="I936" s="94"/>
      <c r="J936" s="94"/>
      <c r="K936" s="94"/>
      <c r="L936" s="94"/>
      <c r="M936" s="94"/>
      <c r="N936" s="94"/>
      <c r="O936" s="94"/>
    </row>
    <row r="937">
      <c r="C937" s="119"/>
      <c r="D937" s="107"/>
      <c r="H937" s="94"/>
      <c r="I937" s="94"/>
      <c r="J937" s="94"/>
      <c r="K937" s="94"/>
      <c r="L937" s="94"/>
      <c r="M937" s="94"/>
      <c r="N937" s="94"/>
      <c r="O937" s="94"/>
    </row>
    <row r="938">
      <c r="C938" s="119"/>
      <c r="D938" s="107"/>
      <c r="H938" s="94"/>
      <c r="I938" s="94"/>
      <c r="J938" s="94"/>
      <c r="K938" s="94"/>
      <c r="L938" s="94"/>
      <c r="M938" s="94"/>
      <c r="N938" s="94"/>
      <c r="O938" s="94"/>
    </row>
    <row r="939">
      <c r="C939" s="119"/>
      <c r="D939" s="107"/>
      <c r="H939" s="94"/>
      <c r="I939" s="94"/>
      <c r="J939" s="94"/>
      <c r="K939" s="94"/>
      <c r="L939" s="94"/>
      <c r="M939" s="94"/>
      <c r="N939" s="94"/>
      <c r="O939" s="94"/>
    </row>
    <row r="940">
      <c r="C940" s="119"/>
      <c r="D940" s="107"/>
      <c r="H940" s="94"/>
      <c r="I940" s="94"/>
      <c r="J940" s="94"/>
      <c r="K940" s="94"/>
      <c r="L940" s="94"/>
      <c r="M940" s="94"/>
      <c r="N940" s="94"/>
      <c r="O940" s="94"/>
    </row>
    <row r="941">
      <c r="C941" s="119"/>
      <c r="D941" s="107"/>
      <c r="H941" s="94"/>
      <c r="I941" s="94"/>
      <c r="J941" s="94"/>
      <c r="K941" s="94"/>
      <c r="L941" s="94"/>
      <c r="M941" s="94"/>
      <c r="N941" s="94"/>
      <c r="O941" s="94"/>
    </row>
    <row r="942">
      <c r="C942" s="119"/>
      <c r="D942" s="107"/>
      <c r="H942" s="94"/>
      <c r="I942" s="94"/>
      <c r="J942" s="94"/>
      <c r="K942" s="94"/>
      <c r="L942" s="94"/>
      <c r="M942" s="94"/>
      <c r="N942" s="94"/>
      <c r="O942" s="94"/>
    </row>
    <row r="943">
      <c r="C943" s="119"/>
      <c r="D943" s="107"/>
      <c r="H943" s="94"/>
      <c r="I943" s="94"/>
      <c r="J943" s="94"/>
      <c r="K943" s="94"/>
      <c r="L943" s="94"/>
      <c r="M943" s="94"/>
      <c r="N943" s="94"/>
      <c r="O943" s="94"/>
    </row>
    <row r="944">
      <c r="C944" s="119"/>
      <c r="D944" s="107"/>
      <c r="H944" s="94"/>
      <c r="I944" s="94"/>
      <c r="J944" s="94"/>
      <c r="K944" s="94"/>
      <c r="L944" s="94"/>
      <c r="M944" s="94"/>
      <c r="N944" s="94"/>
      <c r="O944" s="94"/>
    </row>
    <row r="945">
      <c r="C945" s="119"/>
      <c r="D945" s="107"/>
      <c r="H945" s="94"/>
      <c r="I945" s="94"/>
      <c r="J945" s="94"/>
      <c r="K945" s="94"/>
      <c r="L945" s="94"/>
      <c r="M945" s="94"/>
      <c r="N945" s="94"/>
      <c r="O945" s="94"/>
    </row>
    <row r="946">
      <c r="C946" s="119"/>
      <c r="D946" s="107"/>
      <c r="H946" s="94"/>
      <c r="I946" s="94"/>
      <c r="J946" s="94"/>
      <c r="K946" s="94"/>
      <c r="L946" s="94"/>
      <c r="M946" s="94"/>
      <c r="N946" s="94"/>
      <c r="O946" s="94"/>
    </row>
    <row r="947">
      <c r="C947" s="119"/>
      <c r="D947" s="107"/>
      <c r="H947" s="94"/>
      <c r="I947" s="94"/>
      <c r="J947" s="94"/>
      <c r="K947" s="94"/>
      <c r="L947" s="94"/>
      <c r="M947" s="94"/>
      <c r="N947" s="94"/>
      <c r="O947" s="94"/>
    </row>
    <row r="948">
      <c r="C948" s="119"/>
      <c r="D948" s="107"/>
      <c r="H948" s="94"/>
      <c r="I948" s="94"/>
      <c r="J948" s="94"/>
      <c r="K948" s="94"/>
      <c r="L948" s="94"/>
      <c r="M948" s="94"/>
      <c r="N948" s="94"/>
      <c r="O948" s="94"/>
    </row>
    <row r="949">
      <c r="C949" s="119"/>
      <c r="D949" s="107"/>
      <c r="H949" s="94"/>
      <c r="I949" s="94"/>
      <c r="J949" s="94"/>
      <c r="K949" s="94"/>
      <c r="L949" s="94"/>
      <c r="M949" s="94"/>
      <c r="N949" s="94"/>
      <c r="O949" s="94"/>
    </row>
    <row r="950">
      <c r="C950" s="119"/>
      <c r="D950" s="107"/>
      <c r="H950" s="94"/>
      <c r="I950" s="94"/>
      <c r="J950" s="94"/>
      <c r="K950" s="94"/>
      <c r="L950" s="94"/>
      <c r="M950" s="94"/>
      <c r="N950" s="94"/>
      <c r="O950" s="94"/>
    </row>
    <row r="951">
      <c r="C951" s="119"/>
      <c r="D951" s="107"/>
      <c r="H951" s="94"/>
      <c r="I951" s="94"/>
      <c r="J951" s="94"/>
      <c r="K951" s="94"/>
      <c r="L951" s="94"/>
      <c r="M951" s="94"/>
      <c r="N951" s="94"/>
      <c r="O951" s="94"/>
    </row>
    <row r="952">
      <c r="C952" s="119"/>
      <c r="D952" s="107"/>
      <c r="H952" s="94"/>
      <c r="I952" s="94"/>
      <c r="J952" s="94"/>
      <c r="K952" s="94"/>
      <c r="L952" s="94"/>
      <c r="M952" s="94"/>
      <c r="N952" s="94"/>
      <c r="O952" s="94"/>
    </row>
    <row r="953">
      <c r="C953" s="119"/>
      <c r="D953" s="107"/>
      <c r="H953" s="94"/>
      <c r="I953" s="94"/>
      <c r="J953" s="94"/>
      <c r="K953" s="94"/>
      <c r="L953" s="94"/>
      <c r="M953" s="94"/>
      <c r="N953" s="94"/>
      <c r="O953" s="94"/>
    </row>
    <row r="954">
      <c r="C954" s="119"/>
      <c r="D954" s="107"/>
      <c r="H954" s="94"/>
      <c r="I954" s="94"/>
      <c r="J954" s="94"/>
      <c r="K954" s="94"/>
      <c r="L954" s="94"/>
      <c r="M954" s="94"/>
      <c r="N954" s="94"/>
      <c r="O954" s="94"/>
    </row>
    <row r="955">
      <c r="C955" s="119"/>
      <c r="D955" s="107"/>
      <c r="H955" s="94"/>
      <c r="I955" s="94"/>
      <c r="J955" s="94"/>
      <c r="K955" s="94"/>
      <c r="L955" s="94"/>
      <c r="M955" s="94"/>
      <c r="N955" s="94"/>
      <c r="O955" s="94"/>
    </row>
    <row r="956">
      <c r="C956" s="119"/>
      <c r="D956" s="107"/>
      <c r="H956" s="94"/>
      <c r="I956" s="94"/>
      <c r="J956" s="94"/>
      <c r="K956" s="94"/>
      <c r="L956" s="94"/>
      <c r="M956" s="94"/>
      <c r="N956" s="94"/>
      <c r="O956" s="94"/>
    </row>
    <row r="957">
      <c r="C957" s="119"/>
      <c r="D957" s="107"/>
      <c r="H957" s="94"/>
      <c r="I957" s="94"/>
      <c r="J957" s="94"/>
      <c r="K957" s="94"/>
      <c r="L957" s="94"/>
      <c r="M957" s="94"/>
      <c r="N957" s="94"/>
      <c r="O957" s="94"/>
    </row>
    <row r="958">
      <c r="C958" s="119"/>
      <c r="D958" s="107"/>
      <c r="H958" s="94"/>
      <c r="I958" s="94"/>
      <c r="J958" s="94"/>
      <c r="K958" s="94"/>
      <c r="L958" s="94"/>
      <c r="M958" s="94"/>
      <c r="N958" s="94"/>
      <c r="O958" s="94"/>
    </row>
    <row r="959">
      <c r="C959" s="119"/>
      <c r="D959" s="107"/>
      <c r="H959" s="94"/>
      <c r="I959" s="94"/>
      <c r="J959" s="94"/>
      <c r="K959" s="94"/>
      <c r="L959" s="94"/>
      <c r="M959" s="94"/>
      <c r="N959" s="94"/>
      <c r="O959" s="94"/>
    </row>
    <row r="960">
      <c r="C960" s="119"/>
      <c r="D960" s="107"/>
      <c r="H960" s="94"/>
      <c r="I960" s="94"/>
      <c r="J960" s="94"/>
      <c r="K960" s="94"/>
      <c r="L960" s="94"/>
      <c r="M960" s="94"/>
      <c r="N960" s="94"/>
      <c r="O960" s="94"/>
    </row>
    <row r="961">
      <c r="C961" s="119"/>
      <c r="D961" s="107"/>
      <c r="H961" s="94"/>
      <c r="I961" s="94"/>
      <c r="J961" s="94"/>
      <c r="K961" s="94"/>
      <c r="L961" s="94"/>
      <c r="M961" s="94"/>
      <c r="N961" s="94"/>
      <c r="O961" s="94"/>
    </row>
    <row r="962">
      <c r="C962" s="119"/>
      <c r="D962" s="107"/>
      <c r="H962" s="94"/>
      <c r="I962" s="94"/>
      <c r="J962" s="94"/>
      <c r="K962" s="94"/>
      <c r="L962" s="94"/>
      <c r="M962" s="94"/>
      <c r="N962" s="94"/>
      <c r="O962" s="94"/>
    </row>
    <row r="963">
      <c r="C963" s="119"/>
      <c r="D963" s="107"/>
      <c r="H963" s="94"/>
      <c r="I963" s="94"/>
      <c r="J963" s="94"/>
      <c r="K963" s="94"/>
      <c r="L963" s="94"/>
      <c r="M963" s="94"/>
      <c r="N963" s="94"/>
      <c r="O963" s="94"/>
    </row>
    <row r="964">
      <c r="C964" s="119"/>
      <c r="D964" s="107"/>
      <c r="H964" s="94"/>
      <c r="I964" s="94"/>
      <c r="J964" s="94"/>
      <c r="K964" s="94"/>
      <c r="L964" s="94"/>
      <c r="M964" s="94"/>
      <c r="N964" s="94"/>
      <c r="O964" s="94"/>
    </row>
    <row r="965">
      <c r="C965" s="119"/>
      <c r="D965" s="107"/>
      <c r="H965" s="94"/>
      <c r="I965" s="94"/>
      <c r="J965" s="94"/>
      <c r="K965" s="94"/>
      <c r="L965" s="94"/>
      <c r="M965" s="94"/>
      <c r="N965" s="94"/>
      <c r="O965" s="94"/>
    </row>
    <row r="966">
      <c r="C966" s="119"/>
      <c r="D966" s="107"/>
      <c r="H966" s="94"/>
      <c r="I966" s="94"/>
      <c r="J966" s="94"/>
      <c r="K966" s="94"/>
      <c r="L966" s="94"/>
      <c r="M966" s="94"/>
      <c r="N966" s="94"/>
      <c r="O966" s="94"/>
    </row>
    <row r="967">
      <c r="C967" s="119"/>
      <c r="D967" s="107"/>
      <c r="H967" s="94"/>
      <c r="I967" s="94"/>
      <c r="J967" s="94"/>
      <c r="K967" s="94"/>
      <c r="L967" s="94"/>
      <c r="M967" s="94"/>
      <c r="N967" s="94"/>
      <c r="O967" s="94"/>
    </row>
    <row r="968">
      <c r="C968" s="119"/>
      <c r="D968" s="107"/>
      <c r="H968" s="94"/>
      <c r="I968" s="94"/>
      <c r="J968" s="94"/>
      <c r="K968" s="94"/>
      <c r="L968" s="94"/>
      <c r="M968" s="94"/>
      <c r="N968" s="94"/>
      <c r="O968" s="94"/>
    </row>
    <row r="969">
      <c r="C969" s="119"/>
      <c r="D969" s="107"/>
      <c r="H969" s="94"/>
      <c r="I969" s="94"/>
      <c r="J969" s="94"/>
      <c r="K969" s="94"/>
      <c r="L969" s="94"/>
      <c r="M969" s="94"/>
      <c r="N969" s="94"/>
      <c r="O969" s="94"/>
    </row>
    <row r="970">
      <c r="C970" s="119"/>
      <c r="D970" s="107"/>
      <c r="H970" s="94"/>
      <c r="I970" s="94"/>
      <c r="J970" s="94"/>
      <c r="K970" s="94"/>
      <c r="L970" s="94"/>
      <c r="M970" s="94"/>
      <c r="N970" s="94"/>
      <c r="O970" s="94"/>
    </row>
    <row r="971">
      <c r="C971" s="119"/>
      <c r="D971" s="107"/>
      <c r="H971" s="94"/>
      <c r="I971" s="94"/>
      <c r="J971" s="94"/>
      <c r="K971" s="94"/>
      <c r="L971" s="94"/>
      <c r="M971" s="94"/>
      <c r="N971" s="94"/>
      <c r="O971" s="94"/>
    </row>
    <row r="972">
      <c r="C972" s="119"/>
      <c r="D972" s="107"/>
      <c r="H972" s="94"/>
      <c r="I972" s="94"/>
      <c r="J972" s="94"/>
      <c r="K972" s="94"/>
      <c r="L972" s="94"/>
      <c r="M972" s="94"/>
      <c r="N972" s="94"/>
      <c r="O972" s="94"/>
    </row>
    <row r="973">
      <c r="C973" s="119"/>
      <c r="D973" s="107"/>
      <c r="H973" s="94"/>
      <c r="I973" s="94"/>
      <c r="J973" s="94"/>
      <c r="K973" s="94"/>
      <c r="L973" s="94"/>
      <c r="M973" s="94"/>
      <c r="N973" s="94"/>
      <c r="O973" s="94"/>
    </row>
    <row r="974">
      <c r="C974" s="119"/>
      <c r="D974" s="107"/>
      <c r="H974" s="94"/>
      <c r="I974" s="94"/>
      <c r="J974" s="94"/>
      <c r="K974" s="94"/>
      <c r="L974" s="94"/>
      <c r="M974" s="94"/>
      <c r="N974" s="94"/>
      <c r="O974" s="94"/>
    </row>
    <row r="975">
      <c r="C975" s="119"/>
      <c r="D975" s="107"/>
      <c r="H975" s="94"/>
      <c r="I975" s="94"/>
      <c r="J975" s="94"/>
      <c r="K975" s="94"/>
      <c r="L975" s="94"/>
      <c r="M975" s="94"/>
      <c r="N975" s="94"/>
      <c r="O975" s="94"/>
    </row>
    <row r="976">
      <c r="C976" s="119"/>
      <c r="D976" s="107"/>
      <c r="H976" s="94"/>
      <c r="I976" s="94"/>
      <c r="J976" s="94"/>
      <c r="K976" s="94"/>
      <c r="L976" s="94"/>
      <c r="M976" s="94"/>
      <c r="N976" s="94"/>
      <c r="O976" s="94"/>
    </row>
    <row r="977">
      <c r="C977" s="119"/>
      <c r="D977" s="107"/>
      <c r="H977" s="94"/>
      <c r="I977" s="94"/>
      <c r="J977" s="94"/>
      <c r="K977" s="94"/>
      <c r="L977" s="94"/>
      <c r="M977" s="94"/>
      <c r="N977" s="94"/>
      <c r="O977" s="94"/>
    </row>
    <row r="978">
      <c r="C978" s="119"/>
      <c r="D978" s="107"/>
      <c r="H978" s="94"/>
      <c r="I978" s="94"/>
      <c r="J978" s="94"/>
      <c r="K978" s="94"/>
      <c r="L978" s="94"/>
      <c r="M978" s="94"/>
      <c r="N978" s="94"/>
      <c r="O978" s="94"/>
    </row>
    <row r="979">
      <c r="C979" s="119"/>
      <c r="D979" s="107"/>
      <c r="H979" s="94"/>
      <c r="I979" s="94"/>
      <c r="J979" s="94"/>
      <c r="K979" s="94"/>
      <c r="L979" s="94"/>
      <c r="M979" s="94"/>
      <c r="N979" s="94"/>
      <c r="O979" s="94"/>
    </row>
    <row r="980">
      <c r="C980" s="119"/>
      <c r="D980" s="107"/>
      <c r="H980" s="94"/>
      <c r="I980" s="94"/>
      <c r="J980" s="94"/>
      <c r="K980" s="94"/>
      <c r="L980" s="94"/>
      <c r="M980" s="94"/>
      <c r="N980" s="94"/>
      <c r="O980" s="94"/>
    </row>
    <row r="981">
      <c r="C981" s="119"/>
      <c r="D981" s="107"/>
      <c r="H981" s="94"/>
      <c r="I981" s="94"/>
      <c r="J981" s="94"/>
      <c r="K981" s="94"/>
      <c r="L981" s="94"/>
      <c r="M981" s="94"/>
      <c r="N981" s="94"/>
      <c r="O981" s="94"/>
    </row>
    <row r="982">
      <c r="C982" s="119"/>
      <c r="D982" s="107"/>
      <c r="H982" s="94"/>
      <c r="I982" s="94"/>
      <c r="J982" s="94"/>
      <c r="K982" s="94"/>
      <c r="L982" s="94"/>
      <c r="M982" s="94"/>
      <c r="N982" s="94"/>
      <c r="O982" s="94"/>
    </row>
    <row r="983">
      <c r="C983" s="119"/>
      <c r="D983" s="107"/>
      <c r="H983" s="94"/>
      <c r="I983" s="94"/>
      <c r="J983" s="94"/>
      <c r="K983" s="94"/>
      <c r="L983" s="94"/>
      <c r="M983" s="94"/>
      <c r="N983" s="94"/>
      <c r="O983" s="94"/>
    </row>
    <row r="984">
      <c r="C984" s="119"/>
      <c r="D984" s="107"/>
      <c r="H984" s="94"/>
      <c r="I984" s="94"/>
      <c r="J984" s="94"/>
      <c r="K984" s="94"/>
      <c r="L984" s="94"/>
      <c r="M984" s="94"/>
      <c r="N984" s="94"/>
      <c r="O984" s="94"/>
    </row>
    <row r="985">
      <c r="C985" s="119"/>
      <c r="D985" s="107"/>
      <c r="H985" s="94"/>
      <c r="I985" s="94"/>
      <c r="J985" s="94"/>
      <c r="K985" s="94"/>
      <c r="L985" s="94"/>
      <c r="M985" s="94"/>
      <c r="N985" s="94"/>
      <c r="O985" s="94"/>
    </row>
    <row r="986">
      <c r="C986" s="119"/>
      <c r="D986" s="107"/>
      <c r="H986" s="94"/>
      <c r="I986" s="94"/>
      <c r="J986" s="94"/>
      <c r="K986" s="94"/>
      <c r="L986" s="94"/>
      <c r="M986" s="94"/>
      <c r="N986" s="94"/>
      <c r="O986" s="94"/>
    </row>
    <row r="987">
      <c r="C987" s="119"/>
      <c r="D987" s="107"/>
      <c r="H987" s="94"/>
      <c r="I987" s="94"/>
      <c r="J987" s="94"/>
      <c r="K987" s="94"/>
      <c r="L987" s="94"/>
      <c r="M987" s="94"/>
      <c r="N987" s="94"/>
      <c r="O987" s="94"/>
    </row>
    <row r="988">
      <c r="C988" s="119"/>
      <c r="D988" s="107"/>
      <c r="H988" s="94"/>
      <c r="I988" s="94"/>
      <c r="J988" s="94"/>
      <c r="K988" s="94"/>
      <c r="L988" s="94"/>
      <c r="M988" s="94"/>
      <c r="N988" s="94"/>
      <c r="O988" s="94"/>
    </row>
    <row r="989">
      <c r="C989" s="119"/>
      <c r="D989" s="107"/>
      <c r="H989" s="94"/>
      <c r="I989" s="94"/>
      <c r="J989" s="94"/>
      <c r="K989" s="94"/>
      <c r="L989" s="94"/>
      <c r="M989" s="94"/>
      <c r="N989" s="94"/>
      <c r="O989" s="94"/>
    </row>
    <row r="990">
      <c r="C990" s="119"/>
      <c r="D990" s="107"/>
      <c r="H990" s="94"/>
      <c r="I990" s="94"/>
      <c r="J990" s="94"/>
      <c r="K990" s="94"/>
      <c r="L990" s="94"/>
      <c r="M990" s="94"/>
      <c r="N990" s="94"/>
      <c r="O990" s="94"/>
    </row>
    <row r="991">
      <c r="C991" s="119"/>
      <c r="D991" s="107"/>
      <c r="H991" s="94"/>
      <c r="I991" s="94"/>
      <c r="J991" s="94"/>
      <c r="K991" s="94"/>
      <c r="L991" s="94"/>
      <c r="M991" s="94"/>
      <c r="N991" s="94"/>
      <c r="O991" s="94"/>
    </row>
    <row r="992">
      <c r="C992" s="119"/>
      <c r="D992" s="107"/>
      <c r="H992" s="94"/>
      <c r="I992" s="94"/>
      <c r="J992" s="94"/>
      <c r="K992" s="94"/>
      <c r="L992" s="94"/>
      <c r="M992" s="94"/>
      <c r="N992" s="94"/>
      <c r="O992" s="94"/>
    </row>
    <row r="993">
      <c r="C993" s="119"/>
      <c r="D993" s="107"/>
      <c r="H993" s="94"/>
      <c r="I993" s="94"/>
      <c r="J993" s="94"/>
      <c r="K993" s="94"/>
      <c r="L993" s="94"/>
      <c r="M993" s="94"/>
      <c r="N993" s="94"/>
      <c r="O993" s="94"/>
    </row>
    <row r="994">
      <c r="C994" s="119"/>
      <c r="D994" s="107"/>
      <c r="H994" s="94"/>
      <c r="I994" s="94"/>
      <c r="J994" s="94"/>
      <c r="K994" s="94"/>
      <c r="L994" s="94"/>
      <c r="M994" s="94"/>
      <c r="N994" s="94"/>
      <c r="O994" s="94"/>
    </row>
    <row r="995">
      <c r="C995" s="119"/>
      <c r="D995" s="107"/>
      <c r="H995" s="94"/>
      <c r="I995" s="94"/>
      <c r="J995" s="94"/>
      <c r="K995" s="94"/>
      <c r="L995" s="94"/>
      <c r="M995" s="94"/>
      <c r="N995" s="94"/>
      <c r="O995" s="94"/>
    </row>
    <row r="996">
      <c r="C996" s="119"/>
      <c r="D996" s="107"/>
      <c r="H996" s="94"/>
      <c r="I996" s="94"/>
      <c r="J996" s="94"/>
      <c r="K996" s="94"/>
      <c r="L996" s="94"/>
      <c r="M996" s="94"/>
      <c r="N996" s="94"/>
      <c r="O996" s="94"/>
    </row>
    <row r="997">
      <c r="C997" s="119"/>
      <c r="D997" s="107"/>
      <c r="H997" s="94"/>
      <c r="I997" s="94"/>
      <c r="J997" s="94"/>
      <c r="K997" s="94"/>
      <c r="L997" s="94"/>
      <c r="M997" s="94"/>
      <c r="N997" s="94"/>
      <c r="O997" s="94"/>
    </row>
    <row r="998">
      <c r="C998" s="119"/>
      <c r="D998" s="107"/>
      <c r="H998" s="94"/>
      <c r="I998" s="94"/>
      <c r="J998" s="94"/>
      <c r="K998" s="94"/>
      <c r="L998" s="94"/>
      <c r="M998" s="94"/>
      <c r="N998" s="94"/>
      <c r="O998" s="94"/>
    </row>
  </sheetData>
  <autoFilter ref="$B$1:$Z$300">
    <sortState ref="B1:Z300">
      <sortCondition ref="C1:C300"/>
    </sortState>
  </autoFilter>
  <mergeCells count="1">
    <mergeCell ref="O1:P1"/>
  </mergeCells>
  <dataValidations>
    <dataValidation type="list" allowBlank="1" showErrorMessage="1" sqref="A2:B8 A9 A10:B12 B13 A14:B285">
      <formula1>ANAGRAFICA!$B$2:$B$506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15.13"/>
    <col customWidth="1" min="2" max="2" width="20.25"/>
    <col customWidth="1" min="3" max="3" width="21.38"/>
    <col customWidth="1" min="4" max="4" width="14.38"/>
    <col customWidth="1" min="5" max="5" width="11.25"/>
    <col customWidth="1" min="6" max="6" width="8.88"/>
    <col customWidth="1" min="7" max="7" width="0.38"/>
    <col customWidth="1" min="8" max="8" width="13.5"/>
    <col customWidth="1" min="9" max="9" width="14.88"/>
    <col customWidth="1" min="10" max="10" width="14.38"/>
    <col customWidth="1" min="11" max="11" width="12.75"/>
    <col customWidth="1" min="12" max="12" width="12.25"/>
    <col customWidth="1" min="13" max="13" width="20.63"/>
    <col customWidth="1" min="14" max="14" width="18.75"/>
    <col customWidth="1" min="15" max="15" width="10.13"/>
    <col customWidth="1" min="16" max="16" width="25.75"/>
  </cols>
  <sheetData>
    <row r="1">
      <c r="A1" s="120" t="s">
        <v>1</v>
      </c>
      <c r="B1" s="121" t="s">
        <v>2</v>
      </c>
      <c r="C1" s="120" t="s">
        <v>3</v>
      </c>
      <c r="D1" s="120" t="s">
        <v>4</v>
      </c>
      <c r="E1" s="120" t="s">
        <v>385</v>
      </c>
      <c r="F1" s="122" t="s">
        <v>6</v>
      </c>
      <c r="G1" s="120" t="s">
        <v>386</v>
      </c>
      <c r="H1" s="120" t="s">
        <v>505</v>
      </c>
      <c r="I1" s="120" t="s">
        <v>387</v>
      </c>
      <c r="J1" s="120" t="s">
        <v>388</v>
      </c>
      <c r="K1" s="120" t="s">
        <v>389</v>
      </c>
      <c r="L1" s="120" t="s">
        <v>390</v>
      </c>
      <c r="M1" s="120" t="s">
        <v>506</v>
      </c>
      <c r="N1" s="120" t="s">
        <v>507</v>
      </c>
      <c r="O1" s="120" t="s">
        <v>508</v>
      </c>
      <c r="P1" s="120" t="s">
        <v>509</v>
      </c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</row>
    <row r="2">
      <c r="A2" s="3">
        <v>2.124019725E9</v>
      </c>
      <c r="B2" s="109" t="str">
        <f>VLOOKUP($A2,ANAGRAFICA!$B$1:$G$306,2,FALSE)</f>
        <v>AMIWO</v>
      </c>
      <c r="C2" s="109" t="str">
        <f>VLOOKUP($A2,ANAGRAFICA!$B$1:$G$306,3,FALSE)</f>
        <v>REX STEVE</v>
      </c>
      <c r="D2" s="109" t="str">
        <f>VLOOKUP($A2,ANAGRAFICA!$B$1:$G$306,4,FALSE)</f>
        <v>758-18</v>
      </c>
      <c r="E2" s="109">
        <f>VLOOKUP($A2,ANAGRAFICA!$B$1:$G$306,5,FALSE)</f>
        <v>3272024084</v>
      </c>
      <c r="F2" s="109">
        <f>VLOOKUP($A2,ANAGRAFICA!$B$1:$G$306,6,FALSE)</f>
        <v>2024</v>
      </c>
      <c r="G2" s="57">
        <v>1.0</v>
      </c>
      <c r="H2" s="57">
        <v>1.0</v>
      </c>
      <c r="I2" s="110">
        <v>45601.0</v>
      </c>
      <c r="J2" s="57" t="s">
        <v>394</v>
      </c>
      <c r="K2" s="110">
        <v>45602.0</v>
      </c>
      <c r="L2" s="57" t="s">
        <v>333</v>
      </c>
      <c r="M2" s="115" t="s">
        <v>510</v>
      </c>
      <c r="N2" s="115" t="s">
        <v>511</v>
      </c>
      <c r="O2" s="57" t="s">
        <v>512</v>
      </c>
      <c r="P2" s="94"/>
    </row>
    <row r="3">
      <c r="A3" s="3">
        <v>2.12401869E9</v>
      </c>
      <c r="B3" s="109" t="str">
        <f>VLOOKUP($A3,ANAGRAFICA!$B$1:$G$306,2,FALSE)</f>
        <v>AVENIDO</v>
      </c>
      <c r="C3" s="109" t="str">
        <f>VLOOKUP($A3,ANAGRAFICA!$B$1:$G$306,3,FALSE)</f>
        <v>DELFIN</v>
      </c>
      <c r="D3" s="109" t="str">
        <f>VLOOKUP($A3,ANAGRAFICA!$B$1:$G$306,4,FALSE)</f>
        <v>758-16</v>
      </c>
      <c r="E3" s="109">
        <f>VLOOKUP($A3,ANAGRAFICA!$B$1:$G$306,5,FALSE)</f>
        <v>3272024082</v>
      </c>
      <c r="F3" s="109">
        <f>VLOOKUP($A3,ANAGRAFICA!$B$1:$G$306,6,FALSE)</f>
        <v>2024</v>
      </c>
      <c r="G3" s="57">
        <v>1.0</v>
      </c>
      <c r="H3" s="57">
        <v>1.0</v>
      </c>
      <c r="I3" s="112">
        <v>45585.0</v>
      </c>
      <c r="J3" s="57" t="s">
        <v>398</v>
      </c>
      <c r="K3" s="112">
        <v>45590.0</v>
      </c>
      <c r="L3" s="57" t="s">
        <v>398</v>
      </c>
      <c r="M3" s="11" t="s">
        <v>510</v>
      </c>
      <c r="N3" s="11" t="s">
        <v>513</v>
      </c>
      <c r="O3" s="57" t="s">
        <v>514</v>
      </c>
      <c r="P3" s="94"/>
    </row>
    <row r="4">
      <c r="A4" s="3">
        <v>2.123023299E9</v>
      </c>
      <c r="B4" s="109" t="str">
        <f>VLOOKUP($A4,ANAGRAFICA!$B$1:$G$306,2,FALSE)</f>
        <v>BEATRICE</v>
      </c>
      <c r="C4" s="109" t="str">
        <f>VLOOKUP($A4,ANAGRAFICA!$B$1:$G$306,3,FALSE)</f>
        <v>GERARDINA</v>
      </c>
      <c r="D4" s="109" t="str">
        <f>VLOOKUP($A4,ANAGRAFICA!$B$1:$G$306,4,FALSE)</f>
        <v/>
      </c>
      <c r="E4" s="109">
        <f>VLOOKUP($A4,ANAGRAFICA!$B$1:$G$306,5,FALSE)</f>
        <v>3272024098</v>
      </c>
      <c r="F4" s="109">
        <f>VLOOKUP($A4,ANAGRAFICA!$B$1:$G$306,6,FALSE)</f>
        <v>2024</v>
      </c>
      <c r="G4" s="57">
        <v>1.0</v>
      </c>
      <c r="H4" s="57">
        <v>1.0</v>
      </c>
      <c r="I4" s="110">
        <v>45292.0</v>
      </c>
      <c r="J4" s="57" t="s">
        <v>399</v>
      </c>
      <c r="K4" s="110">
        <v>45293.0</v>
      </c>
      <c r="L4" s="57" t="s">
        <v>400</v>
      </c>
      <c r="M4" s="115" t="s">
        <v>510</v>
      </c>
      <c r="N4" s="115" t="s">
        <v>511</v>
      </c>
      <c r="O4" s="57" t="s">
        <v>512</v>
      </c>
      <c r="P4" s="94"/>
    </row>
    <row r="5">
      <c r="A5" s="3">
        <v>2.124011236E9</v>
      </c>
      <c r="B5" s="109" t="str">
        <f>VLOOKUP($A5,ANAGRAFICA!$B$1:$G$306,2,FALSE)</f>
        <v>BERETTA</v>
      </c>
      <c r="C5" s="109" t="str">
        <f>VLOOKUP($A5,ANAGRAFICA!$B$1:$G$306,3,FALSE)</f>
        <v>ENZO LUCIANO</v>
      </c>
      <c r="D5" s="109" t="str">
        <f>VLOOKUP($A5,ANAGRAFICA!$B$1:$G$306,4,FALSE)</f>
        <v>758-3</v>
      </c>
      <c r="E5" s="109">
        <f>VLOOKUP($A5,ANAGRAFICA!$B$1:$G$306,5,FALSE)</f>
        <v>3272024069</v>
      </c>
      <c r="F5" s="109">
        <f>VLOOKUP($A5,ANAGRAFICA!$B$1:$G$306,6,FALSE)</f>
        <v>2024</v>
      </c>
      <c r="G5" s="57">
        <v>1.0</v>
      </c>
      <c r="H5" s="57">
        <v>1.0</v>
      </c>
      <c r="I5" s="110">
        <v>45461.0</v>
      </c>
      <c r="J5" s="57" t="s">
        <v>401</v>
      </c>
      <c r="K5" s="110">
        <v>45474.0</v>
      </c>
      <c r="L5" s="57" t="s">
        <v>221</v>
      </c>
      <c r="M5" s="57" t="s">
        <v>510</v>
      </c>
      <c r="N5" s="57" t="s">
        <v>511</v>
      </c>
      <c r="O5" s="57" t="s">
        <v>512</v>
      </c>
      <c r="P5" s="94"/>
    </row>
    <row r="6">
      <c r="A6" s="3">
        <v>2.124009735E9</v>
      </c>
      <c r="B6" s="109" t="str">
        <f>VLOOKUP($A6,ANAGRAFICA!$B$1:$G$306,2,FALSE)</f>
        <v>BOSSI</v>
      </c>
      <c r="C6" s="109" t="str">
        <f>VLOOKUP($A6,ANAGRAFICA!$B$1:$G$306,3,FALSE)</f>
        <v>LUDOVICO</v>
      </c>
      <c r="D6" s="109" t="str">
        <f>VLOOKUP($A6,ANAGRAFICA!$B$1:$G$306,4,FALSE)</f>
        <v>758-1</v>
      </c>
      <c r="E6" s="109">
        <f>VLOOKUP($A6,ANAGRAFICA!$B$1:$G$306,5,FALSE)</f>
        <v>3272024067</v>
      </c>
      <c r="F6" s="109">
        <f>VLOOKUP($A6,ANAGRAFICA!$B$1:$G$306,6,FALSE)</f>
        <v>2024</v>
      </c>
      <c r="G6" s="57">
        <v>1.0</v>
      </c>
      <c r="H6" s="57">
        <v>1.0</v>
      </c>
      <c r="I6" s="110">
        <v>45435.0</v>
      </c>
      <c r="J6" s="57" t="s">
        <v>402</v>
      </c>
      <c r="K6" s="110">
        <v>45440.0</v>
      </c>
      <c r="L6" s="57" t="s">
        <v>403</v>
      </c>
      <c r="M6" s="57" t="s">
        <v>510</v>
      </c>
      <c r="N6" s="57" t="s">
        <v>511</v>
      </c>
      <c r="O6" s="57" t="s">
        <v>512</v>
      </c>
      <c r="P6" s="94"/>
    </row>
    <row r="7">
      <c r="A7" s="3">
        <v>2.124018637E9</v>
      </c>
      <c r="B7" s="109" t="str">
        <f>VLOOKUP($A7,ANAGRAFICA!$B$1:$G$306,2,FALSE)</f>
        <v>CARIBONI</v>
      </c>
      <c r="C7" s="109" t="str">
        <f>VLOOKUP($A7,ANAGRAFICA!$B$1:$G$306,3,FALSE)</f>
        <v>LORENZA</v>
      </c>
      <c r="D7" s="109" t="str">
        <f>VLOOKUP($A7,ANAGRAFICA!$B$1:$G$306,4,FALSE)</f>
        <v>758-15</v>
      </c>
      <c r="E7" s="109">
        <f>VLOOKUP($A7,ANAGRAFICA!$B$1:$G$306,5,FALSE)</f>
        <v>3272024081</v>
      </c>
      <c r="F7" s="109">
        <f>VLOOKUP($A7,ANAGRAFICA!$B$1:$G$306,6,FALSE)</f>
        <v>2024</v>
      </c>
      <c r="G7" s="57">
        <v>1.0</v>
      </c>
      <c r="H7" s="57">
        <v>1.0</v>
      </c>
      <c r="I7" s="112">
        <v>45584.0</v>
      </c>
      <c r="J7" s="57" t="s">
        <v>404</v>
      </c>
      <c r="K7" s="112">
        <v>45585.0</v>
      </c>
      <c r="L7" s="57" t="s">
        <v>405</v>
      </c>
      <c r="M7" s="11" t="s">
        <v>510</v>
      </c>
      <c r="N7" s="115" t="s">
        <v>511</v>
      </c>
      <c r="O7" s="57" t="s">
        <v>512</v>
      </c>
      <c r="P7" s="94"/>
    </row>
    <row r="8">
      <c r="A8" s="3">
        <v>2.124203781E9</v>
      </c>
      <c r="B8" s="109" t="str">
        <f>VLOOKUP($A8,ANAGRAFICA!$B$1:$G$306,2,FALSE)</f>
        <v>CONCA</v>
      </c>
      <c r="C8" s="109" t="str">
        <f>VLOOKUP($A8,ANAGRAFICA!$B$1:$G$306,3,FALSE)</f>
        <v>CAMILLA</v>
      </c>
      <c r="D8" s="109" t="str">
        <f>VLOOKUP($A8,ANAGRAFICA!$B$1:$G$306,4,FALSE)</f>
        <v/>
      </c>
      <c r="E8" s="109">
        <f>VLOOKUP($A8,ANAGRAFICA!$B$1:$G$306,5,FALSE)</f>
        <v>3272024058</v>
      </c>
      <c r="F8" s="109">
        <f>VLOOKUP($A8,ANAGRAFICA!$B$1:$G$306,6,FALSE)</f>
        <v>2024</v>
      </c>
      <c r="G8" s="57">
        <v>1.0</v>
      </c>
      <c r="H8" s="57">
        <v>1.0</v>
      </c>
      <c r="I8" s="110">
        <v>45351.0</v>
      </c>
      <c r="J8" s="57" t="s">
        <v>406</v>
      </c>
      <c r="K8" s="110">
        <v>45352.0</v>
      </c>
      <c r="L8" s="57" t="s">
        <v>28</v>
      </c>
      <c r="M8" s="11" t="s">
        <v>510</v>
      </c>
      <c r="N8" s="115" t="s">
        <v>511</v>
      </c>
      <c r="O8" s="57" t="s">
        <v>512</v>
      </c>
      <c r="P8" s="94"/>
    </row>
    <row r="9">
      <c r="A9" s="3">
        <v>2.124206072E9</v>
      </c>
      <c r="B9" s="109" t="str">
        <f>VLOOKUP($A9,ANAGRAFICA!$B$1:$G$306,2,FALSE)</f>
        <v>CONSONNI</v>
      </c>
      <c r="C9" s="109" t="str">
        <f>VLOOKUP($A9,ANAGRAFICA!$B$1:$G$306,3,FALSE)</f>
        <v>GIULIO</v>
      </c>
      <c r="D9" s="109" t="str">
        <f>VLOOKUP($A9,ANAGRAFICA!$B$1:$G$306,4,FALSE)</f>
        <v/>
      </c>
      <c r="E9" s="109">
        <f>VLOOKUP($A9,ANAGRAFICA!$B$1:$G$306,5,FALSE)</f>
        <v>3272024064</v>
      </c>
      <c r="F9" s="109">
        <f>VLOOKUP($A9,ANAGRAFICA!$B$1:$G$306,6,FALSE)</f>
        <v>2024</v>
      </c>
      <c r="G9" s="57">
        <v>1.0</v>
      </c>
      <c r="H9" s="57">
        <v>1.0</v>
      </c>
      <c r="I9" s="110">
        <v>45409.0</v>
      </c>
      <c r="J9" s="57" t="s">
        <v>407</v>
      </c>
      <c r="K9" s="110">
        <v>45414.0</v>
      </c>
      <c r="L9" s="57" t="s">
        <v>408</v>
      </c>
      <c r="M9" s="57" t="s">
        <v>510</v>
      </c>
      <c r="N9" s="57" t="s">
        <v>511</v>
      </c>
      <c r="O9" s="57" t="s">
        <v>512</v>
      </c>
      <c r="P9" s="94"/>
    </row>
    <row r="10">
      <c r="A10" s="3">
        <v>2.124206072E9</v>
      </c>
      <c r="B10" s="109" t="str">
        <f>VLOOKUP($A10,ANAGRAFICA!$B$1:$G$306,2,FALSE)</f>
        <v>CONSONNI</v>
      </c>
      <c r="C10" s="109" t="str">
        <f>VLOOKUP($A10,ANAGRAFICA!$B$1:$G$306,3,FALSE)</f>
        <v>GIULIO</v>
      </c>
      <c r="D10" s="109" t="str">
        <f>VLOOKUP($A10,ANAGRAFICA!$B$1:$G$306,4,FALSE)</f>
        <v/>
      </c>
      <c r="E10" s="109">
        <f>VLOOKUP($A10,ANAGRAFICA!$B$1:$G$306,5,FALSE)</f>
        <v>3272024064</v>
      </c>
      <c r="F10" s="109">
        <f>VLOOKUP($A10,ANAGRAFICA!$B$1:$G$306,6,FALSE)</f>
        <v>2024</v>
      </c>
      <c r="G10" s="57">
        <v>2.0</v>
      </c>
      <c r="H10" s="57">
        <v>1.0</v>
      </c>
      <c r="I10" s="110">
        <v>45414.0</v>
      </c>
      <c r="J10" s="57" t="s">
        <v>396</v>
      </c>
      <c r="K10" s="110">
        <v>45417.0</v>
      </c>
      <c r="L10" s="57" t="s">
        <v>160</v>
      </c>
      <c r="M10" s="57" t="s">
        <v>510</v>
      </c>
      <c r="N10" s="57" t="s">
        <v>511</v>
      </c>
      <c r="O10" s="57" t="s">
        <v>512</v>
      </c>
      <c r="P10" s="94"/>
    </row>
    <row r="11">
      <c r="A11" s="3">
        <v>2.124211722E9</v>
      </c>
      <c r="B11" s="109" t="str">
        <f>VLOOKUP($A11,ANAGRAFICA!$B$1:$G$306,2,FALSE)</f>
        <v>CORIO</v>
      </c>
      <c r="C11" s="109" t="str">
        <f>VLOOKUP($A11,ANAGRAFICA!$B$1:$G$306,3,FALSE)</f>
        <v>GIOVANNI</v>
      </c>
      <c r="D11" s="109" t="str">
        <f>VLOOKUP($A11,ANAGRAFICA!$B$1:$G$306,4,FALSE)</f>
        <v>758-13</v>
      </c>
      <c r="E11" s="109">
        <f>VLOOKUP($A11,ANAGRAFICA!$B$1:$G$306,5,FALSE)</f>
        <v>3272024079</v>
      </c>
      <c r="F11" s="109">
        <f>VLOOKUP($A11,ANAGRAFICA!$B$1:$G$306,6,FALSE)</f>
        <v>2024</v>
      </c>
      <c r="G11" s="57">
        <v>1.0</v>
      </c>
      <c r="H11" s="57">
        <v>1.0</v>
      </c>
      <c r="I11" s="110">
        <v>45571.0</v>
      </c>
      <c r="J11" s="57" t="s">
        <v>409</v>
      </c>
      <c r="K11" s="112">
        <v>45576.0</v>
      </c>
      <c r="L11" s="57" t="s">
        <v>353</v>
      </c>
      <c r="M11" s="57" t="s">
        <v>510</v>
      </c>
      <c r="N11" s="57" t="s">
        <v>511</v>
      </c>
      <c r="O11" s="57" t="s">
        <v>512</v>
      </c>
      <c r="P11" s="94"/>
    </row>
    <row r="12" hidden="1">
      <c r="A12" s="3">
        <v>2.124018611E9</v>
      </c>
      <c r="B12" s="109" t="str">
        <f>VLOOKUP($A12,ANAGRAFICA!$B$1:$G$306,2,FALSE)</f>
        <v>CURTO</v>
      </c>
      <c r="C12" s="109" t="str">
        <f>VLOOKUP($A12,ANAGRAFICA!$B$1:$G$306,3,FALSE)</f>
        <v>ROBERTO</v>
      </c>
      <c r="D12" s="109" t="str">
        <f>VLOOKUP($A12,ANAGRAFICA!$B$1:$G$306,4,FALSE)</f>
        <v/>
      </c>
      <c r="E12" s="109" t="str">
        <f>VLOOKUP($A12,ANAGRAFICA!$B$1:$G$306,5,FALSE)</f>
        <v/>
      </c>
      <c r="F12" s="109">
        <f>VLOOKUP($A12,ANAGRAFICA!$B$1:$G$306,6,FALSE)</f>
        <v>2024</v>
      </c>
      <c r="G12" s="94"/>
      <c r="H12" s="57">
        <v>1.0</v>
      </c>
      <c r="I12" s="112">
        <v>45583.0</v>
      </c>
      <c r="J12" s="57" t="s">
        <v>515</v>
      </c>
      <c r="K12" s="112">
        <v>45586.0</v>
      </c>
      <c r="L12" s="57" t="s">
        <v>411</v>
      </c>
      <c r="M12" s="94"/>
      <c r="N12" s="94"/>
      <c r="O12" s="94"/>
      <c r="P12" s="94"/>
    </row>
    <row r="13">
      <c r="A13" s="3">
        <v>2.124208629E9</v>
      </c>
      <c r="B13" s="109" t="str">
        <f>VLOOKUP($A13,ANAGRAFICA!$B$1:$G$306,2,FALSE)</f>
        <v>D'ANDREA</v>
      </c>
      <c r="C13" s="109" t="str">
        <f>VLOOKUP($A13,ANAGRAFICA!$B$1:$G$306,3,FALSE)</f>
        <v>FERNANDO ANTONIO</v>
      </c>
      <c r="D13" s="109" t="str">
        <f>VLOOKUP($A13,ANAGRAFICA!$B$1:$G$306,4,FALSE)</f>
        <v>758-5</v>
      </c>
      <c r="E13" s="109">
        <f>VLOOKUP($A13,ANAGRAFICA!$B$1:$G$306,5,FALSE)</f>
        <v>3272024071</v>
      </c>
      <c r="F13" s="109">
        <f>VLOOKUP($A13,ANAGRAFICA!$B$1:$G$306,6,FALSE)</f>
        <v>2024</v>
      </c>
      <c r="G13" s="57">
        <v>1.0</v>
      </c>
      <c r="H13" s="57">
        <v>1.0</v>
      </c>
      <c r="I13" s="110">
        <v>45470.0</v>
      </c>
      <c r="J13" s="57" t="s">
        <v>412</v>
      </c>
      <c r="K13" s="110">
        <v>45475.0</v>
      </c>
      <c r="L13" s="57" t="s">
        <v>221</v>
      </c>
      <c r="M13" s="57" t="s">
        <v>510</v>
      </c>
      <c r="N13" s="57" t="s">
        <v>516</v>
      </c>
      <c r="O13" s="57" t="s">
        <v>516</v>
      </c>
      <c r="P13" s="94"/>
    </row>
    <row r="14">
      <c r="A14" s="3">
        <v>2.124006081E9</v>
      </c>
      <c r="B14" s="109" t="str">
        <f>VLOOKUP($A14,ANAGRAFICA!$B$1:$G$306,2,FALSE)</f>
        <v>DOSSI</v>
      </c>
      <c r="C14" s="109" t="str">
        <f>VLOOKUP($A14,ANAGRAFICA!$B$1:$G$306,3,FALSE)</f>
        <v>MAURIZIO ANTONIO</v>
      </c>
      <c r="D14" s="109" t="str">
        <f>VLOOKUP($A14,ANAGRAFICA!$B$1:$G$306,4,FALSE)</f>
        <v/>
      </c>
      <c r="E14" s="109">
        <f>VLOOKUP($A14,ANAGRAFICA!$B$1:$G$306,5,FALSE)</f>
        <v>3272024062</v>
      </c>
      <c r="F14" s="109">
        <f>VLOOKUP($A14,ANAGRAFICA!$B$1:$G$306,6,FALSE)</f>
        <v>2024</v>
      </c>
      <c r="G14" s="57">
        <v>1.0</v>
      </c>
      <c r="H14" s="57">
        <v>1.0</v>
      </c>
      <c r="I14" s="110">
        <v>45387.0</v>
      </c>
      <c r="J14" s="57" t="s">
        <v>413</v>
      </c>
      <c r="K14" s="110">
        <v>45394.0</v>
      </c>
      <c r="L14" s="57" t="s">
        <v>414</v>
      </c>
      <c r="M14" s="57" t="s">
        <v>510</v>
      </c>
      <c r="N14" s="57" t="s">
        <v>516</v>
      </c>
      <c r="O14" s="57" t="s">
        <v>516</v>
      </c>
      <c r="P14" s="94"/>
    </row>
    <row r="15">
      <c r="A15" s="3">
        <v>2.124025195E9</v>
      </c>
      <c r="B15" s="109" t="str">
        <f>VLOOKUP($A15,ANAGRAFICA!$B$1:$G$306,2,FALSE)</f>
        <v>FAZIO</v>
      </c>
      <c r="C15" s="109" t="str">
        <f>VLOOKUP($A15,ANAGRAFICA!$B$1:$G$306,3,FALSE)</f>
        <v>FRANCESCO ANTONIO</v>
      </c>
      <c r="D15" s="109" t="str">
        <f>VLOOKUP($A15,ANAGRAFICA!$B$1:$G$306,4,FALSE)</f>
        <v>758-21</v>
      </c>
      <c r="E15" s="109">
        <f>VLOOKUP($A15,ANAGRAFICA!$B$1:$G$306,5,FALSE)</f>
        <v>3272024087</v>
      </c>
      <c r="F15" s="109">
        <f>VLOOKUP($A15,ANAGRAFICA!$B$1:$G$306,6,FALSE)</f>
        <v>2024</v>
      </c>
      <c r="G15" s="94"/>
      <c r="H15" s="57">
        <v>1.0</v>
      </c>
      <c r="I15" s="110">
        <v>45631.0</v>
      </c>
      <c r="J15" s="57" t="s">
        <v>415</v>
      </c>
      <c r="K15" s="112">
        <v>45638.0</v>
      </c>
      <c r="L15" s="57" t="s">
        <v>416</v>
      </c>
      <c r="M15" s="57" t="s">
        <v>510</v>
      </c>
      <c r="N15" s="57" t="s">
        <v>516</v>
      </c>
      <c r="O15" s="57" t="s">
        <v>516</v>
      </c>
      <c r="P15" s="94"/>
    </row>
    <row r="16" hidden="1">
      <c r="A16" s="3">
        <v>2.124208975E9</v>
      </c>
      <c r="B16" s="109" t="str">
        <f>VLOOKUP($A16,ANAGRAFICA!$B$1:$G$306,2,FALSE)</f>
        <v>FERRARO</v>
      </c>
      <c r="C16" s="109" t="str">
        <f>VLOOKUP($A16,ANAGRAFICA!$B$1:$G$306,3,FALSE)</f>
        <v>DANIELE</v>
      </c>
      <c r="D16" s="109" t="str">
        <f>VLOOKUP($A16,ANAGRAFICA!$B$1:$G$306,4,FALSE)</f>
        <v/>
      </c>
      <c r="E16" s="109" t="str">
        <f>VLOOKUP($A16,ANAGRAFICA!$B$1:$G$306,5,FALSE)</f>
        <v/>
      </c>
      <c r="F16" s="109">
        <f>VLOOKUP($A16,ANAGRAFICA!$B$1:$G$306,6,FALSE)</f>
        <v>2024</v>
      </c>
      <c r="G16" s="94"/>
      <c r="H16" s="57">
        <v>1.0</v>
      </c>
      <c r="I16" s="110">
        <v>45483.0</v>
      </c>
      <c r="J16" s="57" t="s">
        <v>417</v>
      </c>
      <c r="K16" s="110">
        <v>45486.0</v>
      </c>
      <c r="L16" s="57" t="s">
        <v>418</v>
      </c>
      <c r="M16" s="94"/>
      <c r="N16" s="94"/>
      <c r="O16" s="94"/>
      <c r="P16" s="94"/>
    </row>
    <row r="17">
      <c r="A17" s="3">
        <v>2.124011588E9</v>
      </c>
      <c r="B17" s="109" t="str">
        <f>VLOOKUP($A17,ANAGRAFICA!$B$1:$G$306,2,FALSE)</f>
        <v>FRATINO</v>
      </c>
      <c r="C17" s="109" t="str">
        <f>VLOOKUP($A17,ANAGRAFICA!$B$1:$G$306,3,FALSE)</f>
        <v>OLIVIERO</v>
      </c>
      <c r="D17" s="109" t="str">
        <f>VLOOKUP($A17,ANAGRAFICA!$B$1:$G$306,4,FALSE)</f>
        <v>758-4</v>
      </c>
      <c r="E17" s="109">
        <f>VLOOKUP($A17,ANAGRAFICA!$B$1:$G$306,5,FALSE)</f>
        <v>3272024070</v>
      </c>
      <c r="F17" s="109">
        <f>VLOOKUP($A17,ANAGRAFICA!$B$1:$G$306,6,FALSE)</f>
        <v>2024</v>
      </c>
      <c r="G17" s="57">
        <v>1.0</v>
      </c>
      <c r="H17" s="57">
        <v>1.0</v>
      </c>
      <c r="I17" s="110">
        <v>45462.0</v>
      </c>
      <c r="J17" s="57" t="s">
        <v>71</v>
      </c>
      <c r="K17" s="110">
        <v>45468.0</v>
      </c>
      <c r="L17" s="57" t="s">
        <v>264</v>
      </c>
      <c r="M17" s="57" t="s">
        <v>510</v>
      </c>
      <c r="N17" s="57" t="s">
        <v>516</v>
      </c>
      <c r="O17" s="57" t="s">
        <v>516</v>
      </c>
      <c r="P17" s="94"/>
    </row>
    <row r="18">
      <c r="A18" s="3">
        <v>2.124014461E9</v>
      </c>
      <c r="B18" s="109" t="str">
        <f>VLOOKUP($A18,ANAGRAFICA!$B$1:$G$306,2,FALSE)</f>
        <v>FUMAGALLI</v>
      </c>
      <c r="C18" s="109" t="str">
        <f>VLOOKUP($A18,ANAGRAFICA!$B$1:$G$306,3,FALSE)</f>
        <v>LUCA</v>
      </c>
      <c r="D18" s="109" t="str">
        <f>VLOOKUP($A18,ANAGRAFICA!$B$1:$G$306,4,FALSE)</f>
        <v>758-10</v>
      </c>
      <c r="E18" s="109">
        <f>VLOOKUP($A18,ANAGRAFICA!$B$1:$G$306,5,FALSE)</f>
        <v>3272024076</v>
      </c>
      <c r="F18" s="109">
        <f>VLOOKUP($A18,ANAGRAFICA!$B$1:$G$306,6,FALSE)</f>
        <v>2024</v>
      </c>
      <c r="G18" s="57">
        <v>1.0</v>
      </c>
      <c r="H18" s="57">
        <v>1.0</v>
      </c>
      <c r="I18" s="110">
        <v>45524.0</v>
      </c>
      <c r="J18" s="57" t="s">
        <v>419</v>
      </c>
      <c r="K18" s="110">
        <v>45534.0</v>
      </c>
      <c r="L18" s="57" t="s">
        <v>420</v>
      </c>
      <c r="M18" s="115" t="s">
        <v>510</v>
      </c>
      <c r="N18" s="115" t="s">
        <v>511</v>
      </c>
      <c r="O18" s="57" t="s">
        <v>512</v>
      </c>
      <c r="P18" s="94"/>
    </row>
    <row r="19">
      <c r="A19" s="3">
        <v>2.124008291E9</v>
      </c>
      <c r="B19" s="109" t="str">
        <f>VLOOKUP($A19,ANAGRAFICA!$B$1:$G$306,2,FALSE)</f>
        <v>FUMAGALLI</v>
      </c>
      <c r="C19" s="109" t="str">
        <f>VLOOKUP($A19,ANAGRAFICA!$B$1:$G$306,3,FALSE)</f>
        <v>PIERO</v>
      </c>
      <c r="D19" s="109" t="str">
        <f>VLOOKUP($A19,ANAGRAFICA!$B$1:$G$306,4,FALSE)</f>
        <v/>
      </c>
      <c r="E19" s="109">
        <f>VLOOKUP($A19,ANAGRAFICA!$B$1:$G$306,5,FALSE)</f>
        <v>3272024065</v>
      </c>
      <c r="F19" s="109">
        <f>VLOOKUP($A19,ANAGRAFICA!$B$1:$G$306,6,FALSE)</f>
        <v>2024</v>
      </c>
      <c r="G19" s="57">
        <v>1.0</v>
      </c>
      <c r="H19" s="57">
        <v>1.0</v>
      </c>
      <c r="I19" s="110">
        <v>45414.0</v>
      </c>
      <c r="J19" s="57" t="s">
        <v>221</v>
      </c>
      <c r="K19" s="110">
        <v>45416.0</v>
      </c>
      <c r="L19" s="57" t="s">
        <v>421</v>
      </c>
      <c r="M19" s="57" t="s">
        <v>510</v>
      </c>
      <c r="N19" s="57" t="s">
        <v>511</v>
      </c>
      <c r="O19" s="57" t="s">
        <v>512</v>
      </c>
      <c r="P19" s="94"/>
    </row>
    <row r="20">
      <c r="A20" s="3">
        <v>2.124012915E9</v>
      </c>
      <c r="B20" s="109" t="str">
        <f>VLOOKUP($A20,ANAGRAFICA!$B$1:$G$306,2,FALSE)</f>
        <v>GARGIONI</v>
      </c>
      <c r="C20" s="109" t="str">
        <f>VLOOKUP($A20,ANAGRAFICA!$B$1:$G$306,3,FALSE)</f>
        <v>GIULIO</v>
      </c>
      <c r="D20" s="109" t="str">
        <f>VLOOKUP($A20,ANAGRAFICA!$B$1:$G$306,4,FALSE)</f>
        <v>758-6</v>
      </c>
      <c r="E20" s="109">
        <f>VLOOKUP($A20,ANAGRAFICA!$B$1:$G$306,5,FALSE)</f>
        <v>3272024072</v>
      </c>
      <c r="F20" s="109">
        <f>VLOOKUP($A20,ANAGRAFICA!$B$1:$G$306,6,FALSE)</f>
        <v>2024</v>
      </c>
      <c r="G20" s="57">
        <v>1.0</v>
      </c>
      <c r="H20" s="57">
        <v>1.0</v>
      </c>
      <c r="I20" s="110">
        <v>45485.0</v>
      </c>
      <c r="J20" s="57" t="s">
        <v>422</v>
      </c>
      <c r="K20" s="110">
        <v>45492.0</v>
      </c>
      <c r="L20" s="57" t="s">
        <v>203</v>
      </c>
      <c r="M20" s="57" t="s">
        <v>510</v>
      </c>
      <c r="N20" s="57" t="s">
        <v>516</v>
      </c>
      <c r="O20" s="57" t="s">
        <v>516</v>
      </c>
      <c r="P20" s="94"/>
    </row>
    <row r="21">
      <c r="A21" s="3">
        <v>2.124000241E9</v>
      </c>
      <c r="B21" s="109" t="str">
        <f>VLOOKUP($A21,ANAGRAFICA!$B$1:$G$306,2,FALSE)</f>
        <v>ISELLA</v>
      </c>
      <c r="C21" s="109" t="str">
        <f>VLOOKUP($A21,ANAGRAFICA!$B$1:$G$306,3,FALSE)</f>
        <v>VINCENZO</v>
      </c>
      <c r="D21" s="109" t="str">
        <f>VLOOKUP($A21,ANAGRAFICA!$B$1:$G$306,4,FALSE)</f>
        <v/>
      </c>
      <c r="E21" s="109">
        <f>VLOOKUP($A21,ANAGRAFICA!$B$1:$G$306,5,FALSE)</f>
        <v>3272024052</v>
      </c>
      <c r="F21" s="109">
        <f>VLOOKUP($A21,ANAGRAFICA!$B$1:$G$306,6,FALSE)</f>
        <v>2024</v>
      </c>
      <c r="G21" s="57">
        <v>1.0</v>
      </c>
      <c r="H21" s="57">
        <v>1.0</v>
      </c>
      <c r="I21" s="110">
        <v>45296.0</v>
      </c>
      <c r="J21" s="57" t="s">
        <v>423</v>
      </c>
      <c r="K21" s="110">
        <v>45297.0</v>
      </c>
      <c r="L21" s="57" t="s">
        <v>104</v>
      </c>
      <c r="M21" s="115" t="s">
        <v>510</v>
      </c>
      <c r="N21" s="57" t="s">
        <v>517</v>
      </c>
      <c r="O21" s="57" t="s">
        <v>517</v>
      </c>
      <c r="P21" s="94"/>
    </row>
    <row r="22">
      <c r="A22" s="3">
        <v>2.124000328E9</v>
      </c>
      <c r="B22" s="109" t="str">
        <f>VLOOKUP($A22,ANAGRAFICA!$B$1:$G$306,2,FALSE)</f>
        <v>LAVANGA</v>
      </c>
      <c r="C22" s="109" t="str">
        <f>VLOOKUP($A22,ANAGRAFICA!$B$1:$G$306,3,FALSE)</f>
        <v>DONATO</v>
      </c>
      <c r="D22" s="109" t="str">
        <f>VLOOKUP($A22,ANAGRAFICA!$B$1:$G$306,4,FALSE)</f>
        <v/>
      </c>
      <c r="E22" s="109">
        <f>VLOOKUP($A22,ANAGRAFICA!$B$1:$G$306,5,FALSE)</f>
        <v>3272024053</v>
      </c>
      <c r="F22" s="109">
        <f>VLOOKUP($A22,ANAGRAFICA!$B$1:$G$306,6,FALSE)</f>
        <v>2024</v>
      </c>
      <c r="G22" s="57">
        <v>1.0</v>
      </c>
      <c r="H22" s="57">
        <v>1.0</v>
      </c>
      <c r="I22" s="110">
        <v>45298.0</v>
      </c>
      <c r="J22" s="57" t="s">
        <v>424</v>
      </c>
      <c r="K22" s="110">
        <v>45301.0</v>
      </c>
      <c r="L22" s="57" t="s">
        <v>64</v>
      </c>
      <c r="M22" s="115" t="s">
        <v>510</v>
      </c>
      <c r="N22" s="57" t="s">
        <v>517</v>
      </c>
      <c r="O22" s="57" t="s">
        <v>517</v>
      </c>
      <c r="P22" s="94"/>
    </row>
    <row r="23">
      <c r="A23" s="3">
        <v>2.124008603E9</v>
      </c>
      <c r="B23" s="109" t="str">
        <f>VLOOKUP($A23,ANAGRAFICA!$B$1:$G$306,2,FALSE)</f>
        <v>MARIANI</v>
      </c>
      <c r="C23" s="109" t="str">
        <f>VLOOKUP($A23,ANAGRAFICA!$B$1:$G$306,3,FALSE)</f>
        <v>MARCO</v>
      </c>
      <c r="D23" s="109" t="str">
        <f>VLOOKUP($A23,ANAGRAFICA!$B$1:$G$306,4,FALSE)</f>
        <v/>
      </c>
      <c r="E23" s="109">
        <f>VLOOKUP($A23,ANAGRAFICA!$B$1:$G$306,5,FALSE)</f>
        <v>3272024066</v>
      </c>
      <c r="F23" s="109">
        <f>VLOOKUP($A23,ANAGRAFICA!$B$1:$G$306,6,FALSE)</f>
        <v>2024</v>
      </c>
      <c r="G23" s="57">
        <v>1.0</v>
      </c>
      <c r="H23" s="57">
        <v>2.0</v>
      </c>
      <c r="I23" s="110">
        <v>45425.0</v>
      </c>
      <c r="J23" s="57" t="s">
        <v>426</v>
      </c>
      <c r="K23" s="110">
        <v>45447.0</v>
      </c>
      <c r="L23" s="57" t="s">
        <v>420</v>
      </c>
      <c r="M23" s="57" t="s">
        <v>510</v>
      </c>
      <c r="N23" s="57" t="s">
        <v>513</v>
      </c>
      <c r="O23" s="57" t="s">
        <v>514</v>
      </c>
      <c r="P23" s="94"/>
    </row>
    <row r="24">
      <c r="A24" s="3">
        <v>2.124023603E9</v>
      </c>
      <c r="B24" s="109" t="str">
        <f>VLOOKUP($A24,ANAGRAFICA!$B$1:$G$306,2,FALSE)</f>
        <v>MAZZARDIS </v>
      </c>
      <c r="C24" s="109" t="str">
        <f>VLOOKUP($A24,ANAGRAFICA!$B$1:$G$306,3,FALSE)</f>
        <v>DAVIDE</v>
      </c>
      <c r="D24" s="109" t="str">
        <f>VLOOKUP($A24,ANAGRAFICA!$B$1:$G$306,4,FALSE)</f>
        <v>758-19</v>
      </c>
      <c r="E24" s="109">
        <f>VLOOKUP($A24,ANAGRAFICA!$B$1:$G$306,5,FALSE)</f>
        <v>3272024085</v>
      </c>
      <c r="F24" s="109">
        <f>VLOOKUP($A24,ANAGRAFICA!$B$1:$G$306,6,FALSE)</f>
        <v>2024</v>
      </c>
      <c r="G24" s="57">
        <v>1.0</v>
      </c>
      <c r="H24" s="57">
        <v>1.0</v>
      </c>
      <c r="I24" s="112">
        <v>45622.0</v>
      </c>
      <c r="J24" s="57" t="s">
        <v>428</v>
      </c>
      <c r="K24" s="110">
        <v>45627.0</v>
      </c>
      <c r="L24" s="57" t="s">
        <v>420</v>
      </c>
      <c r="M24" s="57" t="s">
        <v>510</v>
      </c>
      <c r="N24" s="57" t="s">
        <v>513</v>
      </c>
      <c r="O24" s="57" t="s">
        <v>514</v>
      </c>
      <c r="P24" s="94"/>
    </row>
    <row r="25">
      <c r="A25" s="3">
        <v>2.124000149E9</v>
      </c>
      <c r="B25" s="109" t="str">
        <f>VLOOKUP($A25,ANAGRAFICA!$B$1:$G$306,2,FALSE)</f>
        <v>MOTTA</v>
      </c>
      <c r="C25" s="109" t="str">
        <f>VLOOKUP($A25,ANAGRAFICA!$B$1:$G$306,3,FALSE)</f>
        <v>FABIO</v>
      </c>
      <c r="D25" s="109" t="str">
        <f>VLOOKUP($A25,ANAGRAFICA!$B$1:$G$306,4,FALSE)</f>
        <v/>
      </c>
      <c r="E25" s="109">
        <f>VLOOKUP($A25,ANAGRAFICA!$B$1:$G$306,5,FALSE)</f>
        <v>3272024051</v>
      </c>
      <c r="F25" s="109">
        <f>VLOOKUP($A25,ANAGRAFICA!$B$1:$G$306,6,FALSE)</f>
        <v>2024</v>
      </c>
      <c r="G25" s="57">
        <v>1.0</v>
      </c>
      <c r="H25" s="57">
        <v>1.0</v>
      </c>
      <c r="I25" s="110">
        <v>45295.0</v>
      </c>
      <c r="J25" s="57" t="s">
        <v>518</v>
      </c>
      <c r="K25" s="110">
        <v>45299.0</v>
      </c>
      <c r="L25" s="57" t="s">
        <v>519</v>
      </c>
      <c r="M25" s="115" t="s">
        <v>510</v>
      </c>
      <c r="N25" s="115" t="s">
        <v>511</v>
      </c>
      <c r="O25" s="57" t="s">
        <v>512</v>
      </c>
      <c r="P25" s="94"/>
    </row>
    <row r="26">
      <c r="A26" s="3">
        <v>2.124003924E9</v>
      </c>
      <c r="B26" s="109" t="str">
        <f>VLOOKUP($A26,ANAGRAFICA!$B$1:$G$306,2,FALSE)</f>
        <v>MUHAMMAD</v>
      </c>
      <c r="C26" s="109" t="str">
        <f>VLOOKUP($A26,ANAGRAFICA!$B$1:$G$306,3,FALSE)</f>
        <v>SHARIF</v>
      </c>
      <c r="D26" s="109" t="str">
        <f>VLOOKUP($A26,ANAGRAFICA!$B$1:$G$306,4,FALSE)</f>
        <v/>
      </c>
      <c r="E26" s="109">
        <f>VLOOKUP($A26,ANAGRAFICA!$B$1:$G$306,5,FALSE)</f>
        <v>3272024059</v>
      </c>
      <c r="F26" s="109">
        <f>VLOOKUP($A26,ANAGRAFICA!$B$1:$G$306,6,FALSE)</f>
        <v>2024</v>
      </c>
      <c r="G26" s="57">
        <v>1.0</v>
      </c>
      <c r="H26" s="57">
        <v>1.0</v>
      </c>
      <c r="I26" s="110">
        <v>45349.0</v>
      </c>
      <c r="J26" s="57" t="s">
        <v>431</v>
      </c>
      <c r="K26" s="110">
        <v>45350.0</v>
      </c>
      <c r="L26" s="57" t="s">
        <v>432</v>
      </c>
      <c r="M26" s="57" t="s">
        <v>510</v>
      </c>
      <c r="N26" s="57" t="s">
        <v>511</v>
      </c>
      <c r="O26" s="57" t="s">
        <v>512</v>
      </c>
      <c r="P26" s="94"/>
    </row>
    <row r="27">
      <c r="A27" s="3">
        <v>2.1240107E9</v>
      </c>
      <c r="B27" s="109" t="str">
        <f>VLOOKUP($A27,ANAGRAFICA!$B$1:$G$306,2,FALSE)</f>
        <v>ORNAGHI</v>
      </c>
      <c r="C27" s="109" t="str">
        <f>VLOOKUP($A27,ANAGRAFICA!$B$1:$G$306,3,FALSE)</f>
        <v>LORENZO</v>
      </c>
      <c r="D27" s="109" t="str">
        <f>VLOOKUP($A27,ANAGRAFICA!$B$1:$G$306,4,FALSE)</f>
        <v>758-2</v>
      </c>
      <c r="E27" s="109">
        <f>VLOOKUP($A27,ANAGRAFICA!$B$1:$G$306,5,FALSE)</f>
        <v>3272024068</v>
      </c>
      <c r="F27" s="109">
        <f>VLOOKUP($A27,ANAGRAFICA!$B$1:$G$306,6,FALSE)</f>
        <v>2024</v>
      </c>
      <c r="G27" s="57">
        <v>1.0</v>
      </c>
      <c r="H27" s="57">
        <v>1.0</v>
      </c>
      <c r="I27" s="110">
        <v>45448.0</v>
      </c>
      <c r="J27" s="57" t="s">
        <v>433</v>
      </c>
      <c r="K27" s="110">
        <v>45450.0</v>
      </c>
      <c r="L27" s="57" t="s">
        <v>434</v>
      </c>
      <c r="M27" s="57" t="s">
        <v>510</v>
      </c>
      <c r="N27" s="57" t="s">
        <v>511</v>
      </c>
      <c r="O27" s="57" t="s">
        <v>512</v>
      </c>
      <c r="P27" s="94"/>
    </row>
    <row r="28">
      <c r="A28" s="3">
        <v>2.124025878E9</v>
      </c>
      <c r="B28" s="109" t="str">
        <f>VLOOKUP($A28,ANAGRAFICA!$B$1:$G$306,2,FALSE)</f>
        <v>PEDRONI </v>
      </c>
      <c r="C28" s="109" t="str">
        <f>VLOOKUP($A28,ANAGRAFICA!$B$1:$G$306,3,FALSE)</f>
        <v>PIERANGELO</v>
      </c>
      <c r="D28" s="109" t="str">
        <f>VLOOKUP($A28,ANAGRAFICA!$B$1:$G$306,4,FALSE)</f>
        <v>758-22</v>
      </c>
      <c r="E28" s="109">
        <f>VLOOKUP($A28,ANAGRAFICA!$B$1:$G$306,5,FALSE)</f>
        <v>3272024088</v>
      </c>
      <c r="F28" s="109">
        <f>VLOOKUP($A28,ANAGRAFICA!$B$1:$G$306,6,FALSE)</f>
        <v>2024</v>
      </c>
      <c r="G28" s="94"/>
      <c r="H28" s="57">
        <v>1.0</v>
      </c>
      <c r="I28" s="112">
        <v>45636.0</v>
      </c>
      <c r="J28" s="57" t="s">
        <v>318</v>
      </c>
      <c r="K28" s="112">
        <v>45644.0</v>
      </c>
      <c r="L28" s="57" t="s">
        <v>465</v>
      </c>
      <c r="M28" s="57" t="s">
        <v>510</v>
      </c>
      <c r="N28" s="57" t="s">
        <v>513</v>
      </c>
      <c r="O28" s="57" t="s">
        <v>514</v>
      </c>
      <c r="P28" s="57" t="s">
        <v>520</v>
      </c>
    </row>
    <row r="29">
      <c r="A29" s="3">
        <v>2.124025878E9</v>
      </c>
      <c r="B29" s="109" t="str">
        <f>VLOOKUP($A29,ANAGRAFICA!$B$1:$G$306,2,FALSE)</f>
        <v>PEDRONI </v>
      </c>
      <c r="C29" s="109" t="str">
        <f>VLOOKUP($A29,ANAGRAFICA!$B$1:$G$306,3,FALSE)</f>
        <v>PIERANGELO</v>
      </c>
      <c r="D29" s="109" t="str">
        <f>VLOOKUP($A29,ANAGRAFICA!$B$1:$G$306,4,FALSE)</f>
        <v>758-22</v>
      </c>
      <c r="E29" s="109">
        <f>VLOOKUP($A29,ANAGRAFICA!$B$1:$G$306,5,FALSE)</f>
        <v>3272024088</v>
      </c>
      <c r="F29" s="109">
        <f>VLOOKUP($A29,ANAGRAFICA!$B$1:$G$306,6,FALSE)</f>
        <v>2024</v>
      </c>
      <c r="G29" s="94"/>
      <c r="H29" s="57">
        <v>2.0</v>
      </c>
      <c r="I29" s="112">
        <v>45644.0</v>
      </c>
      <c r="J29" s="57" t="s">
        <v>521</v>
      </c>
      <c r="K29" s="112">
        <v>45645.0</v>
      </c>
      <c r="L29" s="57" t="s">
        <v>436</v>
      </c>
      <c r="M29" s="57" t="s">
        <v>510</v>
      </c>
      <c r="N29" s="57" t="s">
        <v>513</v>
      </c>
      <c r="O29" s="57" t="s">
        <v>514</v>
      </c>
      <c r="P29" s="94"/>
    </row>
    <row r="30">
      <c r="A30" s="3">
        <v>2.124014334E9</v>
      </c>
      <c r="B30" s="109" t="str">
        <f>VLOOKUP($A30,ANAGRAFICA!$B$1:$G$306,2,FALSE)</f>
        <v>PONTIGGIA</v>
      </c>
      <c r="C30" s="109" t="str">
        <f>VLOOKUP($A30,ANAGRAFICA!$B$1:$G$306,3,FALSE)</f>
        <v>FLAVIO</v>
      </c>
      <c r="D30" s="109" t="str">
        <f>VLOOKUP($A30,ANAGRAFICA!$B$1:$G$306,4,FALSE)</f>
        <v>758-9</v>
      </c>
      <c r="E30" s="109">
        <f>VLOOKUP($A30,ANAGRAFICA!$B$1:$G$306,5,FALSE)</f>
        <v>3272024075</v>
      </c>
      <c r="F30" s="109">
        <f>VLOOKUP($A30,ANAGRAFICA!$B$1:$G$306,6,FALSE)</f>
        <v>2024</v>
      </c>
      <c r="G30" s="57">
        <v>1.0</v>
      </c>
      <c r="H30" s="57">
        <v>1.0</v>
      </c>
      <c r="I30" s="110">
        <v>45512.0</v>
      </c>
      <c r="J30" s="57" t="s">
        <v>437</v>
      </c>
      <c r="K30" s="110">
        <v>45574.0</v>
      </c>
      <c r="L30" s="57" t="s">
        <v>438</v>
      </c>
      <c r="M30" s="57" t="s">
        <v>510</v>
      </c>
      <c r="N30" s="57" t="s">
        <v>511</v>
      </c>
      <c r="O30" s="57" t="s">
        <v>512</v>
      </c>
      <c r="P30" s="94"/>
    </row>
    <row r="31">
      <c r="A31" s="3">
        <v>2.124003531E9</v>
      </c>
      <c r="B31" s="109" t="str">
        <f>VLOOKUP($A31,ANAGRAFICA!$B$1:$G$306,2,FALSE)</f>
        <v>RASPANTI</v>
      </c>
      <c r="C31" s="109" t="str">
        <f>VLOOKUP($A31,ANAGRAFICA!$B$1:$G$306,3,FALSE)</f>
        <v>ANDREA</v>
      </c>
      <c r="D31" s="109" t="str">
        <f>VLOOKUP($A31,ANAGRAFICA!$B$1:$G$306,4,FALSE)</f>
        <v/>
      </c>
      <c r="E31" s="109">
        <f>VLOOKUP($A31,ANAGRAFICA!$B$1:$G$306,5,FALSE)</f>
        <v>3272024057</v>
      </c>
      <c r="F31" s="109">
        <f>VLOOKUP($A31,ANAGRAFICA!$B$1:$G$306,6,FALSE)</f>
        <v>2024</v>
      </c>
      <c r="G31" s="57">
        <v>1.0</v>
      </c>
      <c r="H31" s="57">
        <v>1.0</v>
      </c>
      <c r="I31" s="110">
        <v>45343.0</v>
      </c>
      <c r="J31" s="57" t="s">
        <v>439</v>
      </c>
      <c r="K31" s="110">
        <v>45351.0</v>
      </c>
      <c r="L31" s="57" t="s">
        <v>28</v>
      </c>
      <c r="M31" s="115" t="s">
        <v>510</v>
      </c>
      <c r="N31" s="57" t="s">
        <v>517</v>
      </c>
      <c r="O31" s="57" t="s">
        <v>517</v>
      </c>
      <c r="P31" s="94"/>
    </row>
    <row r="32">
      <c r="A32" s="3">
        <v>2.124024078E9</v>
      </c>
      <c r="B32" s="109" t="str">
        <f>VLOOKUP($A32,ANAGRAFICA!$B$1:$G$306,2,FALSE)</f>
        <v>ROVARIS</v>
      </c>
      <c r="C32" s="109" t="str">
        <f>VLOOKUP($A32,ANAGRAFICA!$B$1:$G$306,3,FALSE)</f>
        <v>ANGELO FELICE</v>
      </c>
      <c r="D32" s="109" t="str">
        <f>VLOOKUP($A32,ANAGRAFICA!$B$1:$G$306,4,FALSE)</f>
        <v>758-20</v>
      </c>
      <c r="E32" s="109">
        <f>VLOOKUP($A32,ANAGRAFICA!$B$1:$G$306,5,FALSE)</f>
        <v>3272024086</v>
      </c>
      <c r="F32" s="109">
        <f>VLOOKUP($A32,ANAGRAFICA!$B$1:$G$306,6,FALSE)</f>
        <v>2024</v>
      </c>
      <c r="G32" s="57">
        <v>1.0</v>
      </c>
      <c r="H32" s="57">
        <v>1.0</v>
      </c>
      <c r="I32" s="112">
        <v>45625.0</v>
      </c>
      <c r="J32" s="57" t="s">
        <v>441</v>
      </c>
      <c r="K32" s="110">
        <v>45632.0</v>
      </c>
      <c r="L32" s="57" t="s">
        <v>68</v>
      </c>
      <c r="M32" s="57" t="s">
        <v>510</v>
      </c>
      <c r="N32" s="57" t="s">
        <v>513</v>
      </c>
      <c r="O32" s="57" t="s">
        <v>514</v>
      </c>
      <c r="P32" s="94"/>
    </row>
    <row r="33">
      <c r="A33" s="3">
        <v>2.12400578E9</v>
      </c>
      <c r="B33" s="109" t="str">
        <f>VLOOKUP($A33,ANAGRAFICA!$B$1:$G$306,2,FALSE)</f>
        <v>SAINCIUC</v>
      </c>
      <c r="C33" s="109" t="str">
        <f>VLOOKUP($A33,ANAGRAFICA!$B$1:$G$306,3,FALSE)</f>
        <v>AUREL</v>
      </c>
      <c r="D33" s="109" t="str">
        <f>VLOOKUP($A33,ANAGRAFICA!$B$1:$G$306,4,FALSE)</f>
        <v/>
      </c>
      <c r="E33" s="109">
        <f>VLOOKUP($A33,ANAGRAFICA!$B$1:$G$306,5,FALSE)</f>
        <v>3272024061</v>
      </c>
      <c r="F33" s="109">
        <f>VLOOKUP($A33,ANAGRAFICA!$B$1:$G$306,6,FALSE)</f>
        <v>2024</v>
      </c>
      <c r="G33" s="57">
        <v>1.0</v>
      </c>
      <c r="H33" s="57">
        <v>1.0</v>
      </c>
      <c r="I33" s="110">
        <v>45376.0</v>
      </c>
      <c r="J33" s="57" t="s">
        <v>442</v>
      </c>
      <c r="K33" s="110">
        <v>45378.0</v>
      </c>
      <c r="L33" s="57" t="s">
        <v>443</v>
      </c>
      <c r="M33" s="57" t="s">
        <v>510</v>
      </c>
      <c r="N33" s="57" t="s">
        <v>511</v>
      </c>
      <c r="O33" s="57" t="s">
        <v>512</v>
      </c>
      <c r="P33" s="94"/>
    </row>
    <row r="34">
      <c r="A34" s="3">
        <v>2.124017757E9</v>
      </c>
      <c r="B34" s="109" t="str">
        <f>VLOOKUP($A34,ANAGRAFICA!$B$1:$G$306,2,FALSE)</f>
        <v>SALA</v>
      </c>
      <c r="C34" s="109" t="str">
        <f>VLOOKUP($A34,ANAGRAFICA!$B$1:$G$306,3,FALSE)</f>
        <v>FELICE</v>
      </c>
      <c r="D34" s="109" t="str">
        <f>VLOOKUP($A34,ANAGRAFICA!$B$1:$G$306,4,FALSE)</f>
        <v>758-14</v>
      </c>
      <c r="E34" s="109">
        <f>VLOOKUP($A34,ANAGRAFICA!$B$1:$G$306,5,FALSE)</f>
        <v>3272024080</v>
      </c>
      <c r="F34" s="109">
        <f>VLOOKUP($A34,ANAGRAFICA!$B$1:$G$306,6,FALSE)</f>
        <v>2024</v>
      </c>
      <c r="G34" s="57">
        <v>1.0</v>
      </c>
      <c r="H34" s="57">
        <v>1.0</v>
      </c>
      <c r="I34" s="112">
        <v>45572.0</v>
      </c>
      <c r="J34" s="57" t="s">
        <v>444</v>
      </c>
      <c r="K34" s="112">
        <v>45576.0</v>
      </c>
      <c r="L34" s="57" t="s">
        <v>146</v>
      </c>
      <c r="M34" s="11" t="s">
        <v>510</v>
      </c>
      <c r="N34" s="57" t="s">
        <v>522</v>
      </c>
      <c r="O34" s="57" t="s">
        <v>522</v>
      </c>
      <c r="P34" s="94"/>
    </row>
    <row r="35">
      <c r="A35" s="3">
        <v>2.124015827E9</v>
      </c>
      <c r="B35" s="109" t="str">
        <f>VLOOKUP($A35,ANAGRAFICA!$B$1:$G$306,2,FALSE)</f>
        <v>SCHIAVON</v>
      </c>
      <c r="C35" s="109" t="str">
        <f>VLOOKUP($A35,ANAGRAFICA!$B$1:$G$306,3,FALSE)</f>
        <v>ELIO PAOLO</v>
      </c>
      <c r="D35" s="109" t="str">
        <f>VLOOKUP($A35,ANAGRAFICA!$B$1:$G$306,4,FALSE)</f>
        <v>758-11</v>
      </c>
      <c r="E35" s="109">
        <f>VLOOKUP($A35,ANAGRAFICA!$B$1:$G$306,5,FALSE)</f>
        <v>3272024077</v>
      </c>
      <c r="F35" s="109">
        <f>VLOOKUP($A35,ANAGRAFICA!$B$1:$G$306,6,FALSE)</f>
        <v>2024</v>
      </c>
      <c r="G35" s="57">
        <v>1.0</v>
      </c>
      <c r="H35" s="57">
        <v>1.0</v>
      </c>
      <c r="I35" s="110">
        <v>45543.0</v>
      </c>
      <c r="J35" s="57" t="s">
        <v>445</v>
      </c>
      <c r="K35" s="110">
        <v>45547.0</v>
      </c>
      <c r="L35" s="57" t="s">
        <v>87</v>
      </c>
      <c r="M35" s="57" t="s">
        <v>510</v>
      </c>
      <c r="N35" s="57" t="s">
        <v>511</v>
      </c>
      <c r="O35" s="57" t="s">
        <v>512</v>
      </c>
      <c r="P35" s="94"/>
    </row>
    <row r="36">
      <c r="A36" s="3">
        <v>2.124002215E9</v>
      </c>
      <c r="B36" s="109" t="str">
        <f>VLOOKUP($A36,ANAGRAFICA!$B$1:$G$306,2,FALSE)</f>
        <v>SCHIFANO</v>
      </c>
      <c r="C36" s="109" t="str">
        <f>VLOOKUP($A36,ANAGRAFICA!$B$1:$G$306,3,FALSE)</f>
        <v>FRANCESCO</v>
      </c>
      <c r="D36" s="109" t="str">
        <f>VLOOKUP($A36,ANAGRAFICA!$B$1:$G$306,4,FALSE)</f>
        <v/>
      </c>
      <c r="E36" s="109">
        <f>VLOOKUP($A36,ANAGRAFICA!$B$1:$G$306,5,FALSE)</f>
        <v>3272024055</v>
      </c>
      <c r="F36" s="109">
        <f>VLOOKUP($A36,ANAGRAFICA!$B$1:$G$306,6,FALSE)</f>
        <v>2024</v>
      </c>
      <c r="G36" s="57">
        <v>1.0</v>
      </c>
      <c r="H36" s="57">
        <v>1.0</v>
      </c>
      <c r="I36" s="110">
        <v>191422.0</v>
      </c>
      <c r="J36" s="57" t="s">
        <v>146</v>
      </c>
      <c r="K36" s="118">
        <v>45329.0</v>
      </c>
      <c r="L36" s="57" t="s">
        <v>59</v>
      </c>
      <c r="M36" s="115" t="s">
        <v>510</v>
      </c>
      <c r="N36" s="57" t="s">
        <v>517</v>
      </c>
      <c r="O36" s="57" t="s">
        <v>517</v>
      </c>
      <c r="P36" s="94"/>
    </row>
    <row r="37">
      <c r="A37" s="3">
        <v>2.124019184E9</v>
      </c>
      <c r="B37" s="109" t="str">
        <f>VLOOKUP($A37,ANAGRAFICA!$B$1:$G$306,2,FALSE)</f>
        <v>SERVIDIO</v>
      </c>
      <c r="C37" s="109" t="str">
        <f>VLOOKUP($A37,ANAGRAFICA!$B$1:$G$306,3,FALSE)</f>
        <v>GIOVANNI</v>
      </c>
      <c r="D37" s="109" t="str">
        <f>VLOOKUP($A37,ANAGRAFICA!$B$1:$G$306,4,FALSE)</f>
        <v>758-17</v>
      </c>
      <c r="E37" s="109">
        <f>VLOOKUP($A37,ANAGRAFICA!$B$1:$G$306,5,FALSE)</f>
        <v>3272024083</v>
      </c>
      <c r="F37" s="109">
        <f>VLOOKUP($A37,ANAGRAFICA!$B$1:$G$306,6,FALSE)</f>
        <v>2024</v>
      </c>
      <c r="G37" s="57">
        <v>1.0</v>
      </c>
      <c r="H37" s="57">
        <v>1.0</v>
      </c>
      <c r="I37" s="112">
        <v>45594.0</v>
      </c>
      <c r="J37" s="57" t="s">
        <v>176</v>
      </c>
      <c r="K37" s="112">
        <v>45607.0</v>
      </c>
      <c r="L37" s="57" t="s">
        <v>457</v>
      </c>
      <c r="M37" s="11" t="s">
        <v>510</v>
      </c>
      <c r="N37" s="115" t="s">
        <v>511</v>
      </c>
      <c r="O37" s="57" t="s">
        <v>512</v>
      </c>
      <c r="P37" s="94"/>
    </row>
    <row r="38" hidden="1">
      <c r="A38" s="3">
        <v>2.124019184E9</v>
      </c>
      <c r="B38" s="109" t="str">
        <f>VLOOKUP($A38,ANAGRAFICA!$B$1:$G$306,2,FALSE)</f>
        <v>SERVIDIO</v>
      </c>
      <c r="C38" s="109" t="str">
        <f>VLOOKUP($A38,ANAGRAFICA!$B$1:$G$306,3,FALSE)</f>
        <v>GIOVANNI</v>
      </c>
      <c r="D38" s="109" t="str">
        <f>VLOOKUP($A38,ANAGRAFICA!$B$1:$G$306,4,FALSE)</f>
        <v>758-17</v>
      </c>
      <c r="E38" s="109">
        <f>VLOOKUP($A38,ANAGRAFICA!$B$1:$G$306,5,FALSE)</f>
        <v>3272024083</v>
      </c>
      <c r="F38" s="109">
        <f>VLOOKUP($A38,ANAGRAFICA!$B$1:$G$306,6,FALSE)</f>
        <v>2024</v>
      </c>
      <c r="G38" s="57">
        <v>1.0</v>
      </c>
      <c r="H38" s="57">
        <v>2.0</v>
      </c>
      <c r="I38" s="112">
        <v>45607.0</v>
      </c>
      <c r="J38" s="57" t="s">
        <v>457</v>
      </c>
      <c r="K38" s="112">
        <v>45611.0</v>
      </c>
      <c r="L38" s="57" t="s">
        <v>324</v>
      </c>
      <c r="M38" s="11" t="s">
        <v>510</v>
      </c>
      <c r="N38" s="57" t="s">
        <v>523</v>
      </c>
      <c r="O38" s="94"/>
      <c r="P38" s="94"/>
    </row>
    <row r="39">
      <c r="A39" s="3">
        <v>2.124013801E9</v>
      </c>
      <c r="B39" s="109" t="str">
        <f>VLOOKUP($A39,ANAGRAFICA!$B$1:$G$306,2,FALSE)</f>
        <v>SGOBBA</v>
      </c>
      <c r="C39" s="109" t="str">
        <f>VLOOKUP($A39,ANAGRAFICA!$B$1:$G$306,3,FALSE)</f>
        <v>ANNA</v>
      </c>
      <c r="D39" s="109" t="str">
        <f>VLOOKUP($A39,ANAGRAFICA!$B$1:$G$306,4,FALSE)</f>
        <v>758-8</v>
      </c>
      <c r="E39" s="109">
        <f>VLOOKUP($A39,ANAGRAFICA!$B$1:$G$306,5,FALSE)</f>
        <v>3272024074</v>
      </c>
      <c r="F39" s="109">
        <f>VLOOKUP($A39,ANAGRAFICA!$B$1:$G$306,6,FALSE)</f>
        <v>2024</v>
      </c>
      <c r="G39" s="57">
        <v>1.0</v>
      </c>
      <c r="H39" s="57">
        <v>1.0</v>
      </c>
      <c r="I39" s="110">
        <v>45511.0</v>
      </c>
      <c r="J39" s="57" t="s">
        <v>420</v>
      </c>
      <c r="K39" s="110">
        <v>45520.0</v>
      </c>
      <c r="L39" s="57" t="s">
        <v>446</v>
      </c>
      <c r="M39" s="57" t="s">
        <v>510</v>
      </c>
      <c r="N39" s="57" t="s">
        <v>511</v>
      </c>
      <c r="O39" s="57" t="s">
        <v>512</v>
      </c>
      <c r="P39" s="94"/>
    </row>
    <row r="40">
      <c r="A40" s="3">
        <v>2.125000348E9</v>
      </c>
      <c r="B40" s="109" t="str">
        <f>VLOOKUP($A40,ANAGRAFICA!$B$1:$G$306,2,FALSE)</f>
        <v>SLAVKOVA</v>
      </c>
      <c r="C40" s="109" t="str">
        <f>VLOOKUP($A40,ANAGRAFICA!$B$1:$G$306,3,FALSE)</f>
        <v>EVELINA PLAMENOVA</v>
      </c>
      <c r="D40" s="109" t="str">
        <f>VLOOKUP($A40,ANAGRAFICA!$B$1:$G$306,4,FALSE)</f>
        <v/>
      </c>
      <c r="E40" s="109">
        <f>VLOOKUP($A40,ANAGRAFICA!$B$1:$G$306,5,FALSE)</f>
        <v>3272025051</v>
      </c>
      <c r="F40" s="109">
        <f>VLOOKUP($A40,ANAGRAFICA!$B$1:$G$306,6,FALSE)</f>
        <v>2025</v>
      </c>
      <c r="G40" s="94"/>
      <c r="H40" s="57">
        <v>1.0</v>
      </c>
      <c r="I40" s="110">
        <v>45662.0</v>
      </c>
      <c r="J40" s="57" t="s">
        <v>447</v>
      </c>
      <c r="K40" s="110">
        <v>45665.0</v>
      </c>
      <c r="L40" s="57" t="s">
        <v>247</v>
      </c>
      <c r="M40" s="57" t="s">
        <v>510</v>
      </c>
      <c r="N40" s="57" t="s">
        <v>513</v>
      </c>
      <c r="O40" s="57" t="s">
        <v>514</v>
      </c>
      <c r="P40" s="94"/>
    </row>
    <row r="41">
      <c r="A41" s="3">
        <v>2.124012963E9</v>
      </c>
      <c r="B41" s="109" t="str">
        <f>VLOOKUP($A41,ANAGRAFICA!$B$1:$G$306,2,FALSE)</f>
        <v>TARENZI</v>
      </c>
      <c r="C41" s="109" t="str">
        <f>VLOOKUP($A41,ANAGRAFICA!$B$1:$G$306,3,FALSE)</f>
        <v>GIACOMO</v>
      </c>
      <c r="D41" s="109" t="str">
        <f>VLOOKUP($A41,ANAGRAFICA!$B$1:$G$306,4,FALSE)</f>
        <v>758-7</v>
      </c>
      <c r="E41" s="109">
        <f>VLOOKUP($A41,ANAGRAFICA!$B$1:$G$306,5,FALSE)</f>
        <v>3272024073</v>
      </c>
      <c r="F41" s="109">
        <f>VLOOKUP($A41,ANAGRAFICA!$B$1:$G$306,6,FALSE)</f>
        <v>2024</v>
      </c>
      <c r="G41" s="115">
        <v>1.0</v>
      </c>
      <c r="H41" s="11">
        <v>1.0</v>
      </c>
      <c r="I41" s="116">
        <v>45487.0</v>
      </c>
      <c r="J41" s="115" t="s">
        <v>449</v>
      </c>
      <c r="K41" s="116">
        <v>45496.0</v>
      </c>
      <c r="L41" s="115" t="s">
        <v>524</v>
      </c>
      <c r="M41" s="115" t="s">
        <v>510</v>
      </c>
      <c r="N41" s="115" t="s">
        <v>511</v>
      </c>
      <c r="O41" s="115" t="s">
        <v>512</v>
      </c>
      <c r="P41" s="66"/>
    </row>
    <row r="42">
      <c r="A42" s="3">
        <v>2.124012963E9</v>
      </c>
      <c r="B42" s="109" t="str">
        <f>VLOOKUP($A42,ANAGRAFICA!$B$1:$G$306,2,FALSE)</f>
        <v>TARENZI</v>
      </c>
      <c r="C42" s="109" t="str">
        <f>VLOOKUP($A42,ANAGRAFICA!$B$1:$G$306,3,FALSE)</f>
        <v>GIACOMO</v>
      </c>
      <c r="D42" s="109" t="str">
        <f>VLOOKUP($A42,ANAGRAFICA!$B$1:$G$306,4,FALSE)</f>
        <v>758-7</v>
      </c>
      <c r="E42" s="109">
        <f>VLOOKUP($A42,ANAGRAFICA!$B$1:$G$306,5,FALSE)</f>
        <v>3272024073</v>
      </c>
      <c r="F42" s="109">
        <f>VLOOKUP($A42,ANAGRAFICA!$B$1:$G$306,6,FALSE)</f>
        <v>2024</v>
      </c>
      <c r="G42" s="57">
        <v>1.0</v>
      </c>
      <c r="H42" s="57">
        <v>2.0</v>
      </c>
      <c r="I42" s="110">
        <v>45487.0</v>
      </c>
      <c r="J42" s="57" t="s">
        <v>451</v>
      </c>
      <c r="K42" s="110">
        <v>45558.0</v>
      </c>
      <c r="L42" s="57" t="s">
        <v>525</v>
      </c>
      <c r="M42" s="57" t="s">
        <v>510</v>
      </c>
      <c r="N42" s="57" t="s">
        <v>522</v>
      </c>
      <c r="O42" s="57" t="s">
        <v>522</v>
      </c>
      <c r="P42" s="94"/>
    </row>
    <row r="43">
      <c r="A43" s="3">
        <v>2.124007138E9</v>
      </c>
      <c r="B43" s="109" t="str">
        <f>VLOOKUP($A43,ANAGRAFICA!$B$1:$G$306,2,FALSE)</f>
        <v>TARTARELLI</v>
      </c>
      <c r="C43" s="109" t="str">
        <f>VLOOKUP($A43,ANAGRAFICA!$B$1:$G$306,3,FALSE)</f>
        <v>GIUSEPPE</v>
      </c>
      <c r="D43" s="109" t="str">
        <f>VLOOKUP($A43,ANAGRAFICA!$B$1:$G$306,4,FALSE)</f>
        <v/>
      </c>
      <c r="E43" s="109">
        <f>VLOOKUP($A43,ANAGRAFICA!$B$1:$G$306,5,FALSE)</f>
        <v>3272024063</v>
      </c>
      <c r="F43" s="109">
        <f>VLOOKUP($A43,ANAGRAFICA!$B$1:$G$306,6,FALSE)</f>
        <v>2024</v>
      </c>
      <c r="G43" s="57">
        <v>1.0</v>
      </c>
      <c r="H43" s="57">
        <v>1.0</v>
      </c>
      <c r="I43" s="110">
        <v>45395.0</v>
      </c>
      <c r="J43" s="57" t="s">
        <v>526</v>
      </c>
      <c r="K43" s="110">
        <v>45397.0</v>
      </c>
      <c r="L43" s="57" t="s">
        <v>453</v>
      </c>
      <c r="M43" s="57" t="s">
        <v>510</v>
      </c>
      <c r="N43" s="57" t="s">
        <v>511</v>
      </c>
      <c r="O43" s="57" t="s">
        <v>512</v>
      </c>
      <c r="P43" s="94"/>
    </row>
    <row r="44">
      <c r="A44" s="3">
        <v>2.124001121E9</v>
      </c>
      <c r="B44" s="109" t="str">
        <f>VLOOKUP($A44,ANAGRAFICA!$B$1:$G$306,2,FALSE)</f>
        <v>TIEGHI</v>
      </c>
      <c r="C44" s="109" t="str">
        <f>VLOOKUP($A44,ANAGRAFICA!$B$1:$G$306,3,FALSE)</f>
        <v>MASSIMO</v>
      </c>
      <c r="D44" s="109" t="str">
        <f>VLOOKUP($A44,ANAGRAFICA!$B$1:$G$306,4,FALSE)</f>
        <v/>
      </c>
      <c r="E44" s="109">
        <f>VLOOKUP($A44,ANAGRAFICA!$B$1:$G$306,5,FALSE)</f>
        <v>3272024054</v>
      </c>
      <c r="F44" s="109">
        <f>VLOOKUP($A44,ANAGRAFICA!$B$1:$G$306,6,FALSE)</f>
        <v>2024</v>
      </c>
      <c r="G44" s="57">
        <v>1.0</v>
      </c>
      <c r="H44" s="57">
        <v>1.0</v>
      </c>
      <c r="I44" s="110">
        <v>45309.0</v>
      </c>
      <c r="J44" s="57" t="s">
        <v>454</v>
      </c>
      <c r="K44" s="110">
        <v>45310.0</v>
      </c>
      <c r="L44" s="57" t="s">
        <v>446</v>
      </c>
      <c r="M44" s="115" t="s">
        <v>510</v>
      </c>
      <c r="N44" s="57" t="s">
        <v>517</v>
      </c>
      <c r="O44" s="57" t="s">
        <v>517</v>
      </c>
      <c r="P44" s="94"/>
    </row>
    <row r="45">
      <c r="A45" s="3">
        <v>2.124004761E9</v>
      </c>
      <c r="B45" s="109" t="str">
        <f>VLOOKUP($A45,ANAGRAFICA!$B$1:$G$306,2,FALSE)</f>
        <v>TRAMPOLIN</v>
      </c>
      <c r="C45" s="109" t="str">
        <f>VLOOKUP($A45,ANAGRAFICA!$B$1:$G$306,3,FALSE)</f>
        <v>FABIO</v>
      </c>
      <c r="D45" s="109" t="str">
        <f>VLOOKUP($A45,ANAGRAFICA!$B$1:$G$306,4,FALSE)</f>
        <v/>
      </c>
      <c r="E45" s="109">
        <f>VLOOKUP($A45,ANAGRAFICA!$B$1:$G$306,5,FALSE)</f>
        <v>3272024060</v>
      </c>
      <c r="F45" s="109">
        <f>VLOOKUP($A45,ANAGRAFICA!$B$1:$G$306,6,FALSE)</f>
        <v>2024</v>
      </c>
      <c r="G45" s="57">
        <v>1.0</v>
      </c>
      <c r="H45" s="57">
        <v>1.0</v>
      </c>
      <c r="I45" s="110">
        <v>45361.0</v>
      </c>
      <c r="J45" s="57" t="s">
        <v>455</v>
      </c>
      <c r="K45" s="110">
        <v>45363.0</v>
      </c>
      <c r="L45" s="57" t="s">
        <v>456</v>
      </c>
      <c r="M45" s="57" t="s">
        <v>510</v>
      </c>
      <c r="N45" s="57" t="s">
        <v>511</v>
      </c>
      <c r="O45" s="57" t="s">
        <v>512</v>
      </c>
      <c r="P45" s="94"/>
    </row>
    <row r="46">
      <c r="A46" s="3">
        <v>2.124016781E9</v>
      </c>
      <c r="B46" s="109" t="str">
        <f>VLOOKUP($A46,ANAGRAFICA!$B$1:$G$306,2,FALSE)</f>
        <v>TURNO ARTHEMALLE</v>
      </c>
      <c r="C46" s="109" t="str">
        <f>VLOOKUP($A46,ANAGRAFICA!$B$1:$G$306,3,FALSE)</f>
        <v>ALICE</v>
      </c>
      <c r="D46" s="109" t="str">
        <f>VLOOKUP($A46,ANAGRAFICA!$B$1:$G$306,4,FALSE)</f>
        <v>758-12</v>
      </c>
      <c r="E46" s="109">
        <f>VLOOKUP($A46,ANAGRAFICA!$B$1:$G$306,5,FALSE)</f>
        <v>3272024078</v>
      </c>
      <c r="F46" s="109">
        <f>VLOOKUP($A46,ANAGRAFICA!$B$1:$G$306,6,FALSE)</f>
        <v>2024</v>
      </c>
      <c r="G46" s="57">
        <v>1.0</v>
      </c>
      <c r="H46" s="57">
        <v>1.0</v>
      </c>
      <c r="I46" s="110">
        <v>45561.0</v>
      </c>
      <c r="J46" s="57" t="s">
        <v>68</v>
      </c>
      <c r="K46" s="94"/>
      <c r="L46" s="94"/>
      <c r="M46" s="115" t="s">
        <v>510</v>
      </c>
      <c r="N46" s="57" t="s">
        <v>517</v>
      </c>
      <c r="O46" s="57" t="s">
        <v>517</v>
      </c>
      <c r="P46" s="94"/>
    </row>
    <row r="47">
      <c r="A47" s="3">
        <v>2.124202869E9</v>
      </c>
      <c r="B47" s="109" t="str">
        <f>VLOOKUP($A47,ANAGRAFICA!$B$1:$G$306,2,FALSE)</f>
        <v>VALSECCHI</v>
      </c>
      <c r="C47" s="109" t="str">
        <f>VLOOKUP($A47,ANAGRAFICA!$B$1:$G$306,3,FALSE)</f>
        <v>ANDREA</v>
      </c>
      <c r="D47" s="109" t="str">
        <f>VLOOKUP($A47,ANAGRAFICA!$B$1:$G$306,4,FALSE)</f>
        <v/>
      </c>
      <c r="E47" s="109">
        <f>VLOOKUP($A47,ANAGRAFICA!$B$1:$G$306,5,FALSE)</f>
        <v>3272024056</v>
      </c>
      <c r="F47" s="109">
        <f>VLOOKUP($A47,ANAGRAFICA!$B$1:$G$306,6,FALSE)</f>
        <v>2024</v>
      </c>
      <c r="G47" s="57">
        <v>1.0</v>
      </c>
      <c r="H47" s="57">
        <v>1.0</v>
      </c>
      <c r="I47" s="110">
        <v>45336.0</v>
      </c>
      <c r="J47" s="57" t="s">
        <v>458</v>
      </c>
      <c r="K47" s="110">
        <v>45342.0</v>
      </c>
      <c r="L47" s="57" t="s">
        <v>28</v>
      </c>
      <c r="M47" s="115" t="s">
        <v>510</v>
      </c>
      <c r="N47" s="57" t="s">
        <v>517</v>
      </c>
      <c r="O47" s="57" t="s">
        <v>517</v>
      </c>
      <c r="P47" s="94"/>
    </row>
    <row r="48">
      <c r="A48" s="3">
        <v>2.125004454E9</v>
      </c>
      <c r="B48" s="109" t="str">
        <f>VLOOKUP($A48,ANAGRAFICA!$B$1:$G$306,2,FALSE)</f>
        <v>ANTIGNANO</v>
      </c>
      <c r="C48" s="109" t="str">
        <f>VLOOKUP($A48,ANAGRAFICA!$B$1:$G$306,3,FALSE)</f>
        <v>MAURO</v>
      </c>
      <c r="D48" s="109" t="str">
        <f>VLOOKUP($A48,ANAGRAFICA!$B$1:$G$306,4,FALSE)</f>
        <v>758-23</v>
      </c>
      <c r="E48" s="109">
        <f>VLOOKUP($A48,ANAGRAFICA!$B$1:$G$306,5,FALSE)</f>
        <v>3272025052</v>
      </c>
      <c r="F48" s="109">
        <f>VLOOKUP($A48,ANAGRAFICA!$B$1:$G$306,6,FALSE)</f>
        <v>2025</v>
      </c>
      <c r="G48" s="94"/>
      <c r="H48" s="57">
        <v>1.0</v>
      </c>
      <c r="I48" s="110">
        <v>45688.0</v>
      </c>
      <c r="J48" s="57" t="s">
        <v>396</v>
      </c>
      <c r="K48" s="110">
        <v>45688.0</v>
      </c>
      <c r="L48" s="57" t="s">
        <v>397</v>
      </c>
      <c r="M48" s="11" t="s">
        <v>510</v>
      </c>
      <c r="N48" s="57" t="s">
        <v>513</v>
      </c>
      <c r="O48" s="57" t="s">
        <v>514</v>
      </c>
      <c r="P48" s="94"/>
    </row>
    <row r="49">
      <c r="A49" s="3">
        <v>2.125004867E9</v>
      </c>
      <c r="B49" s="109" t="str">
        <f>VLOOKUP($A49,ANAGRAFICA!$B$1:$G$306,2,FALSE)</f>
        <v>MARCONI</v>
      </c>
      <c r="C49" s="109" t="str">
        <f>VLOOKUP($A49,ANAGRAFICA!$B$1:$G$306,3,FALSE)</f>
        <v>PIETRO VITTORIO</v>
      </c>
      <c r="D49" s="109" t="str">
        <f>VLOOKUP($A49,ANAGRAFICA!$B$1:$G$306,4,FALSE)</f>
        <v/>
      </c>
      <c r="E49" s="109">
        <f>VLOOKUP($A49,ANAGRAFICA!$B$1:$G$306,5,FALSE)</f>
        <v>3272025053</v>
      </c>
      <c r="F49" s="109">
        <f>VLOOKUP($A49,ANAGRAFICA!$B$1:$G$306,6,FALSE)</f>
        <v>2025</v>
      </c>
      <c r="G49" s="94"/>
      <c r="H49" s="57">
        <v>1.0</v>
      </c>
      <c r="I49" s="110">
        <v>45691.0</v>
      </c>
      <c r="J49" s="57" t="s">
        <v>423</v>
      </c>
      <c r="K49" s="110">
        <v>45692.0</v>
      </c>
      <c r="L49" s="57" t="s">
        <v>425</v>
      </c>
      <c r="M49" s="115" t="s">
        <v>527</v>
      </c>
      <c r="N49" s="57" t="s">
        <v>523</v>
      </c>
      <c r="O49" s="57" t="s">
        <v>523</v>
      </c>
      <c r="P49" s="94"/>
    </row>
    <row r="50" hidden="1">
      <c r="A50" s="117"/>
      <c r="B50" s="109" t="str">
        <f>VLOOKUP($A50,ANAGRAFICA!$B$1:$G$306,2,FALSE)</f>
        <v>#N/A</v>
      </c>
      <c r="C50" s="109" t="str">
        <f>VLOOKUP($A50,ANAGRAFICA!$B$1:$G$306,3,FALSE)</f>
        <v>#N/A</v>
      </c>
      <c r="D50" s="109" t="str">
        <f>VLOOKUP($A50,ANAGRAFICA!$B$1:$G$306,4,FALSE)</f>
        <v>#N/A</v>
      </c>
      <c r="E50" s="109" t="str">
        <f>VLOOKUP($A50,ANAGRAFICA!$B$1:$G$306,5,FALSE)</f>
        <v>#N/A</v>
      </c>
      <c r="F50" s="109" t="str">
        <f>VLOOKUP($A50,ANAGRAFICA!$B$1:$G$306,6,FALSE)</f>
        <v>#N/A</v>
      </c>
      <c r="G50" s="94"/>
      <c r="H50" s="94"/>
      <c r="I50" s="94"/>
      <c r="J50" s="94"/>
      <c r="K50" s="94"/>
      <c r="L50" s="94"/>
      <c r="M50" s="94"/>
      <c r="N50" s="94"/>
      <c r="O50" s="94"/>
      <c r="P50" s="94"/>
    </row>
    <row r="51" hidden="1">
      <c r="A51" s="117"/>
      <c r="B51" s="109" t="str">
        <f>VLOOKUP($A51,ANAGRAFICA!$B$1:$G$306,2,FALSE)</f>
        <v>#N/A</v>
      </c>
      <c r="C51" s="109" t="str">
        <f>VLOOKUP($A51,ANAGRAFICA!$B$1:$G$306,3,FALSE)</f>
        <v>#N/A</v>
      </c>
      <c r="D51" s="109" t="str">
        <f>VLOOKUP($A51,ANAGRAFICA!$B$1:$G$306,4,FALSE)</f>
        <v>#N/A</v>
      </c>
      <c r="E51" s="109" t="str">
        <f>VLOOKUP($A51,ANAGRAFICA!$B$1:$G$306,5,FALSE)</f>
        <v>#N/A</v>
      </c>
      <c r="F51" s="109" t="str">
        <f>VLOOKUP($A51,ANAGRAFICA!$B$1:$G$306,6,FALSE)</f>
        <v>#N/A</v>
      </c>
      <c r="G51" s="94"/>
      <c r="H51" s="94"/>
      <c r="I51" s="94"/>
      <c r="J51" s="94"/>
      <c r="K51" s="94"/>
      <c r="L51" s="94"/>
      <c r="M51" s="94"/>
      <c r="N51" s="94"/>
      <c r="O51" s="94"/>
      <c r="P51" s="94"/>
    </row>
    <row r="52" hidden="1">
      <c r="A52" s="117"/>
      <c r="B52" s="109" t="str">
        <f>VLOOKUP($A52,ANAGRAFICA!$B$1:$G$306,2,FALSE)</f>
        <v>#N/A</v>
      </c>
      <c r="C52" s="109" t="str">
        <f>VLOOKUP($A52,ANAGRAFICA!$B$1:$G$306,3,FALSE)</f>
        <v>#N/A</v>
      </c>
      <c r="D52" s="109" t="str">
        <f>VLOOKUP($A52,ANAGRAFICA!$B$1:$G$306,4,FALSE)</f>
        <v>#N/A</v>
      </c>
      <c r="E52" s="109" t="str">
        <f>VLOOKUP($A52,ANAGRAFICA!$B$1:$G$306,5,FALSE)</f>
        <v>#N/A</v>
      </c>
      <c r="F52" s="109" t="str">
        <f>VLOOKUP($A52,ANAGRAFICA!$B$1:$G$306,6,FALSE)</f>
        <v>#N/A</v>
      </c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hidden="1">
      <c r="A53" s="117"/>
      <c r="B53" s="109" t="str">
        <f>VLOOKUP($A53,ANAGRAFICA!$B$1:$G$306,2,FALSE)</f>
        <v>#N/A</v>
      </c>
      <c r="C53" s="109" t="str">
        <f>VLOOKUP($A53,ANAGRAFICA!$B$1:$G$306,3,FALSE)</f>
        <v>#N/A</v>
      </c>
      <c r="D53" s="109" t="str">
        <f>VLOOKUP($A53,ANAGRAFICA!$B$1:$G$306,4,FALSE)</f>
        <v>#N/A</v>
      </c>
      <c r="E53" s="109" t="str">
        <f>VLOOKUP($A53,ANAGRAFICA!$B$1:$G$306,5,FALSE)</f>
        <v>#N/A</v>
      </c>
      <c r="F53" s="109" t="str">
        <f>VLOOKUP($A53,ANAGRAFICA!$B$1:$G$306,6,FALSE)</f>
        <v>#N/A</v>
      </c>
      <c r="G53" s="94"/>
      <c r="H53" s="94"/>
      <c r="I53" s="94"/>
      <c r="J53" s="94"/>
      <c r="K53" s="94"/>
      <c r="L53" s="94"/>
      <c r="M53" s="94"/>
      <c r="N53" s="94"/>
      <c r="O53" s="94"/>
      <c r="P53" s="94"/>
    </row>
    <row r="54" hidden="1">
      <c r="A54" s="117"/>
      <c r="B54" s="109" t="str">
        <f>VLOOKUP($A54,ANAGRAFICA!$B$1:$G$306,2,FALSE)</f>
        <v>#N/A</v>
      </c>
      <c r="C54" s="109" t="str">
        <f>VLOOKUP($A54,ANAGRAFICA!$B$1:$G$306,3,FALSE)</f>
        <v>#N/A</v>
      </c>
      <c r="D54" s="109" t="str">
        <f>VLOOKUP($A54,ANAGRAFICA!$B$1:$G$306,4,FALSE)</f>
        <v>#N/A</v>
      </c>
      <c r="E54" s="109" t="str">
        <f>VLOOKUP($A54,ANAGRAFICA!$B$1:$G$306,5,FALSE)</f>
        <v>#N/A</v>
      </c>
      <c r="F54" s="109" t="str">
        <f>VLOOKUP($A54,ANAGRAFICA!$B$1:$G$306,6,FALSE)</f>
        <v>#N/A</v>
      </c>
      <c r="G54" s="94"/>
      <c r="H54" s="94"/>
      <c r="I54" s="94"/>
      <c r="J54" s="94"/>
      <c r="K54" s="94"/>
      <c r="L54" s="94"/>
      <c r="M54" s="94"/>
      <c r="N54" s="94"/>
      <c r="O54" s="94"/>
      <c r="P54" s="94"/>
    </row>
    <row r="55" hidden="1">
      <c r="A55" s="117"/>
      <c r="B55" s="109" t="str">
        <f>VLOOKUP($A55,ANAGRAFICA!$B$1:$G$306,2,FALSE)</f>
        <v>#N/A</v>
      </c>
      <c r="C55" s="109" t="str">
        <f>VLOOKUP($A55,ANAGRAFICA!$B$1:$G$306,3,FALSE)</f>
        <v>#N/A</v>
      </c>
      <c r="D55" s="109" t="str">
        <f>VLOOKUP($A55,ANAGRAFICA!$B$1:$G$306,4,FALSE)</f>
        <v>#N/A</v>
      </c>
      <c r="E55" s="109" t="str">
        <f>VLOOKUP($A55,ANAGRAFICA!$B$1:$G$306,5,FALSE)</f>
        <v>#N/A</v>
      </c>
      <c r="F55" s="109" t="str">
        <f>VLOOKUP($A55,ANAGRAFICA!$B$1:$G$306,6,FALSE)</f>
        <v>#N/A</v>
      </c>
      <c r="G55" s="94"/>
      <c r="H55" s="94"/>
      <c r="I55" s="94"/>
      <c r="J55" s="94"/>
      <c r="K55" s="94"/>
      <c r="L55" s="94"/>
      <c r="M55" s="94"/>
      <c r="N55" s="94"/>
      <c r="O55" s="94"/>
      <c r="P55" s="94"/>
    </row>
    <row r="56" hidden="1">
      <c r="A56" s="117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G56" s="94"/>
      <c r="H56" s="94"/>
      <c r="I56" s="94"/>
      <c r="J56" s="94"/>
      <c r="K56" s="94"/>
      <c r="L56" s="94"/>
      <c r="M56" s="94"/>
      <c r="N56" s="94"/>
      <c r="O56" s="94"/>
      <c r="P56" s="94"/>
    </row>
    <row r="57" hidden="1">
      <c r="A57" s="117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G57" s="94"/>
      <c r="H57" s="94"/>
      <c r="I57" s="94"/>
      <c r="J57" s="94"/>
      <c r="K57" s="94"/>
      <c r="L57" s="94"/>
      <c r="M57" s="94"/>
      <c r="N57" s="94"/>
      <c r="O57" s="94"/>
      <c r="P57" s="94"/>
    </row>
    <row r="58" hidden="1">
      <c r="A58" s="117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G58" s="94"/>
      <c r="H58" s="94"/>
      <c r="I58" s="94"/>
      <c r="J58" s="94"/>
      <c r="K58" s="94"/>
      <c r="L58" s="94"/>
      <c r="M58" s="94"/>
      <c r="N58" s="94"/>
      <c r="O58" s="94"/>
      <c r="P58" s="94"/>
    </row>
    <row r="59" hidden="1">
      <c r="A59" s="117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G59" s="94"/>
      <c r="H59" s="94"/>
      <c r="I59" s="94"/>
      <c r="J59" s="94"/>
      <c r="K59" s="94"/>
      <c r="L59" s="94"/>
      <c r="M59" s="94"/>
      <c r="N59" s="94"/>
      <c r="O59" s="94"/>
      <c r="P59" s="94"/>
    </row>
    <row r="60" hidden="1">
      <c r="A60" s="117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G60" s="94"/>
      <c r="H60" s="94"/>
      <c r="I60" s="94"/>
      <c r="J60" s="94"/>
      <c r="K60" s="94"/>
      <c r="L60" s="94"/>
      <c r="M60" s="94"/>
      <c r="N60" s="94"/>
      <c r="O60" s="94"/>
      <c r="P60" s="94"/>
    </row>
    <row r="61" hidden="1">
      <c r="A61" s="117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G61" s="94"/>
      <c r="H61" s="94"/>
      <c r="I61" s="94"/>
      <c r="J61" s="94"/>
      <c r="K61" s="94"/>
      <c r="L61" s="94"/>
      <c r="M61" s="94"/>
      <c r="N61" s="94"/>
      <c r="O61" s="94"/>
      <c r="P61" s="94"/>
    </row>
    <row r="62" hidden="1">
      <c r="A62" s="117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G62" s="94"/>
      <c r="H62" s="94"/>
      <c r="I62" s="94"/>
      <c r="J62" s="94"/>
      <c r="K62" s="94"/>
      <c r="L62" s="94"/>
      <c r="M62" s="94"/>
      <c r="N62" s="94"/>
      <c r="O62" s="94"/>
      <c r="P62" s="94"/>
    </row>
    <row r="63" hidden="1">
      <c r="A63" s="117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G63" s="94"/>
      <c r="H63" s="94"/>
      <c r="I63" s="94"/>
      <c r="J63" s="94"/>
      <c r="K63" s="94"/>
      <c r="L63" s="94"/>
      <c r="M63" s="94"/>
      <c r="N63" s="94"/>
      <c r="O63" s="94"/>
      <c r="P63" s="94"/>
    </row>
    <row r="64" hidden="1">
      <c r="A64" s="117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G64" s="94"/>
      <c r="H64" s="94"/>
      <c r="I64" s="94"/>
      <c r="J64" s="94"/>
      <c r="K64" s="94"/>
      <c r="L64" s="94"/>
      <c r="M64" s="94"/>
      <c r="N64" s="94"/>
      <c r="O64" s="94"/>
      <c r="P64" s="94"/>
    </row>
    <row r="65" hidden="1">
      <c r="A65" s="117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G65" s="94"/>
      <c r="H65" s="94"/>
      <c r="I65" s="94"/>
      <c r="J65" s="94"/>
      <c r="K65" s="94"/>
      <c r="L65" s="94"/>
      <c r="M65" s="94"/>
      <c r="N65" s="94"/>
      <c r="O65" s="94"/>
      <c r="P65" s="94"/>
    </row>
    <row r="66" hidden="1">
      <c r="A66" s="117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G66" s="94"/>
      <c r="H66" s="94"/>
      <c r="I66" s="94"/>
      <c r="J66" s="94"/>
      <c r="K66" s="94"/>
      <c r="L66" s="94"/>
      <c r="M66" s="94"/>
      <c r="N66" s="94"/>
      <c r="O66" s="94"/>
      <c r="P66" s="94"/>
    </row>
    <row r="67" hidden="1">
      <c r="A67" s="117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G67" s="94"/>
      <c r="H67" s="94"/>
      <c r="I67" s="94"/>
      <c r="J67" s="94"/>
      <c r="K67" s="94"/>
      <c r="L67" s="94"/>
      <c r="M67" s="94"/>
      <c r="N67" s="94"/>
      <c r="O67" s="94"/>
      <c r="P67" s="94"/>
    </row>
    <row r="68" hidden="1">
      <c r="A68" s="117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G68" s="94"/>
      <c r="H68" s="94"/>
      <c r="I68" s="94"/>
      <c r="J68" s="94"/>
      <c r="K68" s="94"/>
      <c r="L68" s="94"/>
      <c r="M68" s="94"/>
      <c r="N68" s="94"/>
      <c r="O68" s="94"/>
      <c r="P68" s="94"/>
    </row>
    <row r="69" hidden="1">
      <c r="A69" s="117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G69" s="94"/>
      <c r="H69" s="94"/>
      <c r="I69" s="94"/>
      <c r="J69" s="94"/>
      <c r="K69" s="94"/>
      <c r="L69" s="94"/>
      <c r="M69" s="94"/>
      <c r="N69" s="94"/>
      <c r="O69" s="94"/>
      <c r="P69" s="94"/>
    </row>
    <row r="70" hidden="1">
      <c r="A70" s="117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G70" s="94"/>
      <c r="H70" s="94"/>
      <c r="I70" s="94"/>
      <c r="J70" s="94"/>
      <c r="K70" s="94"/>
      <c r="L70" s="94"/>
      <c r="M70" s="94"/>
      <c r="N70" s="94"/>
      <c r="O70" s="94"/>
      <c r="P70" s="94"/>
    </row>
    <row r="71" hidden="1">
      <c r="A71" s="117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G71" s="94"/>
      <c r="H71" s="94"/>
      <c r="I71" s="94"/>
      <c r="J71" s="94"/>
      <c r="K71" s="94"/>
      <c r="L71" s="94"/>
      <c r="M71" s="94"/>
      <c r="N71" s="94"/>
      <c r="O71" s="94"/>
      <c r="P71" s="94"/>
    </row>
    <row r="72" hidden="1">
      <c r="A72" s="117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94"/>
      <c r="H72" s="94"/>
      <c r="I72" s="94"/>
      <c r="J72" s="94"/>
      <c r="K72" s="94"/>
      <c r="L72" s="94"/>
      <c r="M72" s="94"/>
      <c r="N72" s="94"/>
      <c r="O72" s="94"/>
      <c r="P72" s="94"/>
    </row>
    <row r="73" hidden="1">
      <c r="A73" s="117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94"/>
      <c r="H73" s="94"/>
      <c r="I73" s="94"/>
      <c r="J73" s="94"/>
      <c r="K73" s="94"/>
      <c r="L73" s="94"/>
      <c r="M73" s="94"/>
      <c r="N73" s="94"/>
      <c r="O73" s="94"/>
      <c r="P73" s="94"/>
    </row>
    <row r="74" hidden="1">
      <c r="A74" s="117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94"/>
      <c r="H74" s="94"/>
      <c r="I74" s="94"/>
      <c r="J74" s="94"/>
      <c r="K74" s="94"/>
      <c r="L74" s="94"/>
      <c r="M74" s="94"/>
      <c r="N74" s="94"/>
      <c r="O74" s="94"/>
      <c r="P74" s="94"/>
    </row>
    <row r="75" hidden="1">
      <c r="A75" s="117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94"/>
      <c r="H75" s="94"/>
      <c r="I75" s="94"/>
      <c r="J75" s="94"/>
      <c r="K75" s="94"/>
      <c r="L75" s="94"/>
      <c r="M75" s="94"/>
      <c r="N75" s="94"/>
      <c r="O75" s="94"/>
      <c r="P75" s="94"/>
    </row>
    <row r="76" hidden="1">
      <c r="A76" s="117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94"/>
      <c r="H76" s="94"/>
      <c r="I76" s="94"/>
      <c r="J76" s="94"/>
      <c r="K76" s="94"/>
      <c r="L76" s="94"/>
      <c r="M76" s="94"/>
      <c r="N76" s="94"/>
      <c r="O76" s="94"/>
      <c r="P76" s="94"/>
    </row>
    <row r="77" hidden="1">
      <c r="A77" s="117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94"/>
      <c r="H77" s="94"/>
      <c r="I77" s="94"/>
      <c r="J77" s="94"/>
      <c r="K77" s="94"/>
      <c r="L77" s="94"/>
      <c r="M77" s="94"/>
      <c r="N77" s="94"/>
      <c r="O77" s="94"/>
      <c r="P77" s="94"/>
    </row>
    <row r="78" hidden="1">
      <c r="A78" s="117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94"/>
      <c r="H78" s="94"/>
      <c r="I78" s="94"/>
      <c r="J78" s="94"/>
      <c r="K78" s="94"/>
      <c r="L78" s="94"/>
      <c r="M78" s="94"/>
      <c r="N78" s="94"/>
      <c r="O78" s="94"/>
      <c r="P78" s="94"/>
    </row>
    <row r="79" hidden="1">
      <c r="A79" s="117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94"/>
      <c r="H79" s="94"/>
      <c r="I79" s="94"/>
      <c r="J79" s="94"/>
      <c r="K79" s="94"/>
      <c r="L79" s="94"/>
      <c r="M79" s="94"/>
      <c r="N79" s="94"/>
      <c r="O79" s="94"/>
      <c r="P79" s="94"/>
    </row>
    <row r="80" hidden="1">
      <c r="A80" s="117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94"/>
      <c r="H80" s="94"/>
      <c r="I80" s="94"/>
      <c r="J80" s="94"/>
      <c r="K80" s="94"/>
      <c r="L80" s="94"/>
      <c r="M80" s="94"/>
      <c r="N80" s="94"/>
      <c r="O80" s="94"/>
      <c r="P80" s="94"/>
    </row>
    <row r="81" hidden="1">
      <c r="A81" s="117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94"/>
      <c r="H81" s="94"/>
      <c r="I81" s="94"/>
      <c r="J81" s="94"/>
      <c r="K81" s="94"/>
      <c r="L81" s="94"/>
      <c r="M81" s="94"/>
      <c r="N81" s="94"/>
      <c r="O81" s="94"/>
      <c r="P81" s="94"/>
    </row>
    <row r="82" hidden="1">
      <c r="A82" s="117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94"/>
      <c r="H82" s="94"/>
      <c r="I82" s="94"/>
      <c r="J82" s="94"/>
      <c r="K82" s="94"/>
      <c r="L82" s="94"/>
      <c r="M82" s="94"/>
      <c r="N82" s="94"/>
      <c r="O82" s="94"/>
      <c r="P82" s="94"/>
    </row>
    <row r="83" hidden="1">
      <c r="A83" s="117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94"/>
      <c r="H83" s="94"/>
      <c r="I83" s="94"/>
      <c r="J83" s="94"/>
      <c r="K83" s="94"/>
      <c r="L83" s="94"/>
      <c r="M83" s="94"/>
      <c r="N83" s="94"/>
      <c r="O83" s="94"/>
      <c r="P83" s="94"/>
    </row>
    <row r="84" hidden="1">
      <c r="A84" s="117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94"/>
      <c r="H84" s="94"/>
      <c r="I84" s="94"/>
      <c r="J84" s="94"/>
      <c r="K84" s="94"/>
      <c r="L84" s="94"/>
      <c r="M84" s="94"/>
      <c r="N84" s="94"/>
      <c r="O84" s="94"/>
      <c r="P84" s="94"/>
    </row>
    <row r="85" hidden="1">
      <c r="A85" s="117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94"/>
      <c r="H85" s="94"/>
      <c r="I85" s="94"/>
      <c r="J85" s="94"/>
      <c r="K85" s="94"/>
      <c r="L85" s="94"/>
      <c r="M85" s="94"/>
      <c r="N85" s="94"/>
      <c r="O85" s="94"/>
      <c r="P85" s="94"/>
    </row>
    <row r="86" hidden="1">
      <c r="A86" s="117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</row>
    <row r="87" hidden="1">
      <c r="A87" s="117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94"/>
      <c r="H87" s="94"/>
      <c r="I87" s="94"/>
      <c r="J87" s="94"/>
      <c r="K87" s="94"/>
      <c r="L87" s="94"/>
      <c r="M87" s="94"/>
      <c r="N87" s="94"/>
      <c r="O87" s="94"/>
      <c r="P87" s="94"/>
    </row>
    <row r="88" hidden="1">
      <c r="A88" s="117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94"/>
      <c r="H88" s="94"/>
      <c r="I88" s="94"/>
      <c r="J88" s="94"/>
      <c r="K88" s="94"/>
      <c r="L88" s="94"/>
      <c r="M88" s="94"/>
      <c r="N88" s="94"/>
      <c r="O88" s="94"/>
      <c r="P88" s="94"/>
    </row>
    <row r="89" hidden="1">
      <c r="A89" s="117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94"/>
      <c r="H89" s="94"/>
      <c r="I89" s="94"/>
      <c r="J89" s="94"/>
      <c r="K89" s="94"/>
      <c r="L89" s="94"/>
      <c r="M89" s="94"/>
      <c r="N89" s="94"/>
      <c r="O89" s="94"/>
      <c r="P89" s="94"/>
    </row>
    <row r="90" hidden="1">
      <c r="A90" s="117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94"/>
      <c r="H90" s="94"/>
      <c r="I90" s="94"/>
      <c r="J90" s="94"/>
      <c r="K90" s="94"/>
      <c r="L90" s="94"/>
      <c r="M90" s="94"/>
      <c r="N90" s="94"/>
      <c r="O90" s="94"/>
      <c r="P90" s="94"/>
    </row>
    <row r="91" hidden="1">
      <c r="A91" s="117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94"/>
      <c r="H91" s="94"/>
      <c r="I91" s="94"/>
      <c r="J91" s="94"/>
      <c r="K91" s="94"/>
      <c r="L91" s="94"/>
      <c r="M91" s="94"/>
      <c r="N91" s="94"/>
      <c r="O91" s="94"/>
      <c r="P91" s="94"/>
    </row>
    <row r="92" hidden="1">
      <c r="A92" s="117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94"/>
      <c r="H92" s="94"/>
      <c r="I92" s="94"/>
      <c r="J92" s="94"/>
      <c r="K92" s="94"/>
      <c r="L92" s="94"/>
      <c r="M92" s="94"/>
      <c r="N92" s="94"/>
      <c r="O92" s="94"/>
      <c r="P92" s="94"/>
    </row>
    <row r="93" hidden="1">
      <c r="A93" s="117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94"/>
      <c r="H93" s="94"/>
      <c r="I93" s="94"/>
      <c r="J93" s="94"/>
      <c r="K93" s="94"/>
      <c r="L93" s="94"/>
      <c r="M93" s="94"/>
      <c r="N93" s="94"/>
      <c r="O93" s="94"/>
      <c r="P93" s="94"/>
    </row>
    <row r="94" hidden="1">
      <c r="A94" s="117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94"/>
      <c r="H94" s="94"/>
      <c r="I94" s="94"/>
      <c r="J94" s="94"/>
      <c r="K94" s="94"/>
      <c r="L94" s="94"/>
      <c r="M94" s="94"/>
      <c r="N94" s="94"/>
      <c r="O94" s="94"/>
      <c r="P94" s="94"/>
    </row>
    <row r="95" hidden="1">
      <c r="A95" s="117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94"/>
      <c r="H95" s="94"/>
      <c r="I95" s="94"/>
      <c r="J95" s="94"/>
      <c r="K95" s="94"/>
      <c r="L95" s="94"/>
      <c r="M95" s="94"/>
      <c r="N95" s="94"/>
      <c r="O95" s="94"/>
      <c r="P95" s="94"/>
    </row>
    <row r="96" hidden="1">
      <c r="A96" s="117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94"/>
      <c r="H96" s="94"/>
      <c r="I96" s="94"/>
      <c r="J96" s="94"/>
      <c r="K96" s="94"/>
      <c r="L96" s="94"/>
      <c r="M96" s="94"/>
      <c r="N96" s="94"/>
      <c r="O96" s="94"/>
      <c r="P96" s="94"/>
    </row>
    <row r="97" hidden="1">
      <c r="A97" s="117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94"/>
      <c r="H97" s="94"/>
      <c r="I97" s="94"/>
      <c r="J97" s="94"/>
      <c r="K97" s="94"/>
      <c r="L97" s="94"/>
      <c r="M97" s="94"/>
      <c r="N97" s="94"/>
      <c r="O97" s="94"/>
      <c r="P97" s="94"/>
    </row>
    <row r="98" hidden="1">
      <c r="A98" s="117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94"/>
      <c r="H98" s="94"/>
      <c r="I98" s="94"/>
      <c r="J98" s="94"/>
      <c r="K98" s="94"/>
      <c r="L98" s="94"/>
      <c r="M98" s="94"/>
      <c r="N98" s="94"/>
      <c r="O98" s="94"/>
      <c r="P98" s="94"/>
    </row>
    <row r="99" hidden="1">
      <c r="A99" s="117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</row>
    <row r="100" hidden="1">
      <c r="A100" s="117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94"/>
      <c r="H100" s="94"/>
      <c r="I100" s="94"/>
      <c r="J100" s="94"/>
      <c r="K100" s="94"/>
      <c r="L100" s="94"/>
      <c r="M100" s="94"/>
      <c r="N100" s="94"/>
      <c r="O100" s="94"/>
      <c r="P100" s="94"/>
    </row>
    <row r="101" hidden="1">
      <c r="A101" s="117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94"/>
      <c r="H101" s="94"/>
      <c r="I101" s="94"/>
      <c r="J101" s="94"/>
      <c r="K101" s="94"/>
      <c r="L101" s="94"/>
      <c r="M101" s="94"/>
      <c r="N101" s="94"/>
      <c r="O101" s="94"/>
      <c r="P101" s="94"/>
    </row>
    <row r="102" hidden="1">
      <c r="A102" s="117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94"/>
      <c r="H102" s="94"/>
      <c r="I102" s="94"/>
      <c r="J102" s="94"/>
      <c r="K102" s="94"/>
      <c r="L102" s="94"/>
      <c r="M102" s="94"/>
      <c r="N102" s="94"/>
      <c r="O102" s="94"/>
      <c r="P102" s="94"/>
    </row>
    <row r="103" hidden="1">
      <c r="A103" s="117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94"/>
      <c r="H103" s="94"/>
      <c r="I103" s="94"/>
      <c r="J103" s="94"/>
      <c r="K103" s="94"/>
      <c r="L103" s="94"/>
      <c r="M103" s="94"/>
      <c r="N103" s="94"/>
      <c r="O103" s="94"/>
      <c r="P103" s="94"/>
    </row>
    <row r="104" hidden="1">
      <c r="A104" s="117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94"/>
      <c r="H104" s="94"/>
      <c r="I104" s="94"/>
      <c r="J104" s="94"/>
      <c r="K104" s="94"/>
      <c r="L104" s="94"/>
      <c r="M104" s="94"/>
      <c r="N104" s="94"/>
      <c r="O104" s="94"/>
      <c r="P104" s="94"/>
    </row>
    <row r="105" hidden="1">
      <c r="A105" s="117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94"/>
      <c r="H105" s="94"/>
      <c r="I105" s="94"/>
      <c r="J105" s="94"/>
      <c r="K105" s="94"/>
      <c r="L105" s="94"/>
      <c r="M105" s="94"/>
      <c r="N105" s="94"/>
      <c r="O105" s="94"/>
      <c r="P105" s="94"/>
    </row>
    <row r="106" hidden="1">
      <c r="A106" s="117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94"/>
      <c r="H106" s="94"/>
      <c r="I106" s="94"/>
      <c r="J106" s="94"/>
      <c r="K106" s="94"/>
      <c r="L106" s="94"/>
      <c r="M106" s="94"/>
      <c r="N106" s="94"/>
      <c r="O106" s="94"/>
      <c r="P106" s="94"/>
    </row>
    <row r="107" hidden="1">
      <c r="A107" s="117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94"/>
      <c r="H107" s="94"/>
      <c r="I107" s="94"/>
      <c r="J107" s="94"/>
      <c r="K107" s="94"/>
      <c r="L107" s="94"/>
      <c r="M107" s="94"/>
      <c r="N107" s="94"/>
      <c r="O107" s="94"/>
      <c r="P107" s="94"/>
    </row>
    <row r="108" hidden="1">
      <c r="A108" s="117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94"/>
      <c r="H108" s="94"/>
      <c r="I108" s="94"/>
      <c r="J108" s="94"/>
      <c r="K108" s="94"/>
      <c r="L108" s="94"/>
      <c r="M108" s="94"/>
      <c r="N108" s="94"/>
      <c r="O108" s="94"/>
      <c r="P108" s="94"/>
    </row>
    <row r="109" hidden="1">
      <c r="A109" s="117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94"/>
      <c r="H109" s="94"/>
      <c r="I109" s="94"/>
      <c r="J109" s="94"/>
      <c r="K109" s="94"/>
      <c r="L109" s="94"/>
      <c r="M109" s="94"/>
      <c r="N109" s="94"/>
      <c r="O109" s="94"/>
      <c r="P109" s="94"/>
    </row>
    <row r="110" hidden="1">
      <c r="A110" s="117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94"/>
      <c r="H110" s="94"/>
      <c r="I110" s="94"/>
      <c r="J110" s="94"/>
      <c r="K110" s="94"/>
      <c r="L110" s="94"/>
      <c r="M110" s="94"/>
      <c r="N110" s="94"/>
      <c r="O110" s="94"/>
      <c r="P110" s="94"/>
    </row>
    <row r="111" hidden="1">
      <c r="A111" s="117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94"/>
      <c r="H111" s="94"/>
      <c r="I111" s="94"/>
      <c r="J111" s="94"/>
      <c r="K111" s="94"/>
      <c r="L111" s="94"/>
      <c r="M111" s="94"/>
      <c r="N111" s="94"/>
      <c r="O111" s="94"/>
      <c r="P111" s="94"/>
    </row>
    <row r="112" hidden="1">
      <c r="A112" s="117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94"/>
      <c r="H112" s="94"/>
      <c r="I112" s="94"/>
      <c r="J112" s="94"/>
      <c r="K112" s="94"/>
      <c r="L112" s="94"/>
      <c r="M112" s="94"/>
      <c r="N112" s="94"/>
      <c r="O112" s="94"/>
      <c r="P112" s="94"/>
    </row>
    <row r="113" hidden="1">
      <c r="A113" s="117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94"/>
      <c r="H113" s="94"/>
      <c r="I113" s="94"/>
      <c r="J113" s="94"/>
      <c r="K113" s="94"/>
      <c r="L113" s="94"/>
      <c r="M113" s="94"/>
      <c r="N113" s="94"/>
      <c r="O113" s="94"/>
      <c r="P113" s="94"/>
    </row>
    <row r="114" hidden="1">
      <c r="A114" s="117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94"/>
      <c r="H114" s="94"/>
      <c r="I114" s="94"/>
      <c r="J114" s="94"/>
      <c r="K114" s="94"/>
      <c r="L114" s="94"/>
      <c r="M114" s="94"/>
      <c r="N114" s="94"/>
      <c r="O114" s="94"/>
      <c r="P114" s="94"/>
    </row>
    <row r="115" hidden="1">
      <c r="A115" s="117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94"/>
      <c r="H115" s="94"/>
      <c r="I115" s="94"/>
      <c r="J115" s="94"/>
      <c r="K115" s="94"/>
      <c r="L115" s="94"/>
      <c r="M115" s="94"/>
      <c r="N115" s="94"/>
      <c r="O115" s="94"/>
      <c r="P115" s="94"/>
    </row>
    <row r="116" hidden="1">
      <c r="A116" s="117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94"/>
      <c r="H116" s="94"/>
      <c r="I116" s="94"/>
      <c r="J116" s="94"/>
      <c r="K116" s="94"/>
      <c r="L116" s="94"/>
      <c r="M116" s="94"/>
      <c r="N116" s="94"/>
      <c r="O116" s="94"/>
      <c r="P116" s="94"/>
    </row>
    <row r="117" hidden="1">
      <c r="A117" s="117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94"/>
      <c r="H117" s="94"/>
      <c r="I117" s="94"/>
      <c r="J117" s="94"/>
      <c r="K117" s="94"/>
      <c r="L117" s="94"/>
      <c r="M117" s="94"/>
      <c r="N117" s="94"/>
      <c r="O117" s="94"/>
      <c r="P117" s="94"/>
    </row>
    <row r="118" hidden="1">
      <c r="A118" s="117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94"/>
      <c r="H118" s="94"/>
      <c r="I118" s="94"/>
      <c r="J118" s="94"/>
      <c r="K118" s="94"/>
      <c r="L118" s="94"/>
      <c r="M118" s="94"/>
      <c r="N118" s="94"/>
      <c r="O118" s="94"/>
      <c r="P118" s="94"/>
    </row>
    <row r="119" hidden="1">
      <c r="A119" s="117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94"/>
      <c r="H119" s="94"/>
      <c r="I119" s="94"/>
      <c r="J119" s="94"/>
      <c r="K119" s="94"/>
      <c r="L119" s="94"/>
      <c r="M119" s="94"/>
      <c r="N119" s="94"/>
      <c r="O119" s="94"/>
      <c r="P119" s="94"/>
    </row>
    <row r="120" hidden="1">
      <c r="A120" s="117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94"/>
      <c r="H120" s="94"/>
      <c r="I120" s="94"/>
      <c r="J120" s="94"/>
      <c r="K120" s="94"/>
      <c r="L120" s="94"/>
      <c r="M120" s="94"/>
      <c r="N120" s="94"/>
      <c r="O120" s="94"/>
      <c r="P120" s="94"/>
    </row>
    <row r="121" hidden="1">
      <c r="A121" s="117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94"/>
      <c r="H121" s="94"/>
      <c r="I121" s="94"/>
      <c r="J121" s="94"/>
      <c r="K121" s="94"/>
      <c r="L121" s="94"/>
      <c r="M121" s="94"/>
      <c r="N121" s="94"/>
      <c r="O121" s="94"/>
      <c r="P121" s="94"/>
    </row>
    <row r="122" hidden="1">
      <c r="A122" s="117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94"/>
      <c r="I122" s="94"/>
      <c r="J122" s="94"/>
      <c r="K122" s="94"/>
      <c r="L122" s="94"/>
      <c r="M122" s="94"/>
      <c r="N122" s="94"/>
      <c r="O122" s="94"/>
      <c r="P122" s="94"/>
    </row>
    <row r="123" hidden="1">
      <c r="A123" s="117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94"/>
      <c r="H123" s="94"/>
      <c r="I123" s="94"/>
      <c r="J123" s="94"/>
      <c r="K123" s="94"/>
      <c r="L123" s="94"/>
      <c r="M123" s="94"/>
      <c r="N123" s="94"/>
      <c r="O123" s="94"/>
      <c r="P123" s="94"/>
    </row>
    <row r="124" hidden="1">
      <c r="A124" s="117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94"/>
      <c r="H124" s="94"/>
      <c r="I124" s="94"/>
      <c r="J124" s="94"/>
      <c r="K124" s="94"/>
      <c r="L124" s="94"/>
      <c r="M124" s="94"/>
      <c r="N124" s="94"/>
      <c r="O124" s="94"/>
      <c r="P124" s="94"/>
    </row>
    <row r="125" hidden="1">
      <c r="A125" s="117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94"/>
      <c r="H125" s="94"/>
      <c r="I125" s="94"/>
      <c r="J125" s="94"/>
      <c r="K125" s="94"/>
      <c r="L125" s="94"/>
      <c r="M125" s="94"/>
      <c r="N125" s="94"/>
      <c r="O125" s="94"/>
      <c r="P125" s="94"/>
    </row>
    <row r="126" hidden="1">
      <c r="A126" s="117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94"/>
      <c r="H126" s="94"/>
      <c r="I126" s="94"/>
      <c r="J126" s="94"/>
      <c r="K126" s="94"/>
      <c r="L126" s="94"/>
      <c r="M126" s="94"/>
      <c r="N126" s="94"/>
      <c r="O126" s="94"/>
      <c r="P126" s="94"/>
    </row>
    <row r="127" hidden="1">
      <c r="A127" s="117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94"/>
      <c r="H127" s="94"/>
      <c r="I127" s="94"/>
      <c r="J127" s="94"/>
      <c r="K127" s="94"/>
      <c r="L127" s="94"/>
      <c r="M127" s="94"/>
      <c r="N127" s="94"/>
      <c r="O127" s="94"/>
      <c r="P127" s="94"/>
    </row>
    <row r="128" hidden="1">
      <c r="A128" s="117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94"/>
      <c r="H128" s="94"/>
      <c r="I128" s="94"/>
      <c r="J128" s="94"/>
      <c r="K128" s="94"/>
      <c r="L128" s="94"/>
      <c r="M128" s="94"/>
      <c r="N128" s="94"/>
      <c r="O128" s="94"/>
      <c r="P128" s="94"/>
    </row>
    <row r="129" hidden="1">
      <c r="A129" s="117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94"/>
      <c r="H129" s="94"/>
      <c r="I129" s="94"/>
      <c r="J129" s="94"/>
      <c r="K129" s="94"/>
      <c r="L129" s="94"/>
      <c r="M129" s="94"/>
      <c r="N129" s="94"/>
      <c r="O129" s="94"/>
      <c r="P129" s="94"/>
    </row>
    <row r="130" hidden="1">
      <c r="A130" s="117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94"/>
      <c r="H130" s="94"/>
      <c r="I130" s="94"/>
      <c r="J130" s="94"/>
      <c r="K130" s="94"/>
      <c r="L130" s="94"/>
      <c r="M130" s="94"/>
      <c r="N130" s="94"/>
      <c r="O130" s="94"/>
      <c r="P130" s="94"/>
    </row>
    <row r="131" hidden="1">
      <c r="A131" s="117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94"/>
      <c r="H131" s="94"/>
      <c r="I131" s="94"/>
      <c r="J131" s="94"/>
      <c r="K131" s="94"/>
      <c r="L131" s="94"/>
      <c r="M131" s="94"/>
      <c r="N131" s="94"/>
      <c r="O131" s="94"/>
      <c r="P131" s="94"/>
    </row>
    <row r="132" hidden="1">
      <c r="A132" s="117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94"/>
      <c r="H132" s="94"/>
      <c r="I132" s="94"/>
      <c r="J132" s="94"/>
      <c r="K132" s="94"/>
      <c r="L132" s="94"/>
      <c r="M132" s="94"/>
      <c r="N132" s="94"/>
      <c r="O132" s="94"/>
      <c r="P132" s="94"/>
    </row>
    <row r="133" hidden="1">
      <c r="A133" s="117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94"/>
      <c r="H133" s="94"/>
      <c r="I133" s="94"/>
      <c r="J133" s="94"/>
      <c r="K133" s="94"/>
      <c r="L133" s="94"/>
      <c r="M133" s="94"/>
      <c r="N133" s="94"/>
      <c r="O133" s="94"/>
      <c r="P133" s="94"/>
    </row>
    <row r="134" hidden="1">
      <c r="A134" s="117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94"/>
      <c r="H134" s="94"/>
      <c r="I134" s="94"/>
      <c r="J134" s="94"/>
      <c r="K134" s="94"/>
      <c r="L134" s="94"/>
      <c r="M134" s="94"/>
      <c r="N134" s="94"/>
      <c r="O134" s="94"/>
      <c r="P134" s="94"/>
    </row>
    <row r="135" hidden="1">
      <c r="A135" s="117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94"/>
      <c r="H135" s="94"/>
      <c r="I135" s="94"/>
      <c r="J135" s="94"/>
      <c r="K135" s="94"/>
      <c r="L135" s="94"/>
      <c r="M135" s="94"/>
      <c r="N135" s="94"/>
      <c r="O135" s="94"/>
      <c r="P135" s="94"/>
    </row>
    <row r="136" hidden="1">
      <c r="A136" s="117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94"/>
      <c r="H136" s="94"/>
      <c r="I136" s="94"/>
      <c r="J136" s="94"/>
      <c r="K136" s="94"/>
      <c r="L136" s="94"/>
      <c r="M136" s="94"/>
      <c r="N136" s="94"/>
      <c r="O136" s="94"/>
      <c r="P136" s="94"/>
    </row>
    <row r="137" hidden="1">
      <c r="A137" s="117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94"/>
      <c r="H137" s="94"/>
      <c r="I137" s="94"/>
      <c r="J137" s="94"/>
      <c r="K137" s="94"/>
      <c r="L137" s="94"/>
      <c r="M137" s="94"/>
      <c r="N137" s="94"/>
      <c r="O137" s="94"/>
      <c r="P137" s="94"/>
    </row>
    <row r="138" hidden="1">
      <c r="A138" s="117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94"/>
      <c r="H138" s="94"/>
      <c r="I138" s="94"/>
      <c r="J138" s="94"/>
      <c r="K138" s="94"/>
      <c r="L138" s="94"/>
      <c r="M138" s="94"/>
      <c r="N138" s="94"/>
      <c r="O138" s="94"/>
      <c r="P138" s="94"/>
    </row>
    <row r="139" hidden="1">
      <c r="A139" s="117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94"/>
      <c r="H139" s="94"/>
      <c r="I139" s="94"/>
      <c r="J139" s="94"/>
      <c r="K139" s="94"/>
      <c r="L139" s="94"/>
      <c r="M139" s="94"/>
      <c r="N139" s="94"/>
      <c r="O139" s="94"/>
      <c r="P139" s="94"/>
    </row>
    <row r="140" hidden="1">
      <c r="A140" s="117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</row>
    <row r="141" hidden="1">
      <c r="A141" s="117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94"/>
      <c r="H141" s="94"/>
      <c r="I141" s="94"/>
      <c r="J141" s="94"/>
      <c r="K141" s="94"/>
      <c r="L141" s="94"/>
      <c r="M141" s="94"/>
      <c r="N141" s="94"/>
      <c r="O141" s="94"/>
      <c r="P141" s="94"/>
    </row>
    <row r="142" hidden="1">
      <c r="A142" s="117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94"/>
      <c r="H142" s="94"/>
      <c r="I142" s="94"/>
      <c r="J142" s="94"/>
      <c r="K142" s="94"/>
      <c r="L142" s="94"/>
      <c r="M142" s="94"/>
      <c r="N142" s="94"/>
      <c r="O142" s="94"/>
      <c r="P142" s="94"/>
    </row>
    <row r="143" hidden="1">
      <c r="A143" s="117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94"/>
      <c r="H143" s="94"/>
      <c r="I143" s="94"/>
      <c r="J143" s="94"/>
      <c r="K143" s="94"/>
      <c r="L143" s="94"/>
      <c r="M143" s="94"/>
      <c r="N143" s="94"/>
      <c r="O143" s="94"/>
      <c r="P143" s="94"/>
    </row>
    <row r="144" hidden="1">
      <c r="A144" s="117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94"/>
      <c r="H144" s="94"/>
      <c r="I144" s="94"/>
      <c r="J144" s="94"/>
      <c r="K144" s="94"/>
      <c r="L144" s="94"/>
      <c r="M144" s="94"/>
      <c r="N144" s="94"/>
      <c r="O144" s="94"/>
      <c r="P144" s="94"/>
    </row>
    <row r="145" hidden="1">
      <c r="A145" s="117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94"/>
      <c r="H145" s="94"/>
      <c r="I145" s="94"/>
      <c r="J145" s="94"/>
      <c r="K145" s="94"/>
      <c r="L145" s="94"/>
      <c r="M145" s="94"/>
      <c r="N145" s="94"/>
      <c r="O145" s="94"/>
      <c r="P145" s="94"/>
    </row>
    <row r="146" hidden="1">
      <c r="A146" s="117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94"/>
      <c r="H146" s="94"/>
      <c r="I146" s="94"/>
      <c r="J146" s="94"/>
      <c r="K146" s="94"/>
      <c r="L146" s="94"/>
      <c r="M146" s="94"/>
      <c r="N146" s="94"/>
      <c r="O146" s="94"/>
      <c r="P146" s="94"/>
    </row>
    <row r="147" hidden="1">
      <c r="A147" s="117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94"/>
      <c r="H147" s="94"/>
      <c r="I147" s="94"/>
      <c r="J147" s="94"/>
      <c r="K147" s="94"/>
      <c r="L147" s="94"/>
      <c r="M147" s="94"/>
      <c r="N147" s="94"/>
      <c r="O147" s="94"/>
      <c r="P147" s="94"/>
    </row>
    <row r="148" hidden="1">
      <c r="A148" s="117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94"/>
      <c r="H148" s="94"/>
      <c r="I148" s="94"/>
      <c r="J148" s="94"/>
      <c r="K148" s="94"/>
      <c r="L148" s="94"/>
      <c r="M148" s="94"/>
      <c r="N148" s="94"/>
      <c r="O148" s="94"/>
      <c r="P148" s="94"/>
    </row>
    <row r="149" hidden="1">
      <c r="A149" s="117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94"/>
      <c r="H149" s="94"/>
      <c r="I149" s="94"/>
      <c r="J149" s="94"/>
      <c r="K149" s="94"/>
      <c r="L149" s="94"/>
      <c r="M149" s="94"/>
      <c r="N149" s="94"/>
      <c r="O149" s="94"/>
      <c r="P149" s="94"/>
    </row>
    <row r="150" hidden="1">
      <c r="A150" s="117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94"/>
      <c r="H150" s="94"/>
      <c r="I150" s="94"/>
      <c r="J150" s="94"/>
      <c r="K150" s="94"/>
      <c r="L150" s="94"/>
      <c r="M150" s="94"/>
      <c r="N150" s="94"/>
      <c r="O150" s="94"/>
      <c r="P150" s="94"/>
    </row>
    <row r="151" hidden="1">
      <c r="A151" s="117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94"/>
      <c r="H151" s="94"/>
      <c r="I151" s="94"/>
      <c r="J151" s="94"/>
      <c r="K151" s="94"/>
      <c r="L151" s="94"/>
      <c r="M151" s="94"/>
      <c r="N151" s="94"/>
      <c r="O151" s="94"/>
      <c r="P151" s="94"/>
    </row>
    <row r="152" hidden="1">
      <c r="A152" s="117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94"/>
      <c r="H152" s="94"/>
      <c r="I152" s="94"/>
      <c r="J152" s="94"/>
      <c r="K152" s="94"/>
      <c r="L152" s="94"/>
      <c r="M152" s="94"/>
      <c r="N152" s="94"/>
      <c r="O152" s="94"/>
      <c r="P152" s="94"/>
    </row>
    <row r="153" hidden="1">
      <c r="A153" s="117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94"/>
      <c r="H153" s="94"/>
      <c r="I153" s="94"/>
      <c r="J153" s="94"/>
      <c r="K153" s="94"/>
      <c r="L153" s="94"/>
      <c r="M153" s="94"/>
      <c r="N153" s="94"/>
      <c r="O153" s="94"/>
      <c r="P153" s="94"/>
    </row>
    <row r="154" hidden="1">
      <c r="A154" s="117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94"/>
      <c r="H154" s="94"/>
      <c r="I154" s="94"/>
      <c r="J154" s="94"/>
      <c r="K154" s="94"/>
      <c r="L154" s="94"/>
      <c r="M154" s="94"/>
      <c r="N154" s="94"/>
      <c r="O154" s="94"/>
      <c r="P154" s="94"/>
    </row>
    <row r="155" hidden="1">
      <c r="A155" s="117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94"/>
      <c r="I155" s="94"/>
      <c r="J155" s="94"/>
      <c r="K155" s="94"/>
      <c r="L155" s="94"/>
      <c r="M155" s="94"/>
      <c r="N155" s="94"/>
      <c r="O155" s="94"/>
      <c r="P155" s="94"/>
    </row>
    <row r="156" hidden="1">
      <c r="A156" s="117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94"/>
      <c r="I156" s="94"/>
      <c r="J156" s="94"/>
      <c r="K156" s="94"/>
      <c r="L156" s="94"/>
      <c r="M156" s="94"/>
      <c r="N156" s="94"/>
      <c r="O156" s="94"/>
      <c r="P156" s="94"/>
    </row>
    <row r="157" hidden="1">
      <c r="A157" s="117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94"/>
      <c r="I157" s="94"/>
      <c r="J157" s="94"/>
      <c r="K157" s="94"/>
      <c r="L157" s="94"/>
      <c r="M157" s="94"/>
      <c r="N157" s="94"/>
      <c r="O157" s="94"/>
      <c r="P157" s="94"/>
    </row>
    <row r="158" hidden="1">
      <c r="A158" s="117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94"/>
      <c r="I158" s="94"/>
      <c r="J158" s="94"/>
      <c r="K158" s="94"/>
      <c r="L158" s="94"/>
      <c r="M158" s="94"/>
      <c r="N158" s="94"/>
      <c r="O158" s="94"/>
      <c r="P158" s="94"/>
    </row>
    <row r="159" hidden="1">
      <c r="A159" s="117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94"/>
      <c r="I159" s="94"/>
      <c r="J159" s="94"/>
      <c r="K159" s="94"/>
      <c r="L159" s="94"/>
      <c r="M159" s="94"/>
      <c r="N159" s="94"/>
      <c r="O159" s="94"/>
      <c r="P159" s="94"/>
    </row>
    <row r="160" hidden="1">
      <c r="A160" s="117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94"/>
      <c r="I160" s="94"/>
      <c r="J160" s="94"/>
      <c r="K160" s="94"/>
      <c r="L160" s="94"/>
      <c r="M160" s="94"/>
      <c r="N160" s="94"/>
      <c r="O160" s="94"/>
      <c r="P160" s="94"/>
    </row>
    <row r="161" hidden="1">
      <c r="A161" s="117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94"/>
      <c r="I161" s="94"/>
      <c r="J161" s="94"/>
      <c r="K161" s="94"/>
      <c r="L161" s="94"/>
      <c r="M161" s="94"/>
      <c r="N161" s="94"/>
      <c r="O161" s="94"/>
      <c r="P161" s="94"/>
    </row>
    <row r="162" hidden="1">
      <c r="A162" s="117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94"/>
      <c r="I162" s="94"/>
      <c r="J162" s="94"/>
      <c r="K162" s="94"/>
      <c r="L162" s="94"/>
      <c r="M162" s="94"/>
      <c r="N162" s="94"/>
      <c r="O162" s="94"/>
      <c r="P162" s="94"/>
    </row>
    <row r="163" hidden="1">
      <c r="A163" s="117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94"/>
      <c r="I163" s="94"/>
      <c r="J163" s="94"/>
      <c r="K163" s="94"/>
      <c r="L163" s="94"/>
      <c r="M163" s="94"/>
      <c r="N163" s="94"/>
      <c r="O163" s="94"/>
      <c r="P163" s="94"/>
    </row>
    <row r="164" hidden="1">
      <c r="A164" s="117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94"/>
      <c r="I164" s="94"/>
      <c r="J164" s="94"/>
      <c r="K164" s="94"/>
      <c r="L164" s="94"/>
      <c r="M164" s="94"/>
      <c r="N164" s="94"/>
      <c r="O164" s="94"/>
      <c r="P164" s="94"/>
    </row>
    <row r="165" hidden="1">
      <c r="A165" s="117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94"/>
      <c r="I165" s="94"/>
      <c r="J165" s="94"/>
      <c r="K165" s="94"/>
      <c r="L165" s="94"/>
      <c r="M165" s="94"/>
      <c r="N165" s="94"/>
      <c r="O165" s="94"/>
      <c r="P165" s="94"/>
    </row>
    <row r="166" hidden="1">
      <c r="A166" s="117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94"/>
      <c r="I166" s="94"/>
      <c r="J166" s="94"/>
      <c r="K166" s="94"/>
      <c r="L166" s="94"/>
      <c r="M166" s="94"/>
      <c r="N166" s="94"/>
      <c r="O166" s="94"/>
      <c r="P166" s="94"/>
    </row>
    <row r="167" hidden="1">
      <c r="A167" s="117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94"/>
      <c r="I167" s="94"/>
      <c r="J167" s="94"/>
      <c r="K167" s="94"/>
      <c r="L167" s="94"/>
      <c r="M167" s="94"/>
      <c r="N167" s="94"/>
      <c r="O167" s="94"/>
      <c r="P167" s="94"/>
    </row>
    <row r="168" hidden="1">
      <c r="A168" s="117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94"/>
      <c r="I168" s="94"/>
      <c r="J168" s="94"/>
      <c r="K168" s="94"/>
      <c r="L168" s="94"/>
      <c r="M168" s="94"/>
      <c r="N168" s="94"/>
      <c r="O168" s="94"/>
      <c r="P168" s="94"/>
    </row>
    <row r="169" hidden="1">
      <c r="A169" s="117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94"/>
      <c r="I169" s="94"/>
      <c r="J169" s="94"/>
      <c r="K169" s="94"/>
      <c r="L169" s="94"/>
      <c r="M169" s="94"/>
      <c r="N169" s="94"/>
      <c r="O169" s="94"/>
      <c r="P169" s="94"/>
    </row>
    <row r="170" hidden="1">
      <c r="A170" s="117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94"/>
      <c r="I170" s="94"/>
      <c r="J170" s="94"/>
      <c r="K170" s="94"/>
      <c r="L170" s="94"/>
      <c r="M170" s="94"/>
      <c r="N170" s="94"/>
      <c r="O170" s="94"/>
      <c r="P170" s="94"/>
    </row>
    <row r="171" hidden="1">
      <c r="A171" s="117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94"/>
      <c r="I171" s="94"/>
      <c r="J171" s="94"/>
      <c r="K171" s="94"/>
      <c r="L171" s="94"/>
      <c r="M171" s="94"/>
      <c r="N171" s="94"/>
      <c r="O171" s="94"/>
      <c r="P171" s="94"/>
    </row>
    <row r="172" hidden="1">
      <c r="A172" s="117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94"/>
      <c r="I172" s="94"/>
      <c r="J172" s="94"/>
      <c r="K172" s="94"/>
      <c r="L172" s="94"/>
      <c r="M172" s="94"/>
      <c r="N172" s="94"/>
      <c r="O172" s="94"/>
      <c r="P172" s="94"/>
    </row>
    <row r="173" hidden="1">
      <c r="A173" s="117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94"/>
      <c r="I173" s="94"/>
      <c r="J173" s="94"/>
      <c r="K173" s="94"/>
      <c r="L173" s="94"/>
      <c r="M173" s="94"/>
      <c r="N173" s="94"/>
      <c r="O173" s="94"/>
      <c r="P173" s="94"/>
    </row>
    <row r="174" hidden="1">
      <c r="A174" s="117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94"/>
      <c r="I174" s="94"/>
      <c r="J174" s="94"/>
      <c r="K174" s="94"/>
      <c r="L174" s="94"/>
      <c r="M174" s="94"/>
      <c r="N174" s="94"/>
      <c r="O174" s="94"/>
      <c r="P174" s="94"/>
    </row>
    <row r="175" hidden="1">
      <c r="A175" s="117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94"/>
      <c r="I175" s="94"/>
      <c r="J175" s="94"/>
      <c r="K175" s="94"/>
      <c r="L175" s="94"/>
      <c r="M175" s="94"/>
      <c r="N175" s="94"/>
      <c r="O175" s="94"/>
      <c r="P175" s="94"/>
    </row>
    <row r="176" hidden="1">
      <c r="A176" s="117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94"/>
      <c r="I176" s="94"/>
      <c r="J176" s="94"/>
      <c r="K176" s="94"/>
      <c r="L176" s="94"/>
      <c r="M176" s="94"/>
      <c r="N176" s="94"/>
      <c r="O176" s="94"/>
      <c r="P176" s="94"/>
    </row>
    <row r="177" hidden="1">
      <c r="A177" s="117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94"/>
      <c r="I177" s="94"/>
      <c r="J177" s="94"/>
      <c r="K177" s="94"/>
      <c r="L177" s="94"/>
      <c r="M177" s="94"/>
      <c r="N177" s="94"/>
      <c r="O177" s="94"/>
      <c r="P177" s="94"/>
    </row>
    <row r="178" hidden="1">
      <c r="A178" s="117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94"/>
      <c r="I178" s="94"/>
      <c r="J178" s="94"/>
      <c r="K178" s="94"/>
      <c r="L178" s="94"/>
      <c r="M178" s="94"/>
      <c r="N178" s="94"/>
      <c r="O178" s="94"/>
      <c r="P178" s="94"/>
    </row>
    <row r="179" hidden="1">
      <c r="A179" s="117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94"/>
      <c r="I179" s="94"/>
      <c r="J179" s="94"/>
      <c r="K179" s="94"/>
      <c r="L179" s="94"/>
      <c r="M179" s="94"/>
      <c r="N179" s="94"/>
      <c r="O179" s="94"/>
      <c r="P179" s="94"/>
    </row>
    <row r="180" hidden="1">
      <c r="A180" s="117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94"/>
      <c r="I180" s="94"/>
      <c r="J180" s="94"/>
      <c r="K180" s="94"/>
      <c r="L180" s="94"/>
      <c r="M180" s="94"/>
      <c r="N180" s="94"/>
      <c r="O180" s="94"/>
      <c r="P180" s="94"/>
    </row>
    <row r="181" hidden="1">
      <c r="A181" s="117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94"/>
      <c r="I181" s="94"/>
      <c r="J181" s="94"/>
      <c r="K181" s="94"/>
      <c r="L181" s="94"/>
      <c r="M181" s="94"/>
      <c r="N181" s="94"/>
      <c r="O181" s="94"/>
      <c r="P181" s="94"/>
    </row>
    <row r="182" hidden="1">
      <c r="A182" s="117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94"/>
      <c r="I182" s="94"/>
      <c r="J182" s="94"/>
      <c r="K182" s="94"/>
      <c r="L182" s="94"/>
      <c r="M182" s="94"/>
      <c r="N182" s="94"/>
      <c r="O182" s="94"/>
      <c r="P182" s="94"/>
    </row>
    <row r="183" hidden="1">
      <c r="A183" s="117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94"/>
      <c r="I183" s="94"/>
      <c r="J183" s="94"/>
      <c r="K183" s="94"/>
      <c r="L183" s="94"/>
      <c r="M183" s="94"/>
      <c r="N183" s="94"/>
      <c r="O183" s="94"/>
      <c r="P183" s="94"/>
    </row>
    <row r="184" hidden="1">
      <c r="A184" s="117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94"/>
      <c r="I184" s="94"/>
      <c r="J184" s="94"/>
      <c r="K184" s="94"/>
      <c r="L184" s="94"/>
      <c r="M184" s="94"/>
      <c r="N184" s="94"/>
      <c r="O184" s="94"/>
      <c r="P184" s="94"/>
    </row>
    <row r="185" hidden="1">
      <c r="A185" s="117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94"/>
      <c r="I185" s="94"/>
      <c r="J185" s="94"/>
      <c r="K185" s="94"/>
      <c r="L185" s="94"/>
      <c r="M185" s="94"/>
      <c r="N185" s="94"/>
      <c r="O185" s="94"/>
      <c r="P185" s="94"/>
    </row>
    <row r="186" hidden="1">
      <c r="A186" s="117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94"/>
      <c r="I186" s="94"/>
      <c r="J186" s="94"/>
      <c r="K186" s="94"/>
      <c r="L186" s="94"/>
      <c r="M186" s="94"/>
      <c r="N186" s="94"/>
      <c r="O186" s="94"/>
      <c r="P186" s="94"/>
    </row>
    <row r="187" hidden="1">
      <c r="A187" s="117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94"/>
      <c r="I187" s="94"/>
      <c r="J187" s="94"/>
      <c r="K187" s="94"/>
      <c r="L187" s="94"/>
      <c r="M187" s="94"/>
      <c r="N187" s="94"/>
      <c r="O187" s="94"/>
      <c r="P187" s="94"/>
    </row>
    <row r="188" hidden="1">
      <c r="A188" s="117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94"/>
      <c r="I188" s="94"/>
      <c r="J188" s="94"/>
      <c r="K188" s="94"/>
      <c r="L188" s="94"/>
      <c r="M188" s="94"/>
      <c r="N188" s="94"/>
      <c r="O188" s="94"/>
      <c r="P188" s="94"/>
    </row>
    <row r="189" hidden="1">
      <c r="A189" s="117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94"/>
      <c r="I189" s="94"/>
      <c r="J189" s="94"/>
      <c r="K189" s="94"/>
      <c r="L189" s="94"/>
      <c r="M189" s="94"/>
      <c r="N189" s="94"/>
      <c r="O189" s="94"/>
      <c r="P189" s="94"/>
    </row>
    <row r="190" hidden="1">
      <c r="A190" s="117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94"/>
      <c r="I190" s="94"/>
      <c r="J190" s="94"/>
      <c r="K190" s="94"/>
      <c r="L190" s="94"/>
      <c r="M190" s="94"/>
      <c r="N190" s="94"/>
      <c r="O190" s="94"/>
      <c r="P190" s="94"/>
    </row>
    <row r="191" hidden="1">
      <c r="A191" s="117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94"/>
      <c r="I191" s="94"/>
      <c r="J191" s="94"/>
      <c r="K191" s="94"/>
      <c r="L191" s="94"/>
      <c r="M191" s="94"/>
      <c r="N191" s="94"/>
      <c r="O191" s="94"/>
      <c r="P191" s="94"/>
    </row>
    <row r="192" hidden="1">
      <c r="A192" s="117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94"/>
      <c r="I192" s="94"/>
      <c r="J192" s="94"/>
      <c r="K192" s="94"/>
      <c r="L192" s="94"/>
      <c r="M192" s="94"/>
      <c r="N192" s="94"/>
      <c r="O192" s="94"/>
      <c r="P192" s="94"/>
    </row>
    <row r="193" hidden="1">
      <c r="A193" s="117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94"/>
      <c r="I193" s="94"/>
      <c r="J193" s="94"/>
      <c r="K193" s="94"/>
      <c r="L193" s="94"/>
      <c r="M193" s="94"/>
      <c r="N193" s="94"/>
      <c r="O193" s="94"/>
      <c r="P193" s="94"/>
    </row>
    <row r="194" hidden="1">
      <c r="A194" s="117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94"/>
      <c r="I194" s="94"/>
      <c r="J194" s="94"/>
      <c r="K194" s="94"/>
      <c r="L194" s="94"/>
      <c r="M194" s="94"/>
      <c r="N194" s="94"/>
      <c r="O194" s="94"/>
      <c r="P194" s="94"/>
    </row>
    <row r="195" hidden="1">
      <c r="A195" s="117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94"/>
      <c r="I195" s="94"/>
      <c r="J195" s="94"/>
      <c r="K195" s="94"/>
      <c r="L195" s="94"/>
      <c r="M195" s="94"/>
      <c r="N195" s="94"/>
      <c r="O195" s="94"/>
      <c r="P195" s="94"/>
    </row>
    <row r="196" hidden="1">
      <c r="A196" s="117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94"/>
      <c r="I196" s="94"/>
      <c r="J196" s="94"/>
      <c r="K196" s="94"/>
      <c r="L196" s="94"/>
      <c r="M196" s="94"/>
      <c r="N196" s="94"/>
      <c r="O196" s="94"/>
      <c r="P196" s="94"/>
    </row>
    <row r="197" hidden="1">
      <c r="A197" s="117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94"/>
      <c r="I197" s="94"/>
      <c r="J197" s="94"/>
      <c r="K197" s="94"/>
      <c r="L197" s="94"/>
      <c r="M197" s="94"/>
      <c r="N197" s="94"/>
      <c r="O197" s="94"/>
      <c r="P197" s="94"/>
    </row>
    <row r="198" hidden="1">
      <c r="A198" s="117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94"/>
      <c r="I198" s="94"/>
      <c r="J198" s="94"/>
      <c r="K198" s="94"/>
      <c r="L198" s="94"/>
      <c r="M198" s="94"/>
      <c r="N198" s="94"/>
      <c r="O198" s="94"/>
      <c r="P198" s="94"/>
    </row>
    <row r="199" hidden="1">
      <c r="A199" s="117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94"/>
      <c r="I199" s="94"/>
      <c r="J199" s="94"/>
      <c r="K199" s="94"/>
      <c r="L199" s="94"/>
      <c r="M199" s="94"/>
      <c r="N199" s="94"/>
      <c r="O199" s="94"/>
      <c r="P199" s="94"/>
    </row>
    <row r="200" hidden="1">
      <c r="A200" s="117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94"/>
      <c r="I200" s="94"/>
      <c r="J200" s="94"/>
      <c r="K200" s="94"/>
      <c r="L200" s="94"/>
      <c r="M200" s="94"/>
      <c r="N200" s="94"/>
      <c r="O200" s="94"/>
      <c r="P200" s="94"/>
    </row>
    <row r="201" hidden="1">
      <c r="A201" s="117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94"/>
      <c r="I201" s="94"/>
      <c r="J201" s="94"/>
      <c r="K201" s="94"/>
      <c r="L201" s="94"/>
      <c r="M201" s="94"/>
      <c r="N201" s="94"/>
      <c r="O201" s="94"/>
      <c r="P201" s="94"/>
    </row>
    <row r="202" hidden="1">
      <c r="A202" s="117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94"/>
      <c r="I202" s="94"/>
      <c r="J202" s="94"/>
      <c r="K202" s="94"/>
      <c r="L202" s="94"/>
      <c r="M202" s="94"/>
      <c r="N202" s="94"/>
      <c r="O202" s="94"/>
      <c r="P202" s="94"/>
    </row>
    <row r="203" hidden="1">
      <c r="A203" s="117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94"/>
      <c r="I203" s="94"/>
      <c r="J203" s="94"/>
      <c r="K203" s="94"/>
      <c r="L203" s="94"/>
      <c r="M203" s="94"/>
      <c r="N203" s="94"/>
      <c r="O203" s="94"/>
      <c r="P203" s="94"/>
    </row>
    <row r="204" hidden="1">
      <c r="A204" s="117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94"/>
      <c r="I204" s="94"/>
      <c r="J204" s="94"/>
      <c r="K204" s="94"/>
      <c r="L204" s="94"/>
      <c r="M204" s="94"/>
      <c r="N204" s="94"/>
      <c r="O204" s="94"/>
      <c r="P204" s="94"/>
    </row>
    <row r="205" hidden="1">
      <c r="A205" s="117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94"/>
      <c r="I205" s="94"/>
      <c r="J205" s="94"/>
      <c r="K205" s="94"/>
      <c r="L205" s="94"/>
      <c r="M205" s="94"/>
      <c r="N205" s="94"/>
      <c r="O205" s="94"/>
      <c r="P205" s="94"/>
    </row>
    <row r="206" hidden="1">
      <c r="A206" s="117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94"/>
      <c r="I206" s="94"/>
      <c r="J206" s="94"/>
      <c r="K206" s="94"/>
      <c r="L206" s="94"/>
      <c r="M206" s="94"/>
      <c r="N206" s="94"/>
      <c r="O206" s="94"/>
      <c r="P206" s="94"/>
    </row>
    <row r="207" hidden="1">
      <c r="A207" s="117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94"/>
      <c r="I207" s="94"/>
      <c r="J207" s="94"/>
      <c r="K207" s="94"/>
      <c r="L207" s="94"/>
      <c r="M207" s="94"/>
      <c r="N207" s="94"/>
      <c r="O207" s="94"/>
      <c r="P207" s="94"/>
    </row>
    <row r="208" hidden="1">
      <c r="A208" s="117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94"/>
      <c r="I208" s="94"/>
      <c r="J208" s="94"/>
      <c r="K208" s="94"/>
      <c r="L208" s="94"/>
      <c r="M208" s="94"/>
      <c r="N208" s="94"/>
      <c r="O208" s="94"/>
      <c r="P208" s="94"/>
    </row>
    <row r="209" hidden="1">
      <c r="A209" s="117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94"/>
      <c r="I209" s="94"/>
      <c r="J209" s="94"/>
      <c r="K209" s="94"/>
      <c r="L209" s="94"/>
      <c r="M209" s="94"/>
      <c r="N209" s="94"/>
      <c r="O209" s="94"/>
      <c r="P209" s="94"/>
    </row>
    <row r="210" hidden="1">
      <c r="A210" s="117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94"/>
      <c r="I210" s="94"/>
      <c r="J210" s="94"/>
      <c r="K210" s="94"/>
      <c r="L210" s="94"/>
      <c r="M210" s="94"/>
      <c r="N210" s="94"/>
      <c r="O210" s="94"/>
      <c r="P210" s="94"/>
    </row>
    <row r="211" hidden="1">
      <c r="A211" s="117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94"/>
      <c r="I211" s="94"/>
      <c r="J211" s="94"/>
      <c r="K211" s="94"/>
      <c r="L211" s="94"/>
      <c r="M211" s="94"/>
      <c r="N211" s="94"/>
      <c r="O211" s="94"/>
      <c r="P211" s="94"/>
    </row>
    <row r="212" hidden="1">
      <c r="A212" s="117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94"/>
      <c r="I212" s="94"/>
      <c r="J212" s="94"/>
      <c r="K212" s="94"/>
      <c r="L212" s="94"/>
      <c r="M212" s="94"/>
      <c r="N212" s="94"/>
      <c r="O212" s="94"/>
      <c r="P212" s="94"/>
    </row>
    <row r="213" hidden="1">
      <c r="A213" s="117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94"/>
      <c r="I213" s="94"/>
      <c r="J213" s="94"/>
      <c r="K213" s="94"/>
      <c r="L213" s="94"/>
      <c r="M213" s="94"/>
      <c r="N213" s="94"/>
      <c r="O213" s="94"/>
      <c r="P213" s="94"/>
    </row>
    <row r="214" hidden="1">
      <c r="A214" s="117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94"/>
      <c r="I214" s="94"/>
      <c r="J214" s="94"/>
      <c r="K214" s="94"/>
      <c r="L214" s="94"/>
      <c r="M214" s="94"/>
      <c r="N214" s="94"/>
      <c r="O214" s="94"/>
      <c r="P214" s="94"/>
    </row>
    <row r="215" hidden="1">
      <c r="A215" s="117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94"/>
      <c r="I215" s="94"/>
      <c r="J215" s="94"/>
      <c r="K215" s="94"/>
      <c r="L215" s="94"/>
      <c r="M215" s="94"/>
      <c r="N215" s="94"/>
      <c r="O215" s="94"/>
      <c r="P215" s="94"/>
    </row>
    <row r="216" hidden="1">
      <c r="A216" s="117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94"/>
      <c r="I216" s="94"/>
      <c r="J216" s="94"/>
      <c r="K216" s="94"/>
      <c r="L216" s="94"/>
      <c r="M216" s="94"/>
      <c r="N216" s="94"/>
      <c r="O216" s="94"/>
      <c r="P216" s="94"/>
    </row>
    <row r="217" hidden="1">
      <c r="A217" s="117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94"/>
      <c r="I217" s="94"/>
      <c r="J217" s="94"/>
      <c r="K217" s="94"/>
      <c r="L217" s="94"/>
      <c r="M217" s="94"/>
      <c r="N217" s="94"/>
      <c r="O217" s="94"/>
      <c r="P217" s="94"/>
    </row>
    <row r="218" hidden="1">
      <c r="A218" s="117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94"/>
      <c r="I218" s="94"/>
      <c r="J218" s="94"/>
      <c r="K218" s="94"/>
      <c r="L218" s="94"/>
      <c r="M218" s="94"/>
      <c r="N218" s="94"/>
      <c r="O218" s="94"/>
      <c r="P218" s="94"/>
    </row>
    <row r="219" hidden="1">
      <c r="A219" s="117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94"/>
      <c r="I219" s="94"/>
      <c r="J219" s="94"/>
      <c r="K219" s="94"/>
      <c r="L219" s="94"/>
      <c r="M219" s="94"/>
      <c r="N219" s="94"/>
      <c r="O219" s="94"/>
      <c r="P219" s="94"/>
    </row>
    <row r="220" hidden="1">
      <c r="A220" s="117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94"/>
      <c r="I220" s="94"/>
      <c r="J220" s="94"/>
      <c r="K220" s="94"/>
      <c r="L220" s="94"/>
      <c r="M220" s="94"/>
      <c r="N220" s="94"/>
      <c r="O220" s="94"/>
      <c r="P220" s="94"/>
    </row>
    <row r="221" hidden="1">
      <c r="A221" s="117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94"/>
      <c r="I221" s="94"/>
      <c r="J221" s="94"/>
      <c r="K221" s="94"/>
      <c r="L221" s="94"/>
      <c r="M221" s="94"/>
      <c r="N221" s="94"/>
      <c r="O221" s="94"/>
      <c r="P221" s="94"/>
    </row>
    <row r="222" hidden="1">
      <c r="A222" s="117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94"/>
      <c r="I222" s="94"/>
      <c r="J222" s="94"/>
      <c r="K222" s="94"/>
      <c r="L222" s="94"/>
      <c r="M222" s="94"/>
      <c r="N222" s="94"/>
      <c r="O222" s="94"/>
      <c r="P222" s="94"/>
    </row>
    <row r="223" hidden="1">
      <c r="A223" s="117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94"/>
      <c r="I223" s="94"/>
      <c r="J223" s="94"/>
      <c r="K223" s="94"/>
      <c r="L223" s="94"/>
      <c r="M223" s="94"/>
      <c r="N223" s="94"/>
      <c r="O223" s="94"/>
      <c r="P223" s="94"/>
    </row>
    <row r="224" hidden="1">
      <c r="A224" s="117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94"/>
      <c r="I224" s="94"/>
      <c r="J224" s="94"/>
      <c r="K224" s="94"/>
      <c r="L224" s="94"/>
      <c r="M224" s="94"/>
      <c r="N224" s="94"/>
      <c r="O224" s="94"/>
      <c r="P224" s="94"/>
    </row>
    <row r="225" hidden="1">
      <c r="A225" s="117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94"/>
      <c r="I225" s="94"/>
      <c r="J225" s="94"/>
      <c r="K225" s="94"/>
      <c r="L225" s="94"/>
      <c r="M225" s="94"/>
      <c r="N225" s="94"/>
      <c r="O225" s="94"/>
      <c r="P225" s="94"/>
    </row>
    <row r="226" hidden="1">
      <c r="A226" s="117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94"/>
      <c r="I226" s="94"/>
      <c r="J226" s="94"/>
      <c r="K226" s="94"/>
      <c r="L226" s="94"/>
      <c r="M226" s="94"/>
      <c r="N226" s="94"/>
      <c r="O226" s="94"/>
      <c r="P226" s="94"/>
    </row>
    <row r="227" hidden="1">
      <c r="A227" s="117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94"/>
      <c r="I227" s="94"/>
      <c r="J227" s="94"/>
      <c r="K227" s="94"/>
      <c r="L227" s="94"/>
      <c r="M227" s="94"/>
      <c r="N227" s="94"/>
      <c r="O227" s="94"/>
      <c r="P227" s="94"/>
    </row>
    <row r="228" hidden="1">
      <c r="A228" s="117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94"/>
      <c r="I228" s="94"/>
      <c r="J228" s="94"/>
      <c r="K228" s="94"/>
      <c r="L228" s="94"/>
      <c r="M228" s="94"/>
      <c r="N228" s="94"/>
      <c r="O228" s="94"/>
      <c r="P228" s="94"/>
    </row>
    <row r="229" hidden="1">
      <c r="A229" s="117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94"/>
      <c r="I229" s="94"/>
      <c r="J229" s="94"/>
      <c r="K229" s="94"/>
      <c r="L229" s="94"/>
      <c r="M229" s="94"/>
      <c r="N229" s="94"/>
      <c r="O229" s="94"/>
      <c r="P229" s="94"/>
    </row>
    <row r="230" hidden="1">
      <c r="A230" s="117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94"/>
      <c r="I230" s="94"/>
      <c r="J230" s="94"/>
      <c r="K230" s="94"/>
      <c r="L230" s="94"/>
      <c r="M230" s="94"/>
      <c r="N230" s="94"/>
      <c r="O230" s="94"/>
      <c r="P230" s="94"/>
    </row>
    <row r="231" hidden="1">
      <c r="A231" s="117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94"/>
      <c r="I231" s="94"/>
      <c r="J231" s="94"/>
      <c r="K231" s="94"/>
      <c r="L231" s="94"/>
      <c r="M231" s="94"/>
      <c r="N231" s="94"/>
      <c r="O231" s="94"/>
      <c r="P231" s="94"/>
    </row>
    <row r="232" hidden="1">
      <c r="A232" s="117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94"/>
      <c r="I232" s="94"/>
      <c r="J232" s="94"/>
      <c r="K232" s="94"/>
      <c r="L232" s="94"/>
      <c r="M232" s="94"/>
      <c r="N232" s="94"/>
      <c r="O232" s="94"/>
      <c r="P232" s="94"/>
    </row>
    <row r="233" hidden="1">
      <c r="A233" s="117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94"/>
      <c r="I233" s="94"/>
      <c r="J233" s="94"/>
      <c r="K233" s="94"/>
      <c r="L233" s="94"/>
      <c r="M233" s="94"/>
      <c r="N233" s="94"/>
      <c r="O233" s="94"/>
      <c r="P233" s="94"/>
    </row>
    <row r="234" hidden="1">
      <c r="A234" s="117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94"/>
      <c r="I234" s="94"/>
      <c r="J234" s="94"/>
      <c r="K234" s="94"/>
      <c r="L234" s="94"/>
      <c r="M234" s="94"/>
      <c r="N234" s="94"/>
      <c r="O234" s="94"/>
      <c r="P234" s="94"/>
    </row>
    <row r="235" hidden="1">
      <c r="A235" s="117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94"/>
      <c r="I235" s="94"/>
      <c r="J235" s="94"/>
      <c r="K235" s="94"/>
      <c r="L235" s="94"/>
      <c r="M235" s="94"/>
      <c r="N235" s="94"/>
      <c r="O235" s="94"/>
      <c r="P235" s="94"/>
    </row>
    <row r="236" hidden="1">
      <c r="A236" s="117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94"/>
      <c r="I236" s="94"/>
      <c r="J236" s="94"/>
      <c r="K236" s="94"/>
      <c r="L236" s="94"/>
      <c r="M236" s="94"/>
      <c r="N236" s="94"/>
      <c r="O236" s="94"/>
      <c r="P236" s="94"/>
    </row>
    <row r="237" hidden="1">
      <c r="A237" s="117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94"/>
      <c r="I237" s="94"/>
      <c r="J237" s="94"/>
      <c r="K237" s="94"/>
      <c r="L237" s="94"/>
      <c r="M237" s="94"/>
      <c r="N237" s="94"/>
      <c r="O237" s="94"/>
      <c r="P237" s="94"/>
    </row>
    <row r="238" hidden="1">
      <c r="A238" s="117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94"/>
      <c r="I238" s="94"/>
      <c r="J238" s="94"/>
      <c r="K238" s="94"/>
      <c r="L238" s="94"/>
      <c r="M238" s="94"/>
      <c r="N238" s="94"/>
      <c r="O238" s="94"/>
      <c r="P238" s="94"/>
    </row>
    <row r="239" hidden="1">
      <c r="A239" s="117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94"/>
      <c r="I239" s="94"/>
      <c r="J239" s="94"/>
      <c r="K239" s="94"/>
      <c r="L239" s="94"/>
      <c r="M239" s="94"/>
      <c r="N239" s="94"/>
      <c r="O239" s="94"/>
      <c r="P239" s="94"/>
    </row>
    <row r="240" hidden="1">
      <c r="A240" s="117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94"/>
      <c r="I240" s="94"/>
      <c r="J240" s="94"/>
      <c r="K240" s="94"/>
      <c r="L240" s="94"/>
      <c r="M240" s="94"/>
      <c r="N240" s="94"/>
      <c r="O240" s="94"/>
      <c r="P240" s="94"/>
    </row>
    <row r="241" hidden="1">
      <c r="A241" s="117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94"/>
      <c r="I241" s="94"/>
      <c r="J241" s="94"/>
      <c r="K241" s="94"/>
      <c r="L241" s="94"/>
      <c r="M241" s="94"/>
      <c r="N241" s="94"/>
      <c r="O241" s="94"/>
      <c r="P241" s="94"/>
    </row>
    <row r="242" hidden="1">
      <c r="A242" s="117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94"/>
      <c r="I242" s="94"/>
      <c r="J242" s="94"/>
      <c r="K242" s="94"/>
      <c r="L242" s="94"/>
      <c r="M242" s="94"/>
      <c r="N242" s="94"/>
      <c r="O242" s="94"/>
      <c r="P242" s="94"/>
    </row>
    <row r="243" hidden="1">
      <c r="A243" s="117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94"/>
      <c r="I243" s="94"/>
      <c r="J243" s="94"/>
      <c r="K243" s="94"/>
      <c r="L243" s="94"/>
      <c r="M243" s="94"/>
      <c r="N243" s="94"/>
      <c r="O243" s="94"/>
      <c r="P243" s="94"/>
    </row>
    <row r="244" hidden="1">
      <c r="A244" s="117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94"/>
      <c r="I244" s="94"/>
      <c r="J244" s="94"/>
      <c r="K244" s="94"/>
      <c r="L244" s="94"/>
      <c r="M244" s="94"/>
      <c r="N244" s="94"/>
      <c r="O244" s="94"/>
      <c r="P244" s="94"/>
    </row>
    <row r="245" hidden="1">
      <c r="A245" s="117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94"/>
      <c r="I245" s="94"/>
      <c r="J245" s="94"/>
      <c r="K245" s="94"/>
      <c r="L245" s="94"/>
      <c r="M245" s="94"/>
      <c r="N245" s="94"/>
      <c r="O245" s="94"/>
      <c r="P245" s="94"/>
    </row>
    <row r="246" hidden="1">
      <c r="A246" s="117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94"/>
      <c r="I246" s="94"/>
      <c r="J246" s="94"/>
      <c r="K246" s="94"/>
      <c r="L246" s="94"/>
      <c r="M246" s="94"/>
      <c r="N246" s="94"/>
      <c r="O246" s="94"/>
      <c r="P246" s="94"/>
    </row>
    <row r="247" hidden="1">
      <c r="A247" s="117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94"/>
      <c r="I247" s="94"/>
      <c r="J247" s="94"/>
      <c r="K247" s="94"/>
      <c r="L247" s="94"/>
      <c r="M247" s="94"/>
      <c r="N247" s="94"/>
      <c r="O247" s="94"/>
      <c r="P247" s="94"/>
    </row>
    <row r="248" hidden="1">
      <c r="A248" s="117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94"/>
      <c r="I248" s="94"/>
      <c r="J248" s="94"/>
      <c r="K248" s="94"/>
      <c r="L248" s="94"/>
      <c r="M248" s="94"/>
      <c r="N248" s="94"/>
      <c r="O248" s="94"/>
      <c r="P248" s="94"/>
    </row>
    <row r="249" hidden="1">
      <c r="A249" s="117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94"/>
      <c r="I249" s="94"/>
      <c r="J249" s="94"/>
      <c r="K249" s="94"/>
      <c r="L249" s="94"/>
      <c r="M249" s="94"/>
      <c r="N249" s="94"/>
      <c r="O249" s="94"/>
      <c r="P249" s="94"/>
    </row>
    <row r="250" hidden="1">
      <c r="A250" s="117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94"/>
      <c r="I250" s="94"/>
      <c r="J250" s="94"/>
      <c r="K250" s="94"/>
      <c r="L250" s="94"/>
      <c r="M250" s="94"/>
      <c r="N250" s="94"/>
      <c r="O250" s="94"/>
      <c r="P250" s="94"/>
    </row>
    <row r="251" hidden="1">
      <c r="A251" s="117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94"/>
      <c r="I251" s="94"/>
      <c r="J251" s="94"/>
      <c r="K251" s="94"/>
      <c r="L251" s="94"/>
      <c r="M251" s="94"/>
      <c r="N251" s="94"/>
      <c r="O251" s="94"/>
      <c r="P251" s="94"/>
    </row>
    <row r="252" hidden="1">
      <c r="A252" s="117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94"/>
      <c r="I252" s="94"/>
      <c r="J252" s="94"/>
      <c r="K252" s="94"/>
      <c r="L252" s="94"/>
      <c r="M252" s="94"/>
      <c r="N252" s="94"/>
      <c r="O252" s="94"/>
      <c r="P252" s="94"/>
    </row>
    <row r="253" hidden="1">
      <c r="A253" s="117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94"/>
      <c r="I253" s="94"/>
      <c r="J253" s="94"/>
      <c r="K253" s="94"/>
      <c r="L253" s="94"/>
      <c r="M253" s="94"/>
      <c r="N253" s="94"/>
      <c r="O253" s="94"/>
      <c r="P253" s="94"/>
    </row>
    <row r="254" hidden="1">
      <c r="A254" s="117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94"/>
      <c r="I254" s="94"/>
      <c r="J254" s="94"/>
      <c r="K254" s="94"/>
      <c r="L254" s="94"/>
      <c r="M254" s="94"/>
      <c r="N254" s="94"/>
      <c r="O254" s="94"/>
      <c r="P254" s="94"/>
    </row>
    <row r="255" hidden="1">
      <c r="A255" s="117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94"/>
      <c r="I255" s="94"/>
      <c r="J255" s="94"/>
      <c r="K255" s="94"/>
      <c r="L255" s="94"/>
      <c r="M255" s="94"/>
      <c r="N255" s="94"/>
      <c r="O255" s="94"/>
      <c r="P255" s="94"/>
    </row>
    <row r="256" hidden="1">
      <c r="A256" s="117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94"/>
      <c r="I256" s="94"/>
      <c r="J256" s="94"/>
      <c r="K256" s="94"/>
      <c r="L256" s="94"/>
      <c r="M256" s="94"/>
      <c r="N256" s="94"/>
      <c r="O256" s="94"/>
      <c r="P256" s="94"/>
    </row>
    <row r="257" hidden="1">
      <c r="A257" s="117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94"/>
      <c r="I257" s="94"/>
      <c r="J257" s="94"/>
      <c r="K257" s="94"/>
      <c r="L257" s="94"/>
      <c r="M257" s="94"/>
      <c r="N257" s="94"/>
      <c r="O257" s="94"/>
      <c r="P257" s="94"/>
    </row>
    <row r="258" hidden="1">
      <c r="A258" s="117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94"/>
      <c r="I258" s="94"/>
      <c r="J258" s="94"/>
      <c r="K258" s="94"/>
      <c r="L258" s="94"/>
      <c r="M258" s="94"/>
      <c r="N258" s="94"/>
      <c r="O258" s="94"/>
      <c r="P258" s="94"/>
    </row>
    <row r="259" hidden="1">
      <c r="A259" s="117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94"/>
      <c r="I259" s="94"/>
      <c r="J259" s="94"/>
      <c r="K259" s="94"/>
      <c r="L259" s="94"/>
      <c r="M259" s="94"/>
      <c r="N259" s="94"/>
      <c r="O259" s="94"/>
      <c r="P259" s="94"/>
    </row>
    <row r="260" hidden="1">
      <c r="A260" s="117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94"/>
      <c r="I260" s="94"/>
      <c r="J260" s="94"/>
      <c r="K260" s="94"/>
      <c r="L260" s="94"/>
      <c r="M260" s="94"/>
      <c r="N260" s="94"/>
      <c r="O260" s="94"/>
      <c r="P260" s="94"/>
    </row>
    <row r="261" hidden="1">
      <c r="A261" s="117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94"/>
      <c r="I261" s="94"/>
      <c r="J261" s="94"/>
      <c r="K261" s="94"/>
      <c r="L261" s="94"/>
      <c r="M261" s="94"/>
      <c r="N261" s="94"/>
      <c r="O261" s="94"/>
      <c r="P261" s="94"/>
    </row>
    <row r="262" hidden="1">
      <c r="A262" s="117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94"/>
      <c r="I262" s="94"/>
      <c r="J262" s="94"/>
      <c r="K262" s="94"/>
      <c r="L262" s="94"/>
      <c r="M262" s="94"/>
      <c r="N262" s="94"/>
      <c r="O262" s="94"/>
      <c r="P262" s="94"/>
    </row>
    <row r="263" hidden="1">
      <c r="A263" s="117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94"/>
      <c r="I263" s="94"/>
      <c r="J263" s="94"/>
      <c r="K263" s="94"/>
      <c r="L263" s="94"/>
      <c r="M263" s="94"/>
      <c r="N263" s="94"/>
      <c r="O263" s="94"/>
      <c r="P263" s="94"/>
    </row>
    <row r="264" hidden="1">
      <c r="A264" s="117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94"/>
      <c r="I264" s="94"/>
      <c r="J264" s="94"/>
      <c r="K264" s="94"/>
      <c r="L264" s="94"/>
      <c r="M264" s="94"/>
      <c r="N264" s="94"/>
      <c r="O264" s="94"/>
      <c r="P264" s="94"/>
    </row>
    <row r="265" hidden="1">
      <c r="A265" s="117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94"/>
      <c r="I265" s="94"/>
      <c r="J265" s="94"/>
      <c r="K265" s="94"/>
      <c r="L265" s="94"/>
      <c r="M265" s="94"/>
      <c r="N265" s="94"/>
      <c r="O265" s="94"/>
      <c r="P265" s="94"/>
    </row>
    <row r="266" hidden="1">
      <c r="A266" s="117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94"/>
      <c r="I266" s="94"/>
      <c r="J266" s="94"/>
      <c r="K266" s="94"/>
      <c r="L266" s="94"/>
      <c r="M266" s="94"/>
      <c r="N266" s="94"/>
      <c r="O266" s="94"/>
      <c r="P266" s="94"/>
    </row>
    <row r="267" hidden="1">
      <c r="A267" s="117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94"/>
      <c r="I267" s="94"/>
      <c r="J267" s="94"/>
      <c r="K267" s="94"/>
      <c r="L267" s="94"/>
      <c r="M267" s="94"/>
      <c r="N267" s="94"/>
      <c r="O267" s="94"/>
      <c r="P267" s="94"/>
    </row>
    <row r="268" hidden="1">
      <c r="A268" s="117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94"/>
      <c r="I268" s="94"/>
      <c r="J268" s="94"/>
      <c r="K268" s="94"/>
      <c r="L268" s="94"/>
      <c r="M268" s="94"/>
      <c r="N268" s="94"/>
      <c r="O268" s="94"/>
      <c r="P268" s="94"/>
    </row>
    <row r="269" hidden="1">
      <c r="A269" s="117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94"/>
      <c r="I269" s="94"/>
      <c r="J269" s="94"/>
      <c r="K269" s="94"/>
      <c r="L269" s="94"/>
      <c r="M269" s="94"/>
      <c r="N269" s="94"/>
      <c r="O269" s="94"/>
      <c r="P269" s="94"/>
    </row>
    <row r="270" hidden="1">
      <c r="A270" s="117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94"/>
      <c r="I270" s="94"/>
      <c r="J270" s="94"/>
      <c r="K270" s="94"/>
      <c r="L270" s="94"/>
      <c r="M270" s="94"/>
      <c r="N270" s="94"/>
      <c r="O270" s="94"/>
      <c r="P270" s="94"/>
    </row>
    <row r="271" hidden="1">
      <c r="A271" s="117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94"/>
      <c r="I271" s="94"/>
      <c r="J271" s="94"/>
      <c r="K271" s="94"/>
      <c r="L271" s="94"/>
      <c r="M271" s="94"/>
      <c r="N271" s="94"/>
      <c r="O271" s="94"/>
      <c r="P271" s="94"/>
    </row>
    <row r="272" hidden="1">
      <c r="A272" s="117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94"/>
      <c r="I272" s="94"/>
      <c r="J272" s="94"/>
      <c r="K272" s="94"/>
      <c r="L272" s="94"/>
      <c r="M272" s="94"/>
      <c r="N272" s="94"/>
      <c r="O272" s="94"/>
      <c r="P272" s="94"/>
    </row>
    <row r="273" hidden="1">
      <c r="A273" s="117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94"/>
      <c r="I273" s="94"/>
      <c r="J273" s="94"/>
      <c r="K273" s="94"/>
      <c r="L273" s="94"/>
      <c r="M273" s="94"/>
      <c r="N273" s="94"/>
      <c r="O273" s="94"/>
      <c r="P273" s="94"/>
    </row>
    <row r="274" hidden="1">
      <c r="A274" s="117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94"/>
      <c r="I274" s="94"/>
      <c r="J274" s="94"/>
      <c r="K274" s="94"/>
      <c r="L274" s="94"/>
      <c r="M274" s="94"/>
      <c r="N274" s="94"/>
      <c r="O274" s="94"/>
      <c r="P274" s="94"/>
    </row>
    <row r="275" hidden="1">
      <c r="A275" s="117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94"/>
      <c r="I275" s="94"/>
      <c r="J275" s="94"/>
      <c r="K275" s="94"/>
      <c r="L275" s="94"/>
      <c r="M275" s="94"/>
      <c r="N275" s="94"/>
      <c r="O275" s="94"/>
      <c r="P275" s="94"/>
    </row>
    <row r="276" hidden="1">
      <c r="A276" s="117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94"/>
      <c r="I276" s="94"/>
      <c r="J276" s="94"/>
      <c r="K276" s="94"/>
      <c r="L276" s="94"/>
      <c r="M276" s="94"/>
      <c r="N276" s="94"/>
      <c r="O276" s="94"/>
      <c r="P276" s="94"/>
    </row>
    <row r="277" hidden="1">
      <c r="A277" s="117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94"/>
      <c r="I277" s="94"/>
      <c r="J277" s="94"/>
      <c r="K277" s="94"/>
      <c r="L277" s="94"/>
      <c r="M277" s="94"/>
      <c r="N277" s="94"/>
      <c r="O277" s="94"/>
      <c r="P277" s="94"/>
    </row>
    <row r="278" hidden="1">
      <c r="A278" s="117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94"/>
      <c r="I278" s="94"/>
      <c r="J278" s="94"/>
      <c r="K278" s="94"/>
      <c r="L278" s="94"/>
      <c r="M278" s="94"/>
      <c r="N278" s="94"/>
      <c r="O278" s="94"/>
      <c r="P278" s="94"/>
    </row>
    <row r="279" hidden="1">
      <c r="A279" s="117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94"/>
      <c r="I279" s="94"/>
      <c r="J279" s="94"/>
      <c r="K279" s="94"/>
      <c r="L279" s="94"/>
      <c r="M279" s="94"/>
      <c r="N279" s="94"/>
      <c r="O279" s="94"/>
      <c r="P279" s="94"/>
    </row>
    <row r="280" hidden="1">
      <c r="A280" s="117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94"/>
      <c r="I280" s="94"/>
      <c r="J280" s="94"/>
      <c r="K280" s="94"/>
      <c r="L280" s="94"/>
      <c r="M280" s="94"/>
      <c r="N280" s="94"/>
      <c r="O280" s="94"/>
      <c r="P280" s="94"/>
    </row>
    <row r="281" hidden="1">
      <c r="A281" s="117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94"/>
      <c r="I281" s="94"/>
      <c r="J281" s="94"/>
      <c r="K281" s="94"/>
      <c r="L281" s="94"/>
      <c r="M281" s="94"/>
      <c r="N281" s="94"/>
      <c r="O281" s="94"/>
      <c r="P281" s="94"/>
    </row>
    <row r="282" hidden="1">
      <c r="A282" s="117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94"/>
      <c r="I282" s="94"/>
      <c r="J282" s="94"/>
      <c r="K282" s="94"/>
      <c r="L282" s="94"/>
      <c r="M282" s="94"/>
      <c r="N282" s="94"/>
      <c r="O282" s="94"/>
      <c r="P282" s="94"/>
    </row>
    <row r="283" hidden="1">
      <c r="A283" s="117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94"/>
      <c r="I283" s="94"/>
      <c r="J283" s="94"/>
      <c r="K283" s="94"/>
      <c r="L283" s="94"/>
      <c r="M283" s="94"/>
      <c r="N283" s="94"/>
      <c r="O283" s="94"/>
      <c r="P283" s="94"/>
    </row>
    <row r="284" hidden="1">
      <c r="A284" s="117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94"/>
      <c r="I284" s="94"/>
      <c r="J284" s="94"/>
      <c r="K284" s="94"/>
      <c r="L284" s="94"/>
      <c r="M284" s="94"/>
      <c r="N284" s="94"/>
      <c r="O284" s="94"/>
      <c r="P284" s="94"/>
    </row>
    <row r="285" hidden="1"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94"/>
      <c r="I285" s="94"/>
      <c r="J285" s="94"/>
      <c r="K285" s="94"/>
      <c r="L285" s="94"/>
      <c r="M285" s="94"/>
      <c r="N285" s="94"/>
      <c r="O285" s="94"/>
      <c r="P285" s="94"/>
    </row>
    <row r="286" hidden="1"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94"/>
      <c r="I286" s="94"/>
      <c r="J286" s="94"/>
      <c r="K286" s="94"/>
      <c r="L286" s="94"/>
      <c r="M286" s="94"/>
      <c r="N286" s="94"/>
      <c r="O286" s="94"/>
      <c r="P286" s="94"/>
    </row>
    <row r="287" hidden="1"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94"/>
      <c r="I287" s="94"/>
      <c r="J287" s="94"/>
      <c r="K287" s="94"/>
      <c r="L287" s="94"/>
      <c r="M287" s="94"/>
      <c r="N287" s="94"/>
      <c r="O287" s="94"/>
      <c r="P287" s="94"/>
    </row>
    <row r="288" hidden="1"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94"/>
      <c r="I288" s="94"/>
      <c r="J288" s="94"/>
      <c r="K288" s="94"/>
      <c r="L288" s="94"/>
      <c r="M288" s="94"/>
      <c r="N288" s="94"/>
      <c r="O288" s="94"/>
      <c r="P288" s="94"/>
    </row>
    <row r="289" hidden="1"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94"/>
      <c r="I289" s="94"/>
      <c r="J289" s="94"/>
      <c r="K289" s="94"/>
      <c r="L289" s="94"/>
      <c r="M289" s="94"/>
      <c r="N289" s="94"/>
      <c r="O289" s="94"/>
      <c r="P289" s="94"/>
    </row>
    <row r="290" hidden="1"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94"/>
      <c r="I290" s="94"/>
      <c r="J290" s="94"/>
      <c r="K290" s="94"/>
      <c r="L290" s="94"/>
      <c r="M290" s="94"/>
      <c r="N290" s="94"/>
      <c r="O290" s="94"/>
      <c r="P290" s="94"/>
    </row>
    <row r="291" hidden="1"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94"/>
      <c r="I291" s="94"/>
      <c r="J291" s="94"/>
      <c r="K291" s="94"/>
      <c r="L291" s="94"/>
      <c r="M291" s="94"/>
      <c r="N291" s="94"/>
      <c r="O291" s="94"/>
      <c r="P291" s="94"/>
    </row>
    <row r="292" hidden="1"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94"/>
      <c r="I292" s="94"/>
      <c r="J292" s="94"/>
      <c r="K292" s="94"/>
      <c r="L292" s="94"/>
      <c r="M292" s="94"/>
      <c r="N292" s="94"/>
      <c r="O292" s="94"/>
      <c r="P292" s="94"/>
    </row>
    <row r="293" hidden="1"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94"/>
      <c r="I293" s="94"/>
      <c r="J293" s="94"/>
      <c r="K293" s="94"/>
      <c r="L293" s="94"/>
      <c r="M293" s="94"/>
      <c r="N293" s="94"/>
      <c r="O293" s="94"/>
      <c r="P293" s="94"/>
    </row>
    <row r="294" hidden="1"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94"/>
      <c r="I294" s="94"/>
      <c r="J294" s="94"/>
      <c r="K294" s="94"/>
      <c r="L294" s="94"/>
      <c r="M294" s="94"/>
      <c r="N294" s="94"/>
      <c r="O294" s="94"/>
      <c r="P294" s="94"/>
    </row>
    <row r="295" hidden="1"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94"/>
      <c r="I295" s="94"/>
      <c r="J295" s="94"/>
      <c r="K295" s="94"/>
      <c r="L295" s="94"/>
      <c r="M295" s="94"/>
      <c r="N295" s="94"/>
      <c r="O295" s="94"/>
      <c r="P295" s="94"/>
    </row>
    <row r="296" hidden="1"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94"/>
      <c r="I296" s="94"/>
      <c r="J296" s="94"/>
      <c r="K296" s="94"/>
      <c r="L296" s="94"/>
      <c r="M296" s="94"/>
      <c r="N296" s="94"/>
      <c r="O296" s="94"/>
      <c r="P296" s="94"/>
    </row>
    <row r="297" hidden="1"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94"/>
      <c r="I297" s="94"/>
      <c r="J297" s="94"/>
      <c r="K297" s="94"/>
      <c r="L297" s="94"/>
      <c r="M297" s="94"/>
      <c r="N297" s="94"/>
      <c r="O297" s="94"/>
      <c r="P297" s="94"/>
    </row>
    <row r="298" hidden="1"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94"/>
      <c r="I298" s="94"/>
      <c r="J298" s="94"/>
      <c r="K298" s="94"/>
      <c r="L298" s="94"/>
      <c r="M298" s="94"/>
      <c r="N298" s="94"/>
      <c r="O298" s="94"/>
      <c r="P298" s="94"/>
    </row>
    <row r="299" hidden="1"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94"/>
      <c r="H299" s="94"/>
      <c r="I299" s="94"/>
      <c r="J299" s="94"/>
      <c r="K299" s="94"/>
      <c r="L299" s="94"/>
      <c r="M299" s="94"/>
      <c r="N299" s="94"/>
      <c r="O299" s="94"/>
      <c r="P299" s="94"/>
    </row>
    <row r="300">
      <c r="A300" s="3">
        <v>2.025010247E9</v>
      </c>
      <c r="B300" s="109" t="str">
        <f>VLOOKUP($A300,ANAGRAFICA!$B$1:$G$306,2,FALSE)</f>
        <v>TREMOLADA</v>
      </c>
      <c r="C300" s="109" t="str">
        <f>VLOOKUP($A300,ANAGRAFICA!$B$1:$G$306,3,FALSE)</f>
        <v>MARCO</v>
      </c>
      <c r="D300" s="109" t="str">
        <f>VLOOKUP($A300,ANAGRAFICA!$B$1:$G$306,4,FALSE)</f>
        <v>758-25</v>
      </c>
      <c r="E300" s="109">
        <f>VLOOKUP($A300,ANAGRAFICA!$B$1:$G$306,5,FALSE)</f>
        <v>3272025054</v>
      </c>
      <c r="F300" s="109">
        <f>VLOOKUP($A300,ANAGRAFICA!$B$1:$G$306,6,FALSE)</f>
        <v>2025</v>
      </c>
      <c r="G300" s="94"/>
      <c r="H300" s="57">
        <v>1.0</v>
      </c>
      <c r="I300" s="110">
        <v>45720.0</v>
      </c>
      <c r="J300" s="57" t="s">
        <v>432</v>
      </c>
      <c r="K300" s="110">
        <v>45728.0</v>
      </c>
      <c r="L300" s="57" t="s">
        <v>324</v>
      </c>
      <c r="M300" s="115" t="s">
        <v>527</v>
      </c>
      <c r="N300" s="57" t="s">
        <v>512</v>
      </c>
      <c r="O300" s="57" t="s">
        <v>512</v>
      </c>
      <c r="P300" s="94"/>
    </row>
    <row r="301">
      <c r="A301" s="3">
        <v>2.025010247E9</v>
      </c>
      <c r="B301" s="109" t="str">
        <f>VLOOKUP($A301,ANAGRAFICA!$B$1:$G$306,2,FALSE)</f>
        <v>TREMOLADA</v>
      </c>
      <c r="C301" s="109" t="str">
        <f>VLOOKUP($A301,ANAGRAFICA!$B$1:$G$306,3,FALSE)</f>
        <v>MARCO</v>
      </c>
      <c r="D301" s="109" t="str">
        <f>VLOOKUP($A301,ANAGRAFICA!$B$1:$G$306,4,FALSE)</f>
        <v>758-25</v>
      </c>
      <c r="E301" s="109">
        <f>VLOOKUP($A301,ANAGRAFICA!$B$1:$G$306,5,FALSE)</f>
        <v>3272025054</v>
      </c>
      <c r="F301" s="109">
        <f>VLOOKUP($A301,ANAGRAFICA!$B$1:$G$306,6,FALSE)</f>
        <v>2025</v>
      </c>
      <c r="G301" s="94"/>
      <c r="H301" s="57">
        <v>2.0</v>
      </c>
      <c r="I301" s="110">
        <v>45732.0</v>
      </c>
      <c r="J301" s="57" t="s">
        <v>216</v>
      </c>
      <c r="K301" s="110">
        <v>45812.0</v>
      </c>
      <c r="L301" s="57" t="s">
        <v>292</v>
      </c>
      <c r="M301" s="57" t="s">
        <v>510</v>
      </c>
      <c r="N301" s="57" t="s">
        <v>513</v>
      </c>
      <c r="O301" s="57" t="s">
        <v>514</v>
      </c>
      <c r="P301" s="94"/>
    </row>
    <row r="302">
      <c r="A302" s="3">
        <v>2.025010247E9</v>
      </c>
      <c r="B302" s="109"/>
      <c r="C302" s="109"/>
      <c r="D302" s="109"/>
      <c r="E302" s="109"/>
      <c r="F302" s="109"/>
      <c r="G302" s="94"/>
      <c r="H302" s="57">
        <v>3.0</v>
      </c>
      <c r="I302" s="110">
        <v>45748.0</v>
      </c>
      <c r="J302" s="57" t="s">
        <v>528</v>
      </c>
      <c r="K302" s="110">
        <v>45762.0</v>
      </c>
      <c r="L302" s="57" t="s">
        <v>324</v>
      </c>
      <c r="M302" s="57"/>
      <c r="N302" s="57"/>
      <c r="O302" s="57"/>
      <c r="P302" s="94"/>
    </row>
    <row r="303">
      <c r="A303" s="3">
        <v>2.025010247E9</v>
      </c>
      <c r="B303" s="109"/>
      <c r="C303" s="109"/>
      <c r="D303" s="109"/>
      <c r="E303" s="109"/>
      <c r="F303" s="109"/>
      <c r="G303" s="94"/>
      <c r="H303" s="57">
        <v>4.0</v>
      </c>
      <c r="I303" s="110">
        <v>45762.0</v>
      </c>
      <c r="J303" s="114">
        <v>0.4583333333333333</v>
      </c>
      <c r="K303" s="110">
        <v>45777.0</v>
      </c>
      <c r="L303" s="57" t="s">
        <v>406</v>
      </c>
      <c r="M303" s="57"/>
      <c r="N303" s="57"/>
      <c r="O303" s="57"/>
      <c r="P303" s="94"/>
    </row>
    <row r="304">
      <c r="A304" s="3">
        <v>2.025010247E9</v>
      </c>
      <c r="B304" s="109"/>
      <c r="C304" s="109"/>
      <c r="D304" s="109"/>
      <c r="E304" s="109"/>
      <c r="F304" s="109"/>
      <c r="G304" s="94"/>
      <c r="H304" s="57">
        <v>5.0</v>
      </c>
      <c r="I304" s="110">
        <v>45777.0</v>
      </c>
      <c r="J304" s="57" t="s">
        <v>406</v>
      </c>
      <c r="K304" s="110">
        <v>45784.0</v>
      </c>
      <c r="L304" s="57" t="s">
        <v>176</v>
      </c>
      <c r="M304" s="57"/>
      <c r="N304" s="57"/>
      <c r="O304" s="57"/>
      <c r="P304" s="94"/>
    </row>
    <row r="305">
      <c r="A305" s="3">
        <v>2.025010247E9</v>
      </c>
      <c r="B305" s="109"/>
      <c r="C305" s="109"/>
      <c r="D305" s="109"/>
      <c r="E305" s="109"/>
      <c r="F305" s="109"/>
      <c r="G305" s="94"/>
      <c r="H305" s="57">
        <v>6.0</v>
      </c>
      <c r="I305" s="110">
        <v>45784.0</v>
      </c>
      <c r="J305" s="57" t="s">
        <v>176</v>
      </c>
      <c r="K305" s="110">
        <v>45794.0</v>
      </c>
      <c r="L305" s="57" t="s">
        <v>529</v>
      </c>
      <c r="M305" s="57"/>
      <c r="N305" s="57"/>
      <c r="O305" s="57"/>
      <c r="P305" s="94"/>
    </row>
    <row r="306">
      <c r="A306" s="3">
        <v>2.025010247E9</v>
      </c>
      <c r="B306" s="109"/>
      <c r="C306" s="109"/>
      <c r="D306" s="109"/>
      <c r="E306" s="109"/>
      <c r="F306" s="109"/>
      <c r="G306" s="94"/>
      <c r="H306" s="57">
        <v>7.0</v>
      </c>
      <c r="I306" s="110">
        <v>45794.0</v>
      </c>
      <c r="J306" s="57" t="s">
        <v>529</v>
      </c>
      <c r="K306" s="110">
        <v>45800.0</v>
      </c>
      <c r="L306" s="57" t="s">
        <v>242</v>
      </c>
      <c r="M306" s="57"/>
      <c r="N306" s="57"/>
      <c r="O306" s="57"/>
      <c r="P306" s="94"/>
    </row>
    <row r="307">
      <c r="A307" s="3">
        <v>2.025010247E9</v>
      </c>
      <c r="B307" s="109"/>
      <c r="C307" s="109"/>
      <c r="D307" s="109"/>
      <c r="E307" s="109"/>
      <c r="F307" s="109"/>
      <c r="G307" s="94"/>
      <c r="H307" s="57">
        <v>8.0</v>
      </c>
      <c r="I307" s="110">
        <v>45800.0</v>
      </c>
      <c r="J307" s="57" t="s">
        <v>242</v>
      </c>
      <c r="K307" s="110">
        <v>45812.0</v>
      </c>
      <c r="L307" s="57" t="s">
        <v>353</v>
      </c>
      <c r="M307" s="57"/>
      <c r="N307" s="57"/>
      <c r="O307" s="57"/>
      <c r="P307" s="94"/>
    </row>
    <row r="308">
      <c r="A308" s="3">
        <v>2.025010247E9</v>
      </c>
      <c r="B308" s="109"/>
      <c r="C308" s="109"/>
      <c r="D308" s="109"/>
      <c r="E308" s="109"/>
      <c r="F308" s="109"/>
      <c r="G308" s="94"/>
      <c r="H308" s="57">
        <v>9.0</v>
      </c>
      <c r="I308" s="110">
        <v>45812.0</v>
      </c>
      <c r="J308" s="57" t="s">
        <v>353</v>
      </c>
      <c r="K308" s="110"/>
      <c r="L308" s="57"/>
      <c r="M308" s="57"/>
      <c r="N308" s="57"/>
      <c r="O308" s="57"/>
      <c r="P308" s="57" t="s">
        <v>530</v>
      </c>
    </row>
    <row r="309">
      <c r="A309" s="3">
        <v>2.125020858E9</v>
      </c>
      <c r="B309" s="3" t="s">
        <v>223</v>
      </c>
      <c r="C309" s="3" t="s">
        <v>57</v>
      </c>
      <c r="F309" s="57">
        <v>2025.0</v>
      </c>
      <c r="G309" s="94"/>
      <c r="H309" s="57">
        <v>1.0</v>
      </c>
      <c r="I309" s="110">
        <v>45787.0</v>
      </c>
      <c r="J309" s="57" t="s">
        <v>460</v>
      </c>
      <c r="K309" s="110">
        <v>45788.0</v>
      </c>
      <c r="L309" s="57" t="s">
        <v>461</v>
      </c>
      <c r="M309" s="57" t="s">
        <v>510</v>
      </c>
      <c r="N309" s="57" t="s">
        <v>513</v>
      </c>
      <c r="O309" s="57" t="s">
        <v>514</v>
      </c>
      <c r="P309" s="94"/>
    </row>
    <row r="310">
      <c r="A310" s="3">
        <v>2.125023093E9</v>
      </c>
      <c r="B310" s="3" t="s">
        <v>228</v>
      </c>
      <c r="C310" s="3" t="s">
        <v>37</v>
      </c>
      <c r="F310" s="57">
        <v>2025.0</v>
      </c>
      <c r="G310" s="94"/>
      <c r="H310" s="57">
        <v>1.0</v>
      </c>
      <c r="I310" s="110">
        <v>45800.0</v>
      </c>
      <c r="J310" s="57" t="s">
        <v>462</v>
      </c>
      <c r="K310" s="110">
        <v>45802.0</v>
      </c>
      <c r="L310" s="57" t="s">
        <v>463</v>
      </c>
      <c r="M310" s="94"/>
      <c r="N310" s="57" t="s">
        <v>531</v>
      </c>
      <c r="O310" s="94"/>
      <c r="P310" s="94"/>
    </row>
    <row r="311">
      <c r="A311" s="3">
        <v>2.125024608E9</v>
      </c>
      <c r="B311" s="3" t="s">
        <v>231</v>
      </c>
      <c r="C311" s="3" t="s">
        <v>232</v>
      </c>
      <c r="E311" s="3">
        <v>3.272025057E9</v>
      </c>
      <c r="F311" s="57">
        <v>2025.0</v>
      </c>
      <c r="G311" s="94"/>
      <c r="H311" s="57">
        <v>1.0</v>
      </c>
      <c r="I311" s="110">
        <v>45811.0</v>
      </c>
      <c r="J311" s="57" t="s">
        <v>465</v>
      </c>
      <c r="K311" s="110">
        <v>45815.0</v>
      </c>
      <c r="L311" s="57" t="s">
        <v>466</v>
      </c>
      <c r="M311" s="57" t="s">
        <v>510</v>
      </c>
      <c r="N311" s="94"/>
      <c r="O311" s="57" t="s">
        <v>512</v>
      </c>
      <c r="P311" s="94"/>
    </row>
    <row r="312">
      <c r="A312" s="3">
        <v>2.125024565E9</v>
      </c>
      <c r="B312" s="3" t="s">
        <v>235</v>
      </c>
      <c r="C312" s="3" t="s">
        <v>57</v>
      </c>
      <c r="F312" s="57">
        <v>2025.0</v>
      </c>
      <c r="G312" s="94"/>
      <c r="H312" s="57">
        <v>1.0</v>
      </c>
      <c r="I312" s="110">
        <v>45813.0</v>
      </c>
      <c r="J312" s="57" t="s">
        <v>50</v>
      </c>
      <c r="K312" s="110">
        <v>45814.0</v>
      </c>
      <c r="L312" s="57" t="s">
        <v>166</v>
      </c>
      <c r="M312" s="94"/>
      <c r="N312" s="94"/>
      <c r="O312" s="94"/>
      <c r="P312" s="94"/>
    </row>
    <row r="313">
      <c r="A313" s="3">
        <v>2.125025861E9</v>
      </c>
      <c r="B313" s="3" t="s">
        <v>238</v>
      </c>
      <c r="C313" s="3" t="s">
        <v>239</v>
      </c>
      <c r="E313" s="3">
        <v>3.272025058E9</v>
      </c>
      <c r="F313" s="57">
        <v>2025.0</v>
      </c>
      <c r="G313" s="94"/>
      <c r="H313" s="57">
        <v>1.0</v>
      </c>
      <c r="I313" s="110">
        <v>45818.0</v>
      </c>
      <c r="J313" s="57" t="s">
        <v>116</v>
      </c>
      <c r="K313" s="110">
        <v>45824.0</v>
      </c>
      <c r="L313" s="57" t="s">
        <v>279</v>
      </c>
      <c r="M313" s="57"/>
      <c r="N313" s="94"/>
      <c r="O313" s="94"/>
      <c r="P313" s="94"/>
    </row>
    <row r="314">
      <c r="A314" s="3">
        <v>2.125026559E9</v>
      </c>
      <c r="B314" s="3" t="s">
        <v>244</v>
      </c>
      <c r="C314" s="3" t="s">
        <v>113</v>
      </c>
      <c r="D314" s="3" t="s">
        <v>245</v>
      </c>
      <c r="E314" s="3">
        <v>3.272025059E9</v>
      </c>
      <c r="F314" s="57">
        <v>2025.0</v>
      </c>
      <c r="G314" s="94"/>
      <c r="H314" s="57">
        <v>1.0</v>
      </c>
      <c r="I314" s="110">
        <v>45824.0</v>
      </c>
      <c r="J314" s="57" t="s">
        <v>470</v>
      </c>
      <c r="K314" s="110">
        <v>45825.0</v>
      </c>
      <c r="L314" s="57" t="s">
        <v>471</v>
      </c>
      <c r="M314" s="94"/>
      <c r="N314" s="94"/>
      <c r="O314" s="57" t="s">
        <v>514</v>
      </c>
      <c r="P314" s="94"/>
    </row>
    <row r="315">
      <c r="A315" s="3">
        <v>2.125027331E9</v>
      </c>
      <c r="B315" s="3" t="s">
        <v>255</v>
      </c>
      <c r="C315" s="3" t="s">
        <v>256</v>
      </c>
      <c r="F315" s="57">
        <v>2025.0</v>
      </c>
      <c r="G315" s="94"/>
      <c r="H315" s="57">
        <v>1.0</v>
      </c>
      <c r="I315" s="124">
        <v>45828.0</v>
      </c>
      <c r="J315" s="57" t="s">
        <v>475</v>
      </c>
      <c r="K315" s="110">
        <v>45828.0</v>
      </c>
      <c r="L315" s="57" t="s">
        <v>166</v>
      </c>
      <c r="M315" s="94"/>
      <c r="N315" s="94"/>
      <c r="O315" s="94"/>
      <c r="P315" s="94"/>
    </row>
    <row r="316">
      <c r="A316" s="3">
        <v>2.125029623E9</v>
      </c>
      <c r="B316" s="3" t="s">
        <v>265</v>
      </c>
      <c r="C316" s="3" t="s">
        <v>266</v>
      </c>
      <c r="D316" s="3" t="s">
        <v>267</v>
      </c>
      <c r="E316" s="3">
        <v>3.272025062E9</v>
      </c>
      <c r="F316" s="57">
        <v>2025.0</v>
      </c>
      <c r="G316" s="94"/>
      <c r="H316" s="57">
        <v>1.0</v>
      </c>
      <c r="I316" s="124">
        <v>45845.0</v>
      </c>
      <c r="J316" s="57" t="s">
        <v>420</v>
      </c>
      <c r="K316" s="112">
        <v>45855.0</v>
      </c>
      <c r="L316" s="57" t="s">
        <v>532</v>
      </c>
      <c r="M316" s="57" t="s">
        <v>533</v>
      </c>
      <c r="N316" s="94"/>
      <c r="O316" s="57"/>
      <c r="P316" s="94"/>
    </row>
    <row r="317">
      <c r="A317" s="3">
        <v>2.125026384E9</v>
      </c>
      <c r="B317" s="3" t="s">
        <v>261</v>
      </c>
      <c r="C317" s="3" t="s">
        <v>262</v>
      </c>
      <c r="D317" s="3" t="s">
        <v>263</v>
      </c>
      <c r="E317" s="3">
        <v>3.272025061E9</v>
      </c>
      <c r="F317" s="57">
        <v>2025.0</v>
      </c>
      <c r="G317" s="94"/>
      <c r="H317" s="57">
        <v>1.0</v>
      </c>
      <c r="I317" s="110">
        <v>45832.0</v>
      </c>
      <c r="J317" s="114">
        <v>0.9791666666666666</v>
      </c>
      <c r="K317" s="110">
        <v>45837.0</v>
      </c>
      <c r="L317" s="57" t="s">
        <v>68</v>
      </c>
      <c r="M317" s="94"/>
      <c r="N317" s="94"/>
      <c r="O317" s="94"/>
      <c r="P317" s="94"/>
    </row>
    <row r="318">
      <c r="A318" s="3">
        <v>2.125026869E9</v>
      </c>
      <c r="B318" s="3" t="s">
        <v>250</v>
      </c>
      <c r="C318" s="3" t="s">
        <v>534</v>
      </c>
      <c r="D318" s="3" t="s">
        <v>251</v>
      </c>
      <c r="E318" s="3">
        <v>3.27202506E9</v>
      </c>
      <c r="F318" s="57">
        <v>2025.0</v>
      </c>
      <c r="G318" s="94"/>
      <c r="H318" s="57">
        <v>1.0</v>
      </c>
      <c r="I318" s="110">
        <v>45825.0</v>
      </c>
      <c r="J318" s="57" t="s">
        <v>479</v>
      </c>
      <c r="K318" s="110">
        <v>45841.0</v>
      </c>
      <c r="L318" s="57" t="s">
        <v>324</v>
      </c>
      <c r="M318" s="94"/>
      <c r="N318" s="94"/>
      <c r="O318" s="94"/>
      <c r="P318" s="94"/>
    </row>
    <row r="319">
      <c r="A319" s="3">
        <v>2.125032902E9</v>
      </c>
      <c r="B319" s="3" t="s">
        <v>272</v>
      </c>
      <c r="C319" s="3" t="s">
        <v>273</v>
      </c>
      <c r="D319" s="3" t="s">
        <v>274</v>
      </c>
      <c r="E319" s="3">
        <v>3.272025063E9</v>
      </c>
      <c r="F319" s="57">
        <v>2025.0</v>
      </c>
      <c r="G319" s="94"/>
      <c r="H319" s="57">
        <v>1.0</v>
      </c>
      <c r="I319" s="110">
        <v>45870.0</v>
      </c>
      <c r="J319" s="57" t="s">
        <v>480</v>
      </c>
      <c r="K319" s="110">
        <v>45872.0</v>
      </c>
      <c r="L319" s="57" t="s">
        <v>39</v>
      </c>
      <c r="M319" s="94"/>
      <c r="N319" s="94"/>
      <c r="O319" s="94"/>
      <c r="P319" s="94"/>
    </row>
    <row r="320">
      <c r="A320" s="3">
        <v>2.125032653E9</v>
      </c>
      <c r="B320" s="3" t="s">
        <v>276</v>
      </c>
      <c r="C320" s="3" t="s">
        <v>277</v>
      </c>
      <c r="E320" s="3">
        <v>3.272025064E9</v>
      </c>
      <c r="F320" s="57">
        <v>2025.0</v>
      </c>
      <c r="G320" s="94"/>
      <c r="H320" s="57">
        <v>1.0</v>
      </c>
      <c r="I320" s="110">
        <v>45871.0</v>
      </c>
      <c r="J320" s="57" t="s">
        <v>482</v>
      </c>
      <c r="K320" s="110">
        <v>45875.0</v>
      </c>
      <c r="L320" s="57"/>
      <c r="M320" s="94"/>
      <c r="N320" s="94"/>
      <c r="O320" s="94"/>
      <c r="P320" s="94"/>
    </row>
    <row r="321">
      <c r="A321" s="3">
        <v>2.125037782E9</v>
      </c>
      <c r="B321" s="3" t="s">
        <v>535</v>
      </c>
      <c r="C321" s="3" t="s">
        <v>281</v>
      </c>
      <c r="E321" s="3">
        <v>3.272025065E9</v>
      </c>
      <c r="F321" s="57">
        <v>2025.0</v>
      </c>
      <c r="G321" s="94"/>
      <c r="H321" s="57">
        <v>1.0</v>
      </c>
      <c r="I321" s="125">
        <v>45912.0</v>
      </c>
      <c r="J321" s="57" t="s">
        <v>484</v>
      </c>
      <c r="K321" s="110">
        <v>45883.0</v>
      </c>
      <c r="L321" s="57" t="s">
        <v>279</v>
      </c>
      <c r="M321" s="94"/>
      <c r="N321" s="94"/>
      <c r="O321" s="94"/>
      <c r="P321" s="94"/>
    </row>
    <row r="322">
      <c r="A322" s="3">
        <v>2.125037955E9</v>
      </c>
      <c r="B322" s="3" t="s">
        <v>284</v>
      </c>
      <c r="C322" s="3" t="s">
        <v>62</v>
      </c>
      <c r="D322" s="3" t="s">
        <v>285</v>
      </c>
      <c r="E322" s="3">
        <v>3.272025066E9</v>
      </c>
      <c r="F322" s="57">
        <v>2025.0</v>
      </c>
      <c r="G322" s="94"/>
      <c r="H322" s="57">
        <v>1.0</v>
      </c>
      <c r="I322" s="110">
        <v>45913.0</v>
      </c>
      <c r="J322" s="57" t="s">
        <v>486</v>
      </c>
      <c r="K322" s="110">
        <v>45915.0</v>
      </c>
      <c r="L322" s="57" t="s">
        <v>87</v>
      </c>
      <c r="M322" s="94"/>
      <c r="N322" s="57" t="s">
        <v>536</v>
      </c>
      <c r="O322" s="94"/>
      <c r="P322" s="57" t="s">
        <v>537</v>
      </c>
    </row>
    <row r="323">
      <c r="A323" s="3">
        <v>2.125040106E9</v>
      </c>
      <c r="B323" s="3" t="s">
        <v>295</v>
      </c>
      <c r="C323" s="3" t="s">
        <v>296</v>
      </c>
      <c r="D323" s="3" t="s">
        <v>297</v>
      </c>
      <c r="E323" s="3">
        <v>3.272025068E9</v>
      </c>
      <c r="F323" s="57">
        <v>2025.0</v>
      </c>
      <c r="G323" s="94"/>
      <c r="H323" s="57">
        <v>1.0</v>
      </c>
      <c r="I323" s="110">
        <v>45930.0</v>
      </c>
      <c r="J323" s="94"/>
      <c r="K323" s="110">
        <v>45939.0</v>
      </c>
      <c r="L323" s="57" t="s">
        <v>538</v>
      </c>
      <c r="M323" s="94"/>
      <c r="N323" s="94"/>
      <c r="O323" s="94"/>
      <c r="P323" s="94"/>
    </row>
    <row r="324">
      <c r="A324" s="3">
        <v>2.125040052E9</v>
      </c>
      <c r="B324" s="3" t="s">
        <v>288</v>
      </c>
      <c r="C324" s="3" t="s">
        <v>289</v>
      </c>
      <c r="D324" s="3" t="s">
        <v>290</v>
      </c>
      <c r="E324" s="3">
        <v>3.272025067E9</v>
      </c>
      <c r="F324" s="57">
        <v>2025.0</v>
      </c>
      <c r="G324" s="94"/>
      <c r="H324" s="57">
        <v>1.0</v>
      </c>
      <c r="I324" s="110">
        <v>45926.0</v>
      </c>
      <c r="J324" s="57" t="s">
        <v>487</v>
      </c>
      <c r="K324" s="110">
        <v>45933.0</v>
      </c>
      <c r="L324" s="57" t="s">
        <v>539</v>
      </c>
      <c r="M324" s="94"/>
      <c r="N324" s="94"/>
      <c r="O324" s="94"/>
      <c r="P324" s="94"/>
    </row>
    <row r="325">
      <c r="A325" s="3">
        <v>2.125040835E9</v>
      </c>
      <c r="B325" s="3" t="s">
        <v>299</v>
      </c>
      <c r="C325" s="3" t="s">
        <v>300</v>
      </c>
      <c r="D325" s="3" t="s">
        <v>301</v>
      </c>
      <c r="F325" s="57">
        <v>2025.0</v>
      </c>
      <c r="G325" s="94"/>
      <c r="H325" s="57">
        <v>1.0</v>
      </c>
      <c r="I325" s="110">
        <v>45931.0</v>
      </c>
      <c r="J325" s="57" t="s">
        <v>540</v>
      </c>
      <c r="K325" s="110">
        <v>45934.0</v>
      </c>
      <c r="L325" s="57" t="s">
        <v>491</v>
      </c>
      <c r="M325" s="94"/>
      <c r="N325" s="94"/>
      <c r="O325" s="94"/>
      <c r="P325" s="94"/>
    </row>
    <row r="326">
      <c r="A326" s="3">
        <v>2.125042368E9</v>
      </c>
      <c r="B326" s="3" t="s">
        <v>541</v>
      </c>
      <c r="C326" s="3" t="s">
        <v>307</v>
      </c>
      <c r="D326" s="3" t="s">
        <v>308</v>
      </c>
      <c r="E326" s="3">
        <v>3.27202507E9</v>
      </c>
      <c r="F326" s="57">
        <v>2025.0</v>
      </c>
      <c r="G326" s="57">
        <v>1.0</v>
      </c>
      <c r="H326" s="57">
        <v>1.0</v>
      </c>
      <c r="I326" s="110">
        <v>45941.0</v>
      </c>
      <c r="J326" s="57" t="s">
        <v>493</v>
      </c>
      <c r="K326" s="110">
        <v>45946.0</v>
      </c>
      <c r="L326" s="57" t="s">
        <v>221</v>
      </c>
      <c r="M326" s="94"/>
      <c r="N326" s="57" t="s">
        <v>536</v>
      </c>
      <c r="O326" s="94"/>
      <c r="P326" s="94"/>
    </row>
    <row r="327">
      <c r="A327" s="3">
        <v>2.125046195E9</v>
      </c>
      <c r="B327" s="126" t="s">
        <v>311</v>
      </c>
      <c r="C327" s="126" t="s">
        <v>312</v>
      </c>
      <c r="D327" s="3" t="s">
        <v>313</v>
      </c>
      <c r="E327" s="3">
        <v>3.272025071E9</v>
      </c>
      <c r="F327" s="57">
        <v>2025.0</v>
      </c>
      <c r="G327" s="94"/>
      <c r="H327" s="57">
        <v>1.0</v>
      </c>
      <c r="I327" s="110">
        <v>45964.0</v>
      </c>
      <c r="J327" s="57" t="s">
        <v>494</v>
      </c>
      <c r="K327" s="110">
        <v>45967.0</v>
      </c>
      <c r="L327" s="57" t="s">
        <v>264</v>
      </c>
      <c r="M327" s="94"/>
      <c r="N327" s="57" t="s">
        <v>536</v>
      </c>
      <c r="O327" s="94"/>
      <c r="P327" s="94"/>
    </row>
    <row r="328">
      <c r="A328" s="3">
        <v>2.125051424E9</v>
      </c>
      <c r="B328" s="3" t="s">
        <v>315</v>
      </c>
      <c r="C328" s="3" t="s">
        <v>316</v>
      </c>
      <c r="D328" s="3" t="s">
        <v>317</v>
      </c>
      <c r="E328" s="3">
        <v>3.272025072E9</v>
      </c>
      <c r="F328" s="3">
        <v>2025.0</v>
      </c>
      <c r="G328" s="94"/>
      <c r="H328" s="57">
        <v>1.0</v>
      </c>
      <c r="I328" s="112">
        <v>45999.0</v>
      </c>
      <c r="J328" s="57" t="s">
        <v>384</v>
      </c>
      <c r="K328" s="112">
        <v>46003.0</v>
      </c>
      <c r="L328" s="57" t="s">
        <v>454</v>
      </c>
      <c r="M328" s="94"/>
      <c r="N328" s="94"/>
      <c r="O328" s="94"/>
      <c r="P328" s="94"/>
    </row>
    <row r="329">
      <c r="A329" s="3">
        <v>2.1250527E9</v>
      </c>
      <c r="B329" s="3" t="s">
        <v>320</v>
      </c>
      <c r="C329" s="3" t="s">
        <v>321</v>
      </c>
      <c r="D329" s="3" t="s">
        <v>322</v>
      </c>
      <c r="E329" s="3">
        <v>3.272025073E9</v>
      </c>
      <c r="F329" s="3">
        <v>2025.0</v>
      </c>
      <c r="G329" s="94"/>
      <c r="H329" s="57">
        <v>1.0</v>
      </c>
      <c r="I329" s="112">
        <v>46006.0</v>
      </c>
      <c r="J329" s="57" t="s">
        <v>496</v>
      </c>
      <c r="K329" s="112">
        <v>46009.0</v>
      </c>
      <c r="L329" s="57" t="s">
        <v>353</v>
      </c>
      <c r="M329" s="94"/>
      <c r="N329" s="94"/>
      <c r="O329" s="94"/>
      <c r="P329" s="94"/>
    </row>
    <row r="330">
      <c r="A330" s="3">
        <v>2.125053097E9</v>
      </c>
      <c r="B330" s="3" t="s">
        <v>326</v>
      </c>
      <c r="C330" s="3" t="s">
        <v>327</v>
      </c>
      <c r="E330" s="3">
        <v>3.272025074E9</v>
      </c>
      <c r="F330" s="3">
        <v>2025.0</v>
      </c>
      <c r="G330" s="94"/>
      <c r="H330" s="57">
        <v>1.0</v>
      </c>
      <c r="I330" s="112">
        <v>46009.0</v>
      </c>
      <c r="J330" s="57" t="s">
        <v>498</v>
      </c>
      <c r="K330" s="112">
        <v>46020.0</v>
      </c>
      <c r="L330" s="57" t="s">
        <v>279</v>
      </c>
      <c r="M330" s="94"/>
      <c r="N330" s="57" t="s">
        <v>536</v>
      </c>
      <c r="O330" s="94"/>
      <c r="P330" s="94"/>
    </row>
    <row r="331">
      <c r="A331" s="3">
        <v>2.125053589E9</v>
      </c>
      <c r="B331" s="3" t="s">
        <v>329</v>
      </c>
      <c r="C331" s="3" t="s">
        <v>330</v>
      </c>
      <c r="F331" s="3">
        <v>2025.0</v>
      </c>
      <c r="G331" s="94"/>
      <c r="H331" s="57">
        <v>1.0</v>
      </c>
      <c r="I331" s="112">
        <v>46013.0</v>
      </c>
      <c r="J331" s="57" t="s">
        <v>499</v>
      </c>
      <c r="K331" s="112">
        <v>46018.0</v>
      </c>
      <c r="L331" s="57" t="s">
        <v>353</v>
      </c>
      <c r="M331" s="94"/>
      <c r="N331" s="94"/>
      <c r="O331" s="94"/>
      <c r="P331" s="94"/>
    </row>
    <row r="332">
      <c r="A332" s="3">
        <v>2.126005799E9</v>
      </c>
      <c r="B332" s="3" t="s">
        <v>365</v>
      </c>
      <c r="C332" s="3" t="s">
        <v>366</v>
      </c>
      <c r="F332" s="3">
        <v>2026.0</v>
      </c>
      <c r="G332" s="57"/>
      <c r="H332" s="57">
        <v>1.0</v>
      </c>
      <c r="I332" s="110">
        <v>46063.0</v>
      </c>
      <c r="J332" s="57" t="s">
        <v>500</v>
      </c>
      <c r="K332" s="110">
        <v>45700.0</v>
      </c>
      <c r="L332" s="57" t="s">
        <v>68</v>
      </c>
      <c r="M332" s="94"/>
      <c r="N332" s="94"/>
      <c r="O332" s="94"/>
      <c r="P332" s="94"/>
    </row>
    <row r="333" ht="16.5" customHeight="1">
      <c r="A333" s="3">
        <v>2.12505375E9</v>
      </c>
      <c r="B333" s="3" t="s">
        <v>117</v>
      </c>
      <c r="C333" s="3" t="s">
        <v>337</v>
      </c>
      <c r="F333" s="3">
        <v>2025.0</v>
      </c>
      <c r="G333" s="94"/>
      <c r="H333" s="57">
        <v>1.0</v>
      </c>
      <c r="I333" s="112">
        <v>46013.0</v>
      </c>
      <c r="J333" s="57" t="s">
        <v>501</v>
      </c>
      <c r="K333" s="112">
        <v>46014.0</v>
      </c>
      <c r="L333" s="57" t="s">
        <v>502</v>
      </c>
      <c r="M333" s="94"/>
      <c r="N333" s="94"/>
      <c r="O333" s="94"/>
      <c r="P333" s="94"/>
    </row>
    <row r="334">
      <c r="E334" s="75"/>
      <c r="J334" s="94"/>
      <c r="Z334" s="81"/>
      <c r="AA334" s="78"/>
    </row>
    <row r="335">
      <c r="A335" s="3">
        <v>2.126002771E9</v>
      </c>
      <c r="B335" s="3" t="s">
        <v>351</v>
      </c>
      <c r="C335" s="3" t="s">
        <v>57</v>
      </c>
      <c r="D335" s="3" t="s">
        <v>352</v>
      </c>
      <c r="F335" s="3">
        <v>2026.0</v>
      </c>
      <c r="G335" s="94"/>
      <c r="H335" s="57">
        <v>1.0</v>
      </c>
      <c r="I335" s="110">
        <v>46043.0</v>
      </c>
      <c r="J335" s="57" t="s">
        <v>503</v>
      </c>
      <c r="K335" s="110">
        <v>46049.0</v>
      </c>
      <c r="L335" s="57" t="s">
        <v>29</v>
      </c>
      <c r="M335" s="94"/>
      <c r="N335" s="94"/>
      <c r="O335" s="57" t="s">
        <v>514</v>
      </c>
      <c r="P335" s="94"/>
    </row>
    <row r="336">
      <c r="A336" s="117"/>
      <c r="G336" s="94"/>
      <c r="H336" s="94"/>
      <c r="I336" s="94"/>
      <c r="J336" s="94"/>
      <c r="K336" s="94"/>
      <c r="L336" s="94"/>
      <c r="M336" s="94"/>
      <c r="N336" s="94"/>
      <c r="O336" s="94"/>
      <c r="P336" s="94"/>
    </row>
    <row r="337">
      <c r="A337" s="117"/>
      <c r="G337" s="94"/>
      <c r="H337" s="94"/>
      <c r="I337" s="94"/>
      <c r="J337" s="94"/>
      <c r="K337" s="94"/>
      <c r="L337" s="94"/>
      <c r="M337" s="94"/>
      <c r="N337" s="94"/>
      <c r="O337" s="94"/>
      <c r="P337" s="94"/>
    </row>
    <row r="338">
      <c r="A338" s="117"/>
      <c r="G338" s="94"/>
      <c r="H338" s="94"/>
      <c r="I338" s="94"/>
      <c r="J338" s="94"/>
      <c r="K338" s="94"/>
      <c r="L338" s="94"/>
      <c r="M338" s="94"/>
      <c r="N338" s="94"/>
      <c r="O338" s="94"/>
      <c r="P338" s="94"/>
    </row>
    <row r="339">
      <c r="A339" s="117"/>
      <c r="G339" s="94"/>
      <c r="H339" s="94"/>
      <c r="I339" s="94"/>
      <c r="J339" s="94"/>
      <c r="K339" s="94"/>
      <c r="L339" s="94"/>
      <c r="M339" s="94"/>
      <c r="N339" s="94"/>
      <c r="O339" s="94"/>
      <c r="P339" s="94"/>
    </row>
    <row r="340">
      <c r="A340" s="117"/>
      <c r="G340" s="94"/>
      <c r="H340" s="94"/>
      <c r="I340" s="94"/>
      <c r="J340" s="94"/>
      <c r="K340" s="94"/>
      <c r="L340" s="94"/>
      <c r="M340" s="94"/>
      <c r="N340" s="94"/>
      <c r="O340" s="94"/>
      <c r="P340" s="94"/>
    </row>
    <row r="341">
      <c r="G341" s="94"/>
      <c r="H341" s="94"/>
      <c r="I341" s="94"/>
      <c r="J341" s="94"/>
      <c r="K341" s="94"/>
      <c r="L341" s="94"/>
      <c r="M341" s="94"/>
      <c r="N341" s="94"/>
      <c r="O341" s="94"/>
      <c r="P341" s="94"/>
    </row>
    <row r="342">
      <c r="G342" s="94"/>
      <c r="H342" s="94"/>
      <c r="I342" s="94"/>
      <c r="J342" s="94"/>
      <c r="K342" s="94"/>
      <c r="L342" s="94"/>
      <c r="M342" s="94"/>
      <c r="N342" s="94"/>
      <c r="O342" s="94"/>
      <c r="P342" s="94"/>
    </row>
    <row r="343">
      <c r="G343" s="94"/>
      <c r="H343" s="94"/>
      <c r="I343" s="94"/>
      <c r="J343" s="94"/>
      <c r="K343" s="94"/>
      <c r="L343" s="94"/>
      <c r="M343" s="94"/>
      <c r="N343" s="94"/>
      <c r="O343" s="94"/>
      <c r="P343" s="94"/>
    </row>
    <row r="344">
      <c r="G344" s="94"/>
      <c r="H344" s="94"/>
      <c r="I344" s="94"/>
      <c r="J344" s="94"/>
      <c r="K344" s="94"/>
      <c r="L344" s="94"/>
      <c r="M344" s="94"/>
      <c r="N344" s="94"/>
      <c r="O344" s="94"/>
      <c r="P344" s="94"/>
    </row>
    <row r="345">
      <c r="G345" s="94"/>
      <c r="H345" s="94"/>
      <c r="I345" s="94"/>
      <c r="J345" s="94"/>
      <c r="K345" s="94"/>
      <c r="L345" s="94"/>
      <c r="M345" s="94"/>
      <c r="N345" s="94"/>
      <c r="O345" s="94"/>
      <c r="P345" s="94"/>
    </row>
    <row r="346">
      <c r="G346" s="94"/>
      <c r="H346" s="94"/>
      <c r="I346" s="94"/>
      <c r="J346" s="94"/>
      <c r="K346" s="94"/>
      <c r="L346" s="94"/>
      <c r="M346" s="94"/>
      <c r="N346" s="94"/>
      <c r="O346" s="94"/>
      <c r="P346" s="94"/>
    </row>
    <row r="347">
      <c r="G347" s="94"/>
      <c r="H347" s="94"/>
      <c r="I347" s="94"/>
      <c r="J347" s="94"/>
      <c r="K347" s="94"/>
      <c r="L347" s="94"/>
      <c r="M347" s="94"/>
      <c r="N347" s="94"/>
      <c r="O347" s="94"/>
      <c r="P347" s="94"/>
    </row>
    <row r="348">
      <c r="G348" s="94"/>
      <c r="H348" s="94"/>
      <c r="I348" s="94"/>
      <c r="J348" s="94"/>
      <c r="K348" s="94"/>
      <c r="L348" s="94"/>
      <c r="M348" s="94"/>
      <c r="N348" s="94"/>
      <c r="O348" s="94"/>
      <c r="P348" s="94"/>
    </row>
    <row r="349">
      <c r="G349" s="94"/>
      <c r="H349" s="94"/>
      <c r="I349" s="94"/>
      <c r="J349" s="94"/>
      <c r="K349" s="94"/>
      <c r="L349" s="94"/>
      <c r="M349" s="94"/>
      <c r="N349" s="94"/>
      <c r="O349" s="94"/>
      <c r="P349" s="94"/>
    </row>
    <row r="350">
      <c r="G350" s="94"/>
      <c r="H350" s="94"/>
      <c r="I350" s="94"/>
      <c r="J350" s="94"/>
      <c r="K350" s="94"/>
      <c r="L350" s="94"/>
      <c r="M350" s="94"/>
      <c r="N350" s="94"/>
      <c r="O350" s="94"/>
      <c r="P350" s="94"/>
    </row>
    <row r="351">
      <c r="G351" s="94"/>
      <c r="H351" s="94"/>
      <c r="I351" s="94"/>
      <c r="J351" s="94"/>
      <c r="K351" s="94"/>
      <c r="L351" s="94"/>
      <c r="M351" s="94"/>
      <c r="N351" s="94"/>
      <c r="O351" s="94"/>
      <c r="P351" s="94"/>
    </row>
    <row r="352">
      <c r="G352" s="94"/>
      <c r="H352" s="94"/>
      <c r="I352" s="94"/>
      <c r="J352" s="94"/>
      <c r="K352" s="94"/>
      <c r="L352" s="94"/>
      <c r="M352" s="94"/>
      <c r="N352" s="94"/>
      <c r="O352" s="94"/>
      <c r="P352" s="94"/>
    </row>
    <row r="353">
      <c r="G353" s="94"/>
      <c r="H353" s="94"/>
      <c r="I353" s="94"/>
      <c r="J353" s="94"/>
      <c r="K353" s="94"/>
      <c r="L353" s="94"/>
      <c r="M353" s="94"/>
      <c r="N353" s="94"/>
      <c r="O353" s="94"/>
      <c r="P353" s="94"/>
    </row>
    <row r="354">
      <c r="G354" s="94"/>
      <c r="H354" s="94"/>
      <c r="I354" s="94"/>
      <c r="J354" s="94"/>
      <c r="K354" s="94"/>
      <c r="L354" s="94"/>
      <c r="M354" s="94"/>
      <c r="N354" s="94"/>
      <c r="O354" s="94"/>
      <c r="P354" s="94"/>
    </row>
    <row r="355">
      <c r="G355" s="94"/>
      <c r="H355" s="94"/>
      <c r="I355" s="94"/>
      <c r="J355" s="94"/>
      <c r="K355" s="94"/>
      <c r="L355" s="94"/>
      <c r="M355" s="94"/>
      <c r="N355" s="94"/>
      <c r="O355" s="94"/>
      <c r="P355" s="94"/>
    </row>
    <row r="356">
      <c r="G356" s="94"/>
      <c r="H356" s="94"/>
      <c r="I356" s="94"/>
      <c r="J356" s="94"/>
      <c r="K356" s="94"/>
      <c r="L356" s="94"/>
      <c r="M356" s="94"/>
      <c r="N356" s="94"/>
      <c r="O356" s="94"/>
      <c r="P356" s="94"/>
    </row>
    <row r="357">
      <c r="G357" s="94"/>
      <c r="H357" s="94"/>
      <c r="I357" s="94"/>
      <c r="J357" s="94"/>
      <c r="K357" s="94"/>
      <c r="L357" s="94"/>
      <c r="M357" s="94"/>
      <c r="N357" s="94"/>
      <c r="O357" s="94"/>
      <c r="P357" s="94"/>
    </row>
    <row r="358">
      <c r="G358" s="94"/>
      <c r="H358" s="94"/>
      <c r="I358" s="94"/>
      <c r="J358" s="94"/>
      <c r="K358" s="94"/>
      <c r="L358" s="94"/>
      <c r="M358" s="94"/>
      <c r="N358" s="94"/>
      <c r="O358" s="94"/>
      <c r="P358" s="94"/>
    </row>
    <row r="359">
      <c r="G359" s="94"/>
      <c r="H359" s="94"/>
      <c r="I359" s="94"/>
      <c r="J359" s="94"/>
      <c r="K359" s="94"/>
      <c r="L359" s="94"/>
      <c r="M359" s="94"/>
      <c r="N359" s="94"/>
      <c r="O359" s="94"/>
      <c r="P359" s="94"/>
    </row>
    <row r="360">
      <c r="G360" s="94"/>
      <c r="H360" s="94"/>
      <c r="I360" s="94"/>
      <c r="J360" s="94"/>
      <c r="K360" s="94"/>
      <c r="L360" s="94"/>
      <c r="M360" s="94"/>
      <c r="N360" s="94"/>
      <c r="O360" s="94"/>
      <c r="P360" s="94"/>
    </row>
    <row r="361">
      <c r="G361" s="94"/>
      <c r="H361" s="94"/>
      <c r="I361" s="94"/>
      <c r="J361" s="94"/>
      <c r="K361" s="94"/>
      <c r="L361" s="94"/>
      <c r="M361" s="94"/>
      <c r="N361" s="94"/>
      <c r="O361" s="94"/>
      <c r="P361" s="94"/>
    </row>
    <row r="362">
      <c r="G362" s="94"/>
      <c r="H362" s="94"/>
      <c r="I362" s="94"/>
      <c r="J362" s="94"/>
      <c r="K362" s="94"/>
      <c r="L362" s="94"/>
      <c r="M362" s="94"/>
      <c r="N362" s="94"/>
      <c r="O362" s="94"/>
      <c r="P362" s="94"/>
    </row>
    <row r="363">
      <c r="G363" s="94"/>
      <c r="H363" s="94"/>
      <c r="I363" s="94"/>
      <c r="J363" s="94"/>
      <c r="K363" s="94"/>
      <c r="L363" s="94"/>
      <c r="M363" s="94"/>
      <c r="N363" s="94"/>
      <c r="O363" s="94"/>
      <c r="P363" s="94"/>
    </row>
    <row r="364">
      <c r="G364" s="94"/>
      <c r="H364" s="94"/>
      <c r="I364" s="94"/>
      <c r="J364" s="94"/>
      <c r="K364" s="94"/>
      <c r="L364" s="94"/>
      <c r="M364" s="94"/>
      <c r="N364" s="94"/>
      <c r="O364" s="94"/>
      <c r="P364" s="94"/>
    </row>
    <row r="365">
      <c r="G365" s="94"/>
      <c r="H365" s="94"/>
      <c r="I365" s="94"/>
      <c r="J365" s="94"/>
      <c r="K365" s="94"/>
      <c r="L365" s="94"/>
      <c r="M365" s="94"/>
      <c r="N365" s="94"/>
      <c r="O365" s="94"/>
      <c r="P365" s="94"/>
    </row>
    <row r="366">
      <c r="G366" s="94"/>
      <c r="H366" s="94"/>
      <c r="I366" s="94"/>
      <c r="J366" s="94"/>
      <c r="K366" s="94"/>
      <c r="L366" s="94"/>
      <c r="M366" s="94"/>
      <c r="N366" s="94"/>
      <c r="O366" s="94"/>
      <c r="P366" s="94"/>
    </row>
    <row r="367">
      <c r="G367" s="94"/>
      <c r="H367" s="94"/>
      <c r="I367" s="94"/>
      <c r="J367" s="94"/>
      <c r="K367" s="94"/>
      <c r="L367" s="94"/>
      <c r="M367" s="94"/>
      <c r="N367" s="94"/>
      <c r="O367" s="94"/>
      <c r="P367" s="94"/>
    </row>
    <row r="368">
      <c r="G368" s="94"/>
      <c r="H368" s="94"/>
      <c r="I368" s="94"/>
      <c r="J368" s="94"/>
      <c r="K368" s="94"/>
      <c r="L368" s="94"/>
      <c r="M368" s="94"/>
      <c r="N368" s="94"/>
      <c r="O368" s="94"/>
      <c r="P368" s="94"/>
    </row>
    <row r="369">
      <c r="G369" s="94"/>
      <c r="H369" s="94"/>
      <c r="I369" s="94"/>
      <c r="J369" s="94"/>
      <c r="K369" s="94"/>
      <c r="L369" s="94"/>
      <c r="M369" s="94"/>
      <c r="N369" s="94"/>
      <c r="O369" s="94"/>
      <c r="P369" s="94"/>
    </row>
    <row r="370">
      <c r="G370" s="94"/>
      <c r="H370" s="94"/>
      <c r="I370" s="94"/>
      <c r="J370" s="94"/>
      <c r="K370" s="94"/>
      <c r="L370" s="94"/>
      <c r="M370" s="94"/>
      <c r="N370" s="94"/>
      <c r="O370" s="94"/>
      <c r="P370" s="94"/>
    </row>
    <row r="371">
      <c r="G371" s="94"/>
      <c r="H371" s="94"/>
      <c r="I371" s="94"/>
      <c r="J371" s="94"/>
      <c r="K371" s="94"/>
      <c r="L371" s="94"/>
      <c r="M371" s="94"/>
      <c r="N371" s="94"/>
      <c r="O371" s="94"/>
      <c r="P371" s="94"/>
    </row>
    <row r="372">
      <c r="G372" s="94"/>
      <c r="H372" s="94"/>
      <c r="I372" s="94"/>
      <c r="J372" s="94"/>
      <c r="K372" s="94"/>
      <c r="L372" s="94"/>
      <c r="M372" s="94"/>
      <c r="N372" s="94"/>
      <c r="O372" s="94"/>
      <c r="P372" s="94"/>
    </row>
    <row r="373">
      <c r="G373" s="94"/>
      <c r="H373" s="94"/>
      <c r="I373" s="94"/>
      <c r="J373" s="94"/>
      <c r="K373" s="94"/>
      <c r="L373" s="94"/>
      <c r="M373" s="94"/>
      <c r="N373" s="94"/>
      <c r="O373" s="94"/>
      <c r="P373" s="94"/>
    </row>
    <row r="374">
      <c r="G374" s="94"/>
      <c r="H374" s="94"/>
      <c r="I374" s="94"/>
      <c r="J374" s="94"/>
      <c r="K374" s="94"/>
      <c r="L374" s="94"/>
      <c r="M374" s="94"/>
      <c r="N374" s="94"/>
      <c r="O374" s="94"/>
      <c r="P374" s="94"/>
    </row>
    <row r="375">
      <c r="G375" s="94"/>
      <c r="H375" s="94"/>
      <c r="I375" s="94"/>
      <c r="J375" s="94"/>
      <c r="K375" s="94"/>
      <c r="L375" s="94"/>
      <c r="M375" s="94"/>
      <c r="N375" s="94"/>
      <c r="O375" s="94"/>
      <c r="P375" s="94"/>
    </row>
    <row r="376">
      <c r="G376" s="94"/>
      <c r="H376" s="94"/>
      <c r="I376" s="94"/>
      <c r="J376" s="94"/>
      <c r="K376" s="94"/>
      <c r="L376" s="94"/>
      <c r="M376" s="94"/>
      <c r="N376" s="94"/>
      <c r="O376" s="94"/>
      <c r="P376" s="94"/>
    </row>
    <row r="377">
      <c r="G377" s="94"/>
      <c r="H377" s="94"/>
      <c r="I377" s="94"/>
      <c r="J377" s="94"/>
      <c r="K377" s="94"/>
      <c r="L377" s="94"/>
      <c r="M377" s="94"/>
      <c r="N377" s="94"/>
      <c r="O377" s="94"/>
      <c r="P377" s="94"/>
    </row>
    <row r="378">
      <c r="G378" s="94"/>
      <c r="H378" s="94"/>
      <c r="I378" s="94"/>
      <c r="J378" s="94"/>
      <c r="K378" s="94"/>
      <c r="L378" s="94"/>
      <c r="M378" s="94"/>
      <c r="N378" s="94"/>
      <c r="O378" s="94"/>
      <c r="P378" s="94"/>
    </row>
    <row r="379">
      <c r="G379" s="94"/>
      <c r="H379" s="94"/>
      <c r="I379" s="94"/>
      <c r="J379" s="94"/>
      <c r="K379" s="94"/>
      <c r="L379" s="94"/>
      <c r="M379" s="94"/>
      <c r="N379" s="94"/>
      <c r="O379" s="94"/>
      <c r="P379" s="94"/>
    </row>
    <row r="380">
      <c r="G380" s="94"/>
      <c r="H380" s="94"/>
      <c r="I380" s="94"/>
      <c r="J380" s="94"/>
      <c r="K380" s="94"/>
      <c r="L380" s="94"/>
      <c r="M380" s="94"/>
      <c r="N380" s="94"/>
      <c r="O380" s="94"/>
      <c r="P380" s="94"/>
    </row>
    <row r="381">
      <c r="G381" s="94"/>
      <c r="H381" s="94"/>
      <c r="I381" s="94"/>
      <c r="J381" s="94"/>
      <c r="K381" s="94"/>
      <c r="L381" s="94"/>
      <c r="M381" s="94"/>
      <c r="N381" s="94"/>
      <c r="O381" s="94"/>
      <c r="P381" s="94"/>
    </row>
    <row r="382">
      <c r="G382" s="94"/>
      <c r="H382" s="94"/>
      <c r="I382" s="94"/>
      <c r="J382" s="94"/>
      <c r="K382" s="94"/>
      <c r="L382" s="94"/>
      <c r="M382" s="94"/>
      <c r="N382" s="94"/>
      <c r="O382" s="94"/>
      <c r="P382" s="94"/>
    </row>
    <row r="383">
      <c r="G383" s="94"/>
      <c r="H383" s="94"/>
      <c r="I383" s="94"/>
      <c r="J383" s="94"/>
      <c r="K383" s="94"/>
      <c r="L383" s="94"/>
      <c r="M383" s="94"/>
      <c r="N383" s="94"/>
      <c r="O383" s="94"/>
      <c r="P383" s="94"/>
    </row>
    <row r="384">
      <c r="G384" s="94"/>
      <c r="H384" s="94"/>
      <c r="I384" s="94"/>
      <c r="J384" s="94"/>
      <c r="K384" s="94"/>
      <c r="L384" s="94"/>
      <c r="M384" s="94"/>
      <c r="N384" s="94"/>
      <c r="O384" s="94"/>
      <c r="P384" s="94"/>
    </row>
    <row r="385">
      <c r="G385" s="94"/>
      <c r="H385" s="94"/>
      <c r="I385" s="94"/>
      <c r="J385" s="94"/>
      <c r="K385" s="94"/>
      <c r="L385" s="94"/>
      <c r="M385" s="94"/>
      <c r="N385" s="94"/>
      <c r="O385" s="94"/>
      <c r="P385" s="94"/>
    </row>
    <row r="386">
      <c r="G386" s="94"/>
      <c r="H386" s="94"/>
      <c r="I386" s="94"/>
      <c r="J386" s="94"/>
      <c r="K386" s="94"/>
      <c r="L386" s="94"/>
      <c r="M386" s="94"/>
      <c r="N386" s="94"/>
      <c r="O386" s="94"/>
      <c r="P386" s="94"/>
    </row>
    <row r="387">
      <c r="G387" s="94"/>
      <c r="H387" s="94"/>
      <c r="I387" s="94"/>
      <c r="J387" s="94"/>
      <c r="K387" s="94"/>
      <c r="L387" s="94"/>
      <c r="M387" s="94"/>
      <c r="N387" s="94"/>
      <c r="O387" s="94"/>
      <c r="P387" s="94"/>
    </row>
    <row r="388">
      <c r="G388" s="94"/>
      <c r="H388" s="94"/>
      <c r="I388" s="94"/>
      <c r="J388" s="94"/>
      <c r="K388" s="94"/>
      <c r="L388" s="94"/>
      <c r="M388" s="94"/>
      <c r="N388" s="94"/>
      <c r="O388" s="94"/>
      <c r="P388" s="94"/>
    </row>
    <row r="389">
      <c r="G389" s="94"/>
      <c r="H389" s="94"/>
      <c r="I389" s="94"/>
      <c r="J389" s="94"/>
      <c r="K389" s="94"/>
      <c r="L389" s="94"/>
      <c r="M389" s="94"/>
      <c r="N389" s="94"/>
      <c r="O389" s="94"/>
      <c r="P389" s="94"/>
    </row>
    <row r="390">
      <c r="G390" s="94"/>
      <c r="H390" s="94"/>
      <c r="I390" s="94"/>
      <c r="J390" s="94"/>
      <c r="K390" s="94"/>
      <c r="L390" s="94"/>
      <c r="M390" s="94"/>
      <c r="N390" s="94"/>
      <c r="O390" s="94"/>
      <c r="P390" s="94"/>
    </row>
    <row r="391">
      <c r="G391" s="94"/>
      <c r="H391" s="94"/>
      <c r="I391" s="94"/>
      <c r="J391" s="94"/>
      <c r="K391" s="94"/>
      <c r="L391" s="94"/>
      <c r="M391" s="94"/>
      <c r="N391" s="94"/>
      <c r="O391" s="94"/>
      <c r="P391" s="94"/>
    </row>
    <row r="392">
      <c r="G392" s="94"/>
      <c r="H392" s="94"/>
      <c r="I392" s="94"/>
      <c r="J392" s="94"/>
      <c r="K392" s="94"/>
      <c r="L392" s="94"/>
      <c r="M392" s="94"/>
      <c r="N392" s="94"/>
      <c r="O392" s="94"/>
      <c r="P392" s="94"/>
    </row>
    <row r="393">
      <c r="G393" s="94"/>
      <c r="H393" s="94"/>
      <c r="I393" s="94"/>
      <c r="J393" s="94"/>
      <c r="K393" s="94"/>
      <c r="L393" s="94"/>
      <c r="M393" s="94"/>
      <c r="N393" s="94"/>
      <c r="O393" s="94"/>
      <c r="P393" s="94"/>
    </row>
    <row r="394">
      <c r="G394" s="94"/>
      <c r="H394" s="94"/>
      <c r="I394" s="94"/>
      <c r="J394" s="94"/>
      <c r="K394" s="94"/>
      <c r="L394" s="94"/>
      <c r="M394" s="94"/>
      <c r="N394" s="94"/>
      <c r="O394" s="94"/>
      <c r="P394" s="94"/>
    </row>
    <row r="395">
      <c r="G395" s="94"/>
      <c r="H395" s="94"/>
      <c r="I395" s="94"/>
      <c r="J395" s="94"/>
      <c r="K395" s="94"/>
      <c r="L395" s="94"/>
      <c r="M395" s="94"/>
      <c r="N395" s="94"/>
      <c r="O395" s="94"/>
      <c r="P395" s="94"/>
    </row>
    <row r="396">
      <c r="G396" s="94"/>
      <c r="H396" s="94"/>
      <c r="I396" s="94"/>
      <c r="J396" s="94"/>
      <c r="K396" s="94"/>
      <c r="L396" s="94"/>
      <c r="M396" s="94"/>
      <c r="N396" s="94"/>
      <c r="O396" s="94"/>
      <c r="P396" s="94"/>
    </row>
    <row r="397">
      <c r="G397" s="94"/>
      <c r="H397" s="94"/>
      <c r="I397" s="94"/>
      <c r="J397" s="94"/>
      <c r="K397" s="94"/>
      <c r="L397" s="94"/>
      <c r="M397" s="94"/>
      <c r="N397" s="94"/>
      <c r="O397" s="94"/>
      <c r="P397" s="94"/>
    </row>
    <row r="398">
      <c r="G398" s="94"/>
      <c r="H398" s="94"/>
      <c r="I398" s="94"/>
      <c r="J398" s="94"/>
      <c r="K398" s="94"/>
      <c r="L398" s="94"/>
      <c r="M398" s="94"/>
      <c r="N398" s="94"/>
      <c r="O398" s="94"/>
      <c r="P398" s="94"/>
    </row>
    <row r="399">
      <c r="G399" s="94"/>
      <c r="H399" s="94"/>
      <c r="I399" s="94"/>
      <c r="J399" s="94"/>
      <c r="K399" s="94"/>
      <c r="L399" s="94"/>
      <c r="M399" s="94"/>
      <c r="N399" s="94"/>
      <c r="O399" s="94"/>
      <c r="P399" s="94"/>
    </row>
    <row r="400">
      <c r="G400" s="94"/>
      <c r="H400" s="94"/>
      <c r="I400" s="94"/>
      <c r="J400" s="94"/>
      <c r="K400" s="94"/>
      <c r="L400" s="94"/>
      <c r="M400" s="94"/>
      <c r="N400" s="94"/>
      <c r="O400" s="94"/>
      <c r="P400" s="94"/>
    </row>
    <row r="401">
      <c r="G401" s="94"/>
      <c r="H401" s="94"/>
      <c r="I401" s="94"/>
      <c r="J401" s="94"/>
      <c r="K401" s="94"/>
      <c r="L401" s="94"/>
      <c r="M401" s="94"/>
      <c r="N401" s="94"/>
      <c r="O401" s="94"/>
      <c r="P401" s="94"/>
    </row>
    <row r="402">
      <c r="G402" s="94"/>
      <c r="H402" s="94"/>
      <c r="I402" s="94"/>
      <c r="J402" s="94"/>
      <c r="K402" s="94"/>
      <c r="L402" s="94"/>
      <c r="M402" s="94"/>
      <c r="N402" s="94"/>
      <c r="O402" s="94"/>
      <c r="P402" s="94"/>
    </row>
    <row r="403">
      <c r="G403" s="94"/>
      <c r="H403" s="94"/>
      <c r="I403" s="94"/>
      <c r="J403" s="94"/>
      <c r="K403" s="94"/>
      <c r="L403" s="94"/>
      <c r="M403" s="94"/>
      <c r="N403" s="94"/>
      <c r="O403" s="94"/>
      <c r="P403" s="94"/>
    </row>
    <row r="404">
      <c r="G404" s="94"/>
      <c r="H404" s="94"/>
      <c r="I404" s="94"/>
      <c r="J404" s="94"/>
      <c r="K404" s="94"/>
      <c r="L404" s="94"/>
      <c r="M404" s="94"/>
      <c r="N404" s="94"/>
      <c r="O404" s="94"/>
      <c r="P404" s="94"/>
    </row>
    <row r="405">
      <c r="G405" s="94"/>
      <c r="H405" s="94"/>
      <c r="I405" s="94"/>
      <c r="J405" s="94"/>
      <c r="K405" s="94"/>
      <c r="L405" s="94"/>
      <c r="M405" s="94"/>
      <c r="N405" s="94"/>
      <c r="O405" s="94"/>
      <c r="P405" s="94"/>
    </row>
    <row r="406">
      <c r="G406" s="94"/>
      <c r="H406" s="94"/>
      <c r="I406" s="94"/>
      <c r="J406" s="94"/>
      <c r="K406" s="94"/>
      <c r="L406" s="94"/>
      <c r="M406" s="94"/>
      <c r="N406" s="94"/>
      <c r="O406" s="94"/>
      <c r="P406" s="94"/>
    </row>
    <row r="407">
      <c r="G407" s="94"/>
      <c r="H407" s="94"/>
      <c r="I407" s="94"/>
      <c r="J407" s="94"/>
      <c r="K407" s="94"/>
      <c r="L407" s="94"/>
      <c r="M407" s="94"/>
      <c r="N407" s="94"/>
      <c r="O407" s="94"/>
      <c r="P407" s="94"/>
    </row>
    <row r="408">
      <c r="G408" s="94"/>
      <c r="H408" s="94"/>
      <c r="I408" s="94"/>
      <c r="J408" s="94"/>
      <c r="K408" s="94"/>
      <c r="L408" s="94"/>
      <c r="M408" s="94"/>
      <c r="N408" s="94"/>
      <c r="O408" s="94"/>
      <c r="P408" s="94"/>
    </row>
    <row r="409">
      <c r="G409" s="94"/>
      <c r="H409" s="94"/>
      <c r="I409" s="94"/>
      <c r="J409" s="94"/>
      <c r="K409" s="94"/>
      <c r="L409" s="94"/>
      <c r="M409" s="94"/>
      <c r="N409" s="94"/>
      <c r="O409" s="94"/>
      <c r="P409" s="94"/>
    </row>
    <row r="410">
      <c r="G410" s="94"/>
      <c r="H410" s="94"/>
      <c r="I410" s="94"/>
      <c r="J410" s="94"/>
      <c r="K410" s="94"/>
      <c r="L410" s="94"/>
      <c r="M410" s="94"/>
      <c r="N410" s="94"/>
      <c r="O410" s="94"/>
      <c r="P410" s="94"/>
    </row>
    <row r="411">
      <c r="G411" s="94"/>
      <c r="H411" s="94"/>
      <c r="I411" s="94"/>
      <c r="J411" s="94"/>
      <c r="K411" s="94"/>
      <c r="L411" s="94"/>
      <c r="M411" s="94"/>
      <c r="N411" s="94"/>
      <c r="O411" s="94"/>
      <c r="P411" s="94"/>
    </row>
    <row r="412">
      <c r="G412" s="94"/>
      <c r="H412" s="94"/>
      <c r="I412" s="94"/>
      <c r="J412" s="94"/>
      <c r="K412" s="94"/>
      <c r="L412" s="94"/>
      <c r="M412" s="94"/>
      <c r="N412" s="94"/>
      <c r="O412" s="94"/>
      <c r="P412" s="94"/>
    </row>
    <row r="413">
      <c r="G413" s="94"/>
      <c r="H413" s="94"/>
      <c r="I413" s="94"/>
      <c r="J413" s="94"/>
      <c r="K413" s="94"/>
      <c r="L413" s="94"/>
      <c r="M413" s="94"/>
      <c r="N413" s="94"/>
      <c r="O413" s="94"/>
      <c r="P413" s="94"/>
    </row>
    <row r="414">
      <c r="G414" s="94"/>
      <c r="H414" s="94"/>
      <c r="I414" s="94"/>
      <c r="J414" s="94"/>
      <c r="K414" s="94"/>
      <c r="L414" s="94"/>
      <c r="M414" s="94"/>
      <c r="N414" s="94"/>
      <c r="O414" s="94"/>
      <c r="P414" s="94"/>
    </row>
    <row r="415">
      <c r="G415" s="94"/>
      <c r="H415" s="94"/>
      <c r="I415" s="94"/>
      <c r="J415" s="94"/>
      <c r="K415" s="94"/>
      <c r="L415" s="94"/>
      <c r="M415" s="94"/>
      <c r="N415" s="94"/>
      <c r="O415" s="94"/>
      <c r="P415" s="94"/>
    </row>
    <row r="416">
      <c r="G416" s="94"/>
      <c r="H416" s="94"/>
      <c r="I416" s="94"/>
      <c r="J416" s="94"/>
      <c r="K416" s="94"/>
      <c r="L416" s="94"/>
      <c r="M416" s="94"/>
      <c r="N416" s="94"/>
      <c r="O416" s="94"/>
      <c r="P416" s="94"/>
    </row>
    <row r="417">
      <c r="G417" s="94"/>
      <c r="H417" s="94"/>
      <c r="I417" s="94"/>
      <c r="J417" s="94"/>
      <c r="K417" s="94"/>
      <c r="L417" s="94"/>
      <c r="M417" s="94"/>
      <c r="N417" s="94"/>
      <c r="O417" s="94"/>
      <c r="P417" s="94"/>
    </row>
    <row r="418">
      <c r="G418" s="94"/>
      <c r="H418" s="94"/>
      <c r="I418" s="94"/>
      <c r="J418" s="94"/>
      <c r="K418" s="94"/>
      <c r="L418" s="94"/>
      <c r="M418" s="94"/>
      <c r="N418" s="94"/>
      <c r="O418" s="94"/>
      <c r="P418" s="94"/>
    </row>
    <row r="419">
      <c r="G419" s="94"/>
      <c r="H419" s="94"/>
      <c r="I419" s="94"/>
      <c r="J419" s="94"/>
      <c r="K419" s="94"/>
      <c r="L419" s="94"/>
      <c r="M419" s="94"/>
      <c r="N419" s="94"/>
      <c r="O419" s="94"/>
      <c r="P419" s="94"/>
    </row>
    <row r="420">
      <c r="G420" s="94"/>
      <c r="H420" s="94"/>
      <c r="I420" s="94"/>
      <c r="J420" s="94"/>
      <c r="K420" s="94"/>
      <c r="L420" s="94"/>
      <c r="M420" s="94"/>
      <c r="N420" s="94"/>
      <c r="O420" s="94"/>
      <c r="P420" s="94"/>
    </row>
    <row r="421">
      <c r="G421" s="94"/>
      <c r="H421" s="94"/>
      <c r="I421" s="94"/>
      <c r="J421" s="94"/>
      <c r="K421" s="94"/>
      <c r="L421" s="94"/>
      <c r="M421" s="94"/>
      <c r="N421" s="94"/>
      <c r="O421" s="94"/>
      <c r="P421" s="94"/>
    </row>
    <row r="422">
      <c r="G422" s="94"/>
      <c r="H422" s="94"/>
      <c r="I422" s="94"/>
      <c r="J422" s="94"/>
      <c r="K422" s="94"/>
      <c r="L422" s="94"/>
      <c r="M422" s="94"/>
      <c r="N422" s="94"/>
      <c r="O422" s="94"/>
      <c r="P422" s="94"/>
    </row>
    <row r="423">
      <c r="G423" s="94"/>
      <c r="H423" s="94"/>
      <c r="I423" s="94"/>
      <c r="J423" s="94"/>
      <c r="K423" s="94"/>
      <c r="L423" s="94"/>
      <c r="M423" s="94"/>
      <c r="N423" s="94"/>
      <c r="O423" s="94"/>
      <c r="P423" s="94"/>
    </row>
    <row r="424">
      <c r="G424" s="94"/>
      <c r="H424" s="94"/>
      <c r="I424" s="94"/>
      <c r="J424" s="94"/>
      <c r="K424" s="94"/>
      <c r="L424" s="94"/>
      <c r="M424" s="94"/>
      <c r="N424" s="94"/>
      <c r="O424" s="94"/>
      <c r="P424" s="94"/>
    </row>
    <row r="425">
      <c r="G425" s="94"/>
      <c r="H425" s="94"/>
      <c r="I425" s="94"/>
      <c r="J425" s="94"/>
      <c r="K425" s="94"/>
      <c r="L425" s="94"/>
      <c r="M425" s="94"/>
      <c r="N425" s="94"/>
      <c r="O425" s="94"/>
      <c r="P425" s="94"/>
    </row>
    <row r="426">
      <c r="G426" s="94"/>
      <c r="H426" s="94"/>
      <c r="I426" s="94"/>
      <c r="J426" s="94"/>
      <c r="K426" s="94"/>
      <c r="L426" s="94"/>
      <c r="M426" s="94"/>
      <c r="N426" s="94"/>
      <c r="O426" s="94"/>
      <c r="P426" s="94"/>
    </row>
    <row r="427">
      <c r="G427" s="94"/>
      <c r="H427" s="94"/>
      <c r="I427" s="94"/>
      <c r="J427" s="94"/>
      <c r="K427" s="94"/>
      <c r="L427" s="94"/>
      <c r="M427" s="94"/>
      <c r="N427" s="94"/>
      <c r="O427" s="94"/>
      <c r="P427" s="94"/>
    </row>
    <row r="428">
      <c r="G428" s="94"/>
      <c r="H428" s="94"/>
      <c r="I428" s="94"/>
      <c r="J428" s="94"/>
      <c r="K428" s="94"/>
      <c r="L428" s="94"/>
      <c r="M428" s="94"/>
      <c r="N428" s="94"/>
      <c r="O428" s="94"/>
      <c r="P428" s="94"/>
    </row>
    <row r="429">
      <c r="G429" s="94"/>
      <c r="H429" s="94"/>
      <c r="I429" s="94"/>
      <c r="J429" s="94"/>
      <c r="K429" s="94"/>
      <c r="L429" s="94"/>
      <c r="M429" s="94"/>
      <c r="N429" s="94"/>
      <c r="O429" s="94"/>
      <c r="P429" s="94"/>
    </row>
    <row r="430">
      <c r="G430" s="94"/>
      <c r="H430" s="94"/>
      <c r="I430" s="94"/>
      <c r="J430" s="94"/>
      <c r="K430" s="94"/>
      <c r="L430" s="94"/>
      <c r="M430" s="94"/>
      <c r="N430" s="94"/>
      <c r="O430" s="94"/>
      <c r="P430" s="94"/>
    </row>
    <row r="431">
      <c r="G431" s="94"/>
      <c r="H431" s="94"/>
      <c r="I431" s="94"/>
      <c r="J431" s="94"/>
      <c r="K431" s="94"/>
      <c r="L431" s="94"/>
      <c r="M431" s="94"/>
      <c r="N431" s="94"/>
      <c r="O431" s="94"/>
      <c r="P431" s="94"/>
    </row>
    <row r="432">
      <c r="G432" s="94"/>
      <c r="H432" s="94"/>
      <c r="I432" s="94"/>
      <c r="J432" s="94"/>
      <c r="K432" s="94"/>
      <c r="L432" s="94"/>
      <c r="M432" s="94"/>
      <c r="N432" s="94"/>
      <c r="O432" s="94"/>
      <c r="P432" s="94"/>
    </row>
    <row r="433">
      <c r="G433" s="94"/>
      <c r="H433" s="94"/>
      <c r="I433" s="94"/>
      <c r="J433" s="94"/>
      <c r="K433" s="94"/>
      <c r="L433" s="94"/>
      <c r="M433" s="94"/>
      <c r="N433" s="94"/>
      <c r="O433" s="94"/>
      <c r="P433" s="94"/>
    </row>
    <row r="434">
      <c r="G434" s="94"/>
      <c r="H434" s="94"/>
      <c r="I434" s="94"/>
      <c r="J434" s="94"/>
      <c r="K434" s="94"/>
      <c r="L434" s="94"/>
      <c r="M434" s="94"/>
      <c r="N434" s="94"/>
      <c r="O434" s="94"/>
      <c r="P434" s="94"/>
    </row>
    <row r="435">
      <c r="G435" s="94"/>
      <c r="H435" s="94"/>
      <c r="I435" s="94"/>
      <c r="J435" s="94"/>
      <c r="K435" s="94"/>
      <c r="L435" s="94"/>
      <c r="M435" s="94"/>
      <c r="N435" s="94"/>
      <c r="O435" s="94"/>
      <c r="P435" s="94"/>
    </row>
    <row r="436">
      <c r="G436" s="94"/>
      <c r="H436" s="94"/>
      <c r="I436" s="94"/>
      <c r="J436" s="94"/>
      <c r="K436" s="94"/>
      <c r="L436" s="94"/>
      <c r="M436" s="94"/>
      <c r="N436" s="94"/>
      <c r="O436" s="94"/>
      <c r="P436" s="94"/>
    </row>
    <row r="437">
      <c r="G437" s="94"/>
      <c r="H437" s="94"/>
      <c r="I437" s="94"/>
      <c r="J437" s="94"/>
      <c r="K437" s="94"/>
      <c r="L437" s="94"/>
      <c r="M437" s="94"/>
      <c r="N437" s="94"/>
      <c r="O437" s="94"/>
      <c r="P437" s="94"/>
    </row>
    <row r="438">
      <c r="G438" s="94"/>
      <c r="H438" s="94"/>
      <c r="I438" s="94"/>
      <c r="J438" s="94"/>
      <c r="K438" s="94"/>
      <c r="L438" s="94"/>
      <c r="M438" s="94"/>
      <c r="N438" s="94"/>
      <c r="O438" s="94"/>
      <c r="P438" s="94"/>
    </row>
    <row r="439">
      <c r="G439" s="94"/>
      <c r="H439" s="94"/>
      <c r="I439" s="94"/>
      <c r="J439" s="94"/>
      <c r="K439" s="94"/>
      <c r="L439" s="94"/>
      <c r="M439" s="94"/>
      <c r="N439" s="94"/>
      <c r="O439" s="94"/>
      <c r="P439" s="94"/>
    </row>
    <row r="440">
      <c r="G440" s="94"/>
      <c r="H440" s="94"/>
      <c r="I440" s="94"/>
      <c r="J440" s="94"/>
      <c r="K440" s="94"/>
      <c r="L440" s="94"/>
      <c r="M440" s="94"/>
      <c r="N440" s="94"/>
      <c r="O440" s="94"/>
      <c r="P440" s="94"/>
    </row>
    <row r="441">
      <c r="G441" s="94"/>
      <c r="H441" s="94"/>
      <c r="I441" s="94"/>
      <c r="J441" s="94"/>
      <c r="K441" s="94"/>
      <c r="L441" s="94"/>
      <c r="M441" s="94"/>
      <c r="N441" s="94"/>
      <c r="O441" s="94"/>
      <c r="P441" s="94"/>
    </row>
    <row r="442">
      <c r="G442" s="94"/>
      <c r="H442" s="94"/>
      <c r="I442" s="94"/>
      <c r="J442" s="94"/>
      <c r="K442" s="94"/>
      <c r="L442" s="94"/>
      <c r="M442" s="94"/>
      <c r="N442" s="94"/>
      <c r="O442" s="94"/>
      <c r="P442" s="94"/>
    </row>
    <row r="443">
      <c r="G443" s="94"/>
      <c r="H443" s="94"/>
      <c r="I443" s="94"/>
      <c r="J443" s="94"/>
      <c r="K443" s="94"/>
      <c r="L443" s="94"/>
      <c r="M443" s="94"/>
      <c r="N443" s="94"/>
      <c r="O443" s="94"/>
      <c r="P443" s="94"/>
    </row>
    <row r="444">
      <c r="G444" s="94"/>
      <c r="H444" s="94"/>
      <c r="I444" s="94"/>
      <c r="J444" s="94"/>
      <c r="K444" s="94"/>
      <c r="L444" s="94"/>
      <c r="M444" s="94"/>
      <c r="N444" s="94"/>
      <c r="O444" s="94"/>
      <c r="P444" s="94"/>
    </row>
    <row r="445">
      <c r="G445" s="94"/>
      <c r="H445" s="94"/>
      <c r="I445" s="94"/>
      <c r="J445" s="94"/>
      <c r="K445" s="94"/>
      <c r="L445" s="94"/>
      <c r="M445" s="94"/>
      <c r="N445" s="94"/>
      <c r="O445" s="94"/>
      <c r="P445" s="94"/>
    </row>
    <row r="446">
      <c r="G446" s="94"/>
      <c r="H446" s="94"/>
      <c r="I446" s="94"/>
      <c r="J446" s="94"/>
      <c r="K446" s="94"/>
      <c r="L446" s="94"/>
      <c r="M446" s="94"/>
      <c r="N446" s="94"/>
      <c r="O446" s="94"/>
      <c r="P446" s="94"/>
    </row>
    <row r="447">
      <c r="G447" s="94"/>
      <c r="H447" s="94"/>
      <c r="I447" s="94"/>
      <c r="J447" s="94"/>
      <c r="K447" s="94"/>
      <c r="L447" s="94"/>
      <c r="M447" s="94"/>
      <c r="N447" s="94"/>
      <c r="O447" s="94"/>
      <c r="P447" s="94"/>
    </row>
    <row r="448">
      <c r="G448" s="94"/>
      <c r="H448" s="94"/>
      <c r="I448" s="94"/>
      <c r="J448" s="94"/>
      <c r="K448" s="94"/>
      <c r="L448" s="94"/>
      <c r="M448" s="94"/>
      <c r="N448" s="94"/>
      <c r="O448" s="94"/>
      <c r="P448" s="94"/>
    </row>
    <row r="449">
      <c r="G449" s="94"/>
      <c r="H449" s="94"/>
      <c r="I449" s="94"/>
      <c r="J449" s="94"/>
      <c r="K449" s="94"/>
      <c r="L449" s="94"/>
      <c r="M449" s="94"/>
      <c r="N449" s="94"/>
      <c r="O449" s="94"/>
      <c r="P449" s="94"/>
    </row>
    <row r="450">
      <c r="G450" s="94"/>
      <c r="H450" s="94"/>
      <c r="I450" s="94"/>
      <c r="J450" s="94"/>
      <c r="K450" s="94"/>
      <c r="L450" s="94"/>
      <c r="M450" s="94"/>
      <c r="N450" s="94"/>
      <c r="O450" s="94"/>
      <c r="P450" s="94"/>
    </row>
    <row r="451">
      <c r="G451" s="94"/>
      <c r="H451" s="94"/>
      <c r="I451" s="94"/>
      <c r="J451" s="94"/>
      <c r="K451" s="94"/>
      <c r="L451" s="94"/>
      <c r="M451" s="94"/>
      <c r="N451" s="94"/>
      <c r="O451" s="94"/>
      <c r="P451" s="94"/>
    </row>
    <row r="452">
      <c r="G452" s="94"/>
      <c r="H452" s="94"/>
      <c r="I452" s="94"/>
      <c r="J452" s="94"/>
      <c r="K452" s="94"/>
      <c r="L452" s="94"/>
      <c r="M452" s="94"/>
      <c r="N452" s="94"/>
      <c r="O452" s="94"/>
      <c r="P452" s="94"/>
    </row>
    <row r="453">
      <c r="G453" s="94"/>
      <c r="H453" s="94"/>
      <c r="I453" s="94"/>
      <c r="J453" s="94"/>
      <c r="K453" s="94"/>
      <c r="L453" s="94"/>
      <c r="M453" s="94"/>
      <c r="N453" s="94"/>
      <c r="O453" s="94"/>
      <c r="P453" s="94"/>
    </row>
    <row r="454">
      <c r="G454" s="94"/>
      <c r="H454" s="94"/>
      <c r="I454" s="94"/>
      <c r="J454" s="94"/>
      <c r="K454" s="94"/>
      <c r="L454" s="94"/>
      <c r="M454" s="94"/>
      <c r="N454" s="94"/>
      <c r="O454" s="94"/>
      <c r="P454" s="94"/>
    </row>
    <row r="455">
      <c r="G455" s="94"/>
      <c r="H455" s="94"/>
      <c r="I455" s="94"/>
      <c r="J455" s="94"/>
      <c r="K455" s="94"/>
      <c r="L455" s="94"/>
      <c r="M455" s="94"/>
      <c r="N455" s="94"/>
      <c r="O455" s="94"/>
      <c r="P455" s="94"/>
    </row>
    <row r="456">
      <c r="G456" s="94"/>
      <c r="H456" s="94"/>
      <c r="I456" s="94"/>
      <c r="J456" s="94"/>
      <c r="K456" s="94"/>
      <c r="L456" s="94"/>
      <c r="M456" s="94"/>
      <c r="N456" s="94"/>
      <c r="O456" s="94"/>
      <c r="P456" s="94"/>
    </row>
    <row r="457">
      <c r="G457" s="94"/>
      <c r="H457" s="94"/>
      <c r="I457" s="94"/>
      <c r="J457" s="94"/>
      <c r="K457" s="94"/>
      <c r="L457" s="94"/>
      <c r="M457" s="94"/>
      <c r="N457" s="94"/>
      <c r="O457" s="94"/>
      <c r="P457" s="94"/>
    </row>
    <row r="458">
      <c r="G458" s="94"/>
      <c r="H458" s="94"/>
      <c r="I458" s="94"/>
      <c r="J458" s="94"/>
      <c r="K458" s="94"/>
      <c r="L458" s="94"/>
      <c r="M458" s="94"/>
      <c r="N458" s="94"/>
      <c r="O458" s="94"/>
      <c r="P458" s="94"/>
    </row>
    <row r="459">
      <c r="G459" s="94"/>
      <c r="H459" s="94"/>
      <c r="I459" s="94"/>
      <c r="J459" s="94"/>
      <c r="K459" s="94"/>
      <c r="L459" s="94"/>
      <c r="M459" s="94"/>
      <c r="N459" s="94"/>
      <c r="O459" s="94"/>
      <c r="P459" s="94"/>
    </row>
    <row r="460">
      <c r="G460" s="94"/>
      <c r="H460" s="94"/>
      <c r="I460" s="94"/>
      <c r="J460" s="94"/>
      <c r="K460" s="94"/>
      <c r="L460" s="94"/>
      <c r="M460" s="94"/>
      <c r="N460" s="94"/>
      <c r="O460" s="94"/>
      <c r="P460" s="94"/>
    </row>
    <row r="461">
      <c r="G461" s="94"/>
      <c r="H461" s="94"/>
      <c r="I461" s="94"/>
      <c r="J461" s="94"/>
      <c r="K461" s="94"/>
      <c r="L461" s="94"/>
      <c r="M461" s="94"/>
      <c r="N461" s="94"/>
      <c r="O461" s="94"/>
      <c r="P461" s="94"/>
    </row>
    <row r="462">
      <c r="G462" s="94"/>
      <c r="H462" s="94"/>
      <c r="I462" s="94"/>
      <c r="J462" s="94"/>
      <c r="K462" s="94"/>
      <c r="L462" s="94"/>
      <c r="M462" s="94"/>
      <c r="N462" s="94"/>
      <c r="O462" s="94"/>
      <c r="P462" s="94"/>
    </row>
    <row r="463">
      <c r="G463" s="94"/>
      <c r="H463" s="94"/>
      <c r="I463" s="94"/>
      <c r="J463" s="94"/>
      <c r="K463" s="94"/>
      <c r="L463" s="94"/>
      <c r="M463" s="94"/>
      <c r="N463" s="94"/>
      <c r="O463" s="94"/>
      <c r="P463" s="94"/>
    </row>
    <row r="464">
      <c r="G464" s="94"/>
      <c r="H464" s="94"/>
      <c r="I464" s="94"/>
      <c r="J464" s="94"/>
      <c r="K464" s="94"/>
      <c r="L464" s="94"/>
      <c r="M464" s="94"/>
      <c r="N464" s="94"/>
      <c r="O464" s="94"/>
      <c r="P464" s="94"/>
    </row>
    <row r="465">
      <c r="G465" s="94"/>
      <c r="H465" s="94"/>
      <c r="I465" s="94"/>
      <c r="J465" s="94"/>
      <c r="K465" s="94"/>
      <c r="L465" s="94"/>
      <c r="M465" s="94"/>
      <c r="N465" s="94"/>
      <c r="O465" s="94"/>
      <c r="P465" s="94"/>
    </row>
    <row r="466">
      <c r="G466" s="94"/>
      <c r="H466" s="94"/>
      <c r="I466" s="94"/>
      <c r="J466" s="94"/>
      <c r="K466" s="94"/>
      <c r="L466" s="94"/>
      <c r="M466" s="94"/>
      <c r="N466" s="94"/>
      <c r="O466" s="94"/>
      <c r="P466" s="94"/>
    </row>
    <row r="467">
      <c r="G467" s="94"/>
      <c r="H467" s="94"/>
      <c r="I467" s="94"/>
      <c r="J467" s="94"/>
      <c r="K467" s="94"/>
      <c r="L467" s="94"/>
      <c r="M467" s="94"/>
      <c r="N467" s="94"/>
      <c r="O467" s="94"/>
      <c r="P467" s="94"/>
    </row>
    <row r="468">
      <c r="G468" s="94"/>
      <c r="H468" s="94"/>
      <c r="I468" s="94"/>
      <c r="J468" s="94"/>
      <c r="K468" s="94"/>
      <c r="L468" s="94"/>
      <c r="M468" s="94"/>
      <c r="N468" s="94"/>
      <c r="O468" s="94"/>
      <c r="P468" s="94"/>
    </row>
    <row r="469">
      <c r="G469" s="94"/>
      <c r="H469" s="94"/>
      <c r="I469" s="94"/>
      <c r="J469" s="94"/>
      <c r="K469" s="94"/>
      <c r="L469" s="94"/>
      <c r="M469" s="94"/>
      <c r="N469" s="94"/>
      <c r="O469" s="94"/>
      <c r="P469" s="94"/>
    </row>
    <row r="470">
      <c r="G470" s="94"/>
      <c r="H470" s="94"/>
      <c r="I470" s="94"/>
      <c r="J470" s="94"/>
      <c r="K470" s="94"/>
      <c r="L470" s="94"/>
      <c r="M470" s="94"/>
      <c r="N470" s="94"/>
      <c r="O470" s="94"/>
      <c r="P470" s="94"/>
    </row>
    <row r="471">
      <c r="G471" s="94"/>
      <c r="H471" s="94"/>
      <c r="I471" s="94"/>
      <c r="J471" s="94"/>
      <c r="K471" s="94"/>
      <c r="L471" s="94"/>
      <c r="M471" s="94"/>
      <c r="N471" s="94"/>
      <c r="O471" s="94"/>
      <c r="P471" s="94"/>
    </row>
    <row r="472">
      <c r="G472" s="94"/>
      <c r="H472" s="94"/>
      <c r="I472" s="94"/>
      <c r="J472" s="94"/>
      <c r="K472" s="94"/>
      <c r="L472" s="94"/>
      <c r="M472" s="94"/>
      <c r="N472" s="94"/>
      <c r="O472" s="94"/>
      <c r="P472" s="94"/>
    </row>
    <row r="473">
      <c r="G473" s="94"/>
      <c r="H473" s="94"/>
      <c r="I473" s="94"/>
      <c r="J473" s="94"/>
      <c r="K473" s="94"/>
      <c r="L473" s="94"/>
      <c r="M473" s="94"/>
      <c r="N473" s="94"/>
      <c r="O473" s="94"/>
      <c r="P473" s="94"/>
    </row>
    <row r="474">
      <c r="G474" s="94"/>
      <c r="H474" s="94"/>
      <c r="I474" s="94"/>
      <c r="J474" s="94"/>
      <c r="K474" s="94"/>
      <c r="L474" s="94"/>
      <c r="M474" s="94"/>
      <c r="N474" s="94"/>
      <c r="O474" s="94"/>
      <c r="P474" s="94"/>
    </row>
    <row r="475">
      <c r="G475" s="94"/>
      <c r="H475" s="94"/>
      <c r="I475" s="94"/>
      <c r="J475" s="94"/>
      <c r="K475" s="94"/>
      <c r="L475" s="94"/>
      <c r="M475" s="94"/>
      <c r="N475" s="94"/>
      <c r="O475" s="94"/>
      <c r="P475" s="94"/>
    </row>
    <row r="476">
      <c r="G476" s="94"/>
      <c r="H476" s="94"/>
      <c r="I476" s="94"/>
      <c r="J476" s="94"/>
      <c r="K476" s="94"/>
      <c r="L476" s="94"/>
      <c r="M476" s="94"/>
      <c r="N476" s="94"/>
      <c r="O476" s="94"/>
      <c r="P476" s="94"/>
    </row>
    <row r="477">
      <c r="G477" s="94"/>
      <c r="H477" s="94"/>
      <c r="I477" s="94"/>
      <c r="J477" s="94"/>
      <c r="K477" s="94"/>
      <c r="L477" s="94"/>
      <c r="M477" s="94"/>
      <c r="N477" s="94"/>
      <c r="O477" s="94"/>
      <c r="P477" s="94"/>
    </row>
    <row r="478">
      <c r="G478" s="94"/>
      <c r="H478" s="94"/>
      <c r="I478" s="94"/>
      <c r="J478" s="94"/>
      <c r="K478" s="94"/>
      <c r="L478" s="94"/>
      <c r="M478" s="94"/>
      <c r="N478" s="94"/>
      <c r="O478" s="94"/>
      <c r="P478" s="94"/>
    </row>
    <row r="479">
      <c r="G479" s="94"/>
      <c r="H479" s="94"/>
      <c r="I479" s="94"/>
      <c r="J479" s="94"/>
      <c r="K479" s="94"/>
      <c r="L479" s="94"/>
      <c r="M479" s="94"/>
      <c r="N479" s="94"/>
      <c r="O479" s="94"/>
      <c r="P479" s="94"/>
    </row>
    <row r="480">
      <c r="G480" s="94"/>
      <c r="H480" s="94"/>
      <c r="I480" s="94"/>
      <c r="J480" s="94"/>
      <c r="K480" s="94"/>
      <c r="L480" s="94"/>
      <c r="M480" s="94"/>
      <c r="N480" s="94"/>
      <c r="O480" s="94"/>
      <c r="P480" s="94"/>
    </row>
    <row r="481">
      <c r="G481" s="94"/>
      <c r="H481" s="94"/>
      <c r="I481" s="94"/>
      <c r="J481" s="94"/>
      <c r="K481" s="94"/>
      <c r="L481" s="94"/>
      <c r="M481" s="94"/>
      <c r="N481" s="94"/>
      <c r="O481" s="94"/>
      <c r="P481" s="94"/>
    </row>
    <row r="482">
      <c r="G482" s="94"/>
      <c r="H482" s="94"/>
      <c r="I482" s="94"/>
      <c r="J482" s="94"/>
      <c r="K482" s="94"/>
      <c r="L482" s="94"/>
      <c r="M482" s="94"/>
      <c r="N482" s="94"/>
      <c r="O482" s="94"/>
      <c r="P482" s="94"/>
    </row>
    <row r="483">
      <c r="G483" s="94"/>
      <c r="H483" s="94"/>
      <c r="I483" s="94"/>
      <c r="J483" s="94"/>
      <c r="K483" s="94"/>
      <c r="L483" s="94"/>
      <c r="M483" s="94"/>
      <c r="N483" s="94"/>
      <c r="O483" s="94"/>
      <c r="P483" s="94"/>
    </row>
    <row r="484">
      <c r="G484" s="94"/>
      <c r="H484" s="94"/>
      <c r="I484" s="94"/>
      <c r="J484" s="94"/>
      <c r="K484" s="94"/>
      <c r="L484" s="94"/>
      <c r="M484" s="94"/>
      <c r="N484" s="94"/>
      <c r="O484" s="94"/>
      <c r="P484" s="94"/>
    </row>
    <row r="485">
      <c r="G485" s="94"/>
      <c r="H485" s="94"/>
      <c r="I485" s="94"/>
      <c r="J485" s="94"/>
      <c r="K485" s="94"/>
      <c r="L485" s="94"/>
      <c r="M485" s="94"/>
      <c r="N485" s="94"/>
      <c r="O485" s="94"/>
      <c r="P485" s="94"/>
    </row>
    <row r="486">
      <c r="G486" s="94"/>
      <c r="H486" s="94"/>
      <c r="I486" s="94"/>
      <c r="J486" s="94"/>
      <c r="K486" s="94"/>
      <c r="L486" s="94"/>
      <c r="M486" s="94"/>
      <c r="N486" s="94"/>
      <c r="O486" s="94"/>
      <c r="P486" s="94"/>
    </row>
    <row r="487">
      <c r="G487" s="94"/>
      <c r="H487" s="94"/>
      <c r="I487" s="94"/>
      <c r="J487" s="94"/>
      <c r="K487" s="94"/>
      <c r="L487" s="94"/>
      <c r="M487" s="94"/>
      <c r="N487" s="94"/>
      <c r="O487" s="94"/>
      <c r="P487" s="94"/>
    </row>
    <row r="488">
      <c r="G488" s="94"/>
      <c r="H488" s="94"/>
      <c r="I488" s="94"/>
      <c r="J488" s="94"/>
      <c r="K488" s="94"/>
      <c r="L488" s="94"/>
      <c r="M488" s="94"/>
      <c r="N488" s="94"/>
      <c r="O488" s="94"/>
      <c r="P488" s="94"/>
    </row>
    <row r="489">
      <c r="G489" s="94"/>
      <c r="H489" s="94"/>
      <c r="I489" s="94"/>
      <c r="J489" s="94"/>
      <c r="K489" s="94"/>
      <c r="L489" s="94"/>
      <c r="M489" s="94"/>
      <c r="N489" s="94"/>
      <c r="O489" s="94"/>
      <c r="P489" s="94"/>
    </row>
    <row r="490">
      <c r="G490" s="94"/>
      <c r="H490" s="94"/>
      <c r="I490" s="94"/>
      <c r="J490" s="94"/>
      <c r="K490" s="94"/>
      <c r="L490" s="94"/>
      <c r="M490" s="94"/>
      <c r="N490" s="94"/>
      <c r="O490" s="94"/>
      <c r="P490" s="94"/>
    </row>
    <row r="491">
      <c r="G491" s="94"/>
      <c r="H491" s="94"/>
      <c r="I491" s="94"/>
      <c r="J491" s="94"/>
      <c r="K491" s="94"/>
      <c r="L491" s="94"/>
      <c r="M491" s="94"/>
      <c r="N491" s="94"/>
      <c r="O491" s="94"/>
      <c r="P491" s="94"/>
    </row>
    <row r="492">
      <c r="G492" s="94"/>
      <c r="H492" s="94"/>
      <c r="I492" s="94"/>
      <c r="J492" s="94"/>
      <c r="K492" s="94"/>
      <c r="L492" s="94"/>
      <c r="M492" s="94"/>
      <c r="N492" s="94"/>
      <c r="O492" s="94"/>
      <c r="P492" s="94"/>
    </row>
    <row r="493">
      <c r="G493" s="94"/>
      <c r="H493" s="94"/>
      <c r="I493" s="94"/>
      <c r="J493" s="94"/>
      <c r="K493" s="94"/>
      <c r="L493" s="94"/>
      <c r="M493" s="94"/>
      <c r="N493" s="94"/>
      <c r="O493" s="94"/>
      <c r="P493" s="94"/>
    </row>
    <row r="494">
      <c r="G494" s="94"/>
      <c r="H494" s="94"/>
      <c r="I494" s="94"/>
      <c r="J494" s="94"/>
      <c r="K494" s="94"/>
      <c r="L494" s="94"/>
      <c r="M494" s="94"/>
      <c r="N494" s="94"/>
      <c r="O494" s="94"/>
      <c r="P494" s="94"/>
    </row>
    <row r="495">
      <c r="G495" s="94"/>
      <c r="H495" s="94"/>
      <c r="I495" s="94"/>
      <c r="J495" s="94"/>
      <c r="K495" s="94"/>
      <c r="L495" s="94"/>
      <c r="M495" s="94"/>
      <c r="N495" s="94"/>
      <c r="O495" s="94"/>
      <c r="P495" s="94"/>
    </row>
    <row r="496">
      <c r="G496" s="94"/>
      <c r="H496" s="94"/>
      <c r="I496" s="94"/>
      <c r="J496" s="94"/>
      <c r="K496" s="94"/>
      <c r="L496" s="94"/>
      <c r="M496" s="94"/>
      <c r="N496" s="94"/>
      <c r="O496" s="94"/>
      <c r="P496" s="94"/>
    </row>
    <row r="497">
      <c r="G497" s="94"/>
      <c r="H497" s="94"/>
      <c r="I497" s="94"/>
      <c r="J497" s="94"/>
      <c r="K497" s="94"/>
      <c r="L497" s="94"/>
      <c r="M497" s="94"/>
      <c r="N497" s="94"/>
      <c r="O497" s="94"/>
      <c r="P497" s="94"/>
    </row>
    <row r="498">
      <c r="G498" s="94"/>
      <c r="H498" s="94"/>
      <c r="I498" s="94"/>
      <c r="J498" s="94"/>
      <c r="K498" s="94"/>
      <c r="L498" s="94"/>
      <c r="M498" s="94"/>
      <c r="N498" s="94"/>
      <c r="O498" s="94"/>
      <c r="P498" s="94"/>
    </row>
    <row r="499">
      <c r="G499" s="94"/>
      <c r="H499" s="94"/>
      <c r="I499" s="94"/>
      <c r="J499" s="94"/>
      <c r="K499" s="94"/>
      <c r="L499" s="94"/>
      <c r="M499" s="94"/>
      <c r="N499" s="94"/>
      <c r="O499" s="94"/>
      <c r="P499" s="94"/>
    </row>
    <row r="500">
      <c r="G500" s="94"/>
      <c r="H500" s="94"/>
      <c r="I500" s="94"/>
      <c r="J500" s="94"/>
      <c r="K500" s="94"/>
      <c r="L500" s="94"/>
      <c r="M500" s="94"/>
      <c r="N500" s="94"/>
      <c r="O500" s="94"/>
      <c r="P500" s="94"/>
    </row>
    <row r="501">
      <c r="G501" s="94"/>
      <c r="H501" s="94"/>
      <c r="I501" s="94"/>
      <c r="J501" s="94"/>
      <c r="K501" s="94"/>
      <c r="L501" s="94"/>
      <c r="M501" s="94"/>
      <c r="N501" s="94"/>
      <c r="O501" s="94"/>
      <c r="P501" s="94"/>
    </row>
    <row r="502">
      <c r="G502" s="94"/>
      <c r="H502" s="94"/>
      <c r="I502" s="94"/>
      <c r="J502" s="94"/>
      <c r="K502" s="94"/>
      <c r="L502" s="94"/>
      <c r="M502" s="94"/>
      <c r="N502" s="94"/>
      <c r="O502" s="94"/>
      <c r="P502" s="94"/>
    </row>
    <row r="503">
      <c r="G503" s="94"/>
      <c r="H503" s="94"/>
      <c r="I503" s="94"/>
      <c r="J503" s="94"/>
      <c r="K503" s="94"/>
      <c r="L503" s="94"/>
      <c r="M503" s="94"/>
      <c r="N503" s="94"/>
      <c r="O503" s="94"/>
      <c r="P503" s="94"/>
    </row>
    <row r="504">
      <c r="G504" s="94"/>
      <c r="H504" s="94"/>
      <c r="I504" s="94"/>
      <c r="J504" s="94"/>
      <c r="K504" s="94"/>
      <c r="L504" s="94"/>
      <c r="M504" s="94"/>
      <c r="N504" s="94"/>
      <c r="O504" s="94"/>
      <c r="P504" s="94"/>
    </row>
    <row r="505">
      <c r="G505" s="94"/>
      <c r="H505" s="94"/>
      <c r="I505" s="94"/>
      <c r="J505" s="94"/>
      <c r="K505" s="94"/>
      <c r="L505" s="94"/>
      <c r="M505" s="94"/>
      <c r="N505" s="94"/>
      <c r="O505" s="94"/>
      <c r="P505" s="94"/>
    </row>
    <row r="506">
      <c r="G506" s="94"/>
      <c r="H506" s="94"/>
      <c r="I506" s="94"/>
      <c r="J506" s="94"/>
      <c r="K506" s="94"/>
      <c r="L506" s="94"/>
      <c r="M506" s="94"/>
      <c r="N506" s="94"/>
      <c r="O506" s="94"/>
      <c r="P506" s="94"/>
    </row>
    <row r="507">
      <c r="G507" s="94"/>
      <c r="H507" s="94"/>
      <c r="I507" s="94"/>
      <c r="J507" s="94"/>
      <c r="K507" s="94"/>
      <c r="L507" s="94"/>
      <c r="M507" s="94"/>
      <c r="N507" s="94"/>
      <c r="O507" s="94"/>
      <c r="P507" s="94"/>
    </row>
    <row r="508">
      <c r="G508" s="94"/>
      <c r="H508" s="94"/>
      <c r="I508" s="94"/>
      <c r="J508" s="94"/>
      <c r="K508" s="94"/>
      <c r="L508" s="94"/>
      <c r="M508" s="94"/>
      <c r="N508" s="94"/>
      <c r="O508" s="94"/>
      <c r="P508" s="94"/>
    </row>
    <row r="509">
      <c r="G509" s="94"/>
      <c r="H509" s="94"/>
      <c r="I509" s="94"/>
      <c r="J509" s="94"/>
      <c r="K509" s="94"/>
      <c r="L509" s="94"/>
      <c r="M509" s="94"/>
      <c r="N509" s="94"/>
      <c r="O509" s="94"/>
      <c r="P509" s="94"/>
    </row>
    <row r="510">
      <c r="G510" s="94"/>
      <c r="H510" s="94"/>
      <c r="I510" s="94"/>
      <c r="J510" s="94"/>
      <c r="K510" s="94"/>
      <c r="L510" s="94"/>
      <c r="M510" s="94"/>
      <c r="N510" s="94"/>
      <c r="O510" s="94"/>
      <c r="P510" s="94"/>
    </row>
    <row r="511">
      <c r="G511" s="94"/>
      <c r="H511" s="94"/>
      <c r="I511" s="94"/>
      <c r="J511" s="94"/>
      <c r="K511" s="94"/>
      <c r="L511" s="94"/>
      <c r="M511" s="94"/>
      <c r="N511" s="94"/>
      <c r="O511" s="94"/>
      <c r="P511" s="94"/>
    </row>
    <row r="512">
      <c r="G512" s="94"/>
      <c r="H512" s="94"/>
      <c r="I512" s="94"/>
      <c r="J512" s="94"/>
      <c r="K512" s="94"/>
      <c r="L512" s="94"/>
      <c r="M512" s="94"/>
      <c r="N512" s="94"/>
      <c r="O512" s="94"/>
      <c r="P512" s="94"/>
    </row>
    <row r="513">
      <c r="G513" s="94"/>
      <c r="H513" s="94"/>
      <c r="I513" s="94"/>
      <c r="J513" s="94"/>
      <c r="K513" s="94"/>
      <c r="L513" s="94"/>
      <c r="M513" s="94"/>
      <c r="N513" s="94"/>
      <c r="O513" s="94"/>
      <c r="P513" s="94"/>
    </row>
    <row r="514">
      <c r="G514" s="94"/>
      <c r="H514" s="94"/>
      <c r="I514" s="94"/>
      <c r="J514" s="94"/>
      <c r="K514" s="94"/>
      <c r="L514" s="94"/>
      <c r="M514" s="94"/>
      <c r="N514" s="94"/>
      <c r="O514" s="94"/>
      <c r="P514" s="94"/>
    </row>
    <row r="515">
      <c r="G515" s="94"/>
      <c r="H515" s="94"/>
      <c r="I515" s="94"/>
      <c r="J515" s="94"/>
      <c r="K515" s="94"/>
      <c r="L515" s="94"/>
      <c r="M515" s="94"/>
      <c r="N515" s="94"/>
      <c r="O515" s="94"/>
      <c r="P515" s="94"/>
    </row>
    <row r="516">
      <c r="G516" s="94"/>
      <c r="H516" s="94"/>
      <c r="I516" s="94"/>
      <c r="J516" s="94"/>
      <c r="K516" s="94"/>
      <c r="L516" s="94"/>
      <c r="M516" s="94"/>
      <c r="N516" s="94"/>
      <c r="O516" s="94"/>
      <c r="P516" s="94"/>
    </row>
    <row r="517">
      <c r="G517" s="94"/>
      <c r="H517" s="94"/>
      <c r="I517" s="94"/>
      <c r="J517" s="94"/>
      <c r="K517" s="94"/>
      <c r="L517" s="94"/>
      <c r="M517" s="94"/>
      <c r="N517" s="94"/>
      <c r="O517" s="94"/>
      <c r="P517" s="94"/>
    </row>
    <row r="518">
      <c r="G518" s="94"/>
      <c r="H518" s="94"/>
      <c r="I518" s="94"/>
      <c r="J518" s="94"/>
      <c r="K518" s="94"/>
      <c r="L518" s="94"/>
      <c r="M518" s="94"/>
      <c r="N518" s="94"/>
      <c r="O518" s="94"/>
      <c r="P518" s="94"/>
    </row>
    <row r="519">
      <c r="G519" s="94"/>
      <c r="H519" s="94"/>
      <c r="I519" s="94"/>
      <c r="J519" s="94"/>
      <c r="K519" s="94"/>
      <c r="L519" s="94"/>
      <c r="M519" s="94"/>
      <c r="N519" s="94"/>
      <c r="O519" s="94"/>
      <c r="P519" s="94"/>
    </row>
    <row r="520">
      <c r="G520" s="94"/>
      <c r="H520" s="94"/>
      <c r="I520" s="94"/>
      <c r="J520" s="94"/>
      <c r="K520" s="94"/>
      <c r="L520" s="94"/>
      <c r="M520" s="94"/>
      <c r="N520" s="94"/>
      <c r="O520" s="94"/>
      <c r="P520" s="94"/>
    </row>
    <row r="521">
      <c r="G521" s="94"/>
      <c r="H521" s="94"/>
      <c r="I521" s="94"/>
      <c r="J521" s="94"/>
      <c r="K521" s="94"/>
      <c r="L521" s="94"/>
      <c r="M521" s="94"/>
      <c r="N521" s="94"/>
      <c r="O521" s="94"/>
      <c r="P521" s="94"/>
    </row>
    <row r="522">
      <c r="G522" s="94"/>
      <c r="H522" s="94"/>
      <c r="I522" s="94"/>
      <c r="J522" s="94"/>
      <c r="K522" s="94"/>
      <c r="L522" s="94"/>
      <c r="M522" s="94"/>
      <c r="N522" s="94"/>
      <c r="O522" s="94"/>
      <c r="P522" s="94"/>
    </row>
    <row r="523">
      <c r="G523" s="94"/>
      <c r="H523" s="94"/>
      <c r="I523" s="94"/>
      <c r="J523" s="94"/>
      <c r="K523" s="94"/>
      <c r="L523" s="94"/>
      <c r="M523" s="94"/>
      <c r="N523" s="94"/>
      <c r="O523" s="94"/>
      <c r="P523" s="94"/>
    </row>
    <row r="524">
      <c r="G524" s="94"/>
      <c r="H524" s="94"/>
      <c r="I524" s="94"/>
      <c r="J524" s="94"/>
      <c r="K524" s="94"/>
      <c r="L524" s="94"/>
      <c r="M524" s="94"/>
      <c r="N524" s="94"/>
      <c r="O524" s="94"/>
      <c r="P524" s="94"/>
    </row>
    <row r="525">
      <c r="G525" s="94"/>
      <c r="H525" s="94"/>
      <c r="I525" s="94"/>
      <c r="J525" s="94"/>
      <c r="K525" s="94"/>
      <c r="L525" s="94"/>
      <c r="M525" s="94"/>
      <c r="N525" s="94"/>
      <c r="O525" s="94"/>
      <c r="P525" s="94"/>
    </row>
    <row r="526">
      <c r="G526" s="94"/>
      <c r="H526" s="94"/>
      <c r="I526" s="94"/>
      <c r="J526" s="94"/>
      <c r="K526" s="94"/>
      <c r="L526" s="94"/>
      <c r="M526" s="94"/>
      <c r="N526" s="94"/>
      <c r="O526" s="94"/>
      <c r="P526" s="94"/>
    </row>
    <row r="527">
      <c r="G527" s="94"/>
      <c r="H527" s="94"/>
      <c r="I527" s="94"/>
      <c r="J527" s="94"/>
      <c r="K527" s="94"/>
      <c r="L527" s="94"/>
      <c r="M527" s="94"/>
      <c r="N527" s="94"/>
      <c r="O527" s="94"/>
      <c r="P527" s="94"/>
    </row>
    <row r="528">
      <c r="G528" s="94"/>
      <c r="H528" s="94"/>
      <c r="I528" s="94"/>
      <c r="J528" s="94"/>
      <c r="K528" s="94"/>
      <c r="L528" s="94"/>
      <c r="M528" s="94"/>
      <c r="N528" s="94"/>
      <c r="O528" s="94"/>
      <c r="P528" s="94"/>
    </row>
    <row r="529">
      <c r="G529" s="94"/>
      <c r="H529" s="94"/>
      <c r="I529" s="94"/>
      <c r="J529" s="94"/>
      <c r="K529" s="94"/>
      <c r="L529" s="94"/>
      <c r="M529" s="94"/>
      <c r="N529" s="94"/>
      <c r="O529" s="94"/>
      <c r="P529" s="94"/>
    </row>
    <row r="530">
      <c r="G530" s="94"/>
      <c r="H530" s="94"/>
      <c r="I530" s="94"/>
      <c r="J530" s="94"/>
      <c r="K530" s="94"/>
      <c r="L530" s="94"/>
      <c r="M530" s="94"/>
      <c r="N530" s="94"/>
      <c r="O530" s="94"/>
      <c r="P530" s="94"/>
    </row>
    <row r="531">
      <c r="G531" s="94"/>
      <c r="H531" s="94"/>
      <c r="I531" s="94"/>
      <c r="J531" s="94"/>
      <c r="K531" s="94"/>
      <c r="L531" s="94"/>
      <c r="M531" s="94"/>
      <c r="N531" s="94"/>
      <c r="O531" s="94"/>
      <c r="P531" s="94"/>
    </row>
    <row r="532">
      <c r="G532" s="94"/>
      <c r="H532" s="94"/>
      <c r="I532" s="94"/>
      <c r="J532" s="94"/>
      <c r="K532" s="94"/>
      <c r="L532" s="94"/>
      <c r="M532" s="94"/>
      <c r="N532" s="94"/>
      <c r="O532" s="94"/>
      <c r="P532" s="94"/>
    </row>
    <row r="533">
      <c r="G533" s="94"/>
      <c r="H533" s="94"/>
      <c r="I533" s="94"/>
      <c r="J533" s="94"/>
      <c r="K533" s="94"/>
      <c r="L533" s="94"/>
      <c r="M533" s="94"/>
      <c r="N533" s="94"/>
      <c r="O533" s="94"/>
      <c r="P533" s="94"/>
    </row>
    <row r="534">
      <c r="G534" s="94"/>
      <c r="H534" s="94"/>
      <c r="I534" s="94"/>
      <c r="J534" s="94"/>
      <c r="K534" s="94"/>
      <c r="L534" s="94"/>
      <c r="M534" s="94"/>
      <c r="N534" s="94"/>
      <c r="O534" s="94"/>
      <c r="P534" s="94"/>
    </row>
    <row r="535">
      <c r="G535" s="94"/>
      <c r="H535" s="94"/>
      <c r="I535" s="94"/>
      <c r="J535" s="94"/>
      <c r="K535" s="94"/>
      <c r="L535" s="94"/>
      <c r="M535" s="94"/>
      <c r="N535" s="94"/>
      <c r="O535" s="94"/>
      <c r="P535" s="94"/>
    </row>
    <row r="536">
      <c r="G536" s="94"/>
      <c r="H536" s="94"/>
      <c r="I536" s="94"/>
      <c r="J536" s="94"/>
      <c r="K536" s="94"/>
      <c r="L536" s="94"/>
      <c r="M536" s="94"/>
      <c r="N536" s="94"/>
      <c r="O536" s="94"/>
      <c r="P536" s="94"/>
    </row>
    <row r="537">
      <c r="G537" s="94"/>
      <c r="H537" s="94"/>
      <c r="I537" s="94"/>
      <c r="J537" s="94"/>
      <c r="K537" s="94"/>
      <c r="L537" s="94"/>
      <c r="M537" s="94"/>
      <c r="N537" s="94"/>
      <c r="O537" s="94"/>
      <c r="P537" s="94"/>
    </row>
    <row r="538">
      <c r="G538" s="94"/>
      <c r="H538" s="94"/>
      <c r="I538" s="94"/>
      <c r="J538" s="94"/>
      <c r="K538" s="94"/>
      <c r="L538" s="94"/>
      <c r="M538" s="94"/>
      <c r="N538" s="94"/>
      <c r="O538" s="94"/>
      <c r="P538" s="94"/>
    </row>
    <row r="539">
      <c r="G539" s="94"/>
      <c r="H539" s="94"/>
      <c r="I539" s="94"/>
      <c r="J539" s="94"/>
      <c r="K539" s="94"/>
      <c r="L539" s="94"/>
      <c r="M539" s="94"/>
      <c r="N539" s="94"/>
      <c r="O539" s="94"/>
      <c r="P539" s="94"/>
    </row>
    <row r="540">
      <c r="G540" s="94"/>
      <c r="H540" s="94"/>
      <c r="I540" s="94"/>
      <c r="J540" s="94"/>
      <c r="K540" s="94"/>
      <c r="L540" s="94"/>
      <c r="M540" s="94"/>
      <c r="N540" s="94"/>
      <c r="O540" s="94"/>
      <c r="P540" s="94"/>
    </row>
    <row r="541">
      <c r="G541" s="94"/>
      <c r="H541" s="94"/>
      <c r="I541" s="94"/>
      <c r="J541" s="94"/>
      <c r="K541" s="94"/>
      <c r="L541" s="94"/>
      <c r="M541" s="94"/>
      <c r="N541" s="94"/>
      <c r="O541" s="94"/>
      <c r="P541" s="94"/>
    </row>
    <row r="542">
      <c r="G542" s="94"/>
      <c r="H542" s="94"/>
      <c r="I542" s="94"/>
      <c r="J542" s="94"/>
      <c r="K542" s="94"/>
      <c r="L542" s="94"/>
      <c r="M542" s="94"/>
      <c r="N542" s="94"/>
      <c r="O542" s="94"/>
      <c r="P542" s="94"/>
    </row>
    <row r="543">
      <c r="G543" s="94"/>
      <c r="H543" s="94"/>
      <c r="I543" s="94"/>
      <c r="J543" s="94"/>
      <c r="K543" s="94"/>
      <c r="L543" s="94"/>
      <c r="M543" s="94"/>
      <c r="N543" s="94"/>
      <c r="O543" s="94"/>
      <c r="P543" s="94"/>
    </row>
    <row r="544">
      <c r="G544" s="94"/>
      <c r="H544" s="94"/>
      <c r="I544" s="94"/>
      <c r="J544" s="94"/>
      <c r="K544" s="94"/>
      <c r="L544" s="94"/>
      <c r="M544" s="94"/>
      <c r="N544" s="94"/>
      <c r="O544" s="94"/>
      <c r="P544" s="94"/>
    </row>
    <row r="545">
      <c r="G545" s="94"/>
      <c r="H545" s="94"/>
      <c r="I545" s="94"/>
      <c r="J545" s="94"/>
      <c r="K545" s="94"/>
      <c r="L545" s="94"/>
      <c r="M545" s="94"/>
      <c r="N545" s="94"/>
      <c r="O545" s="94"/>
      <c r="P545" s="94"/>
    </row>
    <row r="546">
      <c r="G546" s="94"/>
      <c r="H546" s="94"/>
      <c r="I546" s="94"/>
      <c r="J546" s="94"/>
      <c r="K546" s="94"/>
      <c r="L546" s="94"/>
      <c r="M546" s="94"/>
      <c r="N546" s="94"/>
      <c r="O546" s="94"/>
      <c r="P546" s="94"/>
    </row>
    <row r="547">
      <c r="G547" s="94"/>
      <c r="H547" s="94"/>
      <c r="I547" s="94"/>
      <c r="J547" s="94"/>
      <c r="K547" s="94"/>
      <c r="L547" s="94"/>
      <c r="M547" s="94"/>
      <c r="N547" s="94"/>
      <c r="O547" s="94"/>
      <c r="P547" s="94"/>
    </row>
    <row r="548">
      <c r="G548" s="94"/>
      <c r="H548" s="94"/>
      <c r="I548" s="94"/>
      <c r="J548" s="94"/>
      <c r="K548" s="94"/>
      <c r="L548" s="94"/>
      <c r="M548" s="94"/>
      <c r="N548" s="94"/>
      <c r="O548" s="94"/>
      <c r="P548" s="94"/>
    </row>
    <row r="549">
      <c r="G549" s="94"/>
      <c r="H549" s="94"/>
      <c r="I549" s="94"/>
      <c r="J549" s="94"/>
      <c r="K549" s="94"/>
      <c r="L549" s="94"/>
      <c r="M549" s="94"/>
      <c r="N549" s="94"/>
      <c r="O549" s="94"/>
      <c r="P549" s="94"/>
    </row>
    <row r="550">
      <c r="G550" s="94"/>
      <c r="H550" s="94"/>
      <c r="I550" s="94"/>
      <c r="J550" s="94"/>
      <c r="K550" s="94"/>
      <c r="L550" s="94"/>
      <c r="M550" s="94"/>
      <c r="N550" s="94"/>
      <c r="O550" s="94"/>
      <c r="P550" s="94"/>
    </row>
    <row r="551">
      <c r="G551" s="94"/>
      <c r="H551" s="94"/>
      <c r="I551" s="94"/>
      <c r="J551" s="94"/>
      <c r="K551" s="94"/>
      <c r="L551" s="94"/>
      <c r="M551" s="94"/>
      <c r="N551" s="94"/>
      <c r="O551" s="94"/>
      <c r="P551" s="94"/>
    </row>
    <row r="552">
      <c r="G552" s="94"/>
      <c r="H552" s="94"/>
      <c r="I552" s="94"/>
      <c r="J552" s="94"/>
      <c r="K552" s="94"/>
      <c r="L552" s="94"/>
      <c r="M552" s="94"/>
      <c r="N552" s="94"/>
      <c r="O552" s="94"/>
      <c r="P552" s="94"/>
    </row>
    <row r="553">
      <c r="G553" s="94"/>
      <c r="H553" s="94"/>
      <c r="I553" s="94"/>
      <c r="J553" s="94"/>
      <c r="K553" s="94"/>
      <c r="L553" s="94"/>
      <c r="M553" s="94"/>
      <c r="N553" s="94"/>
      <c r="O553" s="94"/>
      <c r="P553" s="94"/>
    </row>
    <row r="554">
      <c r="G554" s="94"/>
      <c r="H554" s="94"/>
      <c r="I554" s="94"/>
      <c r="J554" s="94"/>
      <c r="K554" s="94"/>
      <c r="L554" s="94"/>
      <c r="M554" s="94"/>
      <c r="N554" s="94"/>
      <c r="O554" s="94"/>
      <c r="P554" s="94"/>
    </row>
    <row r="555">
      <c r="G555" s="94"/>
      <c r="H555" s="94"/>
      <c r="I555" s="94"/>
      <c r="J555" s="94"/>
      <c r="K555" s="94"/>
      <c r="L555" s="94"/>
      <c r="M555" s="94"/>
      <c r="N555" s="94"/>
      <c r="O555" s="94"/>
      <c r="P555" s="94"/>
    </row>
    <row r="556">
      <c r="G556" s="94"/>
      <c r="H556" s="94"/>
      <c r="I556" s="94"/>
      <c r="J556" s="94"/>
      <c r="K556" s="94"/>
      <c r="L556" s="94"/>
      <c r="M556" s="94"/>
      <c r="N556" s="94"/>
      <c r="O556" s="94"/>
      <c r="P556" s="94"/>
    </row>
    <row r="557">
      <c r="G557" s="94"/>
      <c r="H557" s="94"/>
      <c r="I557" s="94"/>
      <c r="J557" s="94"/>
      <c r="K557" s="94"/>
      <c r="L557" s="94"/>
      <c r="M557" s="94"/>
      <c r="N557" s="94"/>
      <c r="O557" s="94"/>
      <c r="P557" s="94"/>
    </row>
    <row r="558">
      <c r="G558" s="94"/>
      <c r="H558" s="94"/>
      <c r="I558" s="94"/>
      <c r="J558" s="94"/>
      <c r="K558" s="94"/>
      <c r="L558" s="94"/>
      <c r="M558" s="94"/>
      <c r="N558" s="94"/>
      <c r="O558" s="94"/>
      <c r="P558" s="94"/>
    </row>
    <row r="559">
      <c r="G559" s="94"/>
      <c r="H559" s="94"/>
      <c r="I559" s="94"/>
      <c r="J559" s="94"/>
      <c r="K559" s="94"/>
      <c r="L559" s="94"/>
      <c r="M559" s="94"/>
      <c r="N559" s="94"/>
      <c r="O559" s="94"/>
      <c r="P559" s="94"/>
    </row>
    <row r="560">
      <c r="G560" s="94"/>
      <c r="H560" s="94"/>
      <c r="I560" s="94"/>
      <c r="J560" s="94"/>
      <c r="K560" s="94"/>
      <c r="L560" s="94"/>
      <c r="M560" s="94"/>
      <c r="N560" s="94"/>
      <c r="O560" s="94"/>
      <c r="P560" s="94"/>
    </row>
    <row r="561">
      <c r="G561" s="94"/>
      <c r="H561" s="94"/>
      <c r="I561" s="94"/>
      <c r="J561" s="94"/>
      <c r="K561" s="94"/>
      <c r="L561" s="94"/>
      <c r="M561" s="94"/>
      <c r="N561" s="94"/>
      <c r="O561" s="94"/>
      <c r="P561" s="94"/>
    </row>
    <row r="562">
      <c r="G562" s="94"/>
      <c r="H562" s="94"/>
      <c r="I562" s="94"/>
      <c r="J562" s="94"/>
      <c r="K562" s="94"/>
      <c r="L562" s="94"/>
      <c r="M562" s="94"/>
      <c r="N562" s="94"/>
      <c r="O562" s="94"/>
      <c r="P562" s="94"/>
    </row>
    <row r="563">
      <c r="G563" s="94"/>
      <c r="H563" s="94"/>
      <c r="I563" s="94"/>
      <c r="J563" s="94"/>
      <c r="K563" s="94"/>
      <c r="L563" s="94"/>
      <c r="M563" s="94"/>
      <c r="N563" s="94"/>
      <c r="O563" s="94"/>
      <c r="P563" s="94"/>
    </row>
    <row r="564">
      <c r="G564" s="94"/>
      <c r="H564" s="94"/>
      <c r="I564" s="94"/>
      <c r="J564" s="94"/>
      <c r="K564" s="94"/>
      <c r="L564" s="94"/>
      <c r="M564" s="94"/>
      <c r="N564" s="94"/>
      <c r="O564" s="94"/>
      <c r="P564" s="94"/>
    </row>
    <row r="565">
      <c r="G565" s="94"/>
      <c r="H565" s="94"/>
      <c r="I565" s="94"/>
      <c r="J565" s="94"/>
      <c r="K565" s="94"/>
      <c r="L565" s="94"/>
      <c r="M565" s="94"/>
      <c r="N565" s="94"/>
      <c r="O565" s="94"/>
      <c r="P565" s="94"/>
    </row>
    <row r="566">
      <c r="G566" s="94"/>
      <c r="H566" s="94"/>
      <c r="I566" s="94"/>
      <c r="J566" s="94"/>
      <c r="K566" s="94"/>
      <c r="L566" s="94"/>
      <c r="M566" s="94"/>
      <c r="N566" s="94"/>
      <c r="O566" s="94"/>
      <c r="P566" s="94"/>
    </row>
    <row r="567">
      <c r="G567" s="94"/>
      <c r="H567" s="94"/>
      <c r="I567" s="94"/>
      <c r="J567" s="94"/>
      <c r="K567" s="94"/>
      <c r="L567" s="94"/>
      <c r="M567" s="94"/>
      <c r="N567" s="94"/>
      <c r="O567" s="94"/>
      <c r="P567" s="94"/>
    </row>
    <row r="568">
      <c r="G568" s="94"/>
      <c r="H568" s="94"/>
      <c r="I568" s="94"/>
      <c r="J568" s="94"/>
      <c r="K568" s="94"/>
      <c r="L568" s="94"/>
      <c r="M568" s="94"/>
      <c r="N568" s="94"/>
      <c r="O568" s="94"/>
      <c r="P568" s="94"/>
    </row>
    <row r="569">
      <c r="G569" s="94"/>
      <c r="H569" s="94"/>
      <c r="I569" s="94"/>
      <c r="J569" s="94"/>
      <c r="K569" s="94"/>
      <c r="L569" s="94"/>
      <c r="M569" s="94"/>
      <c r="N569" s="94"/>
      <c r="O569" s="94"/>
      <c r="P569" s="94"/>
    </row>
    <row r="570">
      <c r="G570" s="94"/>
      <c r="H570" s="94"/>
      <c r="I570" s="94"/>
      <c r="J570" s="94"/>
      <c r="K570" s="94"/>
      <c r="L570" s="94"/>
      <c r="M570" s="94"/>
      <c r="N570" s="94"/>
      <c r="O570" s="94"/>
      <c r="P570" s="94"/>
    </row>
    <row r="571">
      <c r="G571" s="94"/>
      <c r="H571" s="94"/>
      <c r="I571" s="94"/>
      <c r="J571" s="94"/>
      <c r="K571" s="94"/>
      <c r="L571" s="94"/>
      <c r="M571" s="94"/>
      <c r="N571" s="94"/>
      <c r="O571" s="94"/>
      <c r="P571" s="94"/>
    </row>
    <row r="572">
      <c r="G572" s="94"/>
      <c r="H572" s="94"/>
      <c r="I572" s="94"/>
      <c r="J572" s="94"/>
      <c r="K572" s="94"/>
      <c r="L572" s="94"/>
      <c r="M572" s="94"/>
      <c r="N572" s="94"/>
      <c r="O572" s="94"/>
      <c r="P572" s="94"/>
    </row>
    <row r="573">
      <c r="G573" s="94"/>
      <c r="H573" s="94"/>
      <c r="I573" s="94"/>
      <c r="J573" s="94"/>
      <c r="K573" s="94"/>
      <c r="L573" s="94"/>
      <c r="M573" s="94"/>
      <c r="N573" s="94"/>
      <c r="O573" s="94"/>
      <c r="P573" s="94"/>
    </row>
    <row r="574">
      <c r="G574" s="94"/>
      <c r="H574" s="94"/>
      <c r="I574" s="94"/>
      <c r="J574" s="94"/>
      <c r="K574" s="94"/>
      <c r="L574" s="94"/>
      <c r="M574" s="94"/>
      <c r="N574" s="94"/>
      <c r="O574" s="94"/>
      <c r="P574" s="94"/>
    </row>
    <row r="575">
      <c r="G575" s="94"/>
      <c r="H575" s="94"/>
      <c r="I575" s="94"/>
      <c r="J575" s="94"/>
      <c r="K575" s="94"/>
      <c r="L575" s="94"/>
      <c r="M575" s="94"/>
      <c r="N575" s="94"/>
      <c r="O575" s="94"/>
      <c r="P575" s="94"/>
    </row>
    <row r="576">
      <c r="G576" s="94"/>
      <c r="H576" s="94"/>
      <c r="I576" s="94"/>
      <c r="J576" s="94"/>
      <c r="K576" s="94"/>
      <c r="L576" s="94"/>
      <c r="M576" s="94"/>
      <c r="N576" s="94"/>
      <c r="O576" s="94"/>
      <c r="P576" s="94"/>
    </row>
    <row r="577">
      <c r="G577" s="94"/>
      <c r="H577" s="94"/>
      <c r="I577" s="94"/>
      <c r="J577" s="94"/>
      <c r="K577" s="94"/>
      <c r="L577" s="94"/>
      <c r="M577" s="94"/>
      <c r="N577" s="94"/>
      <c r="O577" s="94"/>
      <c r="P577" s="94"/>
    </row>
    <row r="578">
      <c r="G578" s="94"/>
      <c r="H578" s="94"/>
      <c r="I578" s="94"/>
      <c r="J578" s="94"/>
      <c r="K578" s="94"/>
      <c r="L578" s="94"/>
      <c r="M578" s="94"/>
      <c r="N578" s="94"/>
      <c r="O578" s="94"/>
      <c r="P578" s="94"/>
    </row>
    <row r="579">
      <c r="G579" s="94"/>
      <c r="H579" s="94"/>
      <c r="I579" s="94"/>
      <c r="J579" s="94"/>
      <c r="K579" s="94"/>
      <c r="L579" s="94"/>
      <c r="M579" s="94"/>
      <c r="N579" s="94"/>
      <c r="O579" s="94"/>
      <c r="P579" s="94"/>
    </row>
    <row r="580">
      <c r="G580" s="94"/>
      <c r="H580" s="94"/>
      <c r="I580" s="94"/>
      <c r="J580" s="94"/>
      <c r="K580" s="94"/>
      <c r="L580" s="94"/>
      <c r="M580" s="94"/>
      <c r="N580" s="94"/>
      <c r="O580" s="94"/>
      <c r="P580" s="94"/>
    </row>
    <row r="581">
      <c r="G581" s="94"/>
      <c r="H581" s="94"/>
      <c r="I581" s="94"/>
      <c r="J581" s="94"/>
      <c r="K581" s="94"/>
      <c r="L581" s="94"/>
      <c r="M581" s="94"/>
      <c r="N581" s="94"/>
      <c r="O581" s="94"/>
      <c r="P581" s="94"/>
    </row>
    <row r="582">
      <c r="G582" s="94"/>
      <c r="H582" s="94"/>
      <c r="I582" s="94"/>
      <c r="J582" s="94"/>
      <c r="K582" s="94"/>
      <c r="L582" s="94"/>
      <c r="M582" s="94"/>
      <c r="N582" s="94"/>
      <c r="O582" s="94"/>
      <c r="P582" s="94"/>
    </row>
    <row r="583">
      <c r="G583" s="94"/>
      <c r="H583" s="94"/>
      <c r="I583" s="94"/>
      <c r="J583" s="94"/>
      <c r="K583" s="94"/>
      <c r="L583" s="94"/>
      <c r="M583" s="94"/>
      <c r="N583" s="94"/>
      <c r="O583" s="94"/>
      <c r="P583" s="94"/>
    </row>
    <row r="584">
      <c r="G584" s="94"/>
      <c r="H584" s="94"/>
      <c r="I584" s="94"/>
      <c r="J584" s="94"/>
      <c r="K584" s="94"/>
      <c r="L584" s="94"/>
      <c r="M584" s="94"/>
      <c r="N584" s="94"/>
      <c r="O584" s="94"/>
      <c r="P584" s="94"/>
    </row>
    <row r="585">
      <c r="G585" s="94"/>
      <c r="H585" s="94"/>
      <c r="I585" s="94"/>
      <c r="J585" s="94"/>
      <c r="K585" s="94"/>
      <c r="L585" s="94"/>
      <c r="M585" s="94"/>
      <c r="N585" s="94"/>
      <c r="O585" s="94"/>
      <c r="P585" s="94"/>
    </row>
    <row r="586">
      <c r="G586" s="94"/>
      <c r="H586" s="94"/>
      <c r="I586" s="94"/>
      <c r="J586" s="94"/>
      <c r="K586" s="94"/>
      <c r="L586" s="94"/>
      <c r="M586" s="94"/>
      <c r="N586" s="94"/>
      <c r="O586" s="94"/>
      <c r="P586" s="94"/>
    </row>
    <row r="587">
      <c r="G587" s="94"/>
      <c r="H587" s="94"/>
      <c r="I587" s="94"/>
      <c r="J587" s="94"/>
      <c r="K587" s="94"/>
      <c r="L587" s="94"/>
      <c r="M587" s="94"/>
      <c r="N587" s="94"/>
      <c r="O587" s="94"/>
      <c r="P587" s="94"/>
    </row>
    <row r="588">
      <c r="G588" s="94"/>
      <c r="H588" s="94"/>
      <c r="I588" s="94"/>
      <c r="J588" s="94"/>
      <c r="K588" s="94"/>
      <c r="L588" s="94"/>
      <c r="M588" s="94"/>
      <c r="N588" s="94"/>
      <c r="O588" s="94"/>
      <c r="P588" s="94"/>
    </row>
    <row r="589">
      <c r="G589" s="94"/>
      <c r="H589" s="94"/>
      <c r="I589" s="94"/>
      <c r="J589" s="94"/>
      <c r="K589" s="94"/>
      <c r="L589" s="94"/>
      <c r="M589" s="94"/>
      <c r="N589" s="94"/>
      <c r="O589" s="94"/>
      <c r="P589" s="94"/>
    </row>
    <row r="590">
      <c r="G590" s="94"/>
      <c r="H590" s="94"/>
      <c r="I590" s="94"/>
      <c r="J590" s="94"/>
      <c r="K590" s="94"/>
      <c r="L590" s="94"/>
      <c r="M590" s="94"/>
      <c r="N590" s="94"/>
      <c r="O590" s="94"/>
      <c r="P590" s="94"/>
    </row>
    <row r="591">
      <c r="G591" s="94"/>
      <c r="H591" s="94"/>
      <c r="I591" s="94"/>
      <c r="J591" s="94"/>
      <c r="K591" s="94"/>
      <c r="L591" s="94"/>
      <c r="M591" s="94"/>
      <c r="N591" s="94"/>
      <c r="O591" s="94"/>
      <c r="P591" s="94"/>
    </row>
    <row r="592">
      <c r="G592" s="94"/>
      <c r="H592" s="94"/>
      <c r="I592" s="94"/>
      <c r="J592" s="94"/>
      <c r="K592" s="94"/>
      <c r="L592" s="94"/>
      <c r="M592" s="94"/>
      <c r="N592" s="94"/>
      <c r="O592" s="94"/>
      <c r="P592" s="94"/>
    </row>
    <row r="593">
      <c r="G593" s="94"/>
      <c r="H593" s="94"/>
      <c r="I593" s="94"/>
      <c r="J593" s="94"/>
      <c r="K593" s="94"/>
      <c r="L593" s="94"/>
      <c r="M593" s="94"/>
      <c r="N593" s="94"/>
      <c r="O593" s="94"/>
      <c r="P593" s="94"/>
    </row>
    <row r="594">
      <c r="G594" s="94"/>
      <c r="H594" s="94"/>
      <c r="I594" s="94"/>
      <c r="J594" s="94"/>
      <c r="K594" s="94"/>
      <c r="L594" s="94"/>
      <c r="M594" s="94"/>
      <c r="N594" s="94"/>
      <c r="O594" s="94"/>
      <c r="P594" s="94"/>
    </row>
    <row r="595">
      <c r="G595" s="94"/>
      <c r="H595" s="94"/>
      <c r="I595" s="94"/>
      <c r="J595" s="94"/>
      <c r="K595" s="94"/>
      <c r="L595" s="94"/>
      <c r="M595" s="94"/>
      <c r="N595" s="94"/>
      <c r="O595" s="94"/>
      <c r="P595" s="94"/>
    </row>
    <row r="596">
      <c r="G596" s="94"/>
      <c r="H596" s="94"/>
      <c r="I596" s="94"/>
      <c r="J596" s="94"/>
      <c r="K596" s="94"/>
      <c r="L596" s="94"/>
      <c r="M596" s="94"/>
      <c r="N596" s="94"/>
      <c r="O596" s="94"/>
      <c r="P596" s="94"/>
    </row>
    <row r="597">
      <c r="G597" s="94"/>
      <c r="H597" s="94"/>
      <c r="I597" s="94"/>
      <c r="J597" s="94"/>
      <c r="K597" s="94"/>
      <c r="L597" s="94"/>
      <c r="M597" s="94"/>
      <c r="N597" s="94"/>
      <c r="O597" s="94"/>
      <c r="P597" s="94"/>
    </row>
    <row r="598">
      <c r="G598" s="94"/>
      <c r="H598" s="94"/>
      <c r="I598" s="94"/>
      <c r="J598" s="94"/>
      <c r="K598" s="94"/>
      <c r="L598" s="94"/>
      <c r="M598" s="94"/>
      <c r="N598" s="94"/>
      <c r="O598" s="94"/>
      <c r="P598" s="94"/>
    </row>
    <row r="599">
      <c r="G599" s="94"/>
      <c r="H599" s="94"/>
      <c r="I599" s="94"/>
      <c r="J599" s="94"/>
      <c r="K599" s="94"/>
      <c r="L599" s="94"/>
      <c r="M599" s="94"/>
      <c r="N599" s="94"/>
      <c r="O599" s="94"/>
      <c r="P599" s="94"/>
    </row>
    <row r="600">
      <c r="G600" s="94"/>
      <c r="H600" s="94"/>
      <c r="I600" s="94"/>
      <c r="J600" s="94"/>
      <c r="K600" s="94"/>
      <c r="L600" s="94"/>
      <c r="M600" s="94"/>
      <c r="N600" s="94"/>
      <c r="O600" s="94"/>
      <c r="P600" s="94"/>
    </row>
    <row r="601">
      <c r="G601" s="94"/>
      <c r="H601" s="94"/>
      <c r="I601" s="94"/>
      <c r="J601" s="94"/>
      <c r="K601" s="94"/>
      <c r="L601" s="94"/>
      <c r="M601" s="94"/>
      <c r="N601" s="94"/>
      <c r="O601" s="94"/>
      <c r="P601" s="94"/>
    </row>
    <row r="602">
      <c r="G602" s="94"/>
      <c r="H602" s="94"/>
      <c r="I602" s="94"/>
      <c r="J602" s="94"/>
      <c r="K602" s="94"/>
      <c r="L602" s="94"/>
      <c r="M602" s="94"/>
      <c r="N602" s="94"/>
      <c r="O602" s="94"/>
      <c r="P602" s="94"/>
    </row>
    <row r="603">
      <c r="G603" s="94"/>
      <c r="H603" s="94"/>
      <c r="I603" s="94"/>
      <c r="J603" s="94"/>
      <c r="K603" s="94"/>
      <c r="L603" s="94"/>
      <c r="M603" s="94"/>
      <c r="N603" s="94"/>
      <c r="O603" s="94"/>
      <c r="P603" s="94"/>
    </row>
    <row r="604">
      <c r="G604" s="94"/>
      <c r="H604" s="94"/>
      <c r="I604" s="94"/>
      <c r="J604" s="94"/>
      <c r="K604" s="94"/>
      <c r="L604" s="94"/>
      <c r="M604" s="94"/>
      <c r="N604" s="94"/>
      <c r="O604" s="94"/>
      <c r="P604" s="94"/>
    </row>
    <row r="605">
      <c r="G605" s="94"/>
      <c r="H605" s="94"/>
      <c r="I605" s="94"/>
      <c r="J605" s="94"/>
      <c r="K605" s="94"/>
      <c r="L605" s="94"/>
      <c r="M605" s="94"/>
      <c r="N605" s="94"/>
      <c r="O605" s="94"/>
      <c r="P605" s="94"/>
    </row>
    <row r="606">
      <c r="G606" s="94"/>
      <c r="H606" s="94"/>
      <c r="I606" s="94"/>
      <c r="J606" s="94"/>
      <c r="K606" s="94"/>
      <c r="L606" s="94"/>
      <c r="M606" s="94"/>
      <c r="N606" s="94"/>
      <c r="O606" s="94"/>
      <c r="P606" s="94"/>
    </row>
    <row r="607">
      <c r="G607" s="94"/>
      <c r="H607" s="94"/>
      <c r="I607" s="94"/>
      <c r="J607" s="94"/>
      <c r="K607" s="94"/>
      <c r="L607" s="94"/>
      <c r="M607" s="94"/>
      <c r="N607" s="94"/>
      <c r="O607" s="94"/>
      <c r="P607" s="94"/>
    </row>
    <row r="608">
      <c r="G608" s="94"/>
      <c r="H608" s="94"/>
      <c r="I608" s="94"/>
      <c r="J608" s="94"/>
      <c r="K608" s="94"/>
      <c r="L608" s="94"/>
      <c r="M608" s="94"/>
      <c r="N608" s="94"/>
      <c r="O608" s="94"/>
      <c r="P608" s="94"/>
    </row>
    <row r="609">
      <c r="G609" s="94"/>
      <c r="H609" s="94"/>
      <c r="I609" s="94"/>
      <c r="J609" s="94"/>
      <c r="K609" s="94"/>
      <c r="L609" s="94"/>
      <c r="M609" s="94"/>
      <c r="N609" s="94"/>
      <c r="O609" s="94"/>
      <c r="P609" s="94"/>
    </row>
    <row r="610">
      <c r="G610" s="94"/>
      <c r="H610" s="94"/>
      <c r="I610" s="94"/>
      <c r="J610" s="94"/>
      <c r="K610" s="94"/>
      <c r="L610" s="94"/>
      <c r="M610" s="94"/>
      <c r="N610" s="94"/>
      <c r="O610" s="94"/>
      <c r="P610" s="94"/>
    </row>
    <row r="611">
      <c r="G611" s="94"/>
      <c r="H611" s="94"/>
      <c r="I611" s="94"/>
      <c r="J611" s="94"/>
      <c r="K611" s="94"/>
      <c r="L611" s="94"/>
      <c r="M611" s="94"/>
      <c r="N611" s="94"/>
      <c r="O611" s="94"/>
      <c r="P611" s="94"/>
    </row>
    <row r="612">
      <c r="G612" s="94"/>
      <c r="H612" s="94"/>
      <c r="I612" s="94"/>
      <c r="J612" s="94"/>
      <c r="K612" s="94"/>
      <c r="L612" s="94"/>
      <c r="M612" s="94"/>
      <c r="N612" s="94"/>
      <c r="O612" s="94"/>
      <c r="P612" s="94"/>
    </row>
    <row r="613">
      <c r="G613" s="94"/>
      <c r="H613" s="94"/>
      <c r="I613" s="94"/>
      <c r="J613" s="94"/>
      <c r="K613" s="94"/>
      <c r="L613" s="94"/>
      <c r="M613" s="94"/>
      <c r="N613" s="94"/>
      <c r="O613" s="94"/>
      <c r="P613" s="94"/>
    </row>
    <row r="614">
      <c r="G614" s="94"/>
      <c r="H614" s="94"/>
      <c r="I614" s="94"/>
      <c r="J614" s="94"/>
      <c r="K614" s="94"/>
      <c r="L614" s="94"/>
      <c r="M614" s="94"/>
      <c r="N614" s="94"/>
      <c r="O614" s="94"/>
      <c r="P614" s="94"/>
    </row>
    <row r="615">
      <c r="G615" s="94"/>
      <c r="H615" s="94"/>
      <c r="I615" s="94"/>
      <c r="J615" s="94"/>
      <c r="K615" s="94"/>
      <c r="L615" s="94"/>
      <c r="M615" s="94"/>
      <c r="N615" s="94"/>
      <c r="O615" s="94"/>
      <c r="P615" s="94"/>
    </row>
    <row r="616">
      <c r="G616" s="94"/>
      <c r="H616" s="94"/>
      <c r="I616" s="94"/>
      <c r="J616" s="94"/>
      <c r="K616" s="94"/>
      <c r="L616" s="94"/>
      <c r="M616" s="94"/>
      <c r="N616" s="94"/>
      <c r="O616" s="94"/>
      <c r="P616" s="94"/>
    </row>
    <row r="617">
      <c r="G617" s="94"/>
      <c r="H617" s="94"/>
      <c r="I617" s="94"/>
      <c r="J617" s="94"/>
      <c r="K617" s="94"/>
      <c r="L617" s="94"/>
      <c r="M617" s="94"/>
      <c r="N617" s="94"/>
      <c r="O617" s="94"/>
      <c r="P617" s="94"/>
    </row>
    <row r="618">
      <c r="G618" s="94"/>
      <c r="H618" s="94"/>
      <c r="I618" s="94"/>
      <c r="J618" s="94"/>
      <c r="K618" s="94"/>
      <c r="L618" s="94"/>
      <c r="M618" s="94"/>
      <c r="N618" s="94"/>
      <c r="O618" s="94"/>
      <c r="P618" s="94"/>
    </row>
    <row r="619">
      <c r="G619" s="94"/>
      <c r="H619" s="94"/>
      <c r="I619" s="94"/>
      <c r="J619" s="94"/>
      <c r="K619" s="94"/>
      <c r="L619" s="94"/>
      <c r="M619" s="94"/>
      <c r="N619" s="94"/>
      <c r="O619" s="94"/>
      <c r="P619" s="94"/>
    </row>
    <row r="620">
      <c r="G620" s="94"/>
      <c r="H620" s="94"/>
      <c r="I620" s="94"/>
      <c r="J620" s="94"/>
      <c r="K620" s="94"/>
      <c r="L620" s="94"/>
      <c r="M620" s="94"/>
      <c r="N620" s="94"/>
      <c r="O620" s="94"/>
      <c r="P620" s="94"/>
    </row>
    <row r="621">
      <c r="G621" s="94"/>
      <c r="H621" s="94"/>
      <c r="I621" s="94"/>
      <c r="J621" s="94"/>
      <c r="K621" s="94"/>
      <c r="L621" s="94"/>
      <c r="M621" s="94"/>
      <c r="N621" s="94"/>
      <c r="O621" s="94"/>
      <c r="P621" s="94"/>
    </row>
    <row r="622">
      <c r="G622" s="94"/>
      <c r="H622" s="94"/>
      <c r="I622" s="94"/>
      <c r="J622" s="94"/>
      <c r="K622" s="94"/>
      <c r="L622" s="94"/>
      <c r="M622" s="94"/>
      <c r="N622" s="94"/>
      <c r="O622" s="94"/>
      <c r="P622" s="94"/>
    </row>
    <row r="623">
      <c r="G623" s="94"/>
      <c r="H623" s="94"/>
      <c r="I623" s="94"/>
      <c r="J623" s="94"/>
      <c r="K623" s="94"/>
      <c r="L623" s="94"/>
      <c r="M623" s="94"/>
      <c r="N623" s="94"/>
      <c r="O623" s="94"/>
      <c r="P623" s="94"/>
    </row>
    <row r="624">
      <c r="G624" s="94"/>
      <c r="H624" s="94"/>
      <c r="I624" s="94"/>
      <c r="J624" s="94"/>
      <c r="K624" s="94"/>
      <c r="L624" s="94"/>
      <c r="M624" s="94"/>
      <c r="N624" s="94"/>
      <c r="O624" s="94"/>
      <c r="P624" s="94"/>
    </row>
    <row r="625">
      <c r="G625" s="94"/>
      <c r="H625" s="94"/>
      <c r="I625" s="94"/>
      <c r="J625" s="94"/>
      <c r="K625" s="94"/>
      <c r="L625" s="94"/>
      <c r="M625" s="94"/>
      <c r="N625" s="94"/>
      <c r="O625" s="94"/>
      <c r="P625" s="94"/>
    </row>
    <row r="626">
      <c r="G626" s="94"/>
      <c r="H626" s="94"/>
      <c r="I626" s="94"/>
      <c r="J626" s="94"/>
      <c r="K626" s="94"/>
      <c r="L626" s="94"/>
      <c r="M626" s="94"/>
      <c r="N626" s="94"/>
      <c r="O626" s="94"/>
      <c r="P626" s="94"/>
    </row>
    <row r="627">
      <c r="G627" s="94"/>
      <c r="H627" s="94"/>
      <c r="I627" s="94"/>
      <c r="J627" s="94"/>
      <c r="K627" s="94"/>
      <c r="L627" s="94"/>
      <c r="M627" s="94"/>
      <c r="N627" s="94"/>
      <c r="O627" s="94"/>
      <c r="P627" s="94"/>
    </row>
    <row r="628">
      <c r="G628" s="94"/>
      <c r="H628" s="94"/>
      <c r="I628" s="94"/>
      <c r="J628" s="94"/>
      <c r="K628" s="94"/>
      <c r="L628" s="94"/>
      <c r="M628" s="94"/>
      <c r="N628" s="94"/>
      <c r="O628" s="94"/>
      <c r="P628" s="94"/>
    </row>
    <row r="629">
      <c r="G629" s="94"/>
      <c r="H629" s="94"/>
      <c r="I629" s="94"/>
      <c r="J629" s="94"/>
      <c r="K629" s="94"/>
      <c r="L629" s="94"/>
      <c r="M629" s="94"/>
      <c r="N629" s="94"/>
      <c r="O629" s="94"/>
      <c r="P629" s="94"/>
    </row>
    <row r="630">
      <c r="G630" s="94"/>
      <c r="H630" s="94"/>
      <c r="I630" s="94"/>
      <c r="J630" s="94"/>
      <c r="K630" s="94"/>
      <c r="L630" s="94"/>
      <c r="M630" s="94"/>
      <c r="N630" s="94"/>
      <c r="O630" s="94"/>
      <c r="P630" s="94"/>
    </row>
    <row r="631">
      <c r="G631" s="94"/>
      <c r="H631" s="94"/>
      <c r="I631" s="94"/>
      <c r="J631" s="94"/>
      <c r="K631" s="94"/>
      <c r="L631" s="94"/>
      <c r="M631" s="94"/>
      <c r="N631" s="94"/>
      <c r="O631" s="94"/>
      <c r="P631" s="94"/>
    </row>
    <row r="632">
      <c r="G632" s="94"/>
      <c r="H632" s="94"/>
      <c r="I632" s="94"/>
      <c r="J632" s="94"/>
      <c r="K632" s="94"/>
      <c r="L632" s="94"/>
      <c r="M632" s="94"/>
      <c r="N632" s="94"/>
      <c r="O632" s="94"/>
      <c r="P632" s="94"/>
    </row>
    <row r="633">
      <c r="G633" s="94"/>
      <c r="H633" s="94"/>
      <c r="I633" s="94"/>
      <c r="J633" s="94"/>
      <c r="K633" s="94"/>
      <c r="L633" s="94"/>
      <c r="M633" s="94"/>
      <c r="N633" s="94"/>
      <c r="O633" s="94"/>
      <c r="P633" s="94"/>
    </row>
    <row r="634">
      <c r="G634" s="94"/>
      <c r="H634" s="94"/>
      <c r="I634" s="94"/>
      <c r="J634" s="94"/>
      <c r="K634" s="94"/>
      <c r="L634" s="94"/>
      <c r="M634" s="94"/>
      <c r="N634" s="94"/>
      <c r="O634" s="94"/>
      <c r="P634" s="94"/>
    </row>
    <row r="635">
      <c r="G635" s="94"/>
      <c r="H635" s="94"/>
      <c r="I635" s="94"/>
      <c r="J635" s="94"/>
      <c r="K635" s="94"/>
      <c r="L635" s="94"/>
      <c r="M635" s="94"/>
      <c r="N635" s="94"/>
      <c r="O635" s="94"/>
      <c r="P635" s="94"/>
    </row>
    <row r="636">
      <c r="G636" s="94"/>
      <c r="H636" s="94"/>
      <c r="I636" s="94"/>
      <c r="J636" s="94"/>
      <c r="K636" s="94"/>
      <c r="L636" s="94"/>
      <c r="M636" s="94"/>
      <c r="N636" s="94"/>
      <c r="O636" s="94"/>
      <c r="P636" s="94"/>
    </row>
    <row r="637">
      <c r="G637" s="94"/>
      <c r="H637" s="94"/>
      <c r="I637" s="94"/>
      <c r="J637" s="94"/>
      <c r="K637" s="94"/>
      <c r="L637" s="94"/>
      <c r="M637" s="94"/>
      <c r="N637" s="94"/>
      <c r="O637" s="94"/>
      <c r="P637" s="94"/>
    </row>
    <row r="638">
      <c r="G638" s="94"/>
      <c r="H638" s="94"/>
      <c r="I638" s="94"/>
      <c r="J638" s="94"/>
      <c r="K638" s="94"/>
      <c r="L638" s="94"/>
      <c r="M638" s="94"/>
      <c r="N638" s="94"/>
      <c r="O638" s="94"/>
      <c r="P638" s="94"/>
    </row>
    <row r="639">
      <c r="G639" s="94"/>
      <c r="H639" s="94"/>
      <c r="I639" s="94"/>
      <c r="J639" s="94"/>
      <c r="K639" s="94"/>
      <c r="L639" s="94"/>
      <c r="M639" s="94"/>
      <c r="N639" s="94"/>
      <c r="O639" s="94"/>
      <c r="P639" s="94"/>
    </row>
    <row r="640">
      <c r="G640" s="94"/>
      <c r="H640" s="94"/>
      <c r="I640" s="94"/>
      <c r="J640" s="94"/>
      <c r="K640" s="94"/>
      <c r="L640" s="94"/>
      <c r="M640" s="94"/>
      <c r="N640" s="94"/>
      <c r="O640" s="94"/>
      <c r="P640" s="94"/>
    </row>
    <row r="641">
      <c r="G641" s="94"/>
      <c r="H641" s="94"/>
      <c r="I641" s="94"/>
      <c r="J641" s="94"/>
      <c r="K641" s="94"/>
      <c r="L641" s="94"/>
      <c r="M641" s="94"/>
      <c r="N641" s="94"/>
      <c r="O641" s="94"/>
      <c r="P641" s="94"/>
    </row>
    <row r="642">
      <c r="G642" s="94"/>
      <c r="H642" s="94"/>
      <c r="I642" s="94"/>
      <c r="J642" s="94"/>
      <c r="K642" s="94"/>
      <c r="L642" s="94"/>
      <c r="M642" s="94"/>
      <c r="N642" s="94"/>
      <c r="O642" s="94"/>
      <c r="P642" s="94"/>
    </row>
    <row r="643">
      <c r="G643" s="94"/>
      <c r="H643" s="94"/>
      <c r="I643" s="94"/>
      <c r="J643" s="94"/>
      <c r="K643" s="94"/>
      <c r="L643" s="94"/>
      <c r="M643" s="94"/>
      <c r="N643" s="94"/>
      <c r="O643" s="94"/>
      <c r="P643" s="94"/>
    </row>
    <row r="644">
      <c r="G644" s="94"/>
      <c r="H644" s="94"/>
      <c r="I644" s="94"/>
      <c r="J644" s="94"/>
      <c r="K644" s="94"/>
      <c r="L644" s="94"/>
      <c r="M644" s="94"/>
      <c r="N644" s="94"/>
      <c r="O644" s="94"/>
      <c r="P644" s="94"/>
    </row>
    <row r="645">
      <c r="G645" s="94"/>
      <c r="H645" s="94"/>
      <c r="I645" s="94"/>
      <c r="J645" s="94"/>
      <c r="K645" s="94"/>
      <c r="L645" s="94"/>
      <c r="M645" s="94"/>
      <c r="N645" s="94"/>
      <c r="O645" s="94"/>
      <c r="P645" s="94"/>
    </row>
    <row r="646">
      <c r="G646" s="94"/>
      <c r="H646" s="94"/>
      <c r="I646" s="94"/>
      <c r="J646" s="94"/>
      <c r="K646" s="94"/>
      <c r="L646" s="94"/>
      <c r="M646" s="94"/>
      <c r="N646" s="94"/>
      <c r="O646" s="94"/>
      <c r="P646" s="94"/>
    </row>
    <row r="647">
      <c r="G647" s="94"/>
      <c r="H647" s="94"/>
      <c r="I647" s="94"/>
      <c r="J647" s="94"/>
      <c r="K647" s="94"/>
      <c r="L647" s="94"/>
      <c r="M647" s="94"/>
      <c r="N647" s="94"/>
      <c r="O647" s="94"/>
      <c r="P647" s="94"/>
    </row>
    <row r="648">
      <c r="G648" s="94"/>
      <c r="H648" s="94"/>
      <c r="I648" s="94"/>
      <c r="J648" s="94"/>
      <c r="K648" s="94"/>
      <c r="L648" s="94"/>
      <c r="M648" s="94"/>
      <c r="N648" s="94"/>
      <c r="O648" s="94"/>
      <c r="P648" s="94"/>
    </row>
    <row r="649">
      <c r="G649" s="94"/>
      <c r="H649" s="94"/>
      <c r="I649" s="94"/>
      <c r="J649" s="94"/>
      <c r="K649" s="94"/>
      <c r="L649" s="94"/>
      <c r="M649" s="94"/>
      <c r="N649" s="94"/>
      <c r="O649" s="94"/>
      <c r="P649" s="94"/>
    </row>
    <row r="650">
      <c r="G650" s="94"/>
      <c r="H650" s="94"/>
      <c r="I650" s="94"/>
      <c r="J650" s="94"/>
      <c r="K650" s="94"/>
      <c r="L650" s="94"/>
      <c r="M650" s="94"/>
      <c r="N650" s="94"/>
      <c r="O650" s="94"/>
      <c r="P650" s="94"/>
    </row>
    <row r="651">
      <c r="G651" s="94"/>
      <c r="H651" s="94"/>
      <c r="I651" s="94"/>
      <c r="J651" s="94"/>
      <c r="K651" s="94"/>
      <c r="L651" s="94"/>
      <c r="M651" s="94"/>
      <c r="N651" s="94"/>
      <c r="O651" s="94"/>
      <c r="P651" s="94"/>
    </row>
    <row r="652">
      <c r="G652" s="94"/>
      <c r="H652" s="94"/>
      <c r="I652" s="94"/>
      <c r="J652" s="94"/>
      <c r="K652" s="94"/>
      <c r="L652" s="94"/>
      <c r="M652" s="94"/>
      <c r="N652" s="94"/>
      <c r="O652" s="94"/>
      <c r="P652" s="94"/>
    </row>
    <row r="653">
      <c r="G653" s="94"/>
      <c r="H653" s="94"/>
      <c r="I653" s="94"/>
      <c r="J653" s="94"/>
      <c r="K653" s="94"/>
      <c r="L653" s="94"/>
      <c r="M653" s="94"/>
      <c r="N653" s="94"/>
      <c r="O653" s="94"/>
      <c r="P653" s="94"/>
    </row>
    <row r="654">
      <c r="G654" s="94"/>
      <c r="H654" s="94"/>
      <c r="I654" s="94"/>
      <c r="J654" s="94"/>
      <c r="K654" s="94"/>
      <c r="L654" s="94"/>
      <c r="M654" s="94"/>
      <c r="N654" s="94"/>
      <c r="O654" s="94"/>
      <c r="P654" s="94"/>
    </row>
    <row r="655">
      <c r="G655" s="94"/>
      <c r="H655" s="94"/>
      <c r="I655" s="94"/>
      <c r="J655" s="94"/>
      <c r="K655" s="94"/>
      <c r="L655" s="94"/>
      <c r="M655" s="94"/>
      <c r="N655" s="94"/>
      <c r="O655" s="94"/>
      <c r="P655" s="94"/>
    </row>
    <row r="656">
      <c r="G656" s="94"/>
      <c r="H656" s="94"/>
      <c r="I656" s="94"/>
      <c r="J656" s="94"/>
      <c r="K656" s="94"/>
      <c r="L656" s="94"/>
      <c r="M656" s="94"/>
      <c r="N656" s="94"/>
      <c r="O656" s="94"/>
      <c r="P656" s="94"/>
    </row>
    <row r="657">
      <c r="G657" s="94"/>
      <c r="H657" s="94"/>
      <c r="I657" s="94"/>
      <c r="J657" s="94"/>
      <c r="K657" s="94"/>
      <c r="L657" s="94"/>
      <c r="M657" s="94"/>
      <c r="N657" s="94"/>
      <c r="O657" s="94"/>
      <c r="P657" s="94"/>
    </row>
    <row r="658">
      <c r="G658" s="94"/>
      <c r="H658" s="94"/>
      <c r="I658" s="94"/>
      <c r="J658" s="94"/>
      <c r="K658" s="94"/>
      <c r="L658" s="94"/>
      <c r="M658" s="94"/>
      <c r="N658" s="94"/>
      <c r="O658" s="94"/>
      <c r="P658" s="94"/>
    </row>
    <row r="659">
      <c r="G659" s="94"/>
      <c r="H659" s="94"/>
      <c r="I659" s="94"/>
      <c r="J659" s="94"/>
      <c r="K659" s="94"/>
      <c r="L659" s="94"/>
      <c r="M659" s="94"/>
      <c r="N659" s="94"/>
      <c r="O659" s="94"/>
      <c r="P659" s="94"/>
    </row>
    <row r="660">
      <c r="G660" s="94"/>
      <c r="H660" s="94"/>
      <c r="I660" s="94"/>
      <c r="J660" s="94"/>
      <c r="K660" s="94"/>
      <c r="L660" s="94"/>
      <c r="M660" s="94"/>
      <c r="N660" s="94"/>
      <c r="O660" s="94"/>
      <c r="P660" s="94"/>
    </row>
    <row r="661">
      <c r="G661" s="94"/>
      <c r="H661" s="94"/>
      <c r="I661" s="94"/>
      <c r="J661" s="94"/>
      <c r="K661" s="94"/>
      <c r="L661" s="94"/>
      <c r="M661" s="94"/>
      <c r="N661" s="94"/>
      <c r="O661" s="94"/>
      <c r="P661" s="94"/>
    </row>
    <row r="662">
      <c r="G662" s="94"/>
      <c r="H662" s="94"/>
      <c r="I662" s="94"/>
      <c r="J662" s="94"/>
      <c r="K662" s="94"/>
      <c r="L662" s="94"/>
      <c r="M662" s="94"/>
      <c r="N662" s="94"/>
      <c r="O662" s="94"/>
      <c r="P662" s="94"/>
    </row>
    <row r="663">
      <c r="G663" s="94"/>
      <c r="H663" s="94"/>
      <c r="I663" s="94"/>
      <c r="J663" s="94"/>
      <c r="K663" s="94"/>
      <c r="L663" s="94"/>
      <c r="M663" s="94"/>
      <c r="N663" s="94"/>
      <c r="O663" s="94"/>
      <c r="P663" s="94"/>
    </row>
    <row r="664">
      <c r="G664" s="94"/>
      <c r="H664" s="94"/>
      <c r="I664" s="94"/>
      <c r="J664" s="94"/>
      <c r="K664" s="94"/>
      <c r="L664" s="94"/>
      <c r="M664" s="94"/>
      <c r="N664" s="94"/>
      <c r="O664" s="94"/>
      <c r="P664" s="94"/>
    </row>
    <row r="665">
      <c r="G665" s="94"/>
      <c r="H665" s="94"/>
      <c r="I665" s="94"/>
      <c r="J665" s="94"/>
      <c r="K665" s="94"/>
      <c r="L665" s="94"/>
      <c r="M665" s="94"/>
      <c r="N665" s="94"/>
      <c r="O665" s="94"/>
      <c r="P665" s="94"/>
    </row>
    <row r="666">
      <c r="G666" s="94"/>
      <c r="H666" s="94"/>
      <c r="I666" s="94"/>
      <c r="J666" s="94"/>
      <c r="K666" s="94"/>
      <c r="L666" s="94"/>
      <c r="M666" s="94"/>
      <c r="N666" s="94"/>
      <c r="O666" s="94"/>
      <c r="P666" s="94"/>
    </row>
    <row r="667">
      <c r="G667" s="94"/>
      <c r="H667" s="94"/>
      <c r="I667" s="94"/>
      <c r="J667" s="94"/>
      <c r="K667" s="94"/>
      <c r="L667" s="94"/>
      <c r="M667" s="94"/>
      <c r="N667" s="94"/>
      <c r="O667" s="94"/>
      <c r="P667" s="94"/>
    </row>
    <row r="668">
      <c r="G668" s="94"/>
      <c r="H668" s="94"/>
      <c r="I668" s="94"/>
      <c r="J668" s="94"/>
      <c r="K668" s="94"/>
      <c r="L668" s="94"/>
      <c r="M668" s="94"/>
      <c r="N668" s="94"/>
      <c r="O668" s="94"/>
      <c r="P668" s="94"/>
    </row>
    <row r="669">
      <c r="G669" s="94"/>
      <c r="H669" s="94"/>
      <c r="I669" s="94"/>
      <c r="J669" s="94"/>
      <c r="K669" s="94"/>
      <c r="L669" s="94"/>
      <c r="M669" s="94"/>
      <c r="N669" s="94"/>
      <c r="O669" s="94"/>
      <c r="P669" s="94"/>
    </row>
    <row r="670">
      <c r="G670" s="94"/>
      <c r="H670" s="94"/>
      <c r="I670" s="94"/>
      <c r="J670" s="94"/>
      <c r="K670" s="94"/>
      <c r="L670" s="94"/>
      <c r="M670" s="94"/>
      <c r="N670" s="94"/>
      <c r="O670" s="94"/>
      <c r="P670" s="94"/>
    </row>
    <row r="671">
      <c r="G671" s="94"/>
      <c r="H671" s="94"/>
      <c r="I671" s="94"/>
      <c r="J671" s="94"/>
      <c r="K671" s="94"/>
      <c r="L671" s="94"/>
      <c r="M671" s="94"/>
      <c r="N671" s="94"/>
      <c r="O671" s="94"/>
      <c r="P671" s="94"/>
    </row>
    <row r="672">
      <c r="G672" s="94"/>
      <c r="H672" s="94"/>
      <c r="I672" s="94"/>
      <c r="J672" s="94"/>
      <c r="K672" s="94"/>
      <c r="L672" s="94"/>
      <c r="M672" s="94"/>
      <c r="N672" s="94"/>
      <c r="O672" s="94"/>
      <c r="P672" s="94"/>
    </row>
    <row r="673">
      <c r="G673" s="94"/>
      <c r="H673" s="94"/>
      <c r="I673" s="94"/>
      <c r="J673" s="94"/>
      <c r="K673" s="94"/>
      <c r="L673" s="94"/>
      <c r="M673" s="94"/>
      <c r="N673" s="94"/>
      <c r="O673" s="94"/>
      <c r="P673" s="94"/>
    </row>
    <row r="674">
      <c r="G674" s="94"/>
      <c r="H674" s="94"/>
      <c r="I674" s="94"/>
      <c r="J674" s="94"/>
      <c r="K674" s="94"/>
      <c r="L674" s="94"/>
      <c r="M674" s="94"/>
      <c r="N674" s="94"/>
      <c r="O674" s="94"/>
      <c r="P674" s="94"/>
    </row>
    <row r="675">
      <c r="G675" s="94"/>
      <c r="H675" s="94"/>
      <c r="I675" s="94"/>
      <c r="J675" s="94"/>
      <c r="K675" s="94"/>
      <c r="L675" s="94"/>
      <c r="M675" s="94"/>
      <c r="N675" s="94"/>
      <c r="O675" s="94"/>
      <c r="P675" s="94"/>
    </row>
    <row r="676">
      <c r="G676" s="94"/>
      <c r="H676" s="94"/>
      <c r="I676" s="94"/>
      <c r="J676" s="94"/>
      <c r="K676" s="94"/>
      <c r="L676" s="94"/>
      <c r="M676" s="94"/>
      <c r="N676" s="94"/>
      <c r="O676" s="94"/>
      <c r="P676" s="94"/>
    </row>
    <row r="677">
      <c r="G677" s="94"/>
      <c r="H677" s="94"/>
      <c r="I677" s="94"/>
      <c r="J677" s="94"/>
      <c r="K677" s="94"/>
      <c r="L677" s="94"/>
      <c r="M677" s="94"/>
      <c r="N677" s="94"/>
      <c r="O677" s="94"/>
      <c r="P677" s="94"/>
    </row>
    <row r="678">
      <c r="G678" s="94"/>
      <c r="H678" s="94"/>
      <c r="I678" s="94"/>
      <c r="J678" s="94"/>
      <c r="K678" s="94"/>
      <c r="L678" s="94"/>
      <c r="M678" s="94"/>
      <c r="N678" s="94"/>
      <c r="O678" s="94"/>
      <c r="P678" s="94"/>
    </row>
    <row r="679">
      <c r="G679" s="94"/>
      <c r="H679" s="94"/>
      <c r="I679" s="94"/>
      <c r="J679" s="94"/>
      <c r="K679" s="94"/>
      <c r="L679" s="94"/>
      <c r="M679" s="94"/>
      <c r="N679" s="94"/>
      <c r="O679" s="94"/>
      <c r="P679" s="94"/>
    </row>
    <row r="680">
      <c r="G680" s="94"/>
      <c r="H680" s="94"/>
      <c r="I680" s="94"/>
      <c r="J680" s="94"/>
      <c r="K680" s="94"/>
      <c r="L680" s="94"/>
      <c r="M680" s="94"/>
      <c r="N680" s="94"/>
      <c r="O680" s="94"/>
      <c r="P680" s="94"/>
    </row>
    <row r="681">
      <c r="G681" s="94"/>
      <c r="H681" s="94"/>
      <c r="I681" s="94"/>
      <c r="J681" s="94"/>
      <c r="K681" s="94"/>
      <c r="L681" s="94"/>
      <c r="M681" s="94"/>
      <c r="N681" s="94"/>
      <c r="O681" s="94"/>
      <c r="P681" s="94"/>
    </row>
    <row r="682">
      <c r="G682" s="94"/>
      <c r="H682" s="94"/>
      <c r="I682" s="94"/>
      <c r="J682" s="94"/>
      <c r="K682" s="94"/>
      <c r="L682" s="94"/>
      <c r="M682" s="94"/>
      <c r="N682" s="94"/>
      <c r="O682" s="94"/>
      <c r="P682" s="94"/>
    </row>
    <row r="683">
      <c r="G683" s="94"/>
      <c r="H683" s="94"/>
      <c r="I683" s="94"/>
      <c r="J683" s="94"/>
      <c r="K683" s="94"/>
      <c r="L683" s="94"/>
      <c r="M683" s="94"/>
      <c r="N683" s="94"/>
      <c r="O683" s="94"/>
      <c r="P683" s="94"/>
    </row>
    <row r="684">
      <c r="G684" s="94"/>
      <c r="H684" s="94"/>
      <c r="I684" s="94"/>
      <c r="J684" s="94"/>
      <c r="K684" s="94"/>
      <c r="L684" s="94"/>
      <c r="M684" s="94"/>
      <c r="N684" s="94"/>
      <c r="O684" s="94"/>
      <c r="P684" s="94"/>
    </row>
    <row r="685">
      <c r="G685" s="94"/>
      <c r="H685" s="94"/>
      <c r="I685" s="94"/>
      <c r="J685" s="94"/>
      <c r="K685" s="94"/>
      <c r="L685" s="94"/>
      <c r="M685" s="94"/>
      <c r="N685" s="94"/>
      <c r="O685" s="94"/>
      <c r="P685" s="94"/>
    </row>
    <row r="686">
      <c r="G686" s="94"/>
      <c r="H686" s="94"/>
      <c r="I686" s="94"/>
      <c r="J686" s="94"/>
      <c r="K686" s="94"/>
      <c r="L686" s="94"/>
      <c r="M686" s="94"/>
      <c r="N686" s="94"/>
      <c r="O686" s="94"/>
      <c r="P686" s="94"/>
    </row>
    <row r="687">
      <c r="G687" s="94"/>
      <c r="H687" s="94"/>
      <c r="I687" s="94"/>
      <c r="J687" s="94"/>
      <c r="K687" s="94"/>
      <c r="L687" s="94"/>
      <c r="M687" s="94"/>
      <c r="N687" s="94"/>
      <c r="O687" s="94"/>
      <c r="P687" s="94"/>
    </row>
    <row r="688">
      <c r="G688" s="94"/>
      <c r="H688" s="94"/>
      <c r="I688" s="94"/>
      <c r="J688" s="94"/>
      <c r="K688" s="94"/>
      <c r="L688" s="94"/>
      <c r="M688" s="94"/>
      <c r="N688" s="94"/>
      <c r="O688" s="94"/>
      <c r="P688" s="94"/>
    </row>
    <row r="689">
      <c r="G689" s="94"/>
      <c r="H689" s="94"/>
      <c r="I689" s="94"/>
      <c r="J689" s="94"/>
      <c r="K689" s="94"/>
      <c r="L689" s="94"/>
      <c r="M689" s="94"/>
      <c r="N689" s="94"/>
      <c r="O689" s="94"/>
      <c r="P689" s="94"/>
    </row>
    <row r="690">
      <c r="G690" s="94"/>
      <c r="H690" s="94"/>
      <c r="I690" s="94"/>
      <c r="J690" s="94"/>
      <c r="K690" s="94"/>
      <c r="L690" s="94"/>
      <c r="M690" s="94"/>
      <c r="N690" s="94"/>
      <c r="O690" s="94"/>
      <c r="P690" s="94"/>
    </row>
    <row r="691">
      <c r="G691" s="94"/>
      <c r="H691" s="94"/>
      <c r="I691" s="94"/>
      <c r="J691" s="94"/>
      <c r="K691" s="94"/>
      <c r="L691" s="94"/>
      <c r="M691" s="94"/>
      <c r="N691" s="94"/>
      <c r="O691" s="94"/>
      <c r="P691" s="94"/>
    </row>
    <row r="692">
      <c r="G692" s="94"/>
      <c r="H692" s="94"/>
      <c r="I692" s="94"/>
      <c r="J692" s="94"/>
      <c r="K692" s="94"/>
      <c r="L692" s="94"/>
      <c r="M692" s="94"/>
      <c r="N692" s="94"/>
      <c r="O692" s="94"/>
      <c r="P692" s="94"/>
    </row>
    <row r="693">
      <c r="G693" s="94"/>
      <c r="H693" s="94"/>
      <c r="I693" s="94"/>
      <c r="J693" s="94"/>
      <c r="K693" s="94"/>
      <c r="L693" s="94"/>
      <c r="M693" s="94"/>
      <c r="N693" s="94"/>
      <c r="O693" s="94"/>
      <c r="P693" s="94"/>
    </row>
    <row r="694">
      <c r="G694" s="94"/>
      <c r="H694" s="94"/>
      <c r="I694" s="94"/>
      <c r="J694" s="94"/>
      <c r="K694" s="94"/>
      <c r="L694" s="94"/>
      <c r="M694" s="94"/>
      <c r="N694" s="94"/>
      <c r="O694" s="94"/>
      <c r="P694" s="94"/>
    </row>
    <row r="695">
      <c r="G695" s="94"/>
      <c r="H695" s="94"/>
      <c r="I695" s="94"/>
      <c r="J695" s="94"/>
      <c r="K695" s="94"/>
      <c r="L695" s="94"/>
      <c r="M695" s="94"/>
      <c r="N695" s="94"/>
      <c r="O695" s="94"/>
      <c r="P695" s="94"/>
    </row>
    <row r="696">
      <c r="G696" s="94"/>
      <c r="H696" s="94"/>
      <c r="I696" s="94"/>
      <c r="J696" s="94"/>
      <c r="K696" s="94"/>
      <c r="L696" s="94"/>
      <c r="M696" s="94"/>
      <c r="N696" s="94"/>
      <c r="O696" s="94"/>
      <c r="P696" s="94"/>
    </row>
    <row r="697">
      <c r="G697" s="94"/>
      <c r="H697" s="94"/>
      <c r="I697" s="94"/>
      <c r="J697" s="94"/>
      <c r="K697" s="94"/>
      <c r="L697" s="94"/>
      <c r="M697" s="94"/>
      <c r="N697" s="94"/>
      <c r="O697" s="94"/>
      <c r="P697" s="94"/>
    </row>
    <row r="698">
      <c r="G698" s="94"/>
      <c r="H698" s="94"/>
      <c r="I698" s="94"/>
      <c r="J698" s="94"/>
      <c r="K698" s="94"/>
      <c r="L698" s="94"/>
      <c r="M698" s="94"/>
      <c r="N698" s="94"/>
      <c r="O698" s="94"/>
      <c r="P698" s="94"/>
    </row>
    <row r="699">
      <c r="G699" s="94"/>
      <c r="H699" s="94"/>
      <c r="I699" s="94"/>
      <c r="J699" s="94"/>
      <c r="K699" s="94"/>
      <c r="L699" s="94"/>
      <c r="M699" s="94"/>
      <c r="N699" s="94"/>
      <c r="O699" s="94"/>
      <c r="P699" s="94"/>
    </row>
    <row r="700">
      <c r="G700" s="94"/>
      <c r="H700" s="94"/>
      <c r="I700" s="94"/>
      <c r="J700" s="94"/>
      <c r="K700" s="94"/>
      <c r="L700" s="94"/>
      <c r="M700" s="94"/>
      <c r="N700" s="94"/>
      <c r="O700" s="94"/>
      <c r="P700" s="94"/>
    </row>
    <row r="701">
      <c r="G701" s="94"/>
      <c r="H701" s="94"/>
      <c r="I701" s="94"/>
      <c r="J701" s="94"/>
      <c r="K701" s="94"/>
      <c r="L701" s="94"/>
      <c r="M701" s="94"/>
      <c r="N701" s="94"/>
      <c r="O701" s="94"/>
      <c r="P701" s="94"/>
    </row>
    <row r="702">
      <c r="G702" s="94"/>
      <c r="H702" s="94"/>
      <c r="I702" s="94"/>
      <c r="J702" s="94"/>
      <c r="K702" s="94"/>
      <c r="L702" s="94"/>
      <c r="M702" s="94"/>
      <c r="N702" s="94"/>
      <c r="O702" s="94"/>
      <c r="P702" s="94"/>
    </row>
    <row r="703">
      <c r="G703" s="94"/>
      <c r="H703" s="94"/>
      <c r="I703" s="94"/>
      <c r="J703" s="94"/>
      <c r="K703" s="94"/>
      <c r="L703" s="94"/>
      <c r="M703" s="94"/>
      <c r="N703" s="94"/>
      <c r="O703" s="94"/>
      <c r="P703" s="94"/>
    </row>
    <row r="704">
      <c r="G704" s="94"/>
      <c r="H704" s="94"/>
      <c r="I704" s="94"/>
      <c r="J704" s="94"/>
      <c r="K704" s="94"/>
      <c r="L704" s="94"/>
      <c r="M704" s="94"/>
      <c r="N704" s="94"/>
      <c r="O704" s="94"/>
      <c r="P704" s="94"/>
    </row>
    <row r="705">
      <c r="G705" s="94"/>
      <c r="H705" s="94"/>
      <c r="I705" s="94"/>
      <c r="J705" s="94"/>
      <c r="K705" s="94"/>
      <c r="L705" s="94"/>
      <c r="M705" s="94"/>
      <c r="N705" s="94"/>
      <c r="O705" s="94"/>
      <c r="P705" s="94"/>
    </row>
    <row r="706">
      <c r="G706" s="94"/>
      <c r="H706" s="94"/>
      <c r="I706" s="94"/>
      <c r="J706" s="94"/>
      <c r="K706" s="94"/>
      <c r="L706" s="94"/>
      <c r="M706" s="94"/>
      <c r="N706" s="94"/>
      <c r="O706" s="94"/>
      <c r="P706" s="94"/>
    </row>
    <row r="707">
      <c r="G707" s="94"/>
      <c r="H707" s="94"/>
      <c r="I707" s="94"/>
      <c r="J707" s="94"/>
      <c r="K707" s="94"/>
      <c r="L707" s="94"/>
      <c r="M707" s="94"/>
      <c r="N707" s="94"/>
      <c r="O707" s="94"/>
      <c r="P707" s="94"/>
    </row>
    <row r="708">
      <c r="G708" s="94"/>
      <c r="H708" s="94"/>
      <c r="I708" s="94"/>
      <c r="J708" s="94"/>
      <c r="K708" s="94"/>
      <c r="L708" s="94"/>
      <c r="M708" s="94"/>
      <c r="N708" s="94"/>
      <c r="O708" s="94"/>
      <c r="P708" s="94"/>
    </row>
    <row r="709">
      <c r="G709" s="94"/>
      <c r="H709" s="94"/>
      <c r="I709" s="94"/>
      <c r="J709" s="94"/>
      <c r="K709" s="94"/>
      <c r="L709" s="94"/>
      <c r="M709" s="94"/>
      <c r="N709" s="94"/>
      <c r="O709" s="94"/>
      <c r="P709" s="94"/>
    </row>
    <row r="710">
      <c r="G710" s="94"/>
      <c r="H710" s="94"/>
      <c r="I710" s="94"/>
      <c r="J710" s="94"/>
      <c r="K710" s="94"/>
      <c r="L710" s="94"/>
      <c r="M710" s="94"/>
      <c r="N710" s="94"/>
      <c r="O710" s="94"/>
      <c r="P710" s="94"/>
    </row>
    <row r="711">
      <c r="G711" s="94"/>
      <c r="H711" s="94"/>
      <c r="I711" s="94"/>
      <c r="J711" s="94"/>
      <c r="K711" s="94"/>
      <c r="L711" s="94"/>
      <c r="M711" s="94"/>
      <c r="N711" s="94"/>
      <c r="O711" s="94"/>
      <c r="P711" s="94"/>
    </row>
    <row r="712">
      <c r="G712" s="94"/>
      <c r="H712" s="94"/>
      <c r="I712" s="94"/>
      <c r="J712" s="94"/>
      <c r="K712" s="94"/>
      <c r="L712" s="94"/>
      <c r="M712" s="94"/>
      <c r="N712" s="94"/>
      <c r="O712" s="94"/>
      <c r="P712" s="94"/>
    </row>
    <row r="713">
      <c r="G713" s="94"/>
      <c r="H713" s="94"/>
      <c r="I713" s="94"/>
      <c r="J713" s="94"/>
      <c r="K713" s="94"/>
      <c r="L713" s="94"/>
      <c r="M713" s="94"/>
      <c r="N713" s="94"/>
      <c r="O713" s="94"/>
      <c r="P713" s="94"/>
    </row>
    <row r="714">
      <c r="G714" s="94"/>
      <c r="H714" s="94"/>
      <c r="I714" s="94"/>
      <c r="J714" s="94"/>
      <c r="K714" s="94"/>
      <c r="L714" s="94"/>
      <c r="M714" s="94"/>
      <c r="N714" s="94"/>
      <c r="O714" s="94"/>
      <c r="P714" s="94"/>
    </row>
    <row r="715">
      <c r="G715" s="94"/>
      <c r="H715" s="94"/>
      <c r="I715" s="94"/>
      <c r="J715" s="94"/>
      <c r="K715" s="94"/>
      <c r="L715" s="94"/>
      <c r="M715" s="94"/>
      <c r="N715" s="94"/>
      <c r="O715" s="94"/>
      <c r="P715" s="94"/>
    </row>
    <row r="716">
      <c r="G716" s="94"/>
      <c r="H716" s="94"/>
      <c r="I716" s="94"/>
      <c r="J716" s="94"/>
      <c r="K716" s="94"/>
      <c r="L716" s="94"/>
      <c r="M716" s="94"/>
      <c r="N716" s="94"/>
      <c r="O716" s="94"/>
      <c r="P716" s="94"/>
    </row>
    <row r="717">
      <c r="G717" s="94"/>
      <c r="H717" s="94"/>
      <c r="I717" s="94"/>
      <c r="J717" s="94"/>
      <c r="K717" s="94"/>
      <c r="L717" s="94"/>
      <c r="M717" s="94"/>
      <c r="N717" s="94"/>
      <c r="O717" s="94"/>
      <c r="P717" s="94"/>
    </row>
    <row r="718">
      <c r="G718" s="94"/>
      <c r="H718" s="94"/>
      <c r="I718" s="94"/>
      <c r="J718" s="94"/>
      <c r="K718" s="94"/>
      <c r="L718" s="94"/>
      <c r="M718" s="94"/>
      <c r="N718" s="94"/>
      <c r="O718" s="94"/>
      <c r="P718" s="94"/>
    </row>
    <row r="719">
      <c r="G719" s="94"/>
      <c r="H719" s="94"/>
      <c r="I719" s="94"/>
      <c r="J719" s="94"/>
      <c r="K719" s="94"/>
      <c r="L719" s="94"/>
      <c r="M719" s="94"/>
      <c r="N719" s="94"/>
      <c r="O719" s="94"/>
      <c r="P719" s="94"/>
    </row>
    <row r="720">
      <c r="G720" s="94"/>
      <c r="H720" s="94"/>
      <c r="I720" s="94"/>
      <c r="J720" s="94"/>
      <c r="K720" s="94"/>
      <c r="L720" s="94"/>
      <c r="M720" s="94"/>
      <c r="N720" s="94"/>
      <c r="O720" s="94"/>
      <c r="P720" s="94"/>
    </row>
    <row r="721">
      <c r="G721" s="94"/>
      <c r="H721" s="94"/>
      <c r="I721" s="94"/>
      <c r="J721" s="94"/>
      <c r="K721" s="94"/>
      <c r="L721" s="94"/>
      <c r="M721" s="94"/>
      <c r="N721" s="94"/>
      <c r="O721" s="94"/>
      <c r="P721" s="94"/>
    </row>
    <row r="722">
      <c r="G722" s="94"/>
      <c r="H722" s="94"/>
      <c r="I722" s="94"/>
      <c r="J722" s="94"/>
      <c r="K722" s="94"/>
      <c r="L722" s="94"/>
      <c r="M722" s="94"/>
      <c r="N722" s="94"/>
      <c r="O722" s="94"/>
      <c r="P722" s="94"/>
    </row>
    <row r="723">
      <c r="G723" s="94"/>
      <c r="H723" s="94"/>
      <c r="I723" s="94"/>
      <c r="J723" s="94"/>
      <c r="K723" s="94"/>
      <c r="L723" s="94"/>
      <c r="M723" s="94"/>
      <c r="N723" s="94"/>
      <c r="O723" s="94"/>
      <c r="P723" s="94"/>
    </row>
    <row r="724">
      <c r="G724" s="94"/>
      <c r="H724" s="94"/>
      <c r="I724" s="94"/>
      <c r="J724" s="94"/>
      <c r="K724" s="94"/>
      <c r="L724" s="94"/>
      <c r="M724" s="94"/>
      <c r="N724" s="94"/>
      <c r="O724" s="94"/>
      <c r="P724" s="94"/>
    </row>
    <row r="725">
      <c r="G725" s="94"/>
      <c r="H725" s="94"/>
      <c r="I725" s="94"/>
      <c r="J725" s="94"/>
      <c r="K725" s="94"/>
      <c r="L725" s="94"/>
      <c r="M725" s="94"/>
      <c r="N725" s="94"/>
      <c r="O725" s="94"/>
      <c r="P725" s="94"/>
    </row>
    <row r="726">
      <c r="G726" s="94"/>
      <c r="H726" s="94"/>
      <c r="I726" s="94"/>
      <c r="J726" s="94"/>
      <c r="K726" s="94"/>
      <c r="L726" s="94"/>
      <c r="M726" s="94"/>
      <c r="N726" s="94"/>
      <c r="O726" s="94"/>
      <c r="P726" s="94"/>
    </row>
    <row r="727">
      <c r="G727" s="94"/>
      <c r="H727" s="94"/>
      <c r="I727" s="94"/>
      <c r="J727" s="94"/>
      <c r="K727" s="94"/>
      <c r="L727" s="94"/>
      <c r="M727" s="94"/>
      <c r="N727" s="94"/>
      <c r="O727" s="94"/>
      <c r="P727" s="94"/>
    </row>
    <row r="728">
      <c r="G728" s="94"/>
      <c r="H728" s="94"/>
      <c r="I728" s="94"/>
      <c r="J728" s="94"/>
      <c r="K728" s="94"/>
      <c r="L728" s="94"/>
      <c r="M728" s="94"/>
      <c r="N728" s="94"/>
      <c r="O728" s="94"/>
      <c r="P728" s="94"/>
    </row>
    <row r="729">
      <c r="G729" s="94"/>
      <c r="H729" s="94"/>
      <c r="I729" s="94"/>
      <c r="J729" s="94"/>
      <c r="K729" s="94"/>
      <c r="L729" s="94"/>
      <c r="M729" s="94"/>
      <c r="N729" s="94"/>
      <c r="O729" s="94"/>
      <c r="P729" s="94"/>
    </row>
    <row r="730">
      <c r="G730" s="94"/>
      <c r="H730" s="94"/>
      <c r="I730" s="94"/>
      <c r="J730" s="94"/>
      <c r="K730" s="94"/>
      <c r="L730" s="94"/>
      <c r="M730" s="94"/>
      <c r="N730" s="94"/>
      <c r="O730" s="94"/>
      <c r="P730" s="94"/>
    </row>
    <row r="731">
      <c r="G731" s="94"/>
      <c r="H731" s="94"/>
      <c r="I731" s="94"/>
      <c r="J731" s="94"/>
      <c r="K731" s="94"/>
      <c r="L731" s="94"/>
      <c r="M731" s="94"/>
      <c r="N731" s="94"/>
      <c r="O731" s="94"/>
      <c r="P731" s="94"/>
    </row>
    <row r="732">
      <c r="G732" s="94"/>
      <c r="H732" s="94"/>
      <c r="I732" s="94"/>
      <c r="J732" s="94"/>
      <c r="K732" s="94"/>
      <c r="L732" s="94"/>
      <c r="M732" s="94"/>
      <c r="N732" s="94"/>
      <c r="O732" s="94"/>
      <c r="P732" s="94"/>
    </row>
    <row r="733">
      <c r="G733" s="94"/>
      <c r="H733" s="94"/>
      <c r="I733" s="94"/>
      <c r="J733" s="94"/>
      <c r="K733" s="94"/>
      <c r="L733" s="94"/>
      <c r="M733" s="94"/>
      <c r="N733" s="94"/>
      <c r="O733" s="94"/>
      <c r="P733" s="94"/>
    </row>
    <row r="734">
      <c r="G734" s="94"/>
      <c r="H734" s="94"/>
      <c r="I734" s="94"/>
      <c r="J734" s="94"/>
      <c r="K734" s="94"/>
      <c r="L734" s="94"/>
      <c r="M734" s="94"/>
      <c r="N734" s="94"/>
      <c r="O734" s="94"/>
      <c r="P734" s="94"/>
    </row>
    <row r="735">
      <c r="G735" s="94"/>
      <c r="H735" s="94"/>
      <c r="I735" s="94"/>
      <c r="J735" s="94"/>
      <c r="K735" s="94"/>
      <c r="L735" s="94"/>
      <c r="M735" s="94"/>
      <c r="N735" s="94"/>
      <c r="O735" s="94"/>
      <c r="P735" s="94"/>
    </row>
    <row r="736">
      <c r="G736" s="94"/>
      <c r="H736" s="94"/>
      <c r="I736" s="94"/>
      <c r="J736" s="94"/>
      <c r="K736" s="94"/>
      <c r="L736" s="94"/>
      <c r="M736" s="94"/>
      <c r="N736" s="94"/>
      <c r="O736" s="94"/>
      <c r="P736" s="94"/>
    </row>
    <row r="737">
      <c r="G737" s="94"/>
      <c r="H737" s="94"/>
      <c r="I737" s="94"/>
      <c r="J737" s="94"/>
      <c r="K737" s="94"/>
      <c r="L737" s="94"/>
      <c r="M737" s="94"/>
      <c r="N737" s="94"/>
      <c r="O737" s="94"/>
      <c r="P737" s="94"/>
    </row>
    <row r="738">
      <c r="G738" s="94"/>
      <c r="H738" s="94"/>
      <c r="I738" s="94"/>
      <c r="J738" s="94"/>
      <c r="K738" s="94"/>
      <c r="L738" s="94"/>
      <c r="M738" s="94"/>
      <c r="N738" s="94"/>
      <c r="O738" s="94"/>
      <c r="P738" s="94"/>
    </row>
    <row r="739">
      <c r="G739" s="94"/>
      <c r="H739" s="94"/>
      <c r="I739" s="94"/>
      <c r="J739" s="94"/>
      <c r="K739" s="94"/>
      <c r="L739" s="94"/>
      <c r="M739" s="94"/>
      <c r="N739" s="94"/>
      <c r="O739" s="94"/>
      <c r="P739" s="94"/>
    </row>
    <row r="740">
      <c r="G740" s="94"/>
      <c r="H740" s="94"/>
      <c r="I740" s="94"/>
      <c r="J740" s="94"/>
      <c r="K740" s="94"/>
      <c r="L740" s="94"/>
      <c r="M740" s="94"/>
      <c r="N740" s="94"/>
      <c r="O740" s="94"/>
      <c r="P740" s="94"/>
    </row>
    <row r="741">
      <c r="G741" s="94"/>
      <c r="H741" s="94"/>
      <c r="I741" s="94"/>
      <c r="J741" s="94"/>
      <c r="K741" s="94"/>
      <c r="L741" s="94"/>
      <c r="M741" s="94"/>
      <c r="N741" s="94"/>
      <c r="O741" s="94"/>
      <c r="P741" s="94"/>
    </row>
    <row r="742">
      <c r="G742" s="94"/>
      <c r="H742" s="94"/>
      <c r="I742" s="94"/>
      <c r="J742" s="94"/>
      <c r="K742" s="94"/>
      <c r="L742" s="94"/>
      <c r="M742" s="94"/>
      <c r="N742" s="94"/>
      <c r="O742" s="94"/>
      <c r="P742" s="94"/>
    </row>
    <row r="743">
      <c r="G743" s="94"/>
      <c r="H743" s="94"/>
      <c r="I743" s="94"/>
      <c r="J743" s="94"/>
      <c r="K743" s="94"/>
      <c r="L743" s="94"/>
      <c r="M743" s="94"/>
      <c r="N743" s="94"/>
      <c r="O743" s="94"/>
      <c r="P743" s="94"/>
    </row>
    <row r="744">
      <c r="G744" s="94"/>
      <c r="H744" s="94"/>
      <c r="I744" s="94"/>
      <c r="J744" s="94"/>
      <c r="K744" s="94"/>
      <c r="L744" s="94"/>
      <c r="M744" s="94"/>
      <c r="N744" s="94"/>
      <c r="O744" s="94"/>
      <c r="P744" s="94"/>
    </row>
    <row r="745">
      <c r="G745" s="94"/>
      <c r="H745" s="94"/>
      <c r="I745" s="94"/>
      <c r="J745" s="94"/>
      <c r="K745" s="94"/>
      <c r="L745" s="94"/>
      <c r="M745" s="94"/>
      <c r="N745" s="94"/>
      <c r="O745" s="94"/>
      <c r="P745" s="94"/>
    </row>
    <row r="746">
      <c r="G746" s="94"/>
      <c r="H746" s="94"/>
      <c r="I746" s="94"/>
      <c r="J746" s="94"/>
      <c r="K746" s="94"/>
      <c r="L746" s="94"/>
      <c r="M746" s="94"/>
      <c r="N746" s="94"/>
      <c r="O746" s="94"/>
      <c r="P746" s="94"/>
    </row>
    <row r="747">
      <c r="G747" s="94"/>
      <c r="H747" s="94"/>
      <c r="I747" s="94"/>
      <c r="J747" s="94"/>
      <c r="K747" s="94"/>
      <c r="L747" s="94"/>
      <c r="M747" s="94"/>
      <c r="N747" s="94"/>
      <c r="O747" s="94"/>
      <c r="P747" s="94"/>
    </row>
    <row r="748">
      <c r="G748" s="94"/>
      <c r="H748" s="94"/>
      <c r="I748" s="94"/>
      <c r="J748" s="94"/>
      <c r="K748" s="94"/>
      <c r="L748" s="94"/>
      <c r="M748" s="94"/>
      <c r="N748" s="94"/>
      <c r="O748" s="94"/>
      <c r="P748" s="94"/>
    </row>
    <row r="749">
      <c r="G749" s="94"/>
      <c r="H749" s="94"/>
      <c r="I749" s="94"/>
      <c r="J749" s="94"/>
      <c r="K749" s="94"/>
      <c r="L749" s="94"/>
      <c r="M749" s="94"/>
      <c r="N749" s="94"/>
      <c r="O749" s="94"/>
      <c r="P749" s="94"/>
    </row>
    <row r="750">
      <c r="G750" s="94"/>
      <c r="H750" s="94"/>
      <c r="I750" s="94"/>
      <c r="J750" s="94"/>
      <c r="K750" s="94"/>
      <c r="L750" s="94"/>
      <c r="M750" s="94"/>
      <c r="N750" s="94"/>
      <c r="O750" s="94"/>
      <c r="P750" s="94"/>
    </row>
    <row r="751">
      <c r="G751" s="94"/>
      <c r="H751" s="94"/>
      <c r="I751" s="94"/>
      <c r="J751" s="94"/>
      <c r="K751" s="94"/>
      <c r="L751" s="94"/>
      <c r="M751" s="94"/>
      <c r="N751" s="94"/>
      <c r="O751" s="94"/>
      <c r="P751" s="94"/>
    </row>
    <row r="752">
      <c r="G752" s="94"/>
      <c r="H752" s="94"/>
      <c r="I752" s="94"/>
      <c r="J752" s="94"/>
      <c r="K752" s="94"/>
      <c r="L752" s="94"/>
      <c r="M752" s="94"/>
      <c r="N752" s="94"/>
      <c r="O752" s="94"/>
      <c r="P752" s="94"/>
    </row>
    <row r="753">
      <c r="G753" s="94"/>
      <c r="H753" s="94"/>
      <c r="I753" s="94"/>
      <c r="J753" s="94"/>
      <c r="K753" s="94"/>
      <c r="L753" s="94"/>
      <c r="M753" s="94"/>
      <c r="N753" s="94"/>
      <c r="O753" s="94"/>
      <c r="P753" s="94"/>
    </row>
    <row r="754">
      <c r="G754" s="94"/>
      <c r="H754" s="94"/>
      <c r="I754" s="94"/>
      <c r="J754" s="94"/>
      <c r="K754" s="94"/>
      <c r="L754" s="94"/>
      <c r="M754" s="94"/>
      <c r="N754" s="94"/>
      <c r="O754" s="94"/>
      <c r="P754" s="94"/>
    </row>
    <row r="755">
      <c r="G755" s="94"/>
      <c r="H755" s="94"/>
      <c r="I755" s="94"/>
      <c r="J755" s="94"/>
      <c r="K755" s="94"/>
      <c r="L755" s="94"/>
      <c r="M755" s="94"/>
      <c r="N755" s="94"/>
      <c r="O755" s="94"/>
      <c r="P755" s="94"/>
    </row>
    <row r="756">
      <c r="G756" s="94"/>
      <c r="H756" s="94"/>
      <c r="I756" s="94"/>
      <c r="J756" s="94"/>
      <c r="K756" s="94"/>
      <c r="L756" s="94"/>
      <c r="M756" s="94"/>
      <c r="N756" s="94"/>
      <c r="O756" s="94"/>
      <c r="P756" s="94"/>
    </row>
    <row r="757">
      <c r="G757" s="94"/>
      <c r="H757" s="94"/>
      <c r="I757" s="94"/>
      <c r="J757" s="94"/>
      <c r="K757" s="94"/>
      <c r="L757" s="94"/>
      <c r="M757" s="94"/>
      <c r="N757" s="94"/>
      <c r="O757" s="94"/>
      <c r="P757" s="94"/>
    </row>
    <row r="758">
      <c r="G758" s="94"/>
      <c r="H758" s="94"/>
      <c r="I758" s="94"/>
      <c r="J758" s="94"/>
      <c r="K758" s="94"/>
      <c r="L758" s="94"/>
      <c r="M758" s="94"/>
      <c r="N758" s="94"/>
      <c r="O758" s="94"/>
      <c r="P758" s="94"/>
    </row>
    <row r="759">
      <c r="G759" s="94"/>
      <c r="H759" s="94"/>
      <c r="I759" s="94"/>
      <c r="J759" s="94"/>
      <c r="K759" s="94"/>
      <c r="L759" s="94"/>
      <c r="M759" s="94"/>
      <c r="N759" s="94"/>
      <c r="O759" s="94"/>
      <c r="P759" s="94"/>
    </row>
    <row r="760">
      <c r="G760" s="94"/>
      <c r="H760" s="94"/>
      <c r="I760" s="94"/>
      <c r="J760" s="94"/>
      <c r="K760" s="94"/>
      <c r="L760" s="94"/>
      <c r="M760" s="94"/>
      <c r="N760" s="94"/>
      <c r="O760" s="94"/>
      <c r="P760" s="94"/>
    </row>
    <row r="761">
      <c r="G761" s="94"/>
      <c r="H761" s="94"/>
      <c r="I761" s="94"/>
      <c r="J761" s="94"/>
      <c r="K761" s="94"/>
      <c r="L761" s="94"/>
      <c r="M761" s="94"/>
      <c r="N761" s="94"/>
      <c r="O761" s="94"/>
      <c r="P761" s="94"/>
    </row>
    <row r="762">
      <c r="G762" s="94"/>
      <c r="H762" s="94"/>
      <c r="I762" s="94"/>
      <c r="J762" s="94"/>
      <c r="K762" s="94"/>
      <c r="L762" s="94"/>
      <c r="M762" s="94"/>
      <c r="N762" s="94"/>
      <c r="O762" s="94"/>
      <c r="P762" s="94"/>
    </row>
    <row r="763">
      <c r="G763" s="94"/>
      <c r="H763" s="94"/>
      <c r="I763" s="94"/>
      <c r="J763" s="94"/>
      <c r="K763" s="94"/>
      <c r="L763" s="94"/>
      <c r="M763" s="94"/>
      <c r="N763" s="94"/>
      <c r="O763" s="94"/>
      <c r="P763" s="94"/>
    </row>
    <row r="764">
      <c r="G764" s="94"/>
      <c r="H764" s="94"/>
      <c r="I764" s="94"/>
      <c r="J764" s="94"/>
      <c r="K764" s="94"/>
      <c r="L764" s="94"/>
      <c r="M764" s="94"/>
      <c r="N764" s="94"/>
      <c r="O764" s="94"/>
      <c r="P764" s="94"/>
    </row>
    <row r="765">
      <c r="G765" s="94"/>
      <c r="H765" s="94"/>
      <c r="I765" s="94"/>
      <c r="J765" s="94"/>
      <c r="K765" s="94"/>
      <c r="L765" s="94"/>
      <c r="M765" s="94"/>
      <c r="N765" s="94"/>
      <c r="O765" s="94"/>
      <c r="P765" s="94"/>
    </row>
    <row r="766">
      <c r="G766" s="94"/>
      <c r="H766" s="94"/>
      <c r="I766" s="94"/>
      <c r="J766" s="94"/>
      <c r="K766" s="94"/>
      <c r="L766" s="94"/>
      <c r="M766" s="94"/>
      <c r="N766" s="94"/>
      <c r="O766" s="94"/>
      <c r="P766" s="94"/>
    </row>
    <row r="767">
      <c r="G767" s="94"/>
      <c r="H767" s="94"/>
      <c r="I767" s="94"/>
      <c r="J767" s="94"/>
      <c r="K767" s="94"/>
      <c r="L767" s="94"/>
      <c r="M767" s="94"/>
      <c r="N767" s="94"/>
      <c r="O767" s="94"/>
      <c r="P767" s="94"/>
    </row>
    <row r="768">
      <c r="G768" s="94"/>
      <c r="H768" s="94"/>
      <c r="I768" s="94"/>
      <c r="J768" s="94"/>
      <c r="K768" s="94"/>
      <c r="L768" s="94"/>
      <c r="M768" s="94"/>
      <c r="N768" s="94"/>
      <c r="O768" s="94"/>
      <c r="P768" s="94"/>
    </row>
    <row r="769">
      <c r="G769" s="94"/>
      <c r="H769" s="94"/>
      <c r="I769" s="94"/>
      <c r="J769" s="94"/>
      <c r="K769" s="94"/>
      <c r="L769" s="94"/>
      <c r="M769" s="94"/>
      <c r="N769" s="94"/>
      <c r="O769" s="94"/>
      <c r="P769" s="94"/>
    </row>
    <row r="770">
      <c r="G770" s="94"/>
      <c r="H770" s="94"/>
      <c r="I770" s="94"/>
      <c r="J770" s="94"/>
      <c r="K770" s="94"/>
      <c r="L770" s="94"/>
      <c r="M770" s="94"/>
      <c r="N770" s="94"/>
      <c r="O770" s="94"/>
      <c r="P770" s="94"/>
    </row>
    <row r="771">
      <c r="G771" s="94"/>
      <c r="H771" s="94"/>
      <c r="I771" s="94"/>
      <c r="J771" s="94"/>
      <c r="K771" s="94"/>
      <c r="L771" s="94"/>
      <c r="M771" s="94"/>
      <c r="N771" s="94"/>
      <c r="O771" s="94"/>
      <c r="P771" s="94"/>
    </row>
    <row r="772">
      <c r="G772" s="94"/>
      <c r="H772" s="94"/>
      <c r="I772" s="94"/>
      <c r="J772" s="94"/>
      <c r="K772" s="94"/>
      <c r="L772" s="94"/>
      <c r="M772" s="94"/>
      <c r="N772" s="94"/>
      <c r="O772" s="94"/>
      <c r="P772" s="94"/>
    </row>
    <row r="773">
      <c r="G773" s="94"/>
      <c r="H773" s="94"/>
      <c r="I773" s="94"/>
      <c r="J773" s="94"/>
      <c r="K773" s="94"/>
      <c r="L773" s="94"/>
      <c r="M773" s="94"/>
      <c r="N773" s="94"/>
      <c r="O773" s="94"/>
      <c r="P773" s="94"/>
    </row>
    <row r="774">
      <c r="G774" s="94"/>
      <c r="H774" s="94"/>
      <c r="I774" s="94"/>
      <c r="J774" s="94"/>
      <c r="K774" s="94"/>
      <c r="L774" s="94"/>
      <c r="M774" s="94"/>
      <c r="N774" s="94"/>
      <c r="O774" s="94"/>
      <c r="P774" s="94"/>
    </row>
    <row r="775">
      <c r="G775" s="94"/>
      <c r="H775" s="94"/>
      <c r="I775" s="94"/>
      <c r="J775" s="94"/>
      <c r="K775" s="94"/>
      <c r="L775" s="94"/>
      <c r="M775" s="94"/>
      <c r="N775" s="94"/>
      <c r="O775" s="94"/>
      <c r="P775" s="94"/>
    </row>
    <row r="776">
      <c r="G776" s="94"/>
      <c r="H776" s="94"/>
      <c r="I776" s="94"/>
      <c r="J776" s="94"/>
      <c r="K776" s="94"/>
      <c r="L776" s="94"/>
      <c r="M776" s="94"/>
      <c r="N776" s="94"/>
      <c r="O776" s="94"/>
      <c r="P776" s="94"/>
    </row>
    <row r="777">
      <c r="G777" s="94"/>
      <c r="H777" s="94"/>
      <c r="I777" s="94"/>
      <c r="J777" s="94"/>
      <c r="K777" s="94"/>
      <c r="L777" s="94"/>
      <c r="M777" s="94"/>
      <c r="N777" s="94"/>
      <c r="O777" s="94"/>
      <c r="P777" s="94"/>
    </row>
    <row r="778">
      <c r="G778" s="94"/>
      <c r="H778" s="94"/>
      <c r="I778" s="94"/>
      <c r="J778" s="94"/>
      <c r="K778" s="94"/>
      <c r="L778" s="94"/>
      <c r="M778" s="94"/>
      <c r="N778" s="94"/>
      <c r="O778" s="94"/>
      <c r="P778" s="94"/>
    </row>
    <row r="779">
      <c r="G779" s="94"/>
      <c r="H779" s="94"/>
      <c r="I779" s="94"/>
      <c r="J779" s="94"/>
      <c r="K779" s="94"/>
      <c r="L779" s="94"/>
      <c r="M779" s="94"/>
      <c r="N779" s="94"/>
      <c r="O779" s="94"/>
      <c r="P779" s="94"/>
    </row>
    <row r="780">
      <c r="G780" s="94"/>
      <c r="H780" s="94"/>
      <c r="I780" s="94"/>
      <c r="J780" s="94"/>
      <c r="K780" s="94"/>
      <c r="L780" s="94"/>
      <c r="M780" s="94"/>
      <c r="N780" s="94"/>
      <c r="O780" s="94"/>
      <c r="P780" s="94"/>
    </row>
    <row r="781">
      <c r="G781" s="94"/>
      <c r="H781" s="94"/>
      <c r="I781" s="94"/>
      <c r="J781" s="94"/>
      <c r="K781" s="94"/>
      <c r="L781" s="94"/>
      <c r="M781" s="94"/>
      <c r="N781" s="94"/>
      <c r="O781" s="94"/>
      <c r="P781" s="94"/>
    </row>
    <row r="782">
      <c r="G782" s="94"/>
      <c r="H782" s="94"/>
      <c r="I782" s="94"/>
      <c r="J782" s="94"/>
      <c r="K782" s="94"/>
      <c r="L782" s="94"/>
      <c r="M782" s="94"/>
      <c r="N782" s="94"/>
      <c r="O782" s="94"/>
      <c r="P782" s="94"/>
    </row>
    <row r="783">
      <c r="G783" s="94"/>
      <c r="H783" s="94"/>
      <c r="I783" s="94"/>
      <c r="J783" s="94"/>
      <c r="K783" s="94"/>
      <c r="L783" s="94"/>
      <c r="M783" s="94"/>
      <c r="N783" s="94"/>
      <c r="O783" s="94"/>
      <c r="P783" s="94"/>
    </row>
    <row r="784">
      <c r="G784" s="94"/>
      <c r="H784" s="94"/>
      <c r="I784" s="94"/>
      <c r="J784" s="94"/>
      <c r="K784" s="94"/>
      <c r="L784" s="94"/>
      <c r="M784" s="94"/>
      <c r="N784" s="94"/>
      <c r="O784" s="94"/>
      <c r="P784" s="94"/>
    </row>
    <row r="785">
      <c r="G785" s="94"/>
      <c r="H785" s="94"/>
      <c r="I785" s="94"/>
      <c r="J785" s="94"/>
      <c r="K785" s="94"/>
      <c r="L785" s="94"/>
      <c r="M785" s="94"/>
      <c r="N785" s="94"/>
      <c r="O785" s="94"/>
      <c r="P785" s="94"/>
    </row>
    <row r="786">
      <c r="G786" s="94"/>
      <c r="H786" s="94"/>
      <c r="I786" s="94"/>
      <c r="J786" s="94"/>
      <c r="K786" s="94"/>
      <c r="L786" s="94"/>
      <c r="M786" s="94"/>
      <c r="N786" s="94"/>
      <c r="O786" s="94"/>
      <c r="P786" s="94"/>
    </row>
    <row r="787">
      <c r="G787" s="94"/>
      <c r="H787" s="94"/>
      <c r="I787" s="94"/>
      <c r="J787" s="94"/>
      <c r="K787" s="94"/>
      <c r="L787" s="94"/>
      <c r="M787" s="94"/>
      <c r="N787" s="94"/>
      <c r="O787" s="94"/>
      <c r="P787" s="94"/>
    </row>
    <row r="788">
      <c r="G788" s="94"/>
      <c r="H788" s="94"/>
      <c r="I788" s="94"/>
      <c r="J788" s="94"/>
      <c r="K788" s="94"/>
      <c r="L788" s="94"/>
      <c r="M788" s="94"/>
      <c r="N788" s="94"/>
      <c r="O788" s="94"/>
      <c r="P788" s="94"/>
    </row>
    <row r="789">
      <c r="G789" s="94"/>
      <c r="H789" s="94"/>
      <c r="I789" s="94"/>
      <c r="J789" s="94"/>
      <c r="K789" s="94"/>
      <c r="L789" s="94"/>
      <c r="M789" s="94"/>
      <c r="N789" s="94"/>
      <c r="O789" s="94"/>
      <c r="P789" s="94"/>
    </row>
    <row r="790">
      <c r="G790" s="94"/>
      <c r="H790" s="94"/>
      <c r="I790" s="94"/>
      <c r="J790" s="94"/>
      <c r="K790" s="94"/>
      <c r="L790" s="94"/>
      <c r="M790" s="94"/>
      <c r="N790" s="94"/>
      <c r="O790" s="94"/>
      <c r="P790" s="94"/>
    </row>
    <row r="791">
      <c r="G791" s="94"/>
      <c r="H791" s="94"/>
      <c r="I791" s="94"/>
      <c r="J791" s="94"/>
      <c r="K791" s="94"/>
      <c r="L791" s="94"/>
      <c r="M791" s="94"/>
      <c r="N791" s="94"/>
      <c r="O791" s="94"/>
      <c r="P791" s="94"/>
    </row>
    <row r="792">
      <c r="G792" s="94"/>
      <c r="H792" s="94"/>
      <c r="I792" s="94"/>
      <c r="J792" s="94"/>
      <c r="K792" s="94"/>
      <c r="L792" s="94"/>
      <c r="M792" s="94"/>
      <c r="N792" s="94"/>
      <c r="O792" s="94"/>
      <c r="P792" s="94"/>
    </row>
    <row r="793">
      <c r="G793" s="94"/>
      <c r="H793" s="94"/>
      <c r="I793" s="94"/>
      <c r="J793" s="94"/>
      <c r="K793" s="94"/>
      <c r="L793" s="94"/>
      <c r="M793" s="94"/>
      <c r="N793" s="94"/>
      <c r="O793" s="94"/>
      <c r="P793" s="94"/>
    </row>
    <row r="794">
      <c r="G794" s="94"/>
      <c r="H794" s="94"/>
      <c r="I794" s="94"/>
      <c r="J794" s="94"/>
      <c r="K794" s="94"/>
      <c r="L794" s="94"/>
      <c r="M794" s="94"/>
      <c r="N794" s="94"/>
      <c r="O794" s="94"/>
      <c r="P794" s="94"/>
    </row>
    <row r="795">
      <c r="G795" s="94"/>
      <c r="H795" s="94"/>
      <c r="I795" s="94"/>
      <c r="J795" s="94"/>
      <c r="K795" s="94"/>
      <c r="L795" s="94"/>
      <c r="M795" s="94"/>
      <c r="N795" s="94"/>
      <c r="O795" s="94"/>
      <c r="P795" s="94"/>
    </row>
    <row r="796">
      <c r="G796" s="94"/>
      <c r="H796" s="94"/>
      <c r="I796" s="94"/>
      <c r="J796" s="94"/>
      <c r="K796" s="94"/>
      <c r="L796" s="94"/>
      <c r="M796" s="94"/>
      <c r="N796" s="94"/>
      <c r="O796" s="94"/>
      <c r="P796" s="94"/>
    </row>
    <row r="797">
      <c r="G797" s="94"/>
      <c r="H797" s="94"/>
      <c r="I797" s="94"/>
      <c r="J797" s="94"/>
      <c r="K797" s="94"/>
      <c r="L797" s="94"/>
      <c r="M797" s="94"/>
      <c r="N797" s="94"/>
      <c r="O797" s="94"/>
      <c r="P797" s="94"/>
    </row>
    <row r="798">
      <c r="G798" s="94"/>
      <c r="H798" s="94"/>
      <c r="I798" s="94"/>
      <c r="J798" s="94"/>
      <c r="K798" s="94"/>
      <c r="L798" s="94"/>
      <c r="M798" s="94"/>
      <c r="N798" s="94"/>
      <c r="O798" s="94"/>
      <c r="P798" s="94"/>
    </row>
    <row r="799">
      <c r="G799" s="94"/>
      <c r="H799" s="94"/>
      <c r="I799" s="94"/>
      <c r="J799" s="94"/>
      <c r="K799" s="94"/>
      <c r="L799" s="94"/>
      <c r="M799" s="94"/>
      <c r="N799" s="94"/>
      <c r="O799" s="94"/>
      <c r="P799" s="94"/>
    </row>
    <row r="800">
      <c r="G800" s="94"/>
      <c r="H800" s="94"/>
      <c r="I800" s="94"/>
      <c r="J800" s="94"/>
      <c r="K800" s="94"/>
      <c r="L800" s="94"/>
      <c r="M800" s="94"/>
      <c r="N800" s="94"/>
      <c r="O800" s="94"/>
      <c r="P800" s="94"/>
    </row>
    <row r="801">
      <c r="G801" s="94"/>
      <c r="H801" s="94"/>
      <c r="I801" s="94"/>
      <c r="J801" s="94"/>
      <c r="K801" s="94"/>
      <c r="L801" s="94"/>
      <c r="M801" s="94"/>
      <c r="N801" s="94"/>
      <c r="O801" s="94"/>
      <c r="P801" s="94"/>
    </row>
    <row r="802">
      <c r="G802" s="94"/>
      <c r="H802" s="94"/>
      <c r="I802" s="94"/>
      <c r="J802" s="94"/>
      <c r="K802" s="94"/>
      <c r="L802" s="94"/>
      <c r="M802" s="94"/>
      <c r="N802" s="94"/>
      <c r="O802" s="94"/>
      <c r="P802" s="94"/>
    </row>
    <row r="803">
      <c r="G803" s="94"/>
      <c r="H803" s="94"/>
      <c r="I803" s="94"/>
      <c r="J803" s="94"/>
      <c r="K803" s="94"/>
      <c r="L803" s="94"/>
      <c r="M803" s="94"/>
      <c r="N803" s="94"/>
      <c r="O803" s="94"/>
      <c r="P803" s="94"/>
    </row>
    <row r="804">
      <c r="G804" s="94"/>
      <c r="H804" s="94"/>
      <c r="I804" s="94"/>
      <c r="J804" s="94"/>
      <c r="K804" s="94"/>
      <c r="L804" s="94"/>
      <c r="M804" s="94"/>
      <c r="N804" s="94"/>
      <c r="O804" s="94"/>
      <c r="P804" s="94"/>
    </row>
    <row r="805">
      <c r="G805" s="94"/>
      <c r="H805" s="94"/>
      <c r="I805" s="94"/>
      <c r="J805" s="94"/>
      <c r="K805" s="94"/>
      <c r="L805" s="94"/>
      <c r="M805" s="94"/>
      <c r="N805" s="94"/>
      <c r="O805" s="94"/>
      <c r="P805" s="94"/>
    </row>
    <row r="806">
      <c r="G806" s="94"/>
      <c r="H806" s="94"/>
      <c r="I806" s="94"/>
      <c r="J806" s="94"/>
      <c r="K806" s="94"/>
      <c r="L806" s="94"/>
      <c r="M806" s="94"/>
      <c r="N806" s="94"/>
      <c r="O806" s="94"/>
      <c r="P806" s="94"/>
    </row>
    <row r="807">
      <c r="G807" s="94"/>
      <c r="H807" s="94"/>
      <c r="I807" s="94"/>
      <c r="J807" s="94"/>
      <c r="K807" s="94"/>
      <c r="L807" s="94"/>
      <c r="M807" s="94"/>
      <c r="N807" s="94"/>
      <c r="O807" s="94"/>
      <c r="P807" s="94"/>
    </row>
    <row r="808">
      <c r="G808" s="94"/>
      <c r="H808" s="94"/>
      <c r="I808" s="94"/>
      <c r="J808" s="94"/>
      <c r="K808" s="94"/>
      <c r="L808" s="94"/>
      <c r="M808" s="94"/>
      <c r="N808" s="94"/>
      <c r="O808" s="94"/>
      <c r="P808" s="94"/>
    </row>
    <row r="809">
      <c r="G809" s="94"/>
      <c r="H809" s="94"/>
      <c r="I809" s="94"/>
      <c r="J809" s="94"/>
      <c r="K809" s="94"/>
      <c r="L809" s="94"/>
      <c r="M809" s="94"/>
      <c r="N809" s="94"/>
      <c r="O809" s="94"/>
      <c r="P809" s="94"/>
    </row>
    <row r="810">
      <c r="G810" s="94"/>
      <c r="H810" s="94"/>
      <c r="I810" s="94"/>
      <c r="J810" s="94"/>
      <c r="K810" s="94"/>
      <c r="L810" s="94"/>
      <c r="M810" s="94"/>
      <c r="N810" s="94"/>
      <c r="O810" s="94"/>
      <c r="P810" s="94"/>
    </row>
    <row r="811">
      <c r="G811" s="94"/>
      <c r="H811" s="94"/>
      <c r="I811" s="94"/>
      <c r="J811" s="94"/>
      <c r="K811" s="94"/>
      <c r="L811" s="94"/>
      <c r="M811" s="94"/>
      <c r="N811" s="94"/>
      <c r="O811" s="94"/>
      <c r="P811" s="94"/>
    </row>
    <row r="812">
      <c r="G812" s="94"/>
      <c r="H812" s="94"/>
      <c r="I812" s="94"/>
      <c r="J812" s="94"/>
      <c r="K812" s="94"/>
      <c r="L812" s="94"/>
      <c r="M812" s="94"/>
      <c r="N812" s="94"/>
      <c r="O812" s="94"/>
      <c r="P812" s="94"/>
    </row>
    <row r="813">
      <c r="G813" s="94"/>
      <c r="H813" s="94"/>
      <c r="I813" s="94"/>
      <c r="J813" s="94"/>
      <c r="K813" s="94"/>
      <c r="L813" s="94"/>
      <c r="M813" s="94"/>
      <c r="N813" s="94"/>
      <c r="O813" s="94"/>
      <c r="P813" s="94"/>
    </row>
    <row r="814">
      <c r="G814" s="94"/>
      <c r="H814" s="94"/>
      <c r="I814" s="94"/>
      <c r="J814" s="94"/>
      <c r="K814" s="94"/>
      <c r="L814" s="94"/>
      <c r="M814" s="94"/>
      <c r="N814" s="94"/>
      <c r="O814" s="94"/>
      <c r="P814" s="94"/>
    </row>
    <row r="815">
      <c r="G815" s="94"/>
      <c r="H815" s="94"/>
      <c r="I815" s="94"/>
      <c r="J815" s="94"/>
      <c r="K815" s="94"/>
      <c r="L815" s="94"/>
      <c r="M815" s="94"/>
      <c r="N815" s="94"/>
      <c r="O815" s="94"/>
      <c r="P815" s="94"/>
    </row>
    <row r="816">
      <c r="G816" s="94"/>
      <c r="H816" s="94"/>
      <c r="I816" s="94"/>
      <c r="J816" s="94"/>
      <c r="K816" s="94"/>
      <c r="L816" s="94"/>
      <c r="M816" s="94"/>
      <c r="N816" s="94"/>
      <c r="O816" s="94"/>
      <c r="P816" s="94"/>
    </row>
    <row r="817">
      <c r="G817" s="94"/>
      <c r="H817" s="94"/>
      <c r="I817" s="94"/>
      <c r="J817" s="94"/>
      <c r="K817" s="94"/>
      <c r="L817" s="94"/>
      <c r="M817" s="94"/>
      <c r="N817" s="94"/>
      <c r="O817" s="94"/>
      <c r="P817" s="94"/>
    </row>
    <row r="818">
      <c r="G818" s="94"/>
      <c r="H818" s="94"/>
      <c r="I818" s="94"/>
      <c r="J818" s="94"/>
      <c r="K818" s="94"/>
      <c r="L818" s="94"/>
      <c r="M818" s="94"/>
      <c r="N818" s="94"/>
      <c r="O818" s="94"/>
      <c r="P818" s="94"/>
    </row>
    <row r="819">
      <c r="G819" s="94"/>
      <c r="H819" s="94"/>
      <c r="I819" s="94"/>
      <c r="J819" s="94"/>
      <c r="K819" s="94"/>
      <c r="L819" s="94"/>
      <c r="M819" s="94"/>
      <c r="N819" s="94"/>
      <c r="O819" s="94"/>
      <c r="P819" s="94"/>
    </row>
    <row r="820">
      <c r="G820" s="94"/>
      <c r="H820" s="94"/>
      <c r="I820" s="94"/>
      <c r="J820" s="94"/>
      <c r="K820" s="94"/>
      <c r="L820" s="94"/>
      <c r="M820" s="94"/>
      <c r="N820" s="94"/>
      <c r="O820" s="94"/>
      <c r="P820" s="94"/>
    </row>
    <row r="821">
      <c r="G821" s="94"/>
      <c r="H821" s="94"/>
      <c r="I821" s="94"/>
      <c r="J821" s="94"/>
      <c r="K821" s="94"/>
      <c r="L821" s="94"/>
      <c r="M821" s="94"/>
      <c r="N821" s="94"/>
      <c r="O821" s="94"/>
      <c r="P821" s="94"/>
    </row>
    <row r="822">
      <c r="G822" s="94"/>
      <c r="H822" s="94"/>
      <c r="I822" s="94"/>
      <c r="J822" s="94"/>
      <c r="K822" s="94"/>
      <c r="L822" s="94"/>
      <c r="M822" s="94"/>
      <c r="N822" s="94"/>
      <c r="O822" s="94"/>
      <c r="P822" s="94"/>
    </row>
    <row r="823">
      <c r="G823" s="94"/>
      <c r="H823" s="94"/>
      <c r="I823" s="94"/>
      <c r="J823" s="94"/>
      <c r="K823" s="94"/>
      <c r="L823" s="94"/>
      <c r="M823" s="94"/>
      <c r="N823" s="94"/>
      <c r="O823" s="94"/>
      <c r="P823" s="94"/>
    </row>
    <row r="824">
      <c r="G824" s="94"/>
      <c r="H824" s="94"/>
      <c r="I824" s="94"/>
      <c r="J824" s="94"/>
      <c r="K824" s="94"/>
      <c r="L824" s="94"/>
      <c r="M824" s="94"/>
      <c r="N824" s="94"/>
      <c r="O824" s="94"/>
      <c r="P824" s="94"/>
    </row>
    <row r="825">
      <c r="G825" s="94"/>
      <c r="H825" s="94"/>
      <c r="I825" s="94"/>
      <c r="J825" s="94"/>
      <c r="K825" s="94"/>
      <c r="L825" s="94"/>
      <c r="M825" s="94"/>
      <c r="N825" s="94"/>
      <c r="O825" s="94"/>
      <c r="P825" s="94"/>
    </row>
    <row r="826">
      <c r="G826" s="94"/>
      <c r="H826" s="94"/>
      <c r="I826" s="94"/>
      <c r="J826" s="94"/>
      <c r="K826" s="94"/>
      <c r="L826" s="94"/>
      <c r="M826" s="94"/>
      <c r="N826" s="94"/>
      <c r="O826" s="94"/>
      <c r="P826" s="94"/>
    </row>
    <row r="827">
      <c r="G827" s="94"/>
      <c r="H827" s="94"/>
      <c r="I827" s="94"/>
      <c r="J827" s="94"/>
      <c r="K827" s="94"/>
      <c r="L827" s="94"/>
      <c r="M827" s="94"/>
      <c r="N827" s="94"/>
      <c r="O827" s="94"/>
      <c r="P827" s="94"/>
    </row>
    <row r="828">
      <c r="G828" s="94"/>
      <c r="H828" s="94"/>
      <c r="I828" s="94"/>
      <c r="J828" s="94"/>
      <c r="K828" s="94"/>
      <c r="L828" s="94"/>
      <c r="M828" s="94"/>
      <c r="N828" s="94"/>
      <c r="O828" s="94"/>
      <c r="P828" s="94"/>
    </row>
    <row r="829">
      <c r="G829" s="94"/>
      <c r="H829" s="94"/>
      <c r="I829" s="94"/>
      <c r="J829" s="94"/>
      <c r="K829" s="94"/>
      <c r="L829" s="94"/>
      <c r="M829" s="94"/>
      <c r="N829" s="94"/>
      <c r="O829" s="94"/>
      <c r="P829" s="94"/>
    </row>
    <row r="830">
      <c r="G830" s="94"/>
      <c r="H830" s="94"/>
      <c r="I830" s="94"/>
      <c r="J830" s="94"/>
      <c r="K830" s="94"/>
      <c r="L830" s="94"/>
      <c r="M830" s="94"/>
      <c r="N830" s="94"/>
      <c r="O830" s="94"/>
      <c r="P830" s="94"/>
    </row>
    <row r="831">
      <c r="G831" s="94"/>
      <c r="H831" s="94"/>
      <c r="I831" s="94"/>
      <c r="J831" s="94"/>
      <c r="K831" s="94"/>
      <c r="L831" s="94"/>
      <c r="M831" s="94"/>
      <c r="N831" s="94"/>
      <c r="O831" s="94"/>
      <c r="P831" s="94"/>
    </row>
    <row r="832">
      <c r="G832" s="94"/>
      <c r="H832" s="94"/>
      <c r="I832" s="94"/>
      <c r="J832" s="94"/>
      <c r="K832" s="94"/>
      <c r="L832" s="94"/>
      <c r="M832" s="94"/>
      <c r="N832" s="94"/>
      <c r="O832" s="94"/>
      <c r="P832" s="94"/>
    </row>
    <row r="833">
      <c r="G833" s="94"/>
      <c r="H833" s="94"/>
      <c r="I833" s="94"/>
      <c r="J833" s="94"/>
      <c r="K833" s="94"/>
      <c r="L833" s="94"/>
      <c r="M833" s="94"/>
      <c r="N833" s="94"/>
      <c r="O833" s="94"/>
      <c r="P833" s="94"/>
    </row>
    <row r="834">
      <c r="G834" s="94"/>
      <c r="H834" s="94"/>
      <c r="I834" s="94"/>
      <c r="J834" s="94"/>
      <c r="K834" s="94"/>
      <c r="L834" s="94"/>
      <c r="M834" s="94"/>
      <c r="N834" s="94"/>
      <c r="O834" s="94"/>
      <c r="P834" s="94"/>
    </row>
    <row r="835">
      <c r="G835" s="94"/>
      <c r="H835" s="94"/>
      <c r="I835" s="94"/>
      <c r="J835" s="94"/>
      <c r="K835" s="94"/>
      <c r="L835" s="94"/>
      <c r="M835" s="94"/>
      <c r="N835" s="94"/>
      <c r="O835" s="94"/>
      <c r="P835" s="94"/>
    </row>
    <row r="836">
      <c r="G836" s="94"/>
      <c r="H836" s="94"/>
      <c r="I836" s="94"/>
      <c r="J836" s="94"/>
      <c r="K836" s="94"/>
      <c r="L836" s="94"/>
      <c r="M836" s="94"/>
      <c r="N836" s="94"/>
      <c r="O836" s="94"/>
      <c r="P836" s="94"/>
    </row>
    <row r="837">
      <c r="G837" s="94"/>
      <c r="H837" s="94"/>
      <c r="I837" s="94"/>
      <c r="J837" s="94"/>
      <c r="K837" s="94"/>
      <c r="L837" s="94"/>
      <c r="M837" s="94"/>
      <c r="N837" s="94"/>
      <c r="O837" s="94"/>
      <c r="P837" s="94"/>
    </row>
    <row r="838">
      <c r="G838" s="94"/>
      <c r="H838" s="94"/>
      <c r="I838" s="94"/>
      <c r="J838" s="94"/>
      <c r="K838" s="94"/>
      <c r="L838" s="94"/>
      <c r="M838" s="94"/>
      <c r="N838" s="94"/>
      <c r="O838" s="94"/>
      <c r="P838" s="94"/>
    </row>
    <row r="839">
      <c r="G839" s="94"/>
      <c r="H839" s="94"/>
      <c r="I839" s="94"/>
      <c r="J839" s="94"/>
      <c r="K839" s="94"/>
      <c r="L839" s="94"/>
      <c r="M839" s="94"/>
      <c r="N839" s="94"/>
      <c r="O839" s="94"/>
      <c r="P839" s="94"/>
    </row>
    <row r="840">
      <c r="G840" s="94"/>
      <c r="H840" s="94"/>
      <c r="I840" s="94"/>
      <c r="J840" s="94"/>
      <c r="K840" s="94"/>
      <c r="L840" s="94"/>
      <c r="M840" s="94"/>
      <c r="N840" s="94"/>
      <c r="O840" s="94"/>
      <c r="P840" s="94"/>
    </row>
    <row r="841">
      <c r="G841" s="94"/>
      <c r="H841" s="94"/>
      <c r="I841" s="94"/>
      <c r="J841" s="94"/>
      <c r="K841" s="94"/>
      <c r="L841" s="94"/>
      <c r="M841" s="94"/>
      <c r="N841" s="94"/>
      <c r="O841" s="94"/>
      <c r="P841" s="94"/>
    </row>
    <row r="842">
      <c r="G842" s="94"/>
      <c r="H842" s="94"/>
      <c r="I842" s="94"/>
      <c r="J842" s="94"/>
      <c r="K842" s="94"/>
      <c r="L842" s="94"/>
      <c r="M842" s="94"/>
      <c r="N842" s="94"/>
      <c r="O842" s="94"/>
      <c r="P842" s="94"/>
    </row>
    <row r="843">
      <c r="G843" s="94"/>
      <c r="H843" s="94"/>
      <c r="I843" s="94"/>
      <c r="J843" s="94"/>
      <c r="K843" s="94"/>
      <c r="L843" s="94"/>
      <c r="M843" s="94"/>
      <c r="N843" s="94"/>
      <c r="O843" s="94"/>
      <c r="P843" s="94"/>
    </row>
    <row r="844">
      <c r="G844" s="94"/>
      <c r="H844" s="94"/>
      <c r="I844" s="94"/>
      <c r="J844" s="94"/>
      <c r="K844" s="94"/>
      <c r="L844" s="94"/>
      <c r="M844" s="94"/>
      <c r="N844" s="94"/>
      <c r="O844" s="94"/>
      <c r="P844" s="94"/>
    </row>
    <row r="845">
      <c r="G845" s="94"/>
      <c r="H845" s="94"/>
      <c r="I845" s="94"/>
      <c r="J845" s="94"/>
      <c r="K845" s="94"/>
      <c r="L845" s="94"/>
      <c r="M845" s="94"/>
      <c r="N845" s="94"/>
      <c r="O845" s="94"/>
      <c r="P845" s="94"/>
    </row>
    <row r="846">
      <c r="G846" s="94"/>
      <c r="H846" s="94"/>
      <c r="I846" s="94"/>
      <c r="J846" s="94"/>
      <c r="K846" s="94"/>
      <c r="L846" s="94"/>
      <c r="M846" s="94"/>
      <c r="N846" s="94"/>
      <c r="O846" s="94"/>
      <c r="P846" s="94"/>
    </row>
    <row r="847">
      <c r="G847" s="94"/>
      <c r="H847" s="94"/>
      <c r="I847" s="94"/>
      <c r="J847" s="94"/>
      <c r="K847" s="94"/>
      <c r="L847" s="94"/>
      <c r="M847" s="94"/>
      <c r="N847" s="94"/>
      <c r="O847" s="94"/>
      <c r="P847" s="94"/>
    </row>
    <row r="848">
      <c r="G848" s="94"/>
      <c r="H848" s="94"/>
      <c r="I848" s="94"/>
      <c r="J848" s="94"/>
      <c r="K848" s="94"/>
      <c r="L848" s="94"/>
      <c r="M848" s="94"/>
      <c r="N848" s="94"/>
      <c r="O848" s="94"/>
      <c r="P848" s="94"/>
    </row>
    <row r="849">
      <c r="G849" s="94"/>
      <c r="H849" s="94"/>
      <c r="I849" s="94"/>
      <c r="J849" s="94"/>
      <c r="K849" s="94"/>
      <c r="L849" s="94"/>
      <c r="M849" s="94"/>
      <c r="N849" s="94"/>
      <c r="O849" s="94"/>
      <c r="P849" s="94"/>
    </row>
    <row r="850">
      <c r="G850" s="94"/>
      <c r="H850" s="94"/>
      <c r="I850" s="94"/>
      <c r="J850" s="94"/>
      <c r="K850" s="94"/>
      <c r="L850" s="94"/>
      <c r="M850" s="94"/>
      <c r="N850" s="94"/>
      <c r="O850" s="94"/>
      <c r="P850" s="94"/>
    </row>
    <row r="851">
      <c r="G851" s="94"/>
      <c r="H851" s="94"/>
      <c r="I851" s="94"/>
      <c r="J851" s="94"/>
      <c r="K851" s="94"/>
      <c r="L851" s="94"/>
      <c r="M851" s="94"/>
      <c r="N851" s="94"/>
      <c r="O851" s="94"/>
      <c r="P851" s="94"/>
    </row>
    <row r="852">
      <c r="G852" s="94"/>
      <c r="H852" s="94"/>
      <c r="I852" s="94"/>
      <c r="J852" s="94"/>
      <c r="K852" s="94"/>
      <c r="L852" s="94"/>
      <c r="M852" s="94"/>
      <c r="N852" s="94"/>
      <c r="O852" s="94"/>
      <c r="P852" s="94"/>
    </row>
    <row r="853">
      <c r="G853" s="94"/>
      <c r="H853" s="94"/>
      <c r="I853" s="94"/>
      <c r="J853" s="94"/>
      <c r="K853" s="94"/>
      <c r="L853" s="94"/>
      <c r="M853" s="94"/>
      <c r="N853" s="94"/>
      <c r="O853" s="94"/>
      <c r="P853" s="94"/>
    </row>
    <row r="854">
      <c r="G854" s="94"/>
      <c r="H854" s="94"/>
      <c r="I854" s="94"/>
      <c r="J854" s="94"/>
      <c r="K854" s="94"/>
      <c r="L854" s="94"/>
      <c r="M854" s="94"/>
      <c r="N854" s="94"/>
      <c r="O854" s="94"/>
      <c r="P854" s="94"/>
    </row>
    <row r="855">
      <c r="G855" s="94"/>
      <c r="H855" s="94"/>
      <c r="I855" s="94"/>
      <c r="J855" s="94"/>
      <c r="K855" s="94"/>
      <c r="L855" s="94"/>
      <c r="M855" s="94"/>
      <c r="N855" s="94"/>
      <c r="O855" s="94"/>
      <c r="P855" s="94"/>
    </row>
    <row r="856">
      <c r="G856" s="94"/>
      <c r="H856" s="94"/>
      <c r="I856" s="94"/>
      <c r="J856" s="94"/>
      <c r="K856" s="94"/>
      <c r="L856" s="94"/>
      <c r="M856" s="94"/>
      <c r="N856" s="94"/>
      <c r="O856" s="94"/>
      <c r="P856" s="94"/>
    </row>
    <row r="857">
      <c r="G857" s="94"/>
      <c r="H857" s="94"/>
      <c r="I857" s="94"/>
      <c r="J857" s="94"/>
      <c r="K857" s="94"/>
      <c r="L857" s="94"/>
      <c r="M857" s="94"/>
      <c r="N857" s="94"/>
      <c r="O857" s="94"/>
      <c r="P857" s="94"/>
    </row>
    <row r="858">
      <c r="G858" s="94"/>
      <c r="H858" s="94"/>
      <c r="I858" s="94"/>
      <c r="J858" s="94"/>
      <c r="K858" s="94"/>
      <c r="L858" s="94"/>
      <c r="M858" s="94"/>
      <c r="N858" s="94"/>
      <c r="O858" s="94"/>
      <c r="P858" s="94"/>
    </row>
    <row r="859">
      <c r="G859" s="94"/>
      <c r="H859" s="94"/>
      <c r="I859" s="94"/>
      <c r="J859" s="94"/>
      <c r="K859" s="94"/>
      <c r="L859" s="94"/>
      <c r="M859" s="94"/>
      <c r="N859" s="94"/>
      <c r="O859" s="94"/>
      <c r="P859" s="94"/>
    </row>
    <row r="860">
      <c r="G860" s="94"/>
      <c r="H860" s="94"/>
      <c r="I860" s="94"/>
      <c r="J860" s="94"/>
      <c r="K860" s="94"/>
      <c r="L860" s="94"/>
      <c r="M860" s="94"/>
      <c r="N860" s="94"/>
      <c r="O860" s="94"/>
      <c r="P860" s="94"/>
    </row>
    <row r="861">
      <c r="G861" s="94"/>
      <c r="H861" s="94"/>
      <c r="I861" s="94"/>
      <c r="J861" s="94"/>
      <c r="K861" s="94"/>
      <c r="L861" s="94"/>
      <c r="M861" s="94"/>
      <c r="N861" s="94"/>
      <c r="O861" s="94"/>
      <c r="P861" s="94"/>
    </row>
    <row r="862">
      <c r="G862" s="94"/>
      <c r="H862" s="94"/>
      <c r="I862" s="94"/>
      <c r="J862" s="94"/>
      <c r="K862" s="94"/>
      <c r="L862" s="94"/>
      <c r="M862" s="94"/>
      <c r="N862" s="94"/>
      <c r="O862" s="94"/>
      <c r="P862" s="94"/>
    </row>
    <row r="863">
      <c r="G863" s="94"/>
      <c r="H863" s="94"/>
      <c r="I863" s="94"/>
      <c r="J863" s="94"/>
      <c r="K863" s="94"/>
      <c r="L863" s="94"/>
      <c r="M863" s="94"/>
      <c r="N863" s="94"/>
      <c r="O863" s="94"/>
      <c r="P863" s="94"/>
    </row>
    <row r="864">
      <c r="G864" s="94"/>
      <c r="H864" s="94"/>
      <c r="I864" s="94"/>
      <c r="J864" s="94"/>
      <c r="K864" s="94"/>
      <c r="L864" s="94"/>
      <c r="M864" s="94"/>
      <c r="N864" s="94"/>
      <c r="O864" s="94"/>
      <c r="P864" s="94"/>
    </row>
    <row r="865">
      <c r="G865" s="94"/>
      <c r="H865" s="94"/>
      <c r="I865" s="94"/>
      <c r="J865" s="94"/>
      <c r="K865" s="94"/>
      <c r="L865" s="94"/>
      <c r="M865" s="94"/>
      <c r="N865" s="94"/>
      <c r="O865" s="94"/>
      <c r="P865" s="94"/>
    </row>
    <row r="866">
      <c r="G866" s="94"/>
      <c r="H866" s="94"/>
      <c r="I866" s="94"/>
      <c r="J866" s="94"/>
      <c r="K866" s="94"/>
      <c r="L866" s="94"/>
      <c r="M866" s="94"/>
      <c r="N866" s="94"/>
      <c r="O866" s="94"/>
      <c r="P866" s="94"/>
    </row>
    <row r="867">
      <c r="G867" s="94"/>
      <c r="H867" s="94"/>
      <c r="I867" s="94"/>
      <c r="J867" s="94"/>
      <c r="K867" s="94"/>
      <c r="L867" s="94"/>
      <c r="M867" s="94"/>
      <c r="N867" s="94"/>
      <c r="O867" s="94"/>
      <c r="P867" s="94"/>
    </row>
    <row r="868">
      <c r="G868" s="94"/>
      <c r="H868" s="94"/>
      <c r="I868" s="94"/>
      <c r="J868" s="94"/>
      <c r="K868" s="94"/>
      <c r="L868" s="94"/>
      <c r="M868" s="94"/>
      <c r="N868" s="94"/>
      <c r="O868" s="94"/>
      <c r="P868" s="94"/>
    </row>
    <row r="869">
      <c r="G869" s="94"/>
      <c r="H869" s="94"/>
      <c r="I869" s="94"/>
      <c r="J869" s="94"/>
      <c r="K869" s="94"/>
      <c r="L869" s="94"/>
      <c r="M869" s="94"/>
      <c r="N869" s="94"/>
      <c r="O869" s="94"/>
      <c r="P869" s="94"/>
    </row>
    <row r="870">
      <c r="G870" s="94"/>
      <c r="H870" s="94"/>
      <c r="I870" s="94"/>
      <c r="J870" s="94"/>
      <c r="K870" s="94"/>
      <c r="L870" s="94"/>
      <c r="M870" s="94"/>
      <c r="N870" s="94"/>
      <c r="O870" s="94"/>
      <c r="P870" s="94"/>
    </row>
    <row r="871">
      <c r="G871" s="94"/>
      <c r="H871" s="94"/>
      <c r="I871" s="94"/>
      <c r="J871" s="94"/>
      <c r="K871" s="94"/>
      <c r="L871" s="94"/>
      <c r="M871" s="94"/>
      <c r="N871" s="94"/>
      <c r="O871" s="94"/>
      <c r="P871" s="94"/>
    </row>
    <row r="872">
      <c r="G872" s="94"/>
      <c r="H872" s="94"/>
      <c r="I872" s="94"/>
      <c r="J872" s="94"/>
      <c r="K872" s="94"/>
      <c r="L872" s="94"/>
      <c r="M872" s="94"/>
      <c r="N872" s="94"/>
      <c r="O872" s="94"/>
      <c r="P872" s="94"/>
    </row>
    <row r="873">
      <c r="G873" s="94"/>
      <c r="H873" s="94"/>
      <c r="I873" s="94"/>
      <c r="J873" s="94"/>
      <c r="K873" s="94"/>
      <c r="L873" s="94"/>
      <c r="M873" s="94"/>
      <c r="N873" s="94"/>
      <c r="O873" s="94"/>
      <c r="P873" s="94"/>
    </row>
    <row r="874">
      <c r="G874" s="94"/>
      <c r="H874" s="94"/>
      <c r="I874" s="94"/>
      <c r="J874" s="94"/>
      <c r="K874" s="94"/>
      <c r="L874" s="94"/>
      <c r="M874" s="94"/>
      <c r="N874" s="94"/>
      <c r="O874" s="94"/>
      <c r="P874" s="94"/>
    </row>
    <row r="875">
      <c r="G875" s="94"/>
      <c r="H875" s="94"/>
      <c r="I875" s="94"/>
      <c r="J875" s="94"/>
      <c r="K875" s="94"/>
      <c r="L875" s="94"/>
      <c r="M875" s="94"/>
      <c r="N875" s="94"/>
      <c r="O875" s="94"/>
      <c r="P875" s="94"/>
    </row>
    <row r="876">
      <c r="G876" s="94"/>
      <c r="H876" s="94"/>
      <c r="I876" s="94"/>
      <c r="J876" s="94"/>
      <c r="K876" s="94"/>
      <c r="L876" s="94"/>
      <c r="M876" s="94"/>
      <c r="N876" s="94"/>
      <c r="O876" s="94"/>
      <c r="P876" s="94"/>
    </row>
    <row r="877">
      <c r="G877" s="94"/>
      <c r="H877" s="94"/>
      <c r="I877" s="94"/>
      <c r="J877" s="94"/>
      <c r="K877" s="94"/>
      <c r="L877" s="94"/>
      <c r="M877" s="94"/>
      <c r="N877" s="94"/>
      <c r="O877" s="94"/>
      <c r="P877" s="94"/>
    </row>
    <row r="878">
      <c r="G878" s="94"/>
      <c r="H878" s="94"/>
      <c r="I878" s="94"/>
      <c r="J878" s="94"/>
      <c r="K878" s="94"/>
      <c r="L878" s="94"/>
      <c r="M878" s="94"/>
      <c r="N878" s="94"/>
      <c r="O878" s="94"/>
      <c r="P878" s="94"/>
    </row>
    <row r="879">
      <c r="G879" s="94"/>
      <c r="H879" s="94"/>
      <c r="I879" s="94"/>
      <c r="J879" s="94"/>
      <c r="K879" s="94"/>
      <c r="L879" s="94"/>
      <c r="M879" s="94"/>
      <c r="N879" s="94"/>
      <c r="O879" s="94"/>
      <c r="P879" s="94"/>
    </row>
    <row r="880">
      <c r="G880" s="94"/>
      <c r="H880" s="94"/>
      <c r="I880" s="94"/>
      <c r="J880" s="94"/>
      <c r="K880" s="94"/>
      <c r="L880" s="94"/>
      <c r="M880" s="94"/>
      <c r="N880" s="94"/>
      <c r="O880" s="94"/>
      <c r="P880" s="94"/>
    </row>
    <row r="881">
      <c r="G881" s="94"/>
      <c r="H881" s="94"/>
      <c r="I881" s="94"/>
      <c r="J881" s="94"/>
      <c r="K881" s="94"/>
      <c r="L881" s="94"/>
      <c r="M881" s="94"/>
      <c r="N881" s="94"/>
      <c r="O881" s="94"/>
      <c r="P881" s="94"/>
    </row>
    <row r="882">
      <c r="G882" s="94"/>
      <c r="H882" s="94"/>
      <c r="I882" s="94"/>
      <c r="J882" s="94"/>
      <c r="K882" s="94"/>
      <c r="L882" s="94"/>
      <c r="M882" s="94"/>
      <c r="N882" s="94"/>
      <c r="O882" s="94"/>
      <c r="P882" s="94"/>
    </row>
    <row r="883">
      <c r="G883" s="94"/>
      <c r="H883" s="94"/>
      <c r="I883" s="94"/>
      <c r="J883" s="94"/>
      <c r="K883" s="94"/>
      <c r="L883" s="94"/>
      <c r="M883" s="94"/>
      <c r="N883" s="94"/>
      <c r="O883" s="94"/>
      <c r="P883" s="94"/>
    </row>
    <row r="884">
      <c r="G884" s="94"/>
      <c r="H884" s="94"/>
      <c r="I884" s="94"/>
      <c r="J884" s="94"/>
      <c r="K884" s="94"/>
      <c r="L884" s="94"/>
      <c r="M884" s="94"/>
      <c r="N884" s="94"/>
      <c r="O884" s="94"/>
      <c r="P884" s="94"/>
    </row>
    <row r="885">
      <c r="G885" s="94"/>
      <c r="H885" s="94"/>
      <c r="I885" s="94"/>
      <c r="J885" s="94"/>
      <c r="K885" s="94"/>
      <c r="L885" s="94"/>
      <c r="M885" s="94"/>
      <c r="N885" s="94"/>
      <c r="O885" s="94"/>
      <c r="P885" s="94"/>
    </row>
    <row r="886">
      <c r="G886" s="94"/>
      <c r="H886" s="94"/>
      <c r="I886" s="94"/>
      <c r="J886" s="94"/>
      <c r="K886" s="94"/>
      <c r="L886" s="94"/>
      <c r="M886" s="94"/>
      <c r="N886" s="94"/>
      <c r="O886" s="94"/>
      <c r="P886" s="94"/>
    </row>
    <row r="887">
      <c r="G887" s="94"/>
      <c r="H887" s="94"/>
      <c r="I887" s="94"/>
      <c r="J887" s="94"/>
      <c r="K887" s="94"/>
      <c r="L887" s="94"/>
      <c r="M887" s="94"/>
      <c r="N887" s="94"/>
      <c r="O887" s="94"/>
      <c r="P887" s="94"/>
    </row>
    <row r="888">
      <c r="G888" s="94"/>
      <c r="H888" s="94"/>
      <c r="I888" s="94"/>
      <c r="J888" s="94"/>
      <c r="K888" s="94"/>
      <c r="L888" s="94"/>
      <c r="M888" s="94"/>
      <c r="N888" s="94"/>
      <c r="O888" s="94"/>
      <c r="P888" s="94"/>
    </row>
    <row r="889">
      <c r="G889" s="94"/>
      <c r="H889" s="94"/>
      <c r="I889" s="94"/>
      <c r="J889" s="94"/>
      <c r="K889" s="94"/>
      <c r="L889" s="94"/>
      <c r="M889" s="94"/>
      <c r="N889" s="94"/>
      <c r="O889" s="94"/>
      <c r="P889" s="94"/>
    </row>
    <row r="890">
      <c r="G890" s="94"/>
      <c r="H890" s="94"/>
      <c r="I890" s="94"/>
      <c r="J890" s="94"/>
      <c r="K890" s="94"/>
      <c r="L890" s="94"/>
      <c r="M890" s="94"/>
      <c r="N890" s="94"/>
      <c r="O890" s="94"/>
      <c r="P890" s="94"/>
    </row>
    <row r="891">
      <c r="G891" s="94"/>
      <c r="H891" s="94"/>
      <c r="I891" s="94"/>
      <c r="J891" s="94"/>
      <c r="K891" s="94"/>
      <c r="L891" s="94"/>
      <c r="M891" s="94"/>
      <c r="N891" s="94"/>
      <c r="O891" s="94"/>
      <c r="P891" s="94"/>
    </row>
    <row r="892">
      <c r="G892" s="94"/>
      <c r="H892" s="94"/>
      <c r="I892" s="94"/>
      <c r="J892" s="94"/>
      <c r="K892" s="94"/>
      <c r="L892" s="94"/>
      <c r="M892" s="94"/>
      <c r="N892" s="94"/>
      <c r="O892" s="94"/>
      <c r="P892" s="94"/>
    </row>
    <row r="893">
      <c r="G893" s="94"/>
      <c r="H893" s="94"/>
      <c r="I893" s="94"/>
      <c r="J893" s="94"/>
      <c r="K893" s="94"/>
      <c r="L893" s="94"/>
      <c r="M893" s="94"/>
      <c r="N893" s="94"/>
      <c r="O893" s="94"/>
      <c r="P893" s="94"/>
    </row>
    <row r="894">
      <c r="G894" s="94"/>
      <c r="H894" s="94"/>
      <c r="I894" s="94"/>
      <c r="J894" s="94"/>
      <c r="K894" s="94"/>
      <c r="L894" s="94"/>
      <c r="M894" s="94"/>
      <c r="N894" s="94"/>
      <c r="O894" s="94"/>
      <c r="P894" s="94"/>
    </row>
    <row r="895">
      <c r="G895" s="94"/>
      <c r="H895" s="94"/>
      <c r="I895" s="94"/>
      <c r="J895" s="94"/>
      <c r="K895" s="94"/>
      <c r="L895" s="94"/>
      <c r="M895" s="94"/>
      <c r="N895" s="94"/>
      <c r="O895" s="94"/>
      <c r="P895" s="94"/>
    </row>
    <row r="896">
      <c r="G896" s="94"/>
      <c r="H896" s="94"/>
      <c r="I896" s="94"/>
      <c r="J896" s="94"/>
      <c r="K896" s="94"/>
      <c r="L896" s="94"/>
      <c r="M896" s="94"/>
      <c r="N896" s="94"/>
      <c r="O896" s="94"/>
      <c r="P896" s="94"/>
    </row>
    <row r="897">
      <c r="G897" s="94"/>
      <c r="H897" s="94"/>
      <c r="I897" s="94"/>
      <c r="J897" s="94"/>
      <c r="K897" s="94"/>
      <c r="L897" s="94"/>
      <c r="M897" s="94"/>
      <c r="N897" s="94"/>
      <c r="O897" s="94"/>
      <c r="P897" s="94"/>
    </row>
    <row r="898">
      <c r="G898" s="94"/>
      <c r="H898" s="94"/>
      <c r="I898" s="94"/>
      <c r="J898" s="94"/>
      <c r="K898" s="94"/>
      <c r="L898" s="94"/>
      <c r="M898" s="94"/>
      <c r="N898" s="94"/>
      <c r="O898" s="94"/>
      <c r="P898" s="94"/>
    </row>
    <row r="899">
      <c r="G899" s="94"/>
      <c r="H899" s="94"/>
      <c r="I899" s="94"/>
      <c r="J899" s="94"/>
      <c r="K899" s="94"/>
      <c r="L899" s="94"/>
      <c r="M899" s="94"/>
      <c r="N899" s="94"/>
      <c r="O899" s="94"/>
      <c r="P899" s="94"/>
    </row>
    <row r="900">
      <c r="G900" s="94"/>
      <c r="H900" s="94"/>
      <c r="I900" s="94"/>
      <c r="J900" s="94"/>
      <c r="K900" s="94"/>
      <c r="L900" s="94"/>
      <c r="M900" s="94"/>
      <c r="N900" s="94"/>
      <c r="O900" s="94"/>
      <c r="P900" s="94"/>
    </row>
    <row r="901">
      <c r="G901" s="94"/>
      <c r="H901" s="94"/>
      <c r="I901" s="94"/>
      <c r="J901" s="94"/>
      <c r="K901" s="94"/>
      <c r="L901" s="94"/>
      <c r="M901" s="94"/>
      <c r="N901" s="94"/>
      <c r="O901" s="94"/>
      <c r="P901" s="94"/>
    </row>
    <row r="902">
      <c r="G902" s="94"/>
      <c r="H902" s="94"/>
      <c r="I902" s="94"/>
      <c r="J902" s="94"/>
      <c r="K902" s="94"/>
      <c r="L902" s="94"/>
      <c r="M902" s="94"/>
      <c r="N902" s="94"/>
      <c r="O902" s="94"/>
      <c r="P902" s="94"/>
    </row>
    <row r="903">
      <c r="G903" s="94"/>
      <c r="H903" s="94"/>
      <c r="I903" s="94"/>
      <c r="J903" s="94"/>
      <c r="K903" s="94"/>
      <c r="L903" s="94"/>
      <c r="M903" s="94"/>
      <c r="N903" s="94"/>
      <c r="O903" s="94"/>
      <c r="P903" s="94"/>
    </row>
    <row r="904">
      <c r="G904" s="94"/>
      <c r="H904" s="94"/>
      <c r="I904" s="94"/>
      <c r="J904" s="94"/>
      <c r="K904" s="94"/>
      <c r="L904" s="94"/>
      <c r="M904" s="94"/>
      <c r="N904" s="94"/>
      <c r="O904" s="94"/>
      <c r="P904" s="94"/>
    </row>
    <row r="905">
      <c r="G905" s="94"/>
      <c r="H905" s="94"/>
      <c r="I905" s="94"/>
      <c r="J905" s="94"/>
      <c r="K905" s="94"/>
      <c r="L905" s="94"/>
      <c r="M905" s="94"/>
      <c r="N905" s="94"/>
      <c r="O905" s="94"/>
      <c r="P905" s="94"/>
    </row>
    <row r="906">
      <c r="G906" s="94"/>
      <c r="H906" s="94"/>
      <c r="I906" s="94"/>
      <c r="J906" s="94"/>
      <c r="K906" s="94"/>
      <c r="L906" s="94"/>
      <c r="M906" s="94"/>
      <c r="N906" s="94"/>
      <c r="O906" s="94"/>
      <c r="P906" s="94"/>
    </row>
    <row r="907">
      <c r="G907" s="94"/>
      <c r="H907" s="94"/>
      <c r="I907" s="94"/>
      <c r="J907" s="94"/>
      <c r="K907" s="94"/>
      <c r="L907" s="94"/>
      <c r="M907" s="94"/>
      <c r="N907" s="94"/>
      <c r="O907" s="94"/>
      <c r="P907" s="94"/>
    </row>
    <row r="908">
      <c r="G908" s="94"/>
      <c r="H908" s="94"/>
      <c r="I908" s="94"/>
      <c r="J908" s="94"/>
      <c r="K908" s="94"/>
      <c r="L908" s="94"/>
      <c r="M908" s="94"/>
      <c r="N908" s="94"/>
      <c r="O908" s="94"/>
      <c r="P908" s="94"/>
    </row>
    <row r="909">
      <c r="G909" s="94"/>
      <c r="H909" s="94"/>
      <c r="I909" s="94"/>
      <c r="J909" s="94"/>
      <c r="K909" s="94"/>
      <c r="L909" s="94"/>
      <c r="M909" s="94"/>
      <c r="N909" s="94"/>
      <c r="O909" s="94"/>
      <c r="P909" s="94"/>
    </row>
    <row r="910">
      <c r="G910" s="94"/>
      <c r="H910" s="94"/>
      <c r="I910" s="94"/>
      <c r="J910" s="94"/>
      <c r="K910" s="94"/>
      <c r="L910" s="94"/>
      <c r="M910" s="94"/>
      <c r="N910" s="94"/>
      <c r="O910" s="94"/>
      <c r="P910" s="94"/>
    </row>
    <row r="911">
      <c r="G911" s="94"/>
      <c r="H911" s="94"/>
      <c r="I911" s="94"/>
      <c r="J911" s="94"/>
      <c r="K911" s="94"/>
      <c r="L911" s="94"/>
      <c r="M911" s="94"/>
      <c r="N911" s="94"/>
      <c r="O911" s="94"/>
      <c r="P911" s="94"/>
    </row>
    <row r="912">
      <c r="G912" s="94"/>
      <c r="H912" s="94"/>
      <c r="I912" s="94"/>
      <c r="J912" s="94"/>
      <c r="K912" s="94"/>
      <c r="L912" s="94"/>
      <c r="M912" s="94"/>
      <c r="N912" s="94"/>
      <c r="O912" s="94"/>
      <c r="P912" s="94"/>
    </row>
    <row r="913">
      <c r="G913" s="94"/>
      <c r="H913" s="94"/>
      <c r="I913" s="94"/>
      <c r="J913" s="94"/>
      <c r="K913" s="94"/>
      <c r="L913" s="94"/>
      <c r="M913" s="94"/>
      <c r="N913" s="94"/>
      <c r="O913" s="94"/>
      <c r="P913" s="94"/>
    </row>
    <row r="914">
      <c r="G914" s="94"/>
      <c r="H914" s="94"/>
      <c r="I914" s="94"/>
      <c r="J914" s="94"/>
      <c r="K914" s="94"/>
      <c r="L914" s="94"/>
      <c r="M914" s="94"/>
      <c r="N914" s="94"/>
      <c r="O914" s="94"/>
      <c r="P914" s="94"/>
    </row>
    <row r="915">
      <c r="G915" s="94"/>
      <c r="H915" s="94"/>
      <c r="I915" s="94"/>
      <c r="J915" s="94"/>
      <c r="K915" s="94"/>
      <c r="L915" s="94"/>
      <c r="M915" s="94"/>
      <c r="N915" s="94"/>
      <c r="O915" s="94"/>
      <c r="P915" s="94"/>
    </row>
    <row r="916">
      <c r="G916" s="94"/>
      <c r="H916" s="94"/>
      <c r="I916" s="94"/>
      <c r="J916" s="94"/>
      <c r="K916" s="94"/>
      <c r="L916" s="94"/>
      <c r="M916" s="94"/>
      <c r="N916" s="94"/>
      <c r="O916" s="94"/>
      <c r="P916" s="94"/>
    </row>
    <row r="917">
      <c r="G917" s="94"/>
      <c r="H917" s="94"/>
      <c r="I917" s="94"/>
      <c r="J917" s="94"/>
      <c r="K917" s="94"/>
      <c r="L917" s="94"/>
      <c r="M917" s="94"/>
      <c r="N917" s="94"/>
      <c r="O917" s="94"/>
      <c r="P917" s="94"/>
    </row>
    <row r="918">
      <c r="G918" s="94"/>
      <c r="H918" s="94"/>
      <c r="I918" s="94"/>
      <c r="J918" s="94"/>
      <c r="K918" s="94"/>
      <c r="L918" s="94"/>
      <c r="M918" s="94"/>
      <c r="N918" s="94"/>
      <c r="O918" s="94"/>
      <c r="P918" s="94"/>
    </row>
    <row r="919">
      <c r="G919" s="94"/>
      <c r="H919" s="94"/>
      <c r="I919" s="94"/>
      <c r="J919" s="94"/>
      <c r="K919" s="94"/>
      <c r="L919" s="94"/>
      <c r="M919" s="94"/>
      <c r="N919" s="94"/>
      <c r="O919" s="94"/>
      <c r="P919" s="94"/>
    </row>
    <row r="920">
      <c r="G920" s="94"/>
      <c r="H920" s="94"/>
      <c r="I920" s="94"/>
      <c r="J920" s="94"/>
      <c r="K920" s="94"/>
      <c r="L920" s="94"/>
      <c r="M920" s="94"/>
      <c r="N920" s="94"/>
      <c r="O920" s="94"/>
      <c r="P920" s="94"/>
    </row>
    <row r="921">
      <c r="G921" s="94"/>
      <c r="H921" s="94"/>
      <c r="I921" s="94"/>
      <c r="J921" s="94"/>
      <c r="K921" s="94"/>
      <c r="L921" s="94"/>
      <c r="M921" s="94"/>
      <c r="N921" s="94"/>
      <c r="O921" s="94"/>
      <c r="P921" s="94"/>
    </row>
    <row r="922">
      <c r="G922" s="94"/>
      <c r="H922" s="94"/>
      <c r="I922" s="94"/>
      <c r="J922" s="94"/>
      <c r="K922" s="94"/>
      <c r="L922" s="94"/>
      <c r="M922" s="94"/>
      <c r="N922" s="94"/>
      <c r="O922" s="94"/>
      <c r="P922" s="94"/>
    </row>
    <row r="923">
      <c r="G923" s="94"/>
      <c r="H923" s="94"/>
      <c r="I923" s="94"/>
      <c r="J923" s="94"/>
      <c r="K923" s="94"/>
      <c r="L923" s="94"/>
      <c r="M923" s="94"/>
      <c r="N923" s="94"/>
      <c r="O923" s="94"/>
      <c r="P923" s="94"/>
    </row>
    <row r="924">
      <c r="G924" s="94"/>
      <c r="H924" s="94"/>
      <c r="I924" s="94"/>
      <c r="J924" s="94"/>
      <c r="K924" s="94"/>
      <c r="L924" s="94"/>
      <c r="M924" s="94"/>
      <c r="N924" s="94"/>
      <c r="O924" s="94"/>
      <c r="P924" s="94"/>
    </row>
    <row r="925">
      <c r="G925" s="94"/>
      <c r="H925" s="94"/>
      <c r="I925" s="94"/>
      <c r="J925" s="94"/>
      <c r="K925" s="94"/>
      <c r="L925" s="94"/>
      <c r="M925" s="94"/>
      <c r="N925" s="94"/>
      <c r="O925" s="94"/>
      <c r="P925" s="94"/>
    </row>
    <row r="926">
      <c r="G926" s="94"/>
      <c r="H926" s="94"/>
      <c r="I926" s="94"/>
      <c r="J926" s="94"/>
      <c r="K926" s="94"/>
      <c r="L926" s="94"/>
      <c r="M926" s="94"/>
      <c r="N926" s="94"/>
      <c r="O926" s="94"/>
      <c r="P926" s="94"/>
    </row>
    <row r="927">
      <c r="G927" s="94"/>
      <c r="H927" s="94"/>
      <c r="I927" s="94"/>
      <c r="J927" s="94"/>
      <c r="K927" s="94"/>
      <c r="L927" s="94"/>
      <c r="M927" s="94"/>
      <c r="N927" s="94"/>
      <c r="O927" s="94"/>
      <c r="P927" s="94"/>
    </row>
    <row r="928">
      <c r="G928" s="94"/>
      <c r="H928" s="94"/>
      <c r="I928" s="94"/>
      <c r="J928" s="94"/>
      <c r="K928" s="94"/>
      <c r="L928" s="94"/>
      <c r="M928" s="94"/>
      <c r="N928" s="94"/>
      <c r="O928" s="94"/>
      <c r="P928" s="94"/>
    </row>
    <row r="929">
      <c r="G929" s="94"/>
      <c r="H929" s="94"/>
      <c r="I929" s="94"/>
      <c r="J929" s="94"/>
      <c r="K929" s="94"/>
      <c r="L929" s="94"/>
      <c r="M929" s="94"/>
      <c r="N929" s="94"/>
      <c r="O929" s="94"/>
      <c r="P929" s="94"/>
    </row>
    <row r="930">
      <c r="G930" s="94"/>
      <c r="H930" s="94"/>
      <c r="I930" s="94"/>
      <c r="J930" s="94"/>
      <c r="K930" s="94"/>
      <c r="L930" s="94"/>
      <c r="M930" s="94"/>
      <c r="N930" s="94"/>
      <c r="O930" s="94"/>
      <c r="P930" s="94"/>
    </row>
    <row r="931">
      <c r="G931" s="94"/>
      <c r="H931" s="94"/>
      <c r="I931" s="94"/>
      <c r="J931" s="94"/>
      <c r="K931" s="94"/>
      <c r="L931" s="94"/>
      <c r="M931" s="94"/>
      <c r="N931" s="94"/>
      <c r="O931" s="94"/>
      <c r="P931" s="94"/>
    </row>
    <row r="932">
      <c r="G932" s="94"/>
      <c r="H932" s="94"/>
      <c r="I932" s="94"/>
      <c r="J932" s="94"/>
      <c r="K932" s="94"/>
      <c r="L932" s="94"/>
      <c r="M932" s="94"/>
      <c r="N932" s="94"/>
      <c r="O932" s="94"/>
      <c r="P932" s="94"/>
    </row>
    <row r="933">
      <c r="G933" s="94"/>
      <c r="H933" s="94"/>
      <c r="I933" s="94"/>
      <c r="J933" s="94"/>
      <c r="K933" s="94"/>
      <c r="L933" s="94"/>
      <c r="M933" s="94"/>
      <c r="N933" s="94"/>
      <c r="O933" s="94"/>
      <c r="P933" s="94"/>
    </row>
    <row r="934">
      <c r="G934" s="94"/>
      <c r="H934" s="94"/>
      <c r="I934" s="94"/>
      <c r="J934" s="94"/>
      <c r="K934" s="94"/>
      <c r="L934" s="94"/>
      <c r="M934" s="94"/>
      <c r="N934" s="94"/>
      <c r="O934" s="94"/>
      <c r="P934" s="94"/>
    </row>
    <row r="935">
      <c r="G935" s="94"/>
      <c r="H935" s="94"/>
      <c r="I935" s="94"/>
      <c r="J935" s="94"/>
      <c r="K935" s="94"/>
      <c r="L935" s="94"/>
      <c r="M935" s="94"/>
      <c r="N935" s="94"/>
      <c r="O935" s="94"/>
      <c r="P935" s="94"/>
    </row>
    <row r="936">
      <c r="G936" s="94"/>
      <c r="H936" s="94"/>
      <c r="I936" s="94"/>
      <c r="J936" s="94"/>
      <c r="K936" s="94"/>
      <c r="L936" s="94"/>
      <c r="M936" s="94"/>
      <c r="N936" s="94"/>
      <c r="O936" s="94"/>
      <c r="P936" s="94"/>
    </row>
    <row r="937">
      <c r="G937" s="94"/>
      <c r="H937" s="94"/>
      <c r="I937" s="94"/>
      <c r="J937" s="94"/>
      <c r="K937" s="94"/>
      <c r="L937" s="94"/>
      <c r="M937" s="94"/>
      <c r="N937" s="94"/>
      <c r="O937" s="94"/>
      <c r="P937" s="94"/>
    </row>
    <row r="938">
      <c r="G938" s="94"/>
      <c r="H938" s="94"/>
      <c r="I938" s="94"/>
      <c r="J938" s="94"/>
      <c r="K938" s="94"/>
      <c r="L938" s="94"/>
      <c r="M938" s="94"/>
      <c r="N938" s="94"/>
      <c r="O938" s="94"/>
      <c r="P938" s="94"/>
    </row>
    <row r="939">
      <c r="G939" s="94"/>
      <c r="H939" s="94"/>
      <c r="I939" s="94"/>
      <c r="J939" s="94"/>
      <c r="K939" s="94"/>
      <c r="L939" s="94"/>
      <c r="M939" s="94"/>
      <c r="N939" s="94"/>
      <c r="O939" s="94"/>
      <c r="P939" s="94"/>
    </row>
    <row r="940">
      <c r="G940" s="94"/>
      <c r="H940" s="94"/>
      <c r="I940" s="94"/>
      <c r="J940" s="94"/>
      <c r="K940" s="94"/>
      <c r="L940" s="94"/>
      <c r="M940" s="94"/>
      <c r="N940" s="94"/>
      <c r="O940" s="94"/>
      <c r="P940" s="94"/>
    </row>
    <row r="941">
      <c r="G941" s="94"/>
      <c r="H941" s="94"/>
      <c r="I941" s="94"/>
      <c r="J941" s="94"/>
      <c r="K941" s="94"/>
      <c r="L941" s="94"/>
      <c r="M941" s="94"/>
      <c r="N941" s="94"/>
      <c r="O941" s="94"/>
      <c r="P941" s="94"/>
    </row>
    <row r="942">
      <c r="G942" s="94"/>
      <c r="H942" s="94"/>
      <c r="I942" s="94"/>
      <c r="J942" s="94"/>
      <c r="K942" s="94"/>
      <c r="L942" s="94"/>
      <c r="M942" s="94"/>
      <c r="N942" s="94"/>
      <c r="O942" s="94"/>
      <c r="P942" s="94"/>
    </row>
    <row r="943">
      <c r="G943" s="94"/>
      <c r="H943" s="94"/>
      <c r="I943" s="94"/>
      <c r="J943" s="94"/>
      <c r="K943" s="94"/>
      <c r="L943" s="94"/>
      <c r="M943" s="94"/>
      <c r="N943" s="94"/>
      <c r="O943" s="94"/>
      <c r="P943" s="94"/>
    </row>
    <row r="944">
      <c r="G944" s="94"/>
      <c r="H944" s="94"/>
      <c r="I944" s="94"/>
      <c r="J944" s="94"/>
      <c r="K944" s="94"/>
      <c r="L944" s="94"/>
      <c r="M944" s="94"/>
      <c r="N944" s="94"/>
      <c r="O944" s="94"/>
      <c r="P944" s="94"/>
    </row>
    <row r="945">
      <c r="G945" s="94"/>
      <c r="H945" s="94"/>
      <c r="I945" s="94"/>
      <c r="J945" s="94"/>
      <c r="K945" s="94"/>
      <c r="L945" s="94"/>
      <c r="M945" s="94"/>
      <c r="N945" s="94"/>
      <c r="O945" s="94"/>
      <c r="P945" s="94"/>
    </row>
    <row r="946">
      <c r="G946" s="94"/>
      <c r="H946" s="94"/>
      <c r="I946" s="94"/>
      <c r="J946" s="94"/>
      <c r="K946" s="94"/>
      <c r="L946" s="94"/>
      <c r="M946" s="94"/>
      <c r="N946" s="94"/>
      <c r="O946" s="94"/>
      <c r="P946" s="94"/>
    </row>
    <row r="947">
      <c r="G947" s="94"/>
      <c r="H947" s="94"/>
      <c r="I947" s="94"/>
      <c r="J947" s="94"/>
      <c r="K947" s="94"/>
      <c r="L947" s="94"/>
      <c r="M947" s="94"/>
      <c r="N947" s="94"/>
      <c r="O947" s="94"/>
      <c r="P947" s="94"/>
    </row>
    <row r="948">
      <c r="G948" s="94"/>
      <c r="H948" s="94"/>
      <c r="I948" s="94"/>
      <c r="J948" s="94"/>
      <c r="K948" s="94"/>
      <c r="L948" s="94"/>
      <c r="M948" s="94"/>
      <c r="N948" s="94"/>
      <c r="O948" s="94"/>
      <c r="P948" s="94"/>
    </row>
    <row r="949">
      <c r="G949" s="94"/>
      <c r="H949" s="94"/>
      <c r="I949" s="94"/>
      <c r="J949" s="94"/>
      <c r="K949" s="94"/>
      <c r="L949" s="94"/>
      <c r="M949" s="94"/>
      <c r="N949" s="94"/>
      <c r="O949" s="94"/>
      <c r="P949" s="94"/>
    </row>
    <row r="950">
      <c r="G950" s="94"/>
      <c r="H950" s="94"/>
      <c r="I950" s="94"/>
      <c r="J950" s="94"/>
      <c r="K950" s="94"/>
      <c r="L950" s="94"/>
      <c r="M950" s="94"/>
      <c r="N950" s="94"/>
      <c r="O950" s="94"/>
      <c r="P950" s="94"/>
    </row>
    <row r="951">
      <c r="G951" s="94"/>
      <c r="H951" s="94"/>
      <c r="I951" s="94"/>
      <c r="J951" s="94"/>
      <c r="K951" s="94"/>
      <c r="L951" s="94"/>
      <c r="M951" s="94"/>
      <c r="N951" s="94"/>
      <c r="O951" s="94"/>
      <c r="P951" s="94"/>
    </row>
    <row r="952">
      <c r="G952" s="94"/>
      <c r="H952" s="94"/>
      <c r="I952" s="94"/>
      <c r="J952" s="94"/>
      <c r="K952" s="94"/>
      <c r="L952" s="94"/>
      <c r="M952" s="94"/>
      <c r="N952" s="94"/>
      <c r="O952" s="94"/>
      <c r="P952" s="94"/>
    </row>
    <row r="953">
      <c r="G953" s="94"/>
      <c r="H953" s="94"/>
      <c r="I953" s="94"/>
      <c r="J953" s="94"/>
      <c r="K953" s="94"/>
      <c r="L953" s="94"/>
      <c r="M953" s="94"/>
      <c r="N953" s="94"/>
      <c r="O953" s="94"/>
      <c r="P953" s="94"/>
    </row>
    <row r="954">
      <c r="G954" s="94"/>
      <c r="H954" s="94"/>
      <c r="I954" s="94"/>
      <c r="J954" s="94"/>
      <c r="K954" s="94"/>
      <c r="L954" s="94"/>
      <c r="M954" s="94"/>
      <c r="N954" s="94"/>
      <c r="O954" s="94"/>
      <c r="P954" s="94"/>
    </row>
    <row r="955">
      <c r="G955" s="94"/>
      <c r="H955" s="94"/>
      <c r="I955" s="94"/>
      <c r="J955" s="94"/>
      <c r="K955" s="94"/>
      <c r="L955" s="94"/>
      <c r="M955" s="94"/>
      <c r="N955" s="94"/>
      <c r="O955" s="94"/>
      <c r="P955" s="94"/>
    </row>
    <row r="956">
      <c r="G956" s="94"/>
      <c r="H956" s="94"/>
      <c r="I956" s="94"/>
      <c r="J956" s="94"/>
      <c r="K956" s="94"/>
      <c r="L956" s="94"/>
      <c r="M956" s="94"/>
      <c r="N956" s="94"/>
      <c r="O956" s="94"/>
      <c r="P956" s="94"/>
    </row>
    <row r="957">
      <c r="G957" s="94"/>
      <c r="H957" s="94"/>
      <c r="I957" s="94"/>
      <c r="J957" s="94"/>
      <c r="K957" s="94"/>
      <c r="L957" s="94"/>
      <c r="M957" s="94"/>
      <c r="N957" s="94"/>
      <c r="O957" s="94"/>
      <c r="P957" s="94"/>
    </row>
    <row r="958">
      <c r="G958" s="94"/>
      <c r="H958" s="94"/>
      <c r="I958" s="94"/>
      <c r="J958" s="94"/>
      <c r="K958" s="94"/>
      <c r="L958" s="94"/>
      <c r="M958" s="94"/>
      <c r="N958" s="94"/>
      <c r="O958" s="94"/>
      <c r="P958" s="94"/>
    </row>
    <row r="959">
      <c r="G959" s="94"/>
      <c r="H959" s="94"/>
      <c r="I959" s="94"/>
      <c r="J959" s="94"/>
      <c r="K959" s="94"/>
      <c r="L959" s="94"/>
      <c r="M959" s="94"/>
      <c r="N959" s="94"/>
      <c r="O959" s="94"/>
      <c r="P959" s="94"/>
    </row>
    <row r="960">
      <c r="G960" s="94"/>
      <c r="H960" s="94"/>
      <c r="I960" s="94"/>
      <c r="J960" s="94"/>
      <c r="K960" s="94"/>
      <c r="L960" s="94"/>
      <c r="M960" s="94"/>
      <c r="N960" s="94"/>
      <c r="O960" s="94"/>
      <c r="P960" s="94"/>
    </row>
    <row r="961">
      <c r="G961" s="94"/>
      <c r="H961" s="94"/>
      <c r="I961" s="94"/>
      <c r="J961" s="94"/>
      <c r="K961" s="94"/>
      <c r="L961" s="94"/>
      <c r="M961" s="94"/>
      <c r="N961" s="94"/>
      <c r="O961" s="94"/>
      <c r="P961" s="94"/>
    </row>
    <row r="962">
      <c r="G962" s="94"/>
      <c r="H962" s="94"/>
      <c r="I962" s="94"/>
      <c r="J962" s="94"/>
      <c r="K962" s="94"/>
      <c r="L962" s="94"/>
      <c r="M962" s="94"/>
      <c r="N962" s="94"/>
      <c r="O962" s="94"/>
      <c r="P962" s="94"/>
    </row>
    <row r="963">
      <c r="G963" s="94"/>
      <c r="H963" s="94"/>
      <c r="I963" s="94"/>
      <c r="J963" s="94"/>
      <c r="K963" s="94"/>
      <c r="L963" s="94"/>
      <c r="M963" s="94"/>
      <c r="N963" s="94"/>
      <c r="O963" s="94"/>
      <c r="P963" s="94"/>
    </row>
    <row r="964">
      <c r="G964" s="94"/>
      <c r="H964" s="94"/>
      <c r="I964" s="94"/>
      <c r="J964" s="94"/>
      <c r="K964" s="94"/>
      <c r="L964" s="94"/>
      <c r="M964" s="94"/>
      <c r="N964" s="94"/>
      <c r="O964" s="94"/>
      <c r="P964" s="94"/>
    </row>
    <row r="965">
      <c r="G965" s="94"/>
      <c r="H965" s="94"/>
      <c r="I965" s="94"/>
      <c r="J965" s="94"/>
      <c r="K965" s="94"/>
      <c r="L965" s="94"/>
      <c r="M965" s="94"/>
      <c r="N965" s="94"/>
      <c r="O965" s="94"/>
      <c r="P965" s="94"/>
    </row>
    <row r="966">
      <c r="G966" s="94"/>
      <c r="H966" s="94"/>
      <c r="I966" s="94"/>
      <c r="J966" s="94"/>
      <c r="K966" s="94"/>
      <c r="L966" s="94"/>
      <c r="M966" s="94"/>
      <c r="N966" s="94"/>
      <c r="O966" s="94"/>
      <c r="P966" s="94"/>
    </row>
    <row r="967">
      <c r="G967" s="94"/>
      <c r="H967" s="94"/>
      <c r="I967" s="94"/>
      <c r="J967" s="94"/>
      <c r="K967" s="94"/>
      <c r="L967" s="94"/>
      <c r="M967" s="94"/>
      <c r="N967" s="94"/>
      <c r="O967" s="94"/>
      <c r="P967" s="94"/>
    </row>
    <row r="968">
      <c r="G968" s="94"/>
      <c r="H968" s="94"/>
      <c r="I968" s="94"/>
      <c r="J968" s="94"/>
      <c r="K968" s="94"/>
      <c r="L968" s="94"/>
      <c r="M968" s="94"/>
      <c r="N968" s="94"/>
      <c r="O968" s="94"/>
      <c r="P968" s="94"/>
    </row>
    <row r="969">
      <c r="G969" s="94"/>
      <c r="H969" s="94"/>
      <c r="I969" s="94"/>
      <c r="J969" s="94"/>
      <c r="K969" s="94"/>
      <c r="L969" s="94"/>
      <c r="M969" s="94"/>
      <c r="N969" s="94"/>
      <c r="O969" s="94"/>
      <c r="P969" s="94"/>
    </row>
    <row r="970">
      <c r="G970" s="94"/>
      <c r="H970" s="94"/>
      <c r="I970" s="94"/>
      <c r="J970" s="94"/>
      <c r="K970" s="94"/>
      <c r="L970" s="94"/>
      <c r="M970" s="94"/>
      <c r="N970" s="94"/>
      <c r="O970" s="94"/>
      <c r="P970" s="94"/>
    </row>
    <row r="971">
      <c r="G971" s="94"/>
      <c r="H971" s="94"/>
      <c r="I971" s="94"/>
      <c r="J971" s="94"/>
      <c r="K971" s="94"/>
      <c r="L971" s="94"/>
      <c r="M971" s="94"/>
      <c r="N971" s="94"/>
      <c r="O971" s="94"/>
      <c r="P971" s="94"/>
    </row>
    <row r="972">
      <c r="G972" s="94"/>
      <c r="H972" s="94"/>
      <c r="I972" s="94"/>
      <c r="J972" s="94"/>
      <c r="K972" s="94"/>
      <c r="L972" s="94"/>
      <c r="M972" s="94"/>
      <c r="N972" s="94"/>
      <c r="O972" s="94"/>
      <c r="P972" s="94"/>
    </row>
    <row r="973">
      <c r="G973" s="94"/>
      <c r="H973" s="94"/>
      <c r="I973" s="94"/>
      <c r="J973" s="94"/>
      <c r="K973" s="94"/>
      <c r="L973" s="94"/>
      <c r="M973" s="94"/>
      <c r="N973" s="94"/>
      <c r="O973" s="94"/>
      <c r="P973" s="94"/>
    </row>
    <row r="974">
      <c r="G974" s="94"/>
      <c r="H974" s="94"/>
      <c r="I974" s="94"/>
      <c r="J974" s="94"/>
      <c r="K974" s="94"/>
      <c r="L974" s="94"/>
      <c r="M974" s="94"/>
      <c r="N974" s="94"/>
      <c r="O974" s="94"/>
      <c r="P974" s="94"/>
    </row>
    <row r="975">
      <c r="G975" s="94"/>
      <c r="H975" s="94"/>
      <c r="I975" s="94"/>
      <c r="J975" s="94"/>
      <c r="K975" s="94"/>
      <c r="L975" s="94"/>
      <c r="M975" s="94"/>
      <c r="N975" s="94"/>
      <c r="O975" s="94"/>
      <c r="P975" s="94"/>
    </row>
    <row r="976">
      <c r="G976" s="94"/>
      <c r="H976" s="94"/>
      <c r="I976" s="94"/>
      <c r="J976" s="94"/>
      <c r="K976" s="94"/>
      <c r="L976" s="94"/>
      <c r="M976" s="94"/>
      <c r="N976" s="94"/>
      <c r="O976" s="94"/>
      <c r="P976" s="94"/>
    </row>
    <row r="977">
      <c r="G977" s="94"/>
      <c r="H977" s="94"/>
      <c r="I977" s="94"/>
      <c r="J977" s="94"/>
      <c r="K977" s="94"/>
      <c r="L977" s="94"/>
      <c r="M977" s="94"/>
      <c r="N977" s="94"/>
      <c r="O977" s="94"/>
      <c r="P977" s="94"/>
    </row>
    <row r="978">
      <c r="G978" s="94"/>
      <c r="H978" s="94"/>
      <c r="I978" s="94"/>
      <c r="J978" s="94"/>
      <c r="K978" s="94"/>
      <c r="L978" s="94"/>
      <c r="M978" s="94"/>
      <c r="N978" s="94"/>
      <c r="O978" s="94"/>
      <c r="P978" s="94"/>
    </row>
    <row r="979">
      <c r="G979" s="94"/>
      <c r="H979" s="94"/>
      <c r="I979" s="94"/>
      <c r="J979" s="94"/>
      <c r="K979" s="94"/>
      <c r="L979" s="94"/>
      <c r="M979" s="94"/>
      <c r="N979" s="94"/>
      <c r="O979" s="94"/>
      <c r="P979" s="94"/>
    </row>
    <row r="980">
      <c r="G980" s="94"/>
      <c r="H980" s="94"/>
      <c r="I980" s="94"/>
      <c r="J980" s="94"/>
      <c r="K980" s="94"/>
      <c r="L980" s="94"/>
      <c r="M980" s="94"/>
      <c r="N980" s="94"/>
      <c r="O980" s="94"/>
      <c r="P980" s="94"/>
    </row>
    <row r="981">
      <c r="G981" s="94"/>
      <c r="H981" s="94"/>
      <c r="I981" s="94"/>
      <c r="J981" s="94"/>
      <c r="K981" s="94"/>
      <c r="L981" s="94"/>
      <c r="M981" s="94"/>
      <c r="N981" s="94"/>
      <c r="O981" s="94"/>
      <c r="P981" s="94"/>
    </row>
    <row r="982">
      <c r="G982" s="94"/>
      <c r="H982" s="94"/>
      <c r="I982" s="94"/>
      <c r="J982" s="94"/>
      <c r="K982" s="94"/>
      <c r="L982" s="94"/>
      <c r="M982" s="94"/>
      <c r="N982" s="94"/>
      <c r="O982" s="94"/>
      <c r="P982" s="94"/>
    </row>
    <row r="983">
      <c r="G983" s="94"/>
      <c r="H983" s="94"/>
      <c r="I983" s="94"/>
      <c r="J983" s="94"/>
      <c r="K983" s="94"/>
      <c r="L983" s="94"/>
      <c r="M983" s="94"/>
      <c r="N983" s="94"/>
      <c r="O983" s="94"/>
      <c r="P983" s="94"/>
    </row>
    <row r="984">
      <c r="G984" s="94"/>
      <c r="H984" s="94"/>
      <c r="I984" s="94"/>
      <c r="J984" s="94"/>
      <c r="K984" s="94"/>
      <c r="L984" s="94"/>
      <c r="M984" s="94"/>
      <c r="N984" s="94"/>
      <c r="O984" s="94"/>
      <c r="P984" s="94"/>
    </row>
    <row r="985">
      <c r="G985" s="94"/>
      <c r="H985" s="94"/>
      <c r="I985" s="94"/>
      <c r="J985" s="94"/>
      <c r="K985" s="94"/>
      <c r="L985" s="94"/>
      <c r="M985" s="94"/>
      <c r="N985" s="94"/>
      <c r="O985" s="94"/>
      <c r="P985" s="94"/>
    </row>
    <row r="986">
      <c r="G986" s="94"/>
      <c r="H986" s="94"/>
      <c r="I986" s="94"/>
      <c r="J986" s="94"/>
      <c r="K986" s="94"/>
      <c r="L986" s="94"/>
      <c r="M986" s="94"/>
      <c r="N986" s="94"/>
      <c r="O986" s="94"/>
      <c r="P986" s="94"/>
    </row>
    <row r="987">
      <c r="G987" s="94"/>
      <c r="H987" s="94"/>
      <c r="I987" s="94"/>
      <c r="J987" s="94"/>
      <c r="K987" s="94"/>
      <c r="L987" s="94"/>
      <c r="M987" s="94"/>
      <c r="N987" s="94"/>
      <c r="O987" s="94"/>
      <c r="P987" s="94"/>
    </row>
    <row r="988">
      <c r="G988" s="94"/>
      <c r="H988" s="94"/>
      <c r="I988" s="94"/>
      <c r="J988" s="94"/>
      <c r="K988" s="94"/>
      <c r="L988" s="94"/>
      <c r="M988" s="94"/>
      <c r="N988" s="94"/>
      <c r="O988" s="94"/>
      <c r="P988" s="94"/>
    </row>
    <row r="989">
      <c r="G989" s="94"/>
      <c r="H989" s="94"/>
      <c r="I989" s="94"/>
      <c r="J989" s="94"/>
      <c r="K989" s="94"/>
      <c r="L989" s="94"/>
      <c r="M989" s="94"/>
      <c r="N989" s="94"/>
      <c r="O989" s="94"/>
      <c r="P989" s="94"/>
    </row>
    <row r="990">
      <c r="G990" s="94"/>
      <c r="H990" s="94"/>
      <c r="I990" s="94"/>
      <c r="J990" s="94"/>
      <c r="K990" s="94"/>
      <c r="L990" s="94"/>
      <c r="M990" s="94"/>
      <c r="N990" s="94"/>
      <c r="O990" s="94"/>
      <c r="P990" s="94"/>
    </row>
    <row r="991">
      <c r="G991" s="94"/>
      <c r="H991" s="94"/>
      <c r="I991" s="94"/>
      <c r="J991" s="94"/>
      <c r="K991" s="94"/>
      <c r="L991" s="94"/>
      <c r="M991" s="94"/>
      <c r="N991" s="94"/>
      <c r="O991" s="94"/>
      <c r="P991" s="94"/>
    </row>
    <row r="992">
      <c r="G992" s="94"/>
      <c r="H992" s="94"/>
      <c r="I992" s="94"/>
      <c r="J992" s="94"/>
      <c r="K992" s="94"/>
      <c r="L992" s="94"/>
      <c r="M992" s="94"/>
      <c r="N992" s="94"/>
      <c r="O992" s="94"/>
      <c r="P992" s="94"/>
    </row>
    <row r="993">
      <c r="G993" s="94"/>
      <c r="H993" s="94"/>
      <c r="I993" s="94"/>
      <c r="J993" s="94"/>
      <c r="K993" s="94"/>
      <c r="L993" s="94"/>
      <c r="M993" s="94"/>
      <c r="N993" s="94"/>
      <c r="O993" s="94"/>
      <c r="P993" s="94"/>
    </row>
    <row r="994">
      <c r="G994" s="94"/>
      <c r="H994" s="94"/>
      <c r="I994" s="94"/>
      <c r="J994" s="94"/>
      <c r="K994" s="94"/>
      <c r="L994" s="94"/>
      <c r="M994" s="94"/>
      <c r="N994" s="94"/>
      <c r="O994" s="94"/>
      <c r="P994" s="94"/>
    </row>
    <row r="995">
      <c r="G995" s="94"/>
      <c r="H995" s="94"/>
      <c r="I995" s="94"/>
      <c r="J995" s="94"/>
      <c r="K995" s="94"/>
      <c r="L995" s="94"/>
      <c r="M995" s="94"/>
      <c r="N995" s="94"/>
      <c r="O995" s="94"/>
      <c r="P995" s="94"/>
    </row>
    <row r="996">
      <c r="G996" s="94"/>
      <c r="H996" s="94"/>
      <c r="I996" s="94"/>
      <c r="J996" s="94"/>
      <c r="K996" s="94"/>
      <c r="L996" s="94"/>
      <c r="M996" s="94"/>
      <c r="N996" s="94"/>
      <c r="O996" s="94"/>
      <c r="P996" s="94"/>
    </row>
    <row r="997">
      <c r="G997" s="94"/>
      <c r="H997" s="94"/>
      <c r="I997" s="94"/>
      <c r="J997" s="94"/>
      <c r="K997" s="94"/>
      <c r="L997" s="94"/>
      <c r="M997" s="94"/>
      <c r="N997" s="94"/>
      <c r="O997" s="94"/>
      <c r="P997" s="94"/>
    </row>
    <row r="998">
      <c r="G998" s="94"/>
      <c r="H998" s="94"/>
      <c r="I998" s="94"/>
      <c r="J998" s="94"/>
      <c r="K998" s="94"/>
      <c r="L998" s="94"/>
      <c r="M998" s="94"/>
      <c r="N998" s="94"/>
      <c r="O998" s="94"/>
      <c r="P998" s="94"/>
    </row>
    <row r="999">
      <c r="G999" s="94"/>
      <c r="H999" s="94"/>
      <c r="I999" s="94"/>
      <c r="J999" s="94"/>
      <c r="K999" s="94"/>
      <c r="L999" s="94"/>
      <c r="M999" s="94"/>
      <c r="N999" s="94"/>
      <c r="O999" s="94"/>
      <c r="P999" s="94"/>
    </row>
    <row r="1000"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</row>
    <row r="1001"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</row>
    <row r="1002"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</row>
    <row r="1003"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</row>
    <row r="1004"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</row>
    <row r="1005"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</row>
  </sheetData>
  <autoFilter ref="$A$1:$Z$310">
    <filterColumn colId="14">
      <filters>
        <filter val="n/a"/>
        <filter val="N/A"/>
        <filter val="NA"/>
        <filter val="PLS"/>
        <filter val="HLS"/>
        <filter val="EUROSETS"/>
      </filters>
    </filterColumn>
    <sortState ref="A1:Z310">
      <sortCondition ref="B1:B310"/>
    </sortState>
  </autoFilter>
  <dataValidations>
    <dataValidation type="list" allowBlank="1" showErrorMessage="1" sqref="A2:A284 A300:A333 A335:A340">
      <formula1>ANAGRAFICA!$B$2:$B$506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7" max="7" width="9.38"/>
    <col customWidth="1" min="8" max="8" width="31.63"/>
    <col customWidth="1" min="9" max="9" width="30.75"/>
    <col customWidth="1" min="10" max="10" width="24.0"/>
    <col customWidth="1" min="12" max="12" width="20.5"/>
  </cols>
  <sheetData>
    <row r="1">
      <c r="A1" s="127" t="s">
        <v>1</v>
      </c>
      <c r="B1" s="128" t="s">
        <v>2</v>
      </c>
      <c r="C1" s="127" t="s">
        <v>3</v>
      </c>
      <c r="D1" s="127" t="s">
        <v>4</v>
      </c>
      <c r="E1" s="127" t="s">
        <v>385</v>
      </c>
      <c r="F1" s="129" t="s">
        <v>6</v>
      </c>
      <c r="G1" s="127" t="s">
        <v>386</v>
      </c>
      <c r="H1" s="127" t="s">
        <v>542</v>
      </c>
      <c r="I1" s="127" t="s">
        <v>543</v>
      </c>
      <c r="J1" s="127" t="s">
        <v>544</v>
      </c>
      <c r="K1" s="127" t="s">
        <v>545</v>
      </c>
      <c r="L1" s="127" t="s">
        <v>546</v>
      </c>
      <c r="M1" s="130"/>
      <c r="N1" s="130"/>
      <c r="O1" s="130"/>
      <c r="P1" s="130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>
      <c r="A2" s="3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115">
        <v>1.0</v>
      </c>
      <c r="H2" s="3" t="s">
        <v>547</v>
      </c>
      <c r="I2" s="3" t="s">
        <v>548</v>
      </c>
      <c r="J2" s="117"/>
      <c r="K2" s="117"/>
      <c r="L2" s="11" t="s">
        <v>549</v>
      </c>
    </row>
    <row r="3">
      <c r="A3" s="3">
        <v>2.124019725E9</v>
      </c>
      <c r="B3" s="109" t="str">
        <f>VLOOKUP($A3,ANAGRAFICA!$B$1:$G$306,2,FALSE)</f>
        <v>AMIWO</v>
      </c>
      <c r="C3" s="109" t="str">
        <f>VLOOKUP($A3,ANAGRAFICA!$B$1:$G$306,3,FALSE)</f>
        <v>REX STEVE</v>
      </c>
      <c r="D3" s="109" t="str">
        <f>VLOOKUP($A3,ANAGRAFICA!$B$1:$G$306,4,FALSE)</f>
        <v>758-18</v>
      </c>
      <c r="E3" s="109">
        <f>VLOOKUP($A3,ANAGRAFICA!$B$1:$G$306,5,FALSE)</f>
        <v>3272024084</v>
      </c>
      <c r="F3" s="109">
        <f>VLOOKUP($A3,ANAGRAFICA!$B$1:$G$306,6,FALSE)</f>
        <v>2024</v>
      </c>
      <c r="G3" s="57">
        <v>1.0</v>
      </c>
      <c r="H3" s="3" t="s">
        <v>550</v>
      </c>
      <c r="I3" s="3" t="s">
        <v>551</v>
      </c>
      <c r="J3" s="117"/>
      <c r="K3" s="117"/>
      <c r="L3" s="11" t="s">
        <v>552</v>
      </c>
    </row>
    <row r="4">
      <c r="A4" s="3">
        <v>2.123023299E9</v>
      </c>
      <c r="B4" s="109" t="str">
        <f>VLOOKUP($A4,ANAGRAFICA!$B$1:$G$306,2,FALSE)</f>
        <v>BEATRICE</v>
      </c>
      <c r="C4" s="109" t="str">
        <f>VLOOKUP($A4,ANAGRAFICA!$B$1:$G$306,3,FALSE)</f>
        <v>GERARDINA</v>
      </c>
      <c r="D4" s="109" t="str">
        <f>VLOOKUP($A4,ANAGRAFICA!$B$1:$G$306,4,FALSE)</f>
        <v/>
      </c>
      <c r="E4" s="109">
        <f>VLOOKUP($A4,ANAGRAFICA!$B$1:$G$306,5,FALSE)</f>
        <v>3272024098</v>
      </c>
      <c r="F4" s="109">
        <f>VLOOKUP($A4,ANAGRAFICA!$B$1:$G$306,6,FALSE)</f>
        <v>2024</v>
      </c>
      <c r="G4" s="57">
        <v>1.0</v>
      </c>
      <c r="H4" s="3" t="s">
        <v>547</v>
      </c>
      <c r="I4" s="3" t="s">
        <v>550</v>
      </c>
      <c r="J4" s="3" t="s">
        <v>551</v>
      </c>
      <c r="K4" s="117"/>
      <c r="L4" s="11" t="s">
        <v>549</v>
      </c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>
      <c r="A5" s="3">
        <v>2.124011236E9</v>
      </c>
      <c r="B5" s="109" t="str">
        <f>VLOOKUP($A5,ANAGRAFICA!$B$1:$G$306,2,FALSE)</f>
        <v>BERETTA</v>
      </c>
      <c r="C5" s="109" t="str">
        <f>VLOOKUP($A5,ANAGRAFICA!$B$1:$G$306,3,FALSE)</f>
        <v>ENZO LUCIANO</v>
      </c>
      <c r="D5" s="109" t="str">
        <f>VLOOKUP($A5,ANAGRAFICA!$B$1:$G$306,4,FALSE)</f>
        <v>758-3</v>
      </c>
      <c r="E5" s="109">
        <f>VLOOKUP($A5,ANAGRAFICA!$B$1:$G$306,5,FALSE)</f>
        <v>3272024069</v>
      </c>
      <c r="F5" s="109">
        <f>VLOOKUP($A5,ANAGRAFICA!$B$1:$G$306,6,FALSE)</f>
        <v>2024</v>
      </c>
      <c r="G5" s="57">
        <v>1.0</v>
      </c>
      <c r="H5" s="3" t="s">
        <v>553</v>
      </c>
      <c r="I5" s="117"/>
      <c r="J5" s="117"/>
      <c r="K5" s="117"/>
      <c r="L5" s="11" t="s">
        <v>552</v>
      </c>
    </row>
    <row r="6">
      <c r="A6" s="3">
        <v>2.124000241E9</v>
      </c>
      <c r="B6" s="109" t="str">
        <f>VLOOKUP($A6,ANAGRAFICA!$B$1:$G$306,2,FALSE)</f>
        <v>ISELLA</v>
      </c>
      <c r="C6" s="109" t="str">
        <f>VLOOKUP($A6,ANAGRAFICA!$B$1:$G$306,3,FALSE)</f>
        <v>VINCENZO</v>
      </c>
      <c r="D6" s="109" t="str">
        <f>VLOOKUP($A6,ANAGRAFICA!$B$1:$G$306,4,FALSE)</f>
        <v/>
      </c>
      <c r="E6" s="109">
        <f>VLOOKUP($A6,ANAGRAFICA!$B$1:$G$306,5,FALSE)</f>
        <v>3272024052</v>
      </c>
      <c r="F6" s="109">
        <f>VLOOKUP($A6,ANAGRAFICA!$B$1:$G$306,6,FALSE)</f>
        <v>2024</v>
      </c>
      <c r="G6" s="57">
        <v>1.0</v>
      </c>
      <c r="H6" s="3" t="s">
        <v>547</v>
      </c>
      <c r="I6" s="3" t="s">
        <v>550</v>
      </c>
      <c r="J6" s="117"/>
      <c r="K6" s="117"/>
      <c r="L6" s="11" t="s">
        <v>549</v>
      </c>
    </row>
    <row r="7">
      <c r="A7" s="3">
        <v>2.124000328E9</v>
      </c>
      <c r="B7" s="109" t="str">
        <f>VLOOKUP($A7,ANAGRAFICA!$B$1:$G$306,2,FALSE)</f>
        <v>LAVANGA</v>
      </c>
      <c r="C7" s="109" t="str">
        <f>VLOOKUP($A7,ANAGRAFICA!$B$1:$G$306,3,FALSE)</f>
        <v>DONATO</v>
      </c>
      <c r="D7" s="109" t="str">
        <f>VLOOKUP($A7,ANAGRAFICA!$B$1:$G$306,4,FALSE)</f>
        <v/>
      </c>
      <c r="E7" s="109">
        <f>VLOOKUP($A7,ANAGRAFICA!$B$1:$G$306,5,FALSE)</f>
        <v>3272024053</v>
      </c>
      <c r="F7" s="109">
        <f>VLOOKUP($A7,ANAGRAFICA!$B$1:$G$306,6,FALSE)</f>
        <v>2024</v>
      </c>
      <c r="G7" s="57">
        <v>1.0</v>
      </c>
      <c r="H7" s="3" t="s">
        <v>547</v>
      </c>
      <c r="I7" s="3" t="s">
        <v>554</v>
      </c>
      <c r="J7" s="117"/>
      <c r="K7" s="117"/>
      <c r="L7" s="11" t="s">
        <v>549</v>
      </c>
    </row>
    <row r="8">
      <c r="A8" s="3">
        <v>2.124001121E9</v>
      </c>
      <c r="B8" s="109" t="str">
        <f>VLOOKUP($A8,ANAGRAFICA!$B$1:$G$306,2,FALSE)</f>
        <v>TIEGHI</v>
      </c>
      <c r="C8" s="109" t="str">
        <f>VLOOKUP($A8,ANAGRAFICA!$B$1:$G$306,3,FALSE)</f>
        <v>MASSIMO</v>
      </c>
      <c r="D8" s="109" t="str">
        <f>VLOOKUP($A8,ANAGRAFICA!$B$1:$G$306,4,FALSE)</f>
        <v/>
      </c>
      <c r="E8" s="109">
        <f>VLOOKUP($A8,ANAGRAFICA!$B$1:$G$306,5,FALSE)</f>
        <v>3272024054</v>
      </c>
      <c r="F8" s="109">
        <f>VLOOKUP($A8,ANAGRAFICA!$B$1:$G$306,6,FALSE)</f>
        <v>2024</v>
      </c>
      <c r="G8" s="57">
        <v>1.0</v>
      </c>
      <c r="H8" s="3" t="s">
        <v>555</v>
      </c>
      <c r="I8" s="3" t="s">
        <v>547</v>
      </c>
      <c r="J8" s="117"/>
      <c r="K8" s="117"/>
      <c r="L8" s="11" t="s">
        <v>549</v>
      </c>
    </row>
    <row r="9">
      <c r="A9" s="3">
        <v>2.124203781E9</v>
      </c>
      <c r="B9" s="109" t="str">
        <f>VLOOKUP($A9,ANAGRAFICA!$B$1:$G$306,2,FALSE)</f>
        <v>CONCA</v>
      </c>
      <c r="C9" s="109" t="str">
        <f>VLOOKUP($A9,ANAGRAFICA!$B$1:$G$306,3,FALSE)</f>
        <v>CAMILLA</v>
      </c>
      <c r="D9" s="109" t="str">
        <f>VLOOKUP($A9,ANAGRAFICA!$B$1:$G$306,4,FALSE)</f>
        <v/>
      </c>
      <c r="E9" s="109">
        <f>VLOOKUP($A9,ANAGRAFICA!$B$1:$G$306,5,FALSE)</f>
        <v>3272024058</v>
      </c>
      <c r="F9" s="109">
        <f>VLOOKUP($A9,ANAGRAFICA!$B$1:$G$306,6,FALSE)</f>
        <v>2024</v>
      </c>
      <c r="G9" s="57">
        <v>1.0</v>
      </c>
      <c r="H9" s="3" t="s">
        <v>556</v>
      </c>
      <c r="I9" s="3" t="s">
        <v>550</v>
      </c>
      <c r="J9" s="117"/>
      <c r="K9" s="117"/>
      <c r="L9" s="11" t="s">
        <v>552</v>
      </c>
    </row>
    <row r="10">
      <c r="A10" s="3">
        <v>2.124206072E9</v>
      </c>
      <c r="B10" s="109" t="str">
        <f>VLOOKUP($A10,ANAGRAFICA!$B$1:$G$306,2,FALSE)</f>
        <v>CONSONNI</v>
      </c>
      <c r="C10" s="109" t="str">
        <f>VLOOKUP($A10,ANAGRAFICA!$B$1:$G$306,3,FALSE)</f>
        <v>GIULIO</v>
      </c>
      <c r="D10" s="109" t="str">
        <f>VLOOKUP($A10,ANAGRAFICA!$B$1:$G$306,4,FALSE)</f>
        <v/>
      </c>
      <c r="E10" s="109">
        <f>VLOOKUP($A10,ANAGRAFICA!$B$1:$G$306,5,FALSE)</f>
        <v>3272024064</v>
      </c>
      <c r="F10" s="109">
        <f>VLOOKUP($A10,ANAGRAFICA!$B$1:$G$306,6,FALSE)</f>
        <v>2024</v>
      </c>
      <c r="G10" s="57">
        <v>1.0</v>
      </c>
      <c r="H10" s="3" t="s">
        <v>550</v>
      </c>
      <c r="I10" s="3" t="s">
        <v>556</v>
      </c>
      <c r="J10" s="3" t="s">
        <v>553</v>
      </c>
      <c r="K10" s="117"/>
      <c r="L10" s="11" t="s">
        <v>552</v>
      </c>
    </row>
    <row r="11">
      <c r="A11" s="3">
        <v>2.124202869E9</v>
      </c>
      <c r="B11" s="109" t="str">
        <f>VLOOKUP($A11,ANAGRAFICA!$B$1:$G$306,2,FALSE)</f>
        <v>VALSECCHI</v>
      </c>
      <c r="C11" s="109" t="str">
        <f>VLOOKUP($A11,ANAGRAFICA!$B$1:$G$306,3,FALSE)</f>
        <v>ANDREA</v>
      </c>
      <c r="D11" s="109" t="str">
        <f>VLOOKUP($A11,ANAGRAFICA!$B$1:$G$306,4,FALSE)</f>
        <v/>
      </c>
      <c r="E11" s="109">
        <f>VLOOKUP($A11,ANAGRAFICA!$B$1:$G$306,5,FALSE)</f>
        <v>3272024056</v>
      </c>
      <c r="F11" s="109">
        <f>VLOOKUP($A11,ANAGRAFICA!$B$1:$G$306,6,FALSE)</f>
        <v>2024</v>
      </c>
      <c r="G11" s="57">
        <v>1.0</v>
      </c>
      <c r="H11" s="3" t="s">
        <v>557</v>
      </c>
      <c r="I11" s="3" t="s">
        <v>550</v>
      </c>
      <c r="J11" s="3" t="s">
        <v>547</v>
      </c>
      <c r="K11" s="117"/>
      <c r="L11" s="11" t="s">
        <v>549</v>
      </c>
    </row>
    <row r="12">
      <c r="A12" s="3">
        <v>2.124206072E9</v>
      </c>
      <c r="B12" s="133" t="str">
        <f>VLOOKUP($A12,ANAGRAFICA!$B$1:$G$306,2,FALSE)</f>
        <v>CONSONNI</v>
      </c>
      <c r="C12" s="133" t="str">
        <f>VLOOKUP($A12,ANAGRAFICA!$B$1:$G$306,3,FALSE)</f>
        <v>GIULIO</v>
      </c>
      <c r="D12" s="134" t="str">
        <f>VLOOKUP($A12,ANAGRAFICA!$B$1:$G$306,4,FALSE)</f>
        <v/>
      </c>
      <c r="E12" s="134">
        <f>VLOOKUP($A12,ANAGRAFICA!$B$1:$G$306,5,FALSE)</f>
        <v>3272024064</v>
      </c>
      <c r="F12" s="133">
        <f>VLOOKUP($A12,ANAGRAFICA!$B$1:$G$306,6,FALSE)</f>
        <v>2024</v>
      </c>
      <c r="G12" s="57">
        <v>2.0</v>
      </c>
      <c r="H12" s="3" t="s">
        <v>558</v>
      </c>
      <c r="I12" s="3"/>
      <c r="J12" s="117"/>
      <c r="K12" s="117"/>
      <c r="L12" s="11" t="s">
        <v>552</v>
      </c>
    </row>
    <row r="13">
      <c r="A13" s="3">
        <v>2.124211722E9</v>
      </c>
      <c r="B13" s="109" t="str">
        <f>VLOOKUP($A13,ANAGRAFICA!$B$1:$G$306,2,FALSE)</f>
        <v>CORIO</v>
      </c>
      <c r="C13" s="109" t="str">
        <f>VLOOKUP($A13,ANAGRAFICA!$B$1:$G$306,3,FALSE)</f>
        <v>GIOVANNI</v>
      </c>
      <c r="D13" s="109" t="str">
        <f>VLOOKUP($A13,ANAGRAFICA!$B$1:$G$306,4,FALSE)</f>
        <v>758-13</v>
      </c>
      <c r="E13" s="109">
        <f>VLOOKUP($A13,ANAGRAFICA!$B$1:$G$306,5,FALSE)</f>
        <v>3272024079</v>
      </c>
      <c r="F13" s="109">
        <f>VLOOKUP($A13,ANAGRAFICA!$B$1:$G$306,6,FALSE)</f>
        <v>2024</v>
      </c>
      <c r="G13" s="57">
        <v>1.0</v>
      </c>
      <c r="H13" s="3" t="s">
        <v>555</v>
      </c>
      <c r="I13" s="3" t="s">
        <v>550</v>
      </c>
      <c r="J13" s="117"/>
      <c r="K13" s="117"/>
      <c r="L13" s="11" t="s">
        <v>552</v>
      </c>
    </row>
    <row r="14">
      <c r="A14" s="3">
        <v>2.124018611E9</v>
      </c>
      <c r="B14" s="109" t="str">
        <f>VLOOKUP($A14,ANAGRAFICA!$B$1:$G$306,2,FALSE)</f>
        <v>CURTO</v>
      </c>
      <c r="C14" s="109" t="str">
        <f>VLOOKUP($A14,ANAGRAFICA!$B$1:$G$306,3,FALSE)</f>
        <v>ROBERTO</v>
      </c>
      <c r="D14" s="109" t="str">
        <f>VLOOKUP($A14,ANAGRAFICA!$B$1:$G$306,4,FALSE)</f>
        <v/>
      </c>
      <c r="E14" s="109" t="str">
        <f>VLOOKUP($A14,ANAGRAFICA!$B$1:$G$306,5,FALSE)</f>
        <v/>
      </c>
      <c r="F14" s="109">
        <f>VLOOKUP($A14,ANAGRAFICA!$B$1:$G$306,6,FALSE)</f>
        <v>2024</v>
      </c>
      <c r="G14" s="57">
        <v>1.0</v>
      </c>
      <c r="H14" s="3" t="s">
        <v>550</v>
      </c>
      <c r="I14" s="117"/>
      <c r="J14" s="117"/>
      <c r="K14" s="117"/>
      <c r="L14" s="11" t="s">
        <v>552</v>
      </c>
    </row>
    <row r="15">
      <c r="A15" s="3">
        <v>2.12401869E9</v>
      </c>
      <c r="B15" s="109" t="str">
        <f>VLOOKUP($A15,ANAGRAFICA!$B$1:$G$306,2,FALSE)</f>
        <v>AVENIDO</v>
      </c>
      <c r="C15" s="109" t="str">
        <f>VLOOKUP($A15,ANAGRAFICA!$B$1:$G$306,3,FALSE)</f>
        <v>DELFIN</v>
      </c>
      <c r="D15" s="109" t="str">
        <f>VLOOKUP($A15,ANAGRAFICA!$B$1:$G$306,4,FALSE)</f>
        <v>758-16</v>
      </c>
      <c r="E15" s="109">
        <f>VLOOKUP($A15,ANAGRAFICA!$B$1:$G$306,5,FALSE)</f>
        <v>3272024082</v>
      </c>
      <c r="F15" s="109">
        <f>VLOOKUP($A15,ANAGRAFICA!$B$1:$G$306,6,FALSE)</f>
        <v>2024</v>
      </c>
      <c r="G15" s="57">
        <v>1.0</v>
      </c>
      <c r="H15" s="3" t="s">
        <v>553</v>
      </c>
      <c r="I15" s="117"/>
      <c r="J15" s="117"/>
      <c r="K15" s="117"/>
      <c r="L15" s="11" t="s">
        <v>549</v>
      </c>
    </row>
    <row r="16">
      <c r="A16" s="3">
        <v>2.124018637E9</v>
      </c>
      <c r="B16" s="109" t="str">
        <f>VLOOKUP($A16,ANAGRAFICA!$B$1:$G$306,2,FALSE)</f>
        <v>CARIBONI</v>
      </c>
      <c r="C16" s="109" t="str">
        <f>VLOOKUP($A16,ANAGRAFICA!$B$1:$G$306,3,FALSE)</f>
        <v>LORENZA</v>
      </c>
      <c r="D16" s="109" t="str">
        <f>VLOOKUP($A16,ANAGRAFICA!$B$1:$G$306,4,FALSE)</f>
        <v>758-15</v>
      </c>
      <c r="E16" s="109">
        <f>VLOOKUP($A16,ANAGRAFICA!$B$1:$G$306,5,FALSE)</f>
        <v>3272024081</v>
      </c>
      <c r="F16" s="109">
        <f>VLOOKUP($A16,ANAGRAFICA!$B$1:$G$306,6,FALSE)</f>
        <v>2024</v>
      </c>
      <c r="G16" s="57">
        <v>1.0</v>
      </c>
      <c r="H16" s="3" t="s">
        <v>553</v>
      </c>
      <c r="I16" s="3" t="s">
        <v>555</v>
      </c>
      <c r="J16" s="3" t="s">
        <v>550</v>
      </c>
      <c r="K16" s="117"/>
      <c r="L16" s="11" t="s">
        <v>549</v>
      </c>
    </row>
    <row r="17">
      <c r="A17" s="3">
        <v>2.124006081E9</v>
      </c>
      <c r="B17" s="109" t="str">
        <f>VLOOKUP($A17,ANAGRAFICA!$B$1:$G$306,2,FALSE)</f>
        <v>DOSSI</v>
      </c>
      <c r="C17" s="109" t="str">
        <f>VLOOKUP($A17,ANAGRAFICA!$B$1:$G$306,3,FALSE)</f>
        <v>MAURIZIO ANTONIO</v>
      </c>
      <c r="D17" s="109" t="str">
        <f>VLOOKUP($A17,ANAGRAFICA!$B$1:$G$306,4,FALSE)</f>
        <v/>
      </c>
      <c r="E17" s="109">
        <f>VLOOKUP($A17,ANAGRAFICA!$B$1:$G$306,5,FALSE)</f>
        <v>3272024062</v>
      </c>
      <c r="F17" s="109">
        <f>VLOOKUP($A17,ANAGRAFICA!$B$1:$G$306,6,FALSE)</f>
        <v>2024</v>
      </c>
      <c r="G17" s="57">
        <v>1.0</v>
      </c>
      <c r="H17" s="3" t="s">
        <v>550</v>
      </c>
      <c r="I17" s="117"/>
      <c r="J17" s="117"/>
      <c r="K17" s="117"/>
      <c r="L17" s="11" t="s">
        <v>552</v>
      </c>
    </row>
    <row r="18">
      <c r="A18" s="3">
        <v>2.124025195E9</v>
      </c>
      <c r="B18" s="109" t="str">
        <f>VLOOKUP($A18,ANAGRAFICA!$B$1:$G$306,2,FALSE)</f>
        <v>FAZIO</v>
      </c>
      <c r="C18" s="109" t="str">
        <f>VLOOKUP($A18,ANAGRAFICA!$B$1:$G$306,3,FALSE)</f>
        <v>FRANCESCO ANTONIO</v>
      </c>
      <c r="D18" s="109" t="str">
        <f>VLOOKUP($A18,ANAGRAFICA!$B$1:$G$306,4,FALSE)</f>
        <v>758-21</v>
      </c>
      <c r="E18" s="109">
        <f>VLOOKUP($A18,ANAGRAFICA!$B$1:$G$306,5,FALSE)</f>
        <v>3272024087</v>
      </c>
      <c r="F18" s="109">
        <f>VLOOKUP($A18,ANAGRAFICA!$B$1:$G$306,6,FALSE)</f>
        <v>2024</v>
      </c>
      <c r="G18" s="57">
        <v>1.0</v>
      </c>
      <c r="H18" s="3" t="s">
        <v>553</v>
      </c>
      <c r="I18" s="3" t="s">
        <v>555</v>
      </c>
      <c r="J18" s="117"/>
      <c r="K18" s="117"/>
      <c r="L18" s="11" t="s">
        <v>549</v>
      </c>
    </row>
    <row r="19">
      <c r="A19" s="3">
        <v>2.124208975E9</v>
      </c>
      <c r="B19" s="109" t="str">
        <f>VLOOKUP($A19,ANAGRAFICA!$B$1:$G$306,2,FALSE)</f>
        <v>FERRARO</v>
      </c>
      <c r="C19" s="109" t="str">
        <f>VLOOKUP($A19,ANAGRAFICA!$B$1:$G$306,3,FALSE)</f>
        <v>DANIELE</v>
      </c>
      <c r="D19" s="109" t="str">
        <f>VLOOKUP($A19,ANAGRAFICA!$B$1:$G$306,4,FALSE)</f>
        <v/>
      </c>
      <c r="E19" s="109" t="str">
        <f>VLOOKUP($A19,ANAGRAFICA!$B$1:$G$306,5,FALSE)</f>
        <v/>
      </c>
      <c r="F19" s="109">
        <f>VLOOKUP($A19,ANAGRAFICA!$B$1:$G$306,6,FALSE)</f>
        <v>2024</v>
      </c>
      <c r="G19" s="57">
        <v>1.0</v>
      </c>
      <c r="H19" s="3" t="s">
        <v>556</v>
      </c>
      <c r="I19" s="3" t="s">
        <v>550</v>
      </c>
      <c r="J19" s="117"/>
      <c r="K19" s="117"/>
      <c r="L19" s="11" t="s">
        <v>552</v>
      </c>
    </row>
    <row r="20">
      <c r="A20" s="3">
        <v>2.124014334E9</v>
      </c>
      <c r="B20" s="109" t="str">
        <f>VLOOKUP($A20,ANAGRAFICA!$B$1:$G$306,2,FALSE)</f>
        <v>PONTIGGIA</v>
      </c>
      <c r="C20" s="109" t="str">
        <f>VLOOKUP($A20,ANAGRAFICA!$B$1:$G$306,3,FALSE)</f>
        <v>FLAVIO</v>
      </c>
      <c r="D20" s="109" t="str">
        <f>VLOOKUP($A20,ANAGRAFICA!$B$1:$G$306,4,FALSE)</f>
        <v>758-9</v>
      </c>
      <c r="E20" s="109">
        <f>VLOOKUP($A20,ANAGRAFICA!$B$1:$G$306,5,FALSE)</f>
        <v>3272024075</v>
      </c>
      <c r="F20" s="109">
        <f>VLOOKUP($A20,ANAGRAFICA!$B$1:$G$306,6,FALSE)</f>
        <v>2024</v>
      </c>
      <c r="G20" s="57">
        <v>1.0</v>
      </c>
      <c r="H20" s="3" t="s">
        <v>553</v>
      </c>
      <c r="I20" s="3"/>
      <c r="J20" s="117"/>
      <c r="K20" s="117"/>
      <c r="L20" s="11" t="s">
        <v>549</v>
      </c>
    </row>
    <row r="21">
      <c r="A21" s="3">
        <v>2.124011588E9</v>
      </c>
      <c r="B21" s="109" t="str">
        <f>VLOOKUP($A21,ANAGRAFICA!$B$1:$G$306,2,FALSE)</f>
        <v>FRATINO</v>
      </c>
      <c r="C21" s="109" t="str">
        <f>VLOOKUP($A21,ANAGRAFICA!$B$1:$G$306,3,FALSE)</f>
        <v>OLIVIERO</v>
      </c>
      <c r="D21" s="109" t="str">
        <f>VLOOKUP($A21,ANAGRAFICA!$B$1:$G$306,4,FALSE)</f>
        <v>758-4</v>
      </c>
      <c r="E21" s="109">
        <f>VLOOKUP($A21,ANAGRAFICA!$B$1:$G$306,5,FALSE)</f>
        <v>3272024070</v>
      </c>
      <c r="F21" s="109">
        <f>VLOOKUP($A21,ANAGRAFICA!$B$1:$G$306,6,FALSE)</f>
        <v>2024</v>
      </c>
      <c r="G21" s="57">
        <v>1.0</v>
      </c>
      <c r="H21" s="3" t="s">
        <v>555</v>
      </c>
      <c r="I21" s="3" t="s">
        <v>550</v>
      </c>
      <c r="J21" s="117"/>
      <c r="K21" s="117"/>
      <c r="L21" s="11" t="s">
        <v>552</v>
      </c>
    </row>
    <row r="22">
      <c r="A22" s="3">
        <v>2.124012915E9</v>
      </c>
      <c r="B22" s="109" t="str">
        <f>VLOOKUP($A22,ANAGRAFICA!$B$1:$G$306,2,FALSE)</f>
        <v>GARGIONI</v>
      </c>
      <c r="C22" s="109" t="str">
        <f>VLOOKUP($A22,ANAGRAFICA!$B$1:$G$306,3,FALSE)</f>
        <v>GIULIO</v>
      </c>
      <c r="D22" s="109" t="str">
        <f>VLOOKUP($A22,ANAGRAFICA!$B$1:$G$306,4,FALSE)</f>
        <v>758-6</v>
      </c>
      <c r="E22" s="109">
        <f>VLOOKUP($A22,ANAGRAFICA!$B$1:$G$306,5,FALSE)</f>
        <v>3272024072</v>
      </c>
      <c r="F22" s="109">
        <f>VLOOKUP($A22,ANAGRAFICA!$B$1:$G$306,6,FALSE)</f>
        <v>2024</v>
      </c>
      <c r="G22" s="57">
        <v>1.0</v>
      </c>
      <c r="H22" s="3" t="s">
        <v>553</v>
      </c>
      <c r="I22" s="3" t="s">
        <v>555</v>
      </c>
      <c r="J22" s="117"/>
      <c r="K22" s="117"/>
      <c r="L22" s="11" t="s">
        <v>549</v>
      </c>
    </row>
    <row r="23">
      <c r="A23" s="3">
        <v>2.124208629E9</v>
      </c>
      <c r="B23" s="109" t="str">
        <f>VLOOKUP($A23,ANAGRAFICA!$B$1:$G$306,2,FALSE)</f>
        <v>D'ANDREA</v>
      </c>
      <c r="C23" s="109" t="str">
        <f>VLOOKUP($A23,ANAGRAFICA!$B$1:$G$306,3,FALSE)</f>
        <v>FERNANDO ANTONIO</v>
      </c>
      <c r="D23" s="109" t="str">
        <f>VLOOKUP($A23,ANAGRAFICA!$B$1:$G$306,4,FALSE)</f>
        <v>758-5</v>
      </c>
      <c r="E23" s="109">
        <f>VLOOKUP($A23,ANAGRAFICA!$B$1:$G$306,5,FALSE)</f>
        <v>3272024071</v>
      </c>
      <c r="F23" s="109">
        <f>VLOOKUP($A23,ANAGRAFICA!$B$1:$G$306,6,FALSE)</f>
        <v>2024</v>
      </c>
      <c r="G23" s="57">
        <v>1.0</v>
      </c>
      <c r="H23" s="3" t="s">
        <v>553</v>
      </c>
      <c r="I23" s="117"/>
      <c r="J23" s="117"/>
      <c r="K23" s="117"/>
      <c r="L23" s="11" t="s">
        <v>549</v>
      </c>
    </row>
    <row r="24">
      <c r="A24" s="3">
        <v>2.124014461E9</v>
      </c>
      <c r="B24" s="109" t="str">
        <f>VLOOKUP($A24,ANAGRAFICA!$B$1:$G$306,2,FALSE)</f>
        <v>FUMAGALLI</v>
      </c>
      <c r="C24" s="109" t="str">
        <f>VLOOKUP($A24,ANAGRAFICA!$B$1:$G$306,3,FALSE)</f>
        <v>LUCA</v>
      </c>
      <c r="D24" s="109" t="str">
        <f>VLOOKUP($A24,ANAGRAFICA!$B$1:$G$306,4,FALSE)</f>
        <v>758-10</v>
      </c>
      <c r="E24" s="109">
        <f>VLOOKUP($A24,ANAGRAFICA!$B$1:$G$306,5,FALSE)</f>
        <v>3272024076</v>
      </c>
      <c r="F24" s="109">
        <f>VLOOKUP($A24,ANAGRAFICA!$B$1:$G$306,6,FALSE)</f>
        <v>2024</v>
      </c>
      <c r="G24" s="57">
        <v>1.0</v>
      </c>
      <c r="H24" s="3" t="s">
        <v>550</v>
      </c>
      <c r="I24" s="117"/>
      <c r="J24" s="117"/>
      <c r="K24" s="117"/>
      <c r="L24" s="11" t="s">
        <v>552</v>
      </c>
    </row>
    <row r="25">
      <c r="A25" s="3">
        <v>2.124008291E9</v>
      </c>
      <c r="B25" s="109" t="str">
        <f>VLOOKUP($A25,ANAGRAFICA!$B$1:$G$306,2,FALSE)</f>
        <v>FUMAGALLI</v>
      </c>
      <c r="C25" s="109" t="str">
        <f>VLOOKUP($A25,ANAGRAFICA!$B$1:$G$306,3,FALSE)</f>
        <v>PIERO</v>
      </c>
      <c r="D25" s="109" t="str">
        <f>VLOOKUP($A25,ANAGRAFICA!$B$1:$G$306,4,FALSE)</f>
        <v/>
      </c>
      <c r="E25" s="109">
        <f>VLOOKUP($A25,ANAGRAFICA!$B$1:$G$306,5,FALSE)</f>
        <v>3272024065</v>
      </c>
      <c r="F25" s="109">
        <f>VLOOKUP($A25,ANAGRAFICA!$B$1:$G$306,6,FALSE)</f>
        <v>2024</v>
      </c>
      <c r="G25" s="57">
        <v>1.0</v>
      </c>
      <c r="H25" s="3" t="s">
        <v>559</v>
      </c>
      <c r="I25" s="3" t="s">
        <v>550</v>
      </c>
      <c r="J25" s="117"/>
      <c r="K25" s="117"/>
      <c r="L25" s="11" t="s">
        <v>552</v>
      </c>
    </row>
    <row r="26">
      <c r="A26" s="3">
        <v>2.1240107E9</v>
      </c>
      <c r="B26" s="109" t="str">
        <f>VLOOKUP($A26,ANAGRAFICA!$B$1:$G$306,2,FALSE)</f>
        <v>ORNAGHI</v>
      </c>
      <c r="C26" s="109" t="str">
        <f>VLOOKUP($A26,ANAGRAFICA!$B$1:$G$306,3,FALSE)</f>
        <v>LORENZO</v>
      </c>
      <c r="D26" s="109" t="str">
        <f>VLOOKUP($A26,ANAGRAFICA!$B$1:$G$306,4,FALSE)</f>
        <v>758-2</v>
      </c>
      <c r="E26" s="109">
        <f>VLOOKUP($A26,ANAGRAFICA!$B$1:$G$306,5,FALSE)</f>
        <v>3272024068</v>
      </c>
      <c r="F26" s="109">
        <f>VLOOKUP($A26,ANAGRAFICA!$B$1:$G$306,6,FALSE)</f>
        <v>2024</v>
      </c>
      <c r="G26" s="57">
        <v>1.0</v>
      </c>
      <c r="H26" s="3" t="s">
        <v>553</v>
      </c>
      <c r="I26" s="3" t="s">
        <v>555</v>
      </c>
      <c r="J26" s="117"/>
      <c r="K26" s="117"/>
      <c r="L26" s="11" t="s">
        <v>549</v>
      </c>
    </row>
    <row r="27">
      <c r="A27" s="3">
        <v>2.124009735E9</v>
      </c>
      <c r="B27" s="109" t="str">
        <f>VLOOKUP($A27,ANAGRAFICA!$B$1:$G$306,2,FALSE)</f>
        <v>BOSSI</v>
      </c>
      <c r="C27" s="109" t="str">
        <f>VLOOKUP($A27,ANAGRAFICA!$B$1:$G$306,3,FALSE)</f>
        <v>LUDOVICO</v>
      </c>
      <c r="D27" s="109" t="str">
        <f>VLOOKUP($A27,ANAGRAFICA!$B$1:$G$306,4,FALSE)</f>
        <v>758-1</v>
      </c>
      <c r="E27" s="109">
        <f>VLOOKUP($A27,ANAGRAFICA!$B$1:$G$306,5,FALSE)</f>
        <v>3272024067</v>
      </c>
      <c r="F27" s="109">
        <f>VLOOKUP($A27,ANAGRAFICA!$B$1:$G$306,6,FALSE)</f>
        <v>2024</v>
      </c>
      <c r="G27" s="57">
        <v>1.0</v>
      </c>
      <c r="H27" s="3" t="s">
        <v>553</v>
      </c>
      <c r="I27" s="3" t="s">
        <v>555</v>
      </c>
      <c r="J27" s="117"/>
      <c r="K27" s="117"/>
      <c r="L27" s="11" t="s">
        <v>549</v>
      </c>
    </row>
    <row r="28">
      <c r="A28" s="3">
        <v>2.124008603E9</v>
      </c>
      <c r="B28" s="109" t="str">
        <f>VLOOKUP($A28,ANAGRAFICA!$B$1:$G$306,2,FALSE)</f>
        <v>MARIANI</v>
      </c>
      <c r="C28" s="109" t="str">
        <f>VLOOKUP($A28,ANAGRAFICA!$B$1:$G$306,3,FALSE)</f>
        <v>MARCO</v>
      </c>
      <c r="D28" s="109" t="str">
        <f>VLOOKUP($A28,ANAGRAFICA!$B$1:$G$306,4,FALSE)</f>
        <v/>
      </c>
      <c r="E28" s="109">
        <f>VLOOKUP($A28,ANAGRAFICA!$B$1:$G$306,5,FALSE)</f>
        <v>3272024066</v>
      </c>
      <c r="F28" s="109">
        <f>VLOOKUP($A28,ANAGRAFICA!$B$1:$G$306,6,FALSE)</f>
        <v>2024</v>
      </c>
      <c r="G28" s="57">
        <v>1.0</v>
      </c>
      <c r="H28" s="3" t="s">
        <v>560</v>
      </c>
      <c r="I28" s="3" t="s">
        <v>559</v>
      </c>
      <c r="J28" s="117"/>
      <c r="K28" s="117"/>
      <c r="L28" s="11" t="s">
        <v>561</v>
      </c>
    </row>
    <row r="29">
      <c r="A29" s="3">
        <v>2.124000149E9</v>
      </c>
      <c r="B29" s="109" t="str">
        <f>VLOOKUP($A29,ANAGRAFICA!$B$1:$G$306,2,FALSE)</f>
        <v>MOTTA</v>
      </c>
      <c r="C29" s="109" t="str">
        <f>VLOOKUP($A29,ANAGRAFICA!$B$1:$G$306,3,FALSE)</f>
        <v>FABIO</v>
      </c>
      <c r="D29" s="109" t="str">
        <f>VLOOKUP($A29,ANAGRAFICA!$B$1:$G$306,4,FALSE)</f>
        <v/>
      </c>
      <c r="E29" s="109">
        <f>VLOOKUP($A29,ANAGRAFICA!$B$1:$G$306,5,FALSE)</f>
        <v>3272024051</v>
      </c>
      <c r="F29" s="109">
        <f>VLOOKUP($A29,ANAGRAFICA!$B$1:$G$306,6,FALSE)</f>
        <v>2024</v>
      </c>
      <c r="G29" s="57">
        <v>1.0</v>
      </c>
      <c r="H29" s="3" t="s">
        <v>560</v>
      </c>
      <c r="I29" s="3" t="s">
        <v>562</v>
      </c>
      <c r="J29" s="3" t="s">
        <v>550</v>
      </c>
      <c r="K29" s="117"/>
      <c r="L29" s="11" t="s">
        <v>552</v>
      </c>
    </row>
    <row r="30">
      <c r="A30" s="3">
        <v>2.124003924E9</v>
      </c>
      <c r="B30" s="109" t="str">
        <f>VLOOKUP($A30,ANAGRAFICA!$B$1:$G$306,2,FALSE)</f>
        <v>MUHAMMAD</v>
      </c>
      <c r="C30" s="109" t="str">
        <f>VLOOKUP($A30,ANAGRAFICA!$B$1:$G$306,3,FALSE)</f>
        <v>SHARIF</v>
      </c>
      <c r="D30" s="109" t="str">
        <f>VLOOKUP($A30,ANAGRAFICA!$B$1:$G$306,4,FALSE)</f>
        <v/>
      </c>
      <c r="E30" s="109">
        <f>VLOOKUP($A30,ANAGRAFICA!$B$1:$G$306,5,FALSE)</f>
        <v>3272024059</v>
      </c>
      <c r="F30" s="109">
        <f>VLOOKUP($A30,ANAGRAFICA!$B$1:$G$306,6,FALSE)</f>
        <v>2024</v>
      </c>
      <c r="G30" s="57">
        <v>1.0</v>
      </c>
      <c r="H30" s="3" t="s">
        <v>553</v>
      </c>
      <c r="I30" s="3" t="s">
        <v>555</v>
      </c>
      <c r="J30" s="117"/>
      <c r="K30" s="117"/>
      <c r="L30" s="11" t="s">
        <v>552</v>
      </c>
    </row>
    <row r="31">
      <c r="A31" s="3">
        <v>2.124025878E9</v>
      </c>
      <c r="B31" s="109" t="str">
        <f>VLOOKUP($A31,ANAGRAFICA!$B$1:$G$306,2,FALSE)</f>
        <v>PEDRONI </v>
      </c>
      <c r="C31" s="109" t="str">
        <f>VLOOKUP($A31,ANAGRAFICA!$B$1:$G$306,3,FALSE)</f>
        <v>PIERANGELO</v>
      </c>
      <c r="D31" s="109" t="str">
        <f>VLOOKUP($A31,ANAGRAFICA!$B$1:$G$306,4,FALSE)</f>
        <v>758-22</v>
      </c>
      <c r="E31" s="109">
        <f>VLOOKUP($A31,ANAGRAFICA!$B$1:$G$306,5,FALSE)</f>
        <v>3272024088</v>
      </c>
      <c r="F31" s="109">
        <f>VLOOKUP($A31,ANAGRAFICA!$B$1:$G$306,6,FALSE)</f>
        <v>2024</v>
      </c>
      <c r="G31" s="57">
        <v>1.0</v>
      </c>
      <c r="H31" s="3" t="s">
        <v>555</v>
      </c>
      <c r="I31" s="3" t="s">
        <v>553</v>
      </c>
      <c r="J31" s="3" t="s">
        <v>550</v>
      </c>
      <c r="K31" s="117"/>
      <c r="L31" s="11" t="s">
        <v>549</v>
      </c>
    </row>
    <row r="32">
      <c r="A32" s="3">
        <v>2.124007138E9</v>
      </c>
      <c r="B32" s="109" t="str">
        <f>VLOOKUP($A32,ANAGRAFICA!$B$1:$G$306,2,FALSE)</f>
        <v>TARTARELLI</v>
      </c>
      <c r="C32" s="109" t="str">
        <f>VLOOKUP($A32,ANAGRAFICA!$B$1:$G$306,3,FALSE)</f>
        <v>GIUSEPPE</v>
      </c>
      <c r="D32" s="109" t="str">
        <f>VLOOKUP($A32,ANAGRAFICA!$B$1:$G$306,4,FALSE)</f>
        <v/>
      </c>
      <c r="E32" s="109">
        <f>VLOOKUP($A32,ANAGRAFICA!$B$1:$G$306,5,FALSE)</f>
        <v>3272024063</v>
      </c>
      <c r="F32" s="109">
        <f>VLOOKUP($A32,ANAGRAFICA!$B$1:$G$306,6,FALSE)</f>
        <v>2024</v>
      </c>
      <c r="G32" s="57">
        <v>1.0</v>
      </c>
      <c r="H32" s="3" t="s">
        <v>553</v>
      </c>
      <c r="I32" s="3" t="s">
        <v>555</v>
      </c>
      <c r="J32" s="117"/>
      <c r="K32" s="117"/>
      <c r="L32" s="11" t="s">
        <v>549</v>
      </c>
    </row>
    <row r="33">
      <c r="A33" s="3">
        <v>2.124015827E9</v>
      </c>
      <c r="B33" s="109" t="str">
        <f>VLOOKUP($A33,ANAGRAFICA!$B$1:$G$306,2,FALSE)</f>
        <v>SCHIAVON</v>
      </c>
      <c r="C33" s="109" t="str">
        <f>VLOOKUP($A33,ANAGRAFICA!$B$1:$G$306,3,FALSE)</f>
        <v>ELIO PAOLO</v>
      </c>
      <c r="D33" s="109" t="str">
        <f>VLOOKUP($A33,ANAGRAFICA!$B$1:$G$306,4,FALSE)</f>
        <v>758-11</v>
      </c>
      <c r="E33" s="109">
        <f>VLOOKUP($A33,ANAGRAFICA!$B$1:$G$306,5,FALSE)</f>
        <v>3272024077</v>
      </c>
      <c r="F33" s="109">
        <f>VLOOKUP($A33,ANAGRAFICA!$B$1:$G$306,6,FALSE)</f>
        <v>2024</v>
      </c>
      <c r="G33" s="57">
        <v>1.0</v>
      </c>
      <c r="H33" s="3" t="s">
        <v>553</v>
      </c>
      <c r="I33" s="3" t="s">
        <v>555</v>
      </c>
      <c r="J33" s="117"/>
      <c r="K33" s="117"/>
      <c r="L33" s="11" t="s">
        <v>549</v>
      </c>
    </row>
    <row r="34">
      <c r="A34" s="3">
        <v>2.12400578E9</v>
      </c>
      <c r="B34" s="109" t="str">
        <f>VLOOKUP($A34,ANAGRAFICA!$B$1:$G$306,2,FALSE)</f>
        <v>SAINCIUC</v>
      </c>
      <c r="C34" s="109" t="str">
        <f>VLOOKUP($A34,ANAGRAFICA!$B$1:$G$306,3,FALSE)</f>
        <v>AUREL</v>
      </c>
      <c r="D34" s="109" t="str">
        <f>VLOOKUP($A34,ANAGRAFICA!$B$1:$G$306,4,FALSE)</f>
        <v/>
      </c>
      <c r="E34" s="109">
        <f>VLOOKUP($A34,ANAGRAFICA!$B$1:$G$306,5,FALSE)</f>
        <v>3272024061</v>
      </c>
      <c r="F34" s="109">
        <f>VLOOKUP($A34,ANAGRAFICA!$B$1:$G$306,6,FALSE)</f>
        <v>2024</v>
      </c>
      <c r="G34" s="57">
        <v>1.0</v>
      </c>
      <c r="H34" s="3" t="s">
        <v>553</v>
      </c>
      <c r="I34" s="3" t="s">
        <v>555</v>
      </c>
      <c r="J34" s="117"/>
      <c r="K34" s="117"/>
      <c r="L34" s="11" t="s">
        <v>549</v>
      </c>
    </row>
    <row r="35">
      <c r="A35" s="3">
        <v>2.124003531E9</v>
      </c>
      <c r="B35" s="109" t="str">
        <f>VLOOKUP($A35,ANAGRAFICA!$B$1:$G$306,2,FALSE)</f>
        <v>RASPANTI</v>
      </c>
      <c r="C35" s="109" t="str">
        <f>VLOOKUP($A35,ANAGRAFICA!$B$1:$G$306,3,FALSE)</f>
        <v>ANDREA</v>
      </c>
      <c r="D35" s="109" t="str">
        <f>VLOOKUP($A35,ANAGRAFICA!$B$1:$G$306,4,FALSE)</f>
        <v/>
      </c>
      <c r="E35" s="109">
        <f>VLOOKUP($A35,ANAGRAFICA!$B$1:$G$306,5,FALSE)</f>
        <v>3272024057</v>
      </c>
      <c r="F35" s="109">
        <f>VLOOKUP($A35,ANAGRAFICA!$B$1:$G$306,6,FALSE)</f>
        <v>2024</v>
      </c>
      <c r="G35" s="57">
        <v>1.0</v>
      </c>
      <c r="H35" s="3" t="s">
        <v>563</v>
      </c>
      <c r="I35" s="3" t="s">
        <v>559</v>
      </c>
      <c r="J35" s="3" t="s">
        <v>550</v>
      </c>
      <c r="K35" s="117"/>
      <c r="L35" s="11" t="s">
        <v>552</v>
      </c>
    </row>
    <row r="36">
      <c r="A36" s="3">
        <v>2.124024078E9</v>
      </c>
      <c r="B36" s="109" t="str">
        <f>VLOOKUP($A36,ANAGRAFICA!$B$1:$G$306,2,FALSE)</f>
        <v>ROVARIS</v>
      </c>
      <c r="C36" s="109" t="str">
        <f>VLOOKUP($A36,ANAGRAFICA!$B$1:$G$306,3,FALSE)</f>
        <v>ANGELO FELICE</v>
      </c>
      <c r="D36" s="109" t="str">
        <f>VLOOKUP($A36,ANAGRAFICA!$B$1:$G$306,4,FALSE)</f>
        <v>758-20</v>
      </c>
      <c r="E36" s="109">
        <f>VLOOKUP($A36,ANAGRAFICA!$B$1:$G$306,5,FALSE)</f>
        <v>3272024086</v>
      </c>
      <c r="F36" s="109">
        <f>VLOOKUP($A36,ANAGRAFICA!$B$1:$G$306,6,FALSE)</f>
        <v>2024</v>
      </c>
      <c r="G36" s="57">
        <v>1.0</v>
      </c>
      <c r="H36" s="3" t="s">
        <v>555</v>
      </c>
      <c r="I36" s="3" t="s">
        <v>553</v>
      </c>
      <c r="J36" s="3" t="s">
        <v>550</v>
      </c>
      <c r="K36" s="117"/>
      <c r="L36" s="11" t="s">
        <v>552</v>
      </c>
    </row>
    <row r="37">
      <c r="A37" s="3">
        <v>2.124017757E9</v>
      </c>
      <c r="B37" s="109" t="str">
        <f>VLOOKUP($A37,ANAGRAFICA!$B$1:$G$306,2,FALSE)</f>
        <v>SALA</v>
      </c>
      <c r="C37" s="109" t="str">
        <f>VLOOKUP($A37,ANAGRAFICA!$B$1:$G$306,3,FALSE)</f>
        <v>FELICE</v>
      </c>
      <c r="D37" s="109" t="str">
        <f>VLOOKUP($A37,ANAGRAFICA!$B$1:$G$306,4,FALSE)</f>
        <v>758-14</v>
      </c>
      <c r="E37" s="109">
        <f>VLOOKUP($A37,ANAGRAFICA!$B$1:$G$306,5,FALSE)</f>
        <v>3272024080</v>
      </c>
      <c r="F37" s="109">
        <f>VLOOKUP($A37,ANAGRAFICA!$B$1:$G$306,6,FALSE)</f>
        <v>2024</v>
      </c>
      <c r="G37" s="57">
        <v>1.0</v>
      </c>
      <c r="H37" s="3" t="s">
        <v>564</v>
      </c>
      <c r="I37" s="3" t="s">
        <v>550</v>
      </c>
      <c r="J37" s="117"/>
      <c r="K37" s="117"/>
      <c r="L37" s="11" t="s">
        <v>552</v>
      </c>
    </row>
    <row r="38">
      <c r="A38" s="3">
        <v>2.124023603E9</v>
      </c>
      <c r="B38" s="109" t="str">
        <f>VLOOKUP($A38,ANAGRAFICA!$B$1:$G$306,2,FALSE)</f>
        <v>MAZZARDIS </v>
      </c>
      <c r="C38" s="109" t="str">
        <f>VLOOKUP($A38,ANAGRAFICA!$B$1:$G$306,3,FALSE)</f>
        <v>DAVIDE</v>
      </c>
      <c r="D38" s="109" t="str">
        <f>VLOOKUP($A38,ANAGRAFICA!$B$1:$G$306,4,FALSE)</f>
        <v>758-19</v>
      </c>
      <c r="E38" s="109">
        <f>VLOOKUP($A38,ANAGRAFICA!$B$1:$G$306,5,FALSE)</f>
        <v>3272024085</v>
      </c>
      <c r="F38" s="109">
        <f>VLOOKUP($A38,ANAGRAFICA!$B$1:$G$306,6,FALSE)</f>
        <v>2024</v>
      </c>
      <c r="G38" s="57">
        <v>1.0</v>
      </c>
      <c r="H38" s="3" t="s">
        <v>553</v>
      </c>
      <c r="I38" s="3" t="s">
        <v>555</v>
      </c>
      <c r="J38" s="117"/>
      <c r="K38" s="117"/>
      <c r="L38" s="11" t="s">
        <v>549</v>
      </c>
    </row>
    <row r="39">
      <c r="A39" s="3">
        <v>2.124002215E9</v>
      </c>
      <c r="B39" s="109" t="str">
        <f>VLOOKUP($A39,ANAGRAFICA!$B$1:$G$306,2,FALSE)</f>
        <v>SCHIFANO</v>
      </c>
      <c r="C39" s="109" t="str">
        <f>VLOOKUP($A39,ANAGRAFICA!$B$1:$G$306,3,FALSE)</f>
        <v>FRANCESCO</v>
      </c>
      <c r="D39" s="109" t="str">
        <f>VLOOKUP($A39,ANAGRAFICA!$B$1:$G$306,4,FALSE)</f>
        <v/>
      </c>
      <c r="E39" s="109">
        <f>VLOOKUP($A39,ANAGRAFICA!$B$1:$G$306,5,FALSE)</f>
        <v>3272024055</v>
      </c>
      <c r="F39" s="109">
        <f>VLOOKUP($A39,ANAGRAFICA!$B$1:$G$306,6,FALSE)</f>
        <v>2024</v>
      </c>
      <c r="G39" s="57">
        <v>1.0</v>
      </c>
      <c r="H39" s="3" t="s">
        <v>564</v>
      </c>
      <c r="I39" s="3" t="s">
        <v>553</v>
      </c>
      <c r="J39" s="3" t="s">
        <v>565</v>
      </c>
      <c r="K39" s="3" t="s">
        <v>550</v>
      </c>
      <c r="L39" s="11" t="s">
        <v>552</v>
      </c>
    </row>
    <row r="40">
      <c r="A40" s="3">
        <v>2.124023603E9</v>
      </c>
      <c r="B40" s="109" t="str">
        <f>VLOOKUP($A40,ANAGRAFICA!$B$1:$G$306,2,FALSE)</f>
        <v>MAZZARDIS </v>
      </c>
      <c r="C40" s="109" t="str">
        <f>VLOOKUP($A40,ANAGRAFICA!$B$1:$G$306,3,FALSE)</f>
        <v>DAVIDE</v>
      </c>
      <c r="D40" s="109" t="str">
        <f>VLOOKUP($A40,ANAGRAFICA!$B$1:$G$306,4,FALSE)</f>
        <v>758-19</v>
      </c>
      <c r="E40" s="109">
        <f>VLOOKUP($A40,ANAGRAFICA!$B$1:$G$306,5,FALSE)</f>
        <v>3272024085</v>
      </c>
      <c r="F40" s="109">
        <f>VLOOKUP($A40,ANAGRAFICA!$B$1:$G$306,6,FALSE)</f>
        <v>2024</v>
      </c>
      <c r="G40" s="57">
        <v>2.0</v>
      </c>
      <c r="H40" s="3" t="s">
        <v>553</v>
      </c>
      <c r="I40" s="3" t="s">
        <v>555</v>
      </c>
      <c r="J40" s="117"/>
      <c r="K40" s="117"/>
      <c r="L40" s="11" t="s">
        <v>549</v>
      </c>
    </row>
    <row r="41">
      <c r="A41" s="3">
        <v>2.124019184E9</v>
      </c>
      <c r="B41" s="109" t="str">
        <f>VLOOKUP($A41,ANAGRAFICA!$B$1:$G$306,2,FALSE)</f>
        <v>SERVIDIO</v>
      </c>
      <c r="C41" s="109" t="str">
        <f>VLOOKUP($A41,ANAGRAFICA!$B$1:$G$306,3,FALSE)</f>
        <v>GIOVANNI</v>
      </c>
      <c r="D41" s="109" t="str">
        <f>VLOOKUP($A41,ANAGRAFICA!$B$1:$G$306,4,FALSE)</f>
        <v>758-17</v>
      </c>
      <c r="E41" s="109">
        <f>VLOOKUP($A41,ANAGRAFICA!$B$1:$G$306,5,FALSE)</f>
        <v>3272024083</v>
      </c>
      <c r="F41" s="109">
        <f>VLOOKUP($A41,ANAGRAFICA!$B$1:$G$306,6,FALSE)</f>
        <v>2024</v>
      </c>
      <c r="G41" s="57">
        <v>1.0</v>
      </c>
      <c r="H41" s="3" t="s">
        <v>550</v>
      </c>
      <c r="I41" s="117"/>
      <c r="J41" s="117"/>
      <c r="K41" s="117"/>
      <c r="L41" s="11" t="s">
        <v>552</v>
      </c>
    </row>
    <row r="42">
      <c r="A42" s="3">
        <v>2.125000348E9</v>
      </c>
      <c r="B42" s="109" t="str">
        <f>VLOOKUP($A42,ANAGRAFICA!$B$1:$G$306,2,FALSE)</f>
        <v>SLAVKOVA</v>
      </c>
      <c r="C42" s="109" t="str">
        <f>VLOOKUP($A42,ANAGRAFICA!$B$1:$G$306,3,FALSE)</f>
        <v>EVELINA PLAMENOVA</v>
      </c>
      <c r="D42" s="109" t="str">
        <f>VLOOKUP($A42,ANAGRAFICA!$B$1:$G$306,4,FALSE)</f>
        <v/>
      </c>
      <c r="E42" s="109">
        <f>VLOOKUP($A42,ANAGRAFICA!$B$1:$G$306,5,FALSE)</f>
        <v>3272025051</v>
      </c>
      <c r="F42" s="109">
        <f>VLOOKUP($A42,ANAGRAFICA!$B$1:$G$306,6,FALSE)</f>
        <v>2025</v>
      </c>
      <c r="G42" s="57">
        <v>1.0</v>
      </c>
      <c r="H42" s="3" t="s">
        <v>548</v>
      </c>
      <c r="I42" s="3" t="s">
        <v>547</v>
      </c>
      <c r="J42" s="3" t="s">
        <v>566</v>
      </c>
      <c r="K42" s="117"/>
      <c r="L42" s="11" t="s">
        <v>549</v>
      </c>
    </row>
    <row r="43">
      <c r="A43" s="3">
        <v>2.124013801E9</v>
      </c>
      <c r="B43" s="109" t="str">
        <f>VLOOKUP($A43,ANAGRAFICA!$B$1:$G$306,2,FALSE)</f>
        <v>SGOBBA</v>
      </c>
      <c r="C43" s="109" t="str">
        <f>VLOOKUP($A43,ANAGRAFICA!$B$1:$G$306,3,FALSE)</f>
        <v>ANNA</v>
      </c>
      <c r="D43" s="109" t="str">
        <f>VLOOKUP($A43,ANAGRAFICA!$B$1:$G$306,4,FALSE)</f>
        <v>758-8</v>
      </c>
      <c r="E43" s="109">
        <f>VLOOKUP($A43,ANAGRAFICA!$B$1:$G$306,5,FALSE)</f>
        <v>3272024074</v>
      </c>
      <c r="F43" s="109">
        <f>VLOOKUP($A43,ANAGRAFICA!$B$1:$G$306,6,FALSE)</f>
        <v>2024</v>
      </c>
      <c r="G43" s="57">
        <v>1.0</v>
      </c>
      <c r="H43" s="3" t="s">
        <v>550</v>
      </c>
      <c r="I43" s="117"/>
      <c r="J43" s="117"/>
      <c r="K43" s="117"/>
      <c r="L43" s="11" t="s">
        <v>552</v>
      </c>
    </row>
    <row r="44">
      <c r="A44" s="3">
        <v>2.124004761E9</v>
      </c>
      <c r="B44" s="109" t="str">
        <f>VLOOKUP($A44,ANAGRAFICA!$B$1:$G$306,2,FALSE)</f>
        <v>TRAMPOLIN</v>
      </c>
      <c r="C44" s="109" t="str">
        <f>VLOOKUP($A44,ANAGRAFICA!$B$1:$G$306,3,FALSE)</f>
        <v>FABIO</v>
      </c>
      <c r="D44" s="109" t="str">
        <f>VLOOKUP($A44,ANAGRAFICA!$B$1:$G$306,4,FALSE)</f>
        <v/>
      </c>
      <c r="E44" s="109">
        <f>VLOOKUP($A44,ANAGRAFICA!$B$1:$G$306,5,FALSE)</f>
        <v>3272024060</v>
      </c>
      <c r="F44" s="109">
        <f>VLOOKUP($A44,ANAGRAFICA!$B$1:$G$306,6,FALSE)</f>
        <v>2024</v>
      </c>
      <c r="G44" s="57">
        <v>1.0</v>
      </c>
      <c r="H44" s="3" t="s">
        <v>564</v>
      </c>
      <c r="I44" s="3" t="s">
        <v>553</v>
      </c>
      <c r="J44" s="117"/>
      <c r="K44" s="117"/>
      <c r="L44" s="11" t="s">
        <v>552</v>
      </c>
    </row>
    <row r="45">
      <c r="A45" s="3">
        <v>2.124016781E9</v>
      </c>
      <c r="B45" s="109" t="str">
        <f>VLOOKUP($A45,ANAGRAFICA!$B$1:$G$306,2,FALSE)</f>
        <v>TURNO ARTHEMALLE</v>
      </c>
      <c r="C45" s="109" t="str">
        <f>VLOOKUP($A45,ANAGRAFICA!$B$1:$G$306,3,FALSE)</f>
        <v>ALICE</v>
      </c>
      <c r="D45" s="109" t="str">
        <f>VLOOKUP($A45,ANAGRAFICA!$B$1:$G$306,4,FALSE)</f>
        <v>758-12</v>
      </c>
      <c r="E45" s="109">
        <f>VLOOKUP($A45,ANAGRAFICA!$B$1:$G$306,5,FALSE)</f>
        <v>3272024078</v>
      </c>
      <c r="F45" s="109">
        <f>VLOOKUP($A45,ANAGRAFICA!$B$1:$G$306,6,FALSE)</f>
        <v>2024</v>
      </c>
      <c r="G45" s="57">
        <v>1.0</v>
      </c>
      <c r="H45" s="3" t="s">
        <v>567</v>
      </c>
      <c r="I45" s="3"/>
      <c r="J45" s="117"/>
      <c r="K45" s="117"/>
      <c r="L45" s="11" t="s">
        <v>552</v>
      </c>
      <c r="M45" s="3" t="s">
        <v>568</v>
      </c>
    </row>
    <row r="46">
      <c r="A46" s="3">
        <v>2.125004454E9</v>
      </c>
      <c r="B46" s="109" t="str">
        <f>VLOOKUP($A46,ANAGRAFICA!$B$1:$G$306,2,FALSE)</f>
        <v>ANTIGNANO</v>
      </c>
      <c r="C46" s="109" t="str">
        <f>VLOOKUP($A46,ANAGRAFICA!$B$1:$G$306,3,FALSE)</f>
        <v>MAURO</v>
      </c>
      <c r="D46" s="109" t="str">
        <f>VLOOKUP($A46,ANAGRAFICA!$B$1:$G$306,4,FALSE)</f>
        <v>758-23</v>
      </c>
      <c r="E46" s="109">
        <f>VLOOKUP($A46,ANAGRAFICA!$B$1:$G$306,5,FALSE)</f>
        <v>3272025052</v>
      </c>
      <c r="F46" s="109">
        <f>VLOOKUP($A46,ANAGRAFICA!$B$1:$G$306,6,FALSE)</f>
        <v>2025</v>
      </c>
      <c r="G46" s="57">
        <v>1.0</v>
      </c>
      <c r="H46" s="3" t="s">
        <v>547</v>
      </c>
      <c r="I46" s="117"/>
      <c r="J46" s="117"/>
      <c r="K46" s="117"/>
      <c r="L46" s="11" t="s">
        <v>549</v>
      </c>
    </row>
    <row r="47">
      <c r="A47" s="3">
        <v>2.125004867E9</v>
      </c>
      <c r="B47" s="109" t="str">
        <f>VLOOKUP($A47,ANAGRAFICA!$B$1:$G$306,2,FALSE)</f>
        <v>MARCONI</v>
      </c>
      <c r="C47" s="109" t="str">
        <f>VLOOKUP($A47,ANAGRAFICA!$B$1:$G$306,3,FALSE)</f>
        <v>PIETRO VITTORIO</v>
      </c>
      <c r="D47" s="109" t="str">
        <f>VLOOKUP($A47,ANAGRAFICA!$B$1:$G$306,4,FALSE)</f>
        <v/>
      </c>
      <c r="E47" s="109">
        <f>VLOOKUP($A47,ANAGRAFICA!$B$1:$G$306,5,FALSE)</f>
        <v>3272025053</v>
      </c>
      <c r="F47" s="109">
        <f>VLOOKUP($A47,ANAGRAFICA!$B$1:$G$306,6,FALSE)</f>
        <v>2025</v>
      </c>
      <c r="G47" s="57">
        <v>1.0</v>
      </c>
      <c r="H47" s="3" t="s">
        <v>557</v>
      </c>
      <c r="I47" s="3" t="s">
        <v>547</v>
      </c>
      <c r="J47" s="117"/>
      <c r="K47" s="117"/>
      <c r="L47" s="11" t="s">
        <v>549</v>
      </c>
    </row>
    <row r="48">
      <c r="A48" s="3">
        <v>2.025010247E9</v>
      </c>
      <c r="B48" s="109" t="str">
        <f>VLOOKUP($A48,ANAGRAFICA!$B$1:$G$306,2,FALSE)</f>
        <v>TREMOLADA</v>
      </c>
      <c r="C48" s="109" t="str">
        <f>VLOOKUP($A48,ANAGRAFICA!$B$1:$G$306,3,FALSE)</f>
        <v>MARCO</v>
      </c>
      <c r="D48" s="109" t="str">
        <f>VLOOKUP($A48,ANAGRAFICA!$B$1:$G$306,4,FALSE)</f>
        <v>758-25</v>
      </c>
      <c r="E48" s="109">
        <f>VLOOKUP($A48,ANAGRAFICA!$B$1:$G$306,5,FALSE)</f>
        <v>3272025054</v>
      </c>
      <c r="F48" s="109">
        <f>VLOOKUP($A48,ANAGRAFICA!$B$1:$G$306,6,FALSE)</f>
        <v>2025</v>
      </c>
      <c r="G48" s="57">
        <v>1.0</v>
      </c>
      <c r="H48" s="3" t="s">
        <v>553</v>
      </c>
      <c r="I48" s="3" t="s">
        <v>557</v>
      </c>
      <c r="J48" s="117"/>
      <c r="K48" s="117"/>
      <c r="L48" s="11" t="s">
        <v>549</v>
      </c>
    </row>
    <row r="49">
      <c r="A49" s="3">
        <v>2.025010247E9</v>
      </c>
      <c r="B49" s="109" t="str">
        <f>VLOOKUP($A49,ANAGRAFICA!$B$1:$G$306,2,FALSE)</f>
        <v>TREMOLADA</v>
      </c>
      <c r="C49" s="109" t="str">
        <f>VLOOKUP($A49,ANAGRAFICA!$B$1:$G$306,3,FALSE)</f>
        <v>MARCO</v>
      </c>
      <c r="D49" s="109" t="str">
        <f>VLOOKUP($A49,ANAGRAFICA!$B$1:$G$306,4,FALSE)</f>
        <v>758-25</v>
      </c>
      <c r="E49" s="109">
        <f>VLOOKUP($A49,ANAGRAFICA!$B$1:$G$306,5,FALSE)</f>
        <v>3272025054</v>
      </c>
      <c r="F49" s="109">
        <f>VLOOKUP($A49,ANAGRAFICA!$B$1:$G$306,6,FALSE)</f>
        <v>2025</v>
      </c>
      <c r="G49" s="57">
        <v>2.0</v>
      </c>
      <c r="H49" s="3" t="s">
        <v>550</v>
      </c>
      <c r="I49" s="3" t="s">
        <v>559</v>
      </c>
      <c r="J49" s="117"/>
      <c r="K49" s="117"/>
      <c r="L49" s="11" t="s">
        <v>552</v>
      </c>
    </row>
    <row r="50">
      <c r="A50" s="3">
        <v>2.125020858E9</v>
      </c>
      <c r="B50" s="109" t="str">
        <f>VLOOKUP($A50,ANAGRAFICA!$B$1:$G$306,2,FALSE)</f>
        <v>FALVO</v>
      </c>
      <c r="C50" s="109" t="str">
        <f>VLOOKUP($A50,ANAGRAFICA!$B$1:$G$306,3,FALSE)</f>
        <v>FRANCESCO</v>
      </c>
      <c r="D50" s="109" t="str">
        <f>VLOOKUP($A50,ANAGRAFICA!$B$1:$G$306,4,FALSE)</f>
        <v/>
      </c>
      <c r="E50" s="109">
        <f>VLOOKUP($A50,ANAGRAFICA!$B$1:$G$306,5,FALSE)</f>
        <v>3272025055</v>
      </c>
      <c r="F50" s="109">
        <f>VLOOKUP($A50,ANAGRAFICA!$B$1:$G$306,6,FALSE)</f>
        <v>2025</v>
      </c>
      <c r="G50" s="57">
        <v>1.0</v>
      </c>
      <c r="H50" s="3" t="s">
        <v>547</v>
      </c>
      <c r="I50" s="3" t="s">
        <v>557</v>
      </c>
      <c r="J50" s="117"/>
      <c r="K50" s="117"/>
      <c r="L50" s="11" t="s">
        <v>549</v>
      </c>
    </row>
    <row r="51">
      <c r="A51" s="3">
        <v>2.125023093E9</v>
      </c>
      <c r="B51" s="109" t="str">
        <f>VLOOKUP($A51,ANAGRAFICA!$B$1:$G$306,2,FALSE)</f>
        <v>GHEZZI</v>
      </c>
      <c r="C51" s="109" t="str">
        <f>VLOOKUP($A51,ANAGRAFICA!$B$1:$G$306,3,FALSE)</f>
        <v>FABIO</v>
      </c>
      <c r="D51" s="109" t="str">
        <f>VLOOKUP($A51,ANAGRAFICA!$B$1:$G$306,4,FALSE)</f>
        <v>758-28</v>
      </c>
      <c r="E51" s="109">
        <f>VLOOKUP($A51,ANAGRAFICA!$B$1:$G$306,5,FALSE)</f>
        <v>3272025056</v>
      </c>
      <c r="F51" s="109">
        <f>VLOOKUP($A51,ANAGRAFICA!$B$1:$G$306,6,FALSE)</f>
        <v>2025</v>
      </c>
      <c r="G51" s="57">
        <v>1.0</v>
      </c>
      <c r="H51" s="3" t="s">
        <v>547</v>
      </c>
      <c r="I51" s="3" t="s">
        <v>557</v>
      </c>
      <c r="J51" s="117"/>
      <c r="K51" s="117"/>
      <c r="L51" s="11" t="s">
        <v>549</v>
      </c>
    </row>
    <row r="52">
      <c r="A52" s="3">
        <v>2.125024608E9</v>
      </c>
      <c r="B52" s="109" t="str">
        <f>VLOOKUP($A52,ANAGRAFICA!$B$1:$G$306,2,FALSE)</f>
        <v>ZAPPIA</v>
      </c>
      <c r="C52" s="109" t="str">
        <f>VLOOKUP($A52,ANAGRAFICA!$B$1:$G$306,3,FALSE)</f>
        <v>LEONARDO</v>
      </c>
      <c r="D52" s="109" t="str">
        <f>VLOOKUP($A52,ANAGRAFICA!$B$1:$G$306,4,FALSE)</f>
        <v>758-29</v>
      </c>
      <c r="E52" s="109">
        <f>VLOOKUP($A52,ANAGRAFICA!$B$1:$G$306,5,FALSE)</f>
        <v>3272025057</v>
      </c>
      <c r="F52" s="109">
        <f>VLOOKUP($A52,ANAGRAFICA!$B$1:$G$306,6,FALSE)</f>
        <v>2025</v>
      </c>
      <c r="G52" s="57">
        <v>1.0</v>
      </c>
      <c r="H52" s="3" t="s">
        <v>550</v>
      </c>
      <c r="I52" s="3" t="s">
        <v>555</v>
      </c>
      <c r="J52" s="3" t="s">
        <v>564</v>
      </c>
      <c r="K52" s="117"/>
      <c r="L52" s="11" t="s">
        <v>552</v>
      </c>
    </row>
    <row r="53">
      <c r="A53" s="3">
        <v>2.125024565E9</v>
      </c>
      <c r="B53" s="109" t="str">
        <f>VLOOKUP($A53,ANAGRAFICA!$B$1:$G$306,2,FALSE)</f>
        <v>POLICARPO</v>
      </c>
      <c r="C53" s="109" t="str">
        <f>VLOOKUP($A53,ANAGRAFICA!$B$1:$G$306,3,FALSE)</f>
        <v>FRANCESCO</v>
      </c>
      <c r="D53" s="109" t="str">
        <f>VLOOKUP($A53,ANAGRAFICA!$B$1:$G$306,4,FALSE)</f>
        <v>758-30</v>
      </c>
      <c r="E53" s="109" t="str">
        <f>VLOOKUP($A53,ANAGRAFICA!$B$1:$G$306,5,FALSE)</f>
        <v/>
      </c>
      <c r="F53" s="109">
        <f>VLOOKUP($A53,ANAGRAFICA!$B$1:$G$306,6,FALSE)</f>
        <v>2025</v>
      </c>
      <c r="G53" s="57">
        <v>1.0</v>
      </c>
      <c r="H53" s="3" t="s">
        <v>556</v>
      </c>
      <c r="I53" s="3" t="s">
        <v>550</v>
      </c>
      <c r="J53" s="3" t="s">
        <v>557</v>
      </c>
      <c r="K53" s="117"/>
      <c r="L53" s="11" t="s">
        <v>552</v>
      </c>
    </row>
    <row r="54">
      <c r="A54" s="3">
        <v>2.125025861E9</v>
      </c>
      <c r="B54" s="109" t="str">
        <f>VLOOKUP($A54,ANAGRAFICA!$B$1:$G$306,2,FALSE)</f>
        <v>CASSANI</v>
      </c>
      <c r="C54" s="109" t="str">
        <f>VLOOKUP($A54,ANAGRAFICA!$B$1:$G$306,3,FALSE)</f>
        <v>DAVIDE VIRGILIO</v>
      </c>
      <c r="D54" s="109" t="str">
        <f>VLOOKUP($A54,ANAGRAFICA!$B$1:$G$306,4,FALSE)</f>
        <v>758-31</v>
      </c>
      <c r="E54" s="109">
        <f>VLOOKUP($A54,ANAGRAFICA!$B$1:$G$306,5,FALSE)</f>
        <v>3272025058</v>
      </c>
      <c r="F54" s="109">
        <f>VLOOKUP($A54,ANAGRAFICA!$B$1:$G$306,6,FALSE)</f>
        <v>2025</v>
      </c>
      <c r="G54" s="57">
        <v>1.0</v>
      </c>
      <c r="H54" s="3" t="s">
        <v>553</v>
      </c>
      <c r="I54" s="3" t="s">
        <v>557</v>
      </c>
      <c r="J54" s="3" t="s">
        <v>569</v>
      </c>
      <c r="K54" s="117"/>
      <c r="L54" s="11" t="s">
        <v>549</v>
      </c>
    </row>
    <row r="55">
      <c r="A55" s="3">
        <v>2.125026559E9</v>
      </c>
      <c r="B55" s="109" t="str">
        <f>VLOOKUP($A55,ANAGRAFICA!$B$1:$G$306,2,FALSE)</f>
        <v>VEDUTI</v>
      </c>
      <c r="C55" s="109" t="str">
        <f>VLOOKUP($A55,ANAGRAFICA!$B$1:$G$306,3,FALSE)</f>
        <v>LORENZO</v>
      </c>
      <c r="D55" s="109" t="str">
        <f>VLOOKUP($A55,ANAGRAFICA!$B$1:$G$306,4,FALSE)</f>
        <v>758-32</v>
      </c>
      <c r="E55" s="109">
        <f>VLOOKUP($A55,ANAGRAFICA!$B$1:$G$306,5,FALSE)</f>
        <v>3272025059</v>
      </c>
      <c r="F55" s="109">
        <f>VLOOKUP($A55,ANAGRAFICA!$B$1:$G$306,6,FALSE)</f>
        <v>2025</v>
      </c>
      <c r="G55" s="57">
        <v>1.0</v>
      </c>
      <c r="H55" s="3" t="s">
        <v>547</v>
      </c>
      <c r="I55" s="117"/>
      <c r="J55" s="117"/>
      <c r="K55" s="117"/>
      <c r="L55" s="11" t="s">
        <v>549</v>
      </c>
    </row>
    <row r="56">
      <c r="A56" s="3">
        <v>2.125027331E9</v>
      </c>
      <c r="B56" s="109" t="str">
        <f>VLOOKUP($A56,ANAGRAFICA!$B$1:$G$306,2,FALSE)</f>
        <v>QUARIN</v>
      </c>
      <c r="C56" s="109" t="str">
        <f>VLOOKUP($A56,ANAGRAFICA!$B$1:$G$306,3,FALSE)</f>
        <v>FRANCO</v>
      </c>
      <c r="D56" s="109" t="str">
        <f>VLOOKUP($A56,ANAGRAFICA!$B$1:$G$306,4,FALSE)</f>
        <v>758-34</v>
      </c>
      <c r="E56" s="109" t="str">
        <f>VLOOKUP($A56,ANAGRAFICA!$B$1:$G$306,5,FALSE)</f>
        <v/>
      </c>
      <c r="F56" s="109">
        <f>VLOOKUP($A56,ANAGRAFICA!$B$1:$G$306,6,FALSE)</f>
        <v>2025</v>
      </c>
      <c r="G56" s="57">
        <v>1.0</v>
      </c>
      <c r="H56" s="3" t="s">
        <v>547</v>
      </c>
      <c r="I56" s="117"/>
      <c r="J56" s="117"/>
      <c r="K56" s="117"/>
      <c r="L56" s="11" t="s">
        <v>549</v>
      </c>
    </row>
    <row r="57">
      <c r="A57" s="3">
        <v>2.125029623E9</v>
      </c>
      <c r="B57" s="109" t="str">
        <f>VLOOKUP($A57,ANAGRAFICA!$B$1:$G$306,2,FALSE)</f>
        <v>IANDIORIO</v>
      </c>
      <c r="C57" s="109" t="str">
        <f>VLOOKUP($A57,ANAGRAFICA!$B$1:$G$306,3,FALSE)</f>
        <v>ALDO NATALINO</v>
      </c>
      <c r="D57" s="109" t="str">
        <f>VLOOKUP($A57,ANAGRAFICA!$B$1:$G$306,4,FALSE)</f>
        <v>758-36</v>
      </c>
      <c r="E57" s="109">
        <f>VLOOKUP($A57,ANAGRAFICA!$B$1:$G$306,5,FALSE)</f>
        <v>3272025062</v>
      </c>
      <c r="F57" s="109">
        <f>VLOOKUP($A57,ANAGRAFICA!$B$1:$G$306,6,FALSE)</f>
        <v>2025</v>
      </c>
      <c r="G57" s="57">
        <v>1.0</v>
      </c>
      <c r="H57" s="3" t="s">
        <v>557</v>
      </c>
      <c r="I57" s="3" t="s">
        <v>550</v>
      </c>
      <c r="J57" s="117"/>
      <c r="K57" s="117"/>
      <c r="L57" s="11" t="s">
        <v>552</v>
      </c>
      <c r="M57" s="3" t="s">
        <v>570</v>
      </c>
    </row>
    <row r="58">
      <c r="A58" s="3">
        <v>2.125026384E9</v>
      </c>
      <c r="B58" s="109" t="str">
        <f>VLOOKUP($A58,ANAGRAFICA!$B$1:$G$306,2,FALSE)</f>
        <v>PRINCIPATO</v>
      </c>
      <c r="C58" s="109" t="str">
        <f>VLOOKUP($A58,ANAGRAFICA!$B$1:$G$306,3,FALSE)</f>
        <v>FRANCO ANGELO</v>
      </c>
      <c r="D58" s="109" t="str">
        <f>VLOOKUP($A58,ANAGRAFICA!$B$1:$G$306,4,FALSE)</f>
        <v>758-35</v>
      </c>
      <c r="E58" s="109">
        <f>VLOOKUP($A58,ANAGRAFICA!$B$1:$G$306,5,FALSE)</f>
        <v>3272025061</v>
      </c>
      <c r="F58" s="109">
        <f>VLOOKUP($A58,ANAGRAFICA!$B$1:$G$306,6,FALSE)</f>
        <v>2025</v>
      </c>
      <c r="G58" s="57">
        <v>1.0</v>
      </c>
      <c r="H58" s="3" t="s">
        <v>553</v>
      </c>
      <c r="I58" s="3" t="s">
        <v>550</v>
      </c>
      <c r="J58" s="117"/>
      <c r="K58" s="117"/>
      <c r="L58" s="11" t="s">
        <v>549</v>
      </c>
    </row>
    <row r="59">
      <c r="A59" s="3">
        <v>2.125026869E9</v>
      </c>
      <c r="B59" s="109" t="str">
        <f>VLOOKUP($A59,ANAGRAFICA!$B$1:$G$306,2,FALSE)</f>
        <v>NACCARI</v>
      </c>
      <c r="C59" s="109" t="str">
        <f>VLOOKUP($A59,ANAGRAFICA!$B$1:$G$306,3,FALSE)</f>
        <v>ROBERTO</v>
      </c>
      <c r="D59" s="109" t="str">
        <f>VLOOKUP($A59,ANAGRAFICA!$B$1:$G$306,4,FALSE)</f>
        <v>758-33</v>
      </c>
      <c r="E59" s="109">
        <f>VLOOKUP($A59,ANAGRAFICA!$B$1:$G$306,5,FALSE)</f>
        <v>3272025060</v>
      </c>
      <c r="F59" s="109">
        <f>VLOOKUP($A59,ANAGRAFICA!$B$1:$G$306,6,FALSE)</f>
        <v>2025</v>
      </c>
      <c r="G59" s="57">
        <v>1.0</v>
      </c>
      <c r="H59" s="3" t="s">
        <v>555</v>
      </c>
      <c r="I59" s="3" t="s">
        <v>553</v>
      </c>
      <c r="J59" s="3" t="s">
        <v>550</v>
      </c>
      <c r="K59" s="117"/>
      <c r="L59" s="115"/>
    </row>
    <row r="60">
      <c r="A60" s="3">
        <v>2.125032902E9</v>
      </c>
      <c r="B60" s="109" t="str">
        <f>VLOOKUP($A60,ANAGRAFICA!$B$1:$G$306,2,FALSE)</f>
        <v>BRAIDA</v>
      </c>
      <c r="C60" s="109" t="str">
        <f>VLOOKUP($A60,ANAGRAFICA!$B$1:$G$306,3,FALSE)</f>
        <v>ILARIO</v>
      </c>
      <c r="D60" s="109" t="str">
        <f>VLOOKUP($A60,ANAGRAFICA!$B$1:$G$306,4,FALSE)</f>
        <v>758-37</v>
      </c>
      <c r="E60" s="109">
        <f>VLOOKUP($A60,ANAGRAFICA!$B$1:$G$306,5,FALSE)</f>
        <v>3272025063</v>
      </c>
      <c r="F60" s="109">
        <f>VLOOKUP($A60,ANAGRAFICA!$B$1:$G$306,6,FALSE)</f>
        <v>2025</v>
      </c>
      <c r="G60" s="57">
        <v>1.0</v>
      </c>
      <c r="H60" s="3" t="s">
        <v>555</v>
      </c>
      <c r="I60" s="3" t="s">
        <v>553</v>
      </c>
      <c r="J60" s="3" t="s">
        <v>550</v>
      </c>
      <c r="K60" s="117"/>
      <c r="L60" s="11" t="s">
        <v>549</v>
      </c>
    </row>
    <row r="61">
      <c r="A61" s="3">
        <v>2.125032653E9</v>
      </c>
      <c r="B61" s="109" t="str">
        <f>VLOOKUP($A61,ANAGRAFICA!$B$1:$G$306,2,FALSE)</f>
        <v>BAIOCCO</v>
      </c>
      <c r="C61" s="109" t="str">
        <f>VLOOKUP($A61,ANAGRAFICA!$B$1:$G$306,3,FALSE)</f>
        <v>RICCARDO</v>
      </c>
      <c r="D61" s="109" t="str">
        <f>VLOOKUP($A61,ANAGRAFICA!$B$1:$G$306,4,FALSE)</f>
        <v/>
      </c>
      <c r="E61" s="109">
        <f>VLOOKUP($A61,ANAGRAFICA!$B$1:$G$306,5,FALSE)</f>
        <v>3272025064</v>
      </c>
      <c r="F61" s="109">
        <f>VLOOKUP($A61,ANAGRAFICA!$B$1:$G$306,6,FALSE)</f>
        <v>2025</v>
      </c>
      <c r="G61" s="57">
        <v>1.0</v>
      </c>
      <c r="H61" s="3" t="s">
        <v>571</v>
      </c>
      <c r="I61" s="117"/>
      <c r="J61" s="3"/>
      <c r="K61" s="117"/>
      <c r="L61" s="11" t="s">
        <v>552</v>
      </c>
    </row>
    <row r="62">
      <c r="A62" s="3">
        <v>2.125037782E9</v>
      </c>
      <c r="B62" s="109" t="str">
        <f>VLOOKUP($A62,ANAGRAFICA!$B$1:$G$306,2,FALSE)</f>
        <v>GILARDI</v>
      </c>
      <c r="C62" s="109" t="str">
        <f>VLOOKUP($A62,ANAGRAFICA!$B$1:$G$306,3,FALSE)</f>
        <v>CARLO VIRGINIO</v>
      </c>
      <c r="D62" s="109" t="str">
        <f>VLOOKUP($A62,ANAGRAFICA!$B$1:$G$306,4,FALSE)</f>
        <v>758-38</v>
      </c>
      <c r="E62" s="109">
        <f>VLOOKUP($A62,ANAGRAFICA!$B$1:$G$306,5,FALSE)</f>
        <v>3272025065</v>
      </c>
      <c r="F62" s="109">
        <f>VLOOKUP($A62,ANAGRAFICA!$B$1:$G$306,6,FALSE)</f>
        <v>2025</v>
      </c>
      <c r="G62" s="57">
        <v>1.0</v>
      </c>
      <c r="H62" s="3" t="s">
        <v>555</v>
      </c>
      <c r="I62" s="3" t="s">
        <v>558</v>
      </c>
      <c r="J62" s="3" t="s">
        <v>550</v>
      </c>
      <c r="K62" s="117"/>
      <c r="L62" s="11" t="s">
        <v>552</v>
      </c>
    </row>
    <row r="63">
      <c r="A63" s="3">
        <v>2.125037955E9</v>
      </c>
      <c r="B63" s="109" t="str">
        <f>VLOOKUP($A63,ANAGRAFICA!$B$1:$G$306,2,FALSE)</f>
        <v>MANNINO</v>
      </c>
      <c r="C63" s="109" t="str">
        <f>VLOOKUP($A63,ANAGRAFICA!$B$1:$G$306,3,FALSE)</f>
        <v>ANDREA</v>
      </c>
      <c r="D63" s="109" t="str">
        <f>VLOOKUP($A63,ANAGRAFICA!$B$1:$G$306,4,FALSE)</f>
        <v>758-39</v>
      </c>
      <c r="E63" s="109">
        <f>VLOOKUP($A63,ANAGRAFICA!$B$1:$G$306,5,FALSE)</f>
        <v>3272025066</v>
      </c>
      <c r="F63" s="109">
        <f>VLOOKUP($A63,ANAGRAFICA!$B$1:$G$306,6,FALSE)</f>
        <v>2025</v>
      </c>
      <c r="G63" s="57">
        <v>1.0</v>
      </c>
      <c r="H63" s="3" t="s">
        <v>547</v>
      </c>
      <c r="I63" s="3" t="s">
        <v>555</v>
      </c>
      <c r="J63" s="117"/>
      <c r="K63" s="117"/>
      <c r="L63" s="11" t="s">
        <v>549</v>
      </c>
      <c r="M63" s="3" t="s">
        <v>572</v>
      </c>
    </row>
    <row r="64">
      <c r="A64" s="3">
        <v>2.125040106E9</v>
      </c>
      <c r="B64" s="109" t="str">
        <f>VLOOKUP($A64,ANAGRAFICA!$B$1:$G$306,2,FALSE)</f>
        <v>COLNAGHI</v>
      </c>
      <c r="C64" s="109" t="str">
        <f>VLOOKUP($A64,ANAGRAFICA!$B$1:$G$306,3,FALSE)</f>
        <v>EUGENIO PIERO</v>
      </c>
      <c r="D64" s="109" t="str">
        <f>VLOOKUP($A64,ANAGRAFICA!$B$1:$G$306,4,FALSE)</f>
        <v>758-41</v>
      </c>
      <c r="E64" s="109">
        <f>VLOOKUP($A64,ANAGRAFICA!$B$1:$G$306,5,FALSE)</f>
        <v>3272025068</v>
      </c>
      <c r="F64" s="109">
        <f>VLOOKUP($A64,ANAGRAFICA!$B$1:$G$306,6,FALSE)</f>
        <v>2025</v>
      </c>
      <c r="G64" s="57">
        <v>1.0</v>
      </c>
      <c r="H64" s="3" t="s">
        <v>547</v>
      </c>
      <c r="I64" s="3" t="s">
        <v>555</v>
      </c>
      <c r="J64" s="3" t="s">
        <v>564</v>
      </c>
      <c r="K64" s="117"/>
      <c r="L64" s="11" t="s">
        <v>549</v>
      </c>
    </row>
    <row r="65">
      <c r="A65" s="3">
        <v>2.125040052E9</v>
      </c>
      <c r="B65" s="109" t="str">
        <f>VLOOKUP($A65,ANAGRAFICA!$B$1:$G$306,2,FALSE)</f>
        <v>TODESCATO</v>
      </c>
      <c r="C65" s="109" t="str">
        <f>VLOOKUP($A65,ANAGRAFICA!$B$1:$G$306,3,FALSE)</f>
        <v>GIANLUCA</v>
      </c>
      <c r="D65" s="109" t="str">
        <f>VLOOKUP($A65,ANAGRAFICA!$B$1:$G$306,4,FALSE)</f>
        <v>758-40</v>
      </c>
      <c r="E65" s="109">
        <f>VLOOKUP($A65,ANAGRAFICA!$B$1:$G$306,5,FALSE)</f>
        <v>3272025067</v>
      </c>
      <c r="F65" s="109">
        <f>VLOOKUP($A65,ANAGRAFICA!$B$1:$G$306,6,FALSE)</f>
        <v>2025</v>
      </c>
      <c r="G65" s="57">
        <v>1.0</v>
      </c>
      <c r="H65" s="3" t="s">
        <v>562</v>
      </c>
      <c r="I65" s="3" t="s">
        <v>564</v>
      </c>
      <c r="J65" s="117"/>
      <c r="K65" s="117"/>
      <c r="L65" s="11" t="s">
        <v>552</v>
      </c>
      <c r="M65" s="3" t="s">
        <v>573</v>
      </c>
    </row>
    <row r="66">
      <c r="A66" s="3">
        <v>2.125040835E9</v>
      </c>
      <c r="B66" s="109" t="str">
        <f>VLOOKUP($A66,ANAGRAFICA!$B$1:$G$306,2,FALSE)</f>
        <v>PESACANE</v>
      </c>
      <c r="C66" s="109" t="str">
        <f>VLOOKUP($A66,ANAGRAFICA!$B$1:$G$306,3,FALSE)</f>
        <v>MATTEO VALERIO</v>
      </c>
      <c r="D66" s="109" t="str">
        <f>VLOOKUP($A66,ANAGRAFICA!$B$1:$G$306,4,FALSE)</f>
        <v>758-42</v>
      </c>
      <c r="E66" s="109">
        <f>VLOOKUP($A66,ANAGRAFICA!$B$1:$G$306,5,FALSE)</f>
        <v>3272025069</v>
      </c>
      <c r="F66" s="109">
        <f>VLOOKUP($A66,ANAGRAFICA!$B$1:$G$306,6,FALSE)</f>
        <v>2025</v>
      </c>
      <c r="G66" s="57">
        <v>1.0</v>
      </c>
      <c r="H66" s="3" t="s">
        <v>547</v>
      </c>
      <c r="I66" s="3" t="s">
        <v>555</v>
      </c>
      <c r="J66" s="117"/>
      <c r="K66" s="117"/>
      <c r="L66" s="11" t="s">
        <v>549</v>
      </c>
    </row>
    <row r="67">
      <c r="A67" s="3">
        <v>2.125042368E9</v>
      </c>
      <c r="B67" s="109" t="str">
        <f>VLOOKUP($A67,ANAGRAFICA!$B$1:$G$306,2,FALSE)</f>
        <v>MARKOVIC</v>
      </c>
      <c r="C67" s="109" t="str">
        <f>VLOOKUP($A67,ANAGRAFICA!$B$1:$G$306,3,FALSE)</f>
        <v>BRANKO</v>
      </c>
      <c r="D67" s="109" t="str">
        <f>VLOOKUP($A67,ANAGRAFICA!$B$1:$G$306,4,FALSE)</f>
        <v>758-43</v>
      </c>
      <c r="E67" s="109">
        <f>VLOOKUP($A67,ANAGRAFICA!$B$1:$G$306,5,FALSE)</f>
        <v>3272025070</v>
      </c>
      <c r="F67" s="109">
        <f>VLOOKUP($A67,ANAGRAFICA!$B$1:$G$306,6,FALSE)</f>
        <v>2025</v>
      </c>
      <c r="G67" s="57">
        <v>1.0</v>
      </c>
      <c r="H67" s="3" t="s">
        <v>555</v>
      </c>
      <c r="I67" s="3" t="s">
        <v>553</v>
      </c>
      <c r="J67" s="117"/>
      <c r="K67" s="117"/>
      <c r="L67" s="11" t="s">
        <v>549</v>
      </c>
    </row>
    <row r="68">
      <c r="A68" s="3">
        <v>2.125046195E9</v>
      </c>
      <c r="B68" s="109" t="str">
        <f>VLOOKUP($A68,ANAGRAFICA!$B$1:$G$306,2,FALSE)</f>
        <v>CASILLO</v>
      </c>
      <c r="C68" s="109" t="str">
        <f>VLOOKUP($A68,ANAGRAFICA!$B$1:$G$306,3,FALSE)</f>
        <v>SALVATORE</v>
      </c>
      <c r="D68" s="109" t="str">
        <f>VLOOKUP($A68,ANAGRAFICA!$B$1:$G$306,4,FALSE)</f>
        <v>758-44</v>
      </c>
      <c r="E68" s="109">
        <f>VLOOKUP($A68,ANAGRAFICA!$B$1:$G$306,5,FALSE)</f>
        <v>3272025071</v>
      </c>
      <c r="F68" s="109">
        <f>VLOOKUP($A68,ANAGRAFICA!$B$1:$G$306,6,FALSE)</f>
        <v>2025</v>
      </c>
      <c r="G68" s="57">
        <v>1.0</v>
      </c>
      <c r="H68" s="3" t="s">
        <v>564</v>
      </c>
      <c r="I68" s="3" t="s">
        <v>547</v>
      </c>
      <c r="J68" s="117"/>
      <c r="K68" s="117"/>
      <c r="L68" s="11" t="s">
        <v>549</v>
      </c>
    </row>
    <row r="69">
      <c r="A69" s="3">
        <v>2.125051424E9</v>
      </c>
      <c r="B69" s="109" t="str">
        <f>VLOOKUP($A69,ANAGRAFICA!$B$1:$G$306,2,FALSE)</f>
        <v>CASABURI</v>
      </c>
      <c r="C69" s="109" t="str">
        <f>VLOOKUP($A69,ANAGRAFICA!$B$1:$G$306,3,FALSE)</f>
        <v>ERRICO</v>
      </c>
      <c r="D69" s="109" t="str">
        <f>VLOOKUP($A69,ANAGRAFICA!$B$1:$G$306,4,FALSE)</f>
        <v>758-45</v>
      </c>
      <c r="E69" s="109">
        <f>VLOOKUP($A69,ANAGRAFICA!$B$1:$G$306,5,FALSE)</f>
        <v>3272025072</v>
      </c>
      <c r="F69" s="109">
        <f>VLOOKUP($A69,ANAGRAFICA!$B$1:$G$306,6,FALSE)</f>
        <v>2025</v>
      </c>
      <c r="G69" s="57">
        <v>1.0</v>
      </c>
      <c r="H69" s="3" t="s">
        <v>550</v>
      </c>
      <c r="I69" s="3" t="s">
        <v>555</v>
      </c>
      <c r="J69" s="117"/>
      <c r="K69" s="117"/>
      <c r="L69" s="11" t="s">
        <v>552</v>
      </c>
    </row>
    <row r="70">
      <c r="A70" s="3">
        <v>2.1250527E9</v>
      </c>
      <c r="B70" s="109" t="str">
        <f>VLOOKUP($A70,ANAGRAFICA!$B$1:$G$306,2,FALSE)</f>
        <v>GADDA</v>
      </c>
      <c r="C70" s="109" t="str">
        <f>VLOOKUP($A70,ANAGRAFICA!$B$1:$G$306,3,FALSE)</f>
        <v>LILIANA</v>
      </c>
      <c r="D70" s="109" t="str">
        <f>VLOOKUP($A70,ANAGRAFICA!$B$1:$G$306,4,FALSE)</f>
        <v>758-46</v>
      </c>
      <c r="E70" s="109">
        <f>VLOOKUP($A70,ANAGRAFICA!$B$1:$G$306,5,FALSE)</f>
        <v>3272025073</v>
      </c>
      <c r="F70" s="109">
        <f>VLOOKUP($A70,ANAGRAFICA!$B$1:$G$306,6,FALSE)</f>
        <v>2025</v>
      </c>
      <c r="G70" s="57">
        <v>1.0</v>
      </c>
      <c r="H70" s="3" t="s">
        <v>548</v>
      </c>
      <c r="I70" s="3" t="s">
        <v>553</v>
      </c>
      <c r="J70" s="117"/>
      <c r="K70" s="117"/>
      <c r="L70" s="11" t="s">
        <v>552</v>
      </c>
    </row>
    <row r="71">
      <c r="A71" s="3">
        <v>2.125053097E9</v>
      </c>
      <c r="B71" s="109" t="str">
        <f>VLOOKUP($A71,ANAGRAFICA!$B$1:$G$306,2,FALSE)</f>
        <v>LISSONI</v>
      </c>
      <c r="C71" s="109" t="str">
        <f>VLOOKUP($A71,ANAGRAFICA!$B$1:$G$306,3,FALSE)</f>
        <v>ALESSANDRA</v>
      </c>
      <c r="D71" s="109" t="str">
        <f>VLOOKUP($A71,ANAGRAFICA!$B$1:$G$306,4,FALSE)</f>
        <v>758-47</v>
      </c>
      <c r="E71" s="109">
        <f>VLOOKUP($A71,ANAGRAFICA!$B$1:$G$306,5,FALSE)</f>
        <v>3272025074</v>
      </c>
      <c r="F71" s="109">
        <f>VLOOKUP($A71,ANAGRAFICA!$B$1:$G$306,6,FALSE)</f>
        <v>2025</v>
      </c>
      <c r="G71" s="57">
        <v>1.0</v>
      </c>
      <c r="H71" s="3" t="s">
        <v>574</v>
      </c>
      <c r="I71" s="3" t="s">
        <v>550</v>
      </c>
      <c r="J71" s="117"/>
      <c r="K71" s="117"/>
      <c r="L71" s="11" t="s">
        <v>552</v>
      </c>
    </row>
    <row r="72">
      <c r="A72" s="3">
        <v>2.125053589E9</v>
      </c>
      <c r="B72" s="109" t="str">
        <f>VLOOKUP($A72,ANAGRAFICA!$B$1:$G$306,2,FALSE)</f>
        <v>HU</v>
      </c>
      <c r="C72" s="109" t="str">
        <f>VLOOKUP($A72,ANAGRAFICA!$B$1:$G$306,3,FALSE)</f>
        <v>LIBEI</v>
      </c>
      <c r="D72" s="109" t="str">
        <f>VLOOKUP($A72,ANAGRAFICA!$B$1:$G$306,4,FALSE)</f>
        <v>758-48</v>
      </c>
      <c r="E72" s="109" t="str">
        <f>VLOOKUP($A72,ANAGRAFICA!$B$1:$G$306,5,FALSE)</f>
        <v/>
      </c>
      <c r="F72" s="109">
        <f>VLOOKUP($A72,ANAGRAFICA!$B$1:$G$306,6,FALSE)</f>
        <v>2025</v>
      </c>
      <c r="G72" s="57">
        <v>1.0</v>
      </c>
      <c r="H72" s="3" t="s">
        <v>555</v>
      </c>
      <c r="I72" s="3" t="s">
        <v>553</v>
      </c>
      <c r="J72" s="3" t="s">
        <v>550</v>
      </c>
      <c r="K72" s="117"/>
      <c r="L72" s="11" t="s">
        <v>549</v>
      </c>
    </row>
    <row r="73">
      <c r="A73" s="3">
        <v>2.126005799E9</v>
      </c>
      <c r="B73" s="109" t="str">
        <f>VLOOKUP($A73,ANAGRAFICA!$B$1:$G$306,2,FALSE)</f>
        <v>MAIORANO</v>
      </c>
      <c r="C73" s="109" t="str">
        <f>VLOOKUP($A73,ANAGRAFICA!$B$1:$G$306,3,FALSE)</f>
        <v>IOLANDA MARIA</v>
      </c>
      <c r="D73" s="109" t="str">
        <f>VLOOKUP($A73,ANAGRAFICA!$B$1:$G$306,4,FALSE)</f>
        <v>758-56</v>
      </c>
      <c r="E73" s="109" t="str">
        <f>VLOOKUP($A73,ANAGRAFICA!$B$1:$G$306,5,FALSE)</f>
        <v/>
      </c>
      <c r="F73" s="109">
        <f>VLOOKUP($A73,ANAGRAFICA!$B$1:$G$306,6,FALSE)</f>
        <v>2026</v>
      </c>
      <c r="G73" s="57">
        <v>1.0</v>
      </c>
      <c r="H73" s="3" t="s">
        <v>550</v>
      </c>
      <c r="I73" s="117"/>
      <c r="J73" s="117"/>
      <c r="K73" s="117"/>
      <c r="L73" s="11" t="s">
        <v>552</v>
      </c>
    </row>
    <row r="74">
      <c r="A74" s="3">
        <v>2.12505375E9</v>
      </c>
      <c r="B74" s="109" t="str">
        <f>VLOOKUP($A74,ANAGRAFICA!$B$1:$G$306,2,FALSE)</f>
        <v>BERETTA</v>
      </c>
      <c r="C74" s="109" t="str">
        <f>VLOOKUP($A74,ANAGRAFICA!$B$1:$G$306,3,FALSE)</f>
        <v>FULVIO</v>
      </c>
      <c r="D74" s="109" t="str">
        <f>VLOOKUP($A74,ANAGRAFICA!$B$1:$G$306,4,FALSE)</f>
        <v/>
      </c>
      <c r="E74" s="109" t="str">
        <f>VLOOKUP($A74,ANAGRAFICA!$B$1:$G$306,5,FALSE)</f>
        <v/>
      </c>
      <c r="F74" s="109">
        <f>VLOOKUP($A74,ANAGRAFICA!$B$1:$G$306,6,FALSE)</f>
        <v>2025</v>
      </c>
      <c r="G74" s="94"/>
      <c r="H74" s="3" t="s">
        <v>547</v>
      </c>
      <c r="I74" s="3" t="s">
        <v>555</v>
      </c>
      <c r="J74" s="3" t="s">
        <v>550</v>
      </c>
      <c r="K74" s="117"/>
      <c r="L74" s="11" t="s">
        <v>549</v>
      </c>
    </row>
    <row r="75">
      <c r="A75" s="3">
        <v>2.126002771E9</v>
      </c>
      <c r="B75" s="109" t="str">
        <f>VLOOKUP($A75,ANAGRAFICA!$B$1:$G$306,2,FALSE)</f>
        <v>LONGOBARDI</v>
      </c>
      <c r="C75" s="109" t="str">
        <f>VLOOKUP($A75,ANAGRAFICA!$B$1:$G$306,3,FALSE)</f>
        <v>FRANCESCO</v>
      </c>
      <c r="D75" s="109" t="str">
        <f>VLOOKUP($A75,ANAGRAFICA!$B$1:$G$306,4,FALSE)</f>
        <v>758-52</v>
      </c>
      <c r="E75" s="109" t="str">
        <f>VLOOKUP($A75,ANAGRAFICA!$B$1:$G$306,5,FALSE)</f>
        <v/>
      </c>
      <c r="F75" s="109">
        <f>VLOOKUP($A75,ANAGRAFICA!$B$1:$G$306,6,FALSE)</f>
        <v>2026</v>
      </c>
      <c r="G75" s="57">
        <v>1.0</v>
      </c>
      <c r="H75" s="3" t="s">
        <v>564</v>
      </c>
      <c r="I75" s="3" t="s">
        <v>550</v>
      </c>
      <c r="J75" s="3" t="s">
        <v>547</v>
      </c>
      <c r="K75" s="117"/>
      <c r="L75" s="11" t="s">
        <v>549</v>
      </c>
    </row>
    <row r="76">
      <c r="A76" s="3">
        <v>2.126001104E9</v>
      </c>
      <c r="B76" s="109" t="str">
        <f>VLOOKUP($A76,ANAGRAFICA!$B$1:$G$306,2,FALSE)</f>
        <v>LOREGGIA</v>
      </c>
      <c r="C76" s="109" t="str">
        <f>VLOOKUP($A76,ANAGRAFICA!$B$1:$G$306,3,FALSE)</f>
        <v>GIAN MARCO</v>
      </c>
      <c r="D76" s="109" t="str">
        <f>VLOOKUP($A76,ANAGRAFICA!$B$1:$G$306,4,FALSE)</f>
        <v>758-51</v>
      </c>
      <c r="E76" s="109" t="str">
        <f>VLOOKUP($A76,ANAGRAFICA!$B$1:$G$306,5,FALSE)</f>
        <v/>
      </c>
      <c r="F76" s="109">
        <f>VLOOKUP($A76,ANAGRAFICA!$B$1:$G$306,6,FALSE)</f>
        <v>2026</v>
      </c>
      <c r="G76" s="94"/>
      <c r="H76" s="3" t="s">
        <v>547</v>
      </c>
      <c r="I76" s="3" t="s">
        <v>555</v>
      </c>
      <c r="J76" s="117"/>
      <c r="K76" s="117"/>
      <c r="L76" s="11" t="s">
        <v>549</v>
      </c>
    </row>
    <row r="77">
      <c r="A77" s="117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94"/>
      <c r="H77" s="117"/>
      <c r="I77" s="117"/>
      <c r="J77" s="117"/>
      <c r="K77" s="117"/>
      <c r="L77" s="115"/>
    </row>
    <row r="78">
      <c r="A78" s="117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94"/>
      <c r="H78" s="117"/>
      <c r="I78" s="117"/>
      <c r="J78" s="117"/>
      <c r="K78" s="117"/>
      <c r="L78" s="115"/>
    </row>
    <row r="79">
      <c r="A79" s="117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94"/>
      <c r="H79" s="117"/>
      <c r="I79" s="117"/>
      <c r="J79" s="117"/>
      <c r="K79" s="117"/>
      <c r="L79" s="115"/>
    </row>
    <row r="80">
      <c r="A80" s="117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94"/>
      <c r="H80" s="117"/>
      <c r="I80" s="117"/>
      <c r="J80" s="117"/>
      <c r="K80" s="117"/>
      <c r="L80" s="115"/>
    </row>
    <row r="81">
      <c r="A81" s="117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94"/>
      <c r="H81" s="117"/>
      <c r="I81" s="117"/>
      <c r="J81" s="117"/>
      <c r="K81" s="117"/>
      <c r="L81" s="115"/>
    </row>
    <row r="82">
      <c r="A82" s="117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94"/>
      <c r="H82" s="117"/>
      <c r="I82" s="117"/>
      <c r="J82" s="117"/>
      <c r="K82" s="117"/>
      <c r="L82" s="115"/>
    </row>
    <row r="83">
      <c r="A83" s="117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94"/>
      <c r="H83" s="117"/>
      <c r="I83" s="117"/>
      <c r="J83" s="117"/>
      <c r="K83" s="117"/>
      <c r="L83" s="115"/>
    </row>
    <row r="84">
      <c r="A84" s="117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94"/>
      <c r="H84" s="117"/>
      <c r="I84" s="117"/>
      <c r="J84" s="117"/>
      <c r="K84" s="117"/>
      <c r="L84" s="115"/>
    </row>
    <row r="85">
      <c r="A85" s="117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94"/>
      <c r="H85" s="117"/>
      <c r="I85" s="117"/>
      <c r="J85" s="117"/>
      <c r="K85" s="117"/>
      <c r="L85" s="115"/>
    </row>
    <row r="86">
      <c r="A86" s="117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94"/>
      <c r="H86" s="117"/>
      <c r="I86" s="117"/>
      <c r="J86" s="117"/>
      <c r="K86" s="117"/>
      <c r="L86" s="115"/>
    </row>
    <row r="87">
      <c r="A87" s="117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94"/>
      <c r="H87" s="117"/>
      <c r="I87" s="117"/>
      <c r="J87" s="117"/>
      <c r="K87" s="117"/>
      <c r="L87" s="115"/>
    </row>
    <row r="88">
      <c r="A88" s="117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94"/>
      <c r="H88" s="117"/>
      <c r="I88" s="117"/>
      <c r="J88" s="117"/>
      <c r="K88" s="117"/>
      <c r="L88" s="115"/>
    </row>
    <row r="89">
      <c r="A89" s="117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94"/>
      <c r="H89" s="117"/>
      <c r="I89" s="117"/>
      <c r="J89" s="117"/>
      <c r="K89" s="117"/>
      <c r="L89" s="115"/>
    </row>
    <row r="90">
      <c r="A90" s="117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94"/>
      <c r="H90" s="117"/>
      <c r="I90" s="117"/>
      <c r="J90" s="117"/>
      <c r="K90" s="117"/>
      <c r="L90" s="115"/>
    </row>
    <row r="91">
      <c r="A91" s="117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94"/>
      <c r="H91" s="117"/>
      <c r="I91" s="117"/>
      <c r="J91" s="117"/>
      <c r="K91" s="117"/>
      <c r="L91" s="115"/>
    </row>
    <row r="92">
      <c r="A92" s="117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94"/>
      <c r="H92" s="117"/>
      <c r="I92" s="117"/>
      <c r="J92" s="117"/>
      <c r="K92" s="117"/>
      <c r="L92" s="115"/>
    </row>
    <row r="93">
      <c r="A93" s="117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94"/>
      <c r="H93" s="117"/>
      <c r="I93" s="117"/>
      <c r="J93" s="117"/>
      <c r="K93" s="117"/>
      <c r="L93" s="115"/>
    </row>
    <row r="94">
      <c r="A94" s="117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94"/>
      <c r="H94" s="117"/>
      <c r="I94" s="117"/>
      <c r="J94" s="117"/>
      <c r="K94" s="117"/>
      <c r="L94" s="115"/>
    </row>
    <row r="95">
      <c r="A95" s="117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94"/>
      <c r="H95" s="117"/>
      <c r="I95" s="117"/>
      <c r="J95" s="117"/>
      <c r="K95" s="117"/>
      <c r="L95" s="115"/>
    </row>
    <row r="96">
      <c r="A96" s="117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94"/>
      <c r="H96" s="117"/>
      <c r="I96" s="117"/>
      <c r="J96" s="117"/>
      <c r="K96" s="117"/>
      <c r="L96" s="115"/>
    </row>
    <row r="97">
      <c r="A97" s="117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94"/>
      <c r="H97" s="117"/>
      <c r="I97" s="117"/>
      <c r="J97" s="117"/>
      <c r="K97" s="117"/>
      <c r="L97" s="115"/>
    </row>
    <row r="98">
      <c r="A98" s="117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94"/>
      <c r="H98" s="117"/>
      <c r="I98" s="117"/>
      <c r="J98" s="117"/>
      <c r="K98" s="117"/>
      <c r="L98" s="115"/>
    </row>
    <row r="99">
      <c r="A99" s="117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94"/>
      <c r="H99" s="117"/>
      <c r="I99" s="117"/>
      <c r="J99" s="117"/>
      <c r="K99" s="117"/>
      <c r="L99" s="115"/>
    </row>
    <row r="100">
      <c r="A100" s="117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94"/>
      <c r="H100" s="117"/>
      <c r="I100" s="117"/>
      <c r="J100" s="117"/>
      <c r="K100" s="117"/>
      <c r="L100" s="115"/>
    </row>
    <row r="101">
      <c r="A101" s="117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94"/>
      <c r="H101" s="117"/>
      <c r="I101" s="117"/>
      <c r="J101" s="117"/>
      <c r="K101" s="117"/>
      <c r="L101" s="115"/>
    </row>
    <row r="102">
      <c r="A102" s="117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94"/>
      <c r="H102" s="117"/>
      <c r="I102" s="117"/>
      <c r="J102" s="117"/>
      <c r="K102" s="117"/>
      <c r="L102" s="115"/>
    </row>
    <row r="103">
      <c r="A103" s="117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94"/>
      <c r="H103" s="117"/>
      <c r="I103" s="117"/>
      <c r="J103" s="117"/>
      <c r="K103" s="117"/>
      <c r="L103" s="115"/>
    </row>
    <row r="104">
      <c r="A104" s="117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94"/>
      <c r="H104" s="117"/>
      <c r="I104" s="117"/>
      <c r="J104" s="117"/>
      <c r="K104" s="117"/>
      <c r="L104" s="115"/>
    </row>
    <row r="105">
      <c r="A105" s="117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94"/>
      <c r="H105" s="117"/>
      <c r="I105" s="117"/>
      <c r="J105" s="117"/>
      <c r="K105" s="117"/>
      <c r="L105" s="115"/>
    </row>
    <row r="106">
      <c r="A106" s="117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94"/>
      <c r="H106" s="117"/>
      <c r="I106" s="117"/>
      <c r="J106" s="117"/>
      <c r="K106" s="117"/>
      <c r="L106" s="115"/>
    </row>
    <row r="107">
      <c r="A107" s="117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94"/>
      <c r="H107" s="117"/>
      <c r="I107" s="117"/>
      <c r="J107" s="117"/>
      <c r="K107" s="117"/>
      <c r="L107" s="115"/>
    </row>
    <row r="108">
      <c r="A108" s="117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94"/>
      <c r="H108" s="117"/>
      <c r="I108" s="117"/>
      <c r="J108" s="117"/>
      <c r="K108" s="117"/>
      <c r="L108" s="115"/>
    </row>
    <row r="109">
      <c r="A109" s="117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94"/>
      <c r="H109" s="117"/>
      <c r="I109" s="117"/>
      <c r="J109" s="117"/>
      <c r="K109" s="117"/>
      <c r="L109" s="115"/>
    </row>
    <row r="110">
      <c r="A110" s="117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94"/>
      <c r="H110" s="117"/>
      <c r="I110" s="117"/>
      <c r="J110" s="117"/>
      <c r="K110" s="117"/>
      <c r="L110" s="115"/>
    </row>
    <row r="111">
      <c r="A111" s="117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94"/>
      <c r="H111" s="117"/>
      <c r="I111" s="117"/>
      <c r="J111" s="117"/>
      <c r="K111" s="117"/>
      <c r="L111" s="115"/>
    </row>
    <row r="112">
      <c r="A112" s="117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94"/>
      <c r="H112" s="117"/>
      <c r="I112" s="117"/>
      <c r="J112" s="117"/>
      <c r="K112" s="117"/>
      <c r="L112" s="115"/>
    </row>
    <row r="113">
      <c r="A113" s="117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94"/>
      <c r="H113" s="117"/>
      <c r="I113" s="117"/>
      <c r="J113" s="117"/>
      <c r="K113" s="117"/>
      <c r="L113" s="115"/>
    </row>
    <row r="114">
      <c r="A114" s="117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94"/>
      <c r="H114" s="117"/>
      <c r="I114" s="117"/>
      <c r="J114" s="117"/>
      <c r="K114" s="117"/>
      <c r="L114" s="115"/>
    </row>
    <row r="115">
      <c r="A115" s="117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94"/>
      <c r="H115" s="117"/>
      <c r="I115" s="117"/>
      <c r="J115" s="117"/>
      <c r="K115" s="117"/>
      <c r="L115" s="115"/>
    </row>
    <row r="116">
      <c r="A116" s="117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94"/>
      <c r="H116" s="117"/>
      <c r="I116" s="117"/>
      <c r="J116" s="117"/>
      <c r="K116" s="117"/>
      <c r="L116" s="115"/>
    </row>
    <row r="117">
      <c r="A117" s="117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94"/>
      <c r="H117" s="117"/>
      <c r="I117" s="117"/>
      <c r="J117" s="117"/>
      <c r="K117" s="117"/>
      <c r="L117" s="115"/>
    </row>
    <row r="118">
      <c r="A118" s="117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94"/>
      <c r="H118" s="117"/>
      <c r="I118" s="117"/>
      <c r="J118" s="117"/>
      <c r="K118" s="117"/>
      <c r="L118" s="115"/>
    </row>
    <row r="119">
      <c r="A119" s="117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94"/>
      <c r="H119" s="117"/>
      <c r="I119" s="117"/>
      <c r="J119" s="117"/>
      <c r="K119" s="117"/>
      <c r="L119" s="115"/>
    </row>
    <row r="120">
      <c r="A120" s="117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94"/>
      <c r="H120" s="117"/>
      <c r="I120" s="117"/>
      <c r="J120" s="117"/>
      <c r="K120" s="117"/>
      <c r="L120" s="115"/>
    </row>
    <row r="121">
      <c r="A121" s="117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94"/>
      <c r="H121" s="117"/>
      <c r="I121" s="117"/>
      <c r="J121" s="117"/>
      <c r="K121" s="117"/>
      <c r="L121" s="115"/>
    </row>
    <row r="122">
      <c r="A122" s="117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117"/>
      <c r="I122" s="117"/>
      <c r="J122" s="117"/>
      <c r="K122" s="117"/>
      <c r="L122" s="115"/>
    </row>
    <row r="123">
      <c r="A123" s="117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94"/>
      <c r="H123" s="117"/>
      <c r="I123" s="117"/>
      <c r="J123" s="117"/>
      <c r="K123" s="117"/>
      <c r="L123" s="115"/>
    </row>
    <row r="124">
      <c r="A124" s="117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94"/>
      <c r="H124" s="117"/>
      <c r="I124" s="117"/>
      <c r="J124" s="117"/>
      <c r="K124" s="117"/>
      <c r="L124" s="115"/>
    </row>
    <row r="125">
      <c r="A125" s="117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94"/>
      <c r="H125" s="117"/>
      <c r="I125" s="117"/>
      <c r="J125" s="117"/>
      <c r="K125" s="117"/>
      <c r="L125" s="115"/>
    </row>
    <row r="126">
      <c r="A126" s="117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94"/>
      <c r="H126" s="117"/>
      <c r="I126" s="117"/>
      <c r="J126" s="117"/>
      <c r="K126" s="117"/>
      <c r="L126" s="115"/>
    </row>
    <row r="127">
      <c r="A127" s="117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94"/>
      <c r="H127" s="117"/>
      <c r="I127" s="117"/>
      <c r="J127" s="117"/>
      <c r="K127" s="117"/>
      <c r="L127" s="115"/>
    </row>
    <row r="128">
      <c r="A128" s="117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94"/>
      <c r="H128" s="117"/>
      <c r="I128" s="117"/>
      <c r="J128" s="117"/>
      <c r="K128" s="117"/>
      <c r="L128" s="115"/>
    </row>
    <row r="129">
      <c r="A129" s="117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94"/>
      <c r="H129" s="117"/>
      <c r="I129" s="117"/>
      <c r="J129" s="117"/>
      <c r="K129" s="117"/>
      <c r="L129" s="115"/>
    </row>
    <row r="130">
      <c r="A130" s="117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94"/>
      <c r="H130" s="117"/>
      <c r="I130" s="117"/>
      <c r="J130" s="117"/>
      <c r="K130" s="117"/>
      <c r="L130" s="115"/>
    </row>
    <row r="131">
      <c r="A131" s="117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94"/>
      <c r="H131" s="117"/>
      <c r="I131" s="117"/>
      <c r="J131" s="117"/>
      <c r="K131" s="117"/>
      <c r="L131" s="115"/>
    </row>
    <row r="132">
      <c r="A132" s="117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94"/>
      <c r="H132" s="117"/>
      <c r="I132" s="117"/>
      <c r="J132" s="117"/>
      <c r="K132" s="117"/>
      <c r="L132" s="115"/>
    </row>
    <row r="133">
      <c r="A133" s="117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94"/>
      <c r="H133" s="117"/>
      <c r="I133" s="117"/>
      <c r="J133" s="117"/>
      <c r="K133" s="117"/>
      <c r="L133" s="115"/>
    </row>
    <row r="134">
      <c r="A134" s="117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94"/>
      <c r="H134" s="117"/>
      <c r="I134" s="117"/>
      <c r="J134" s="117"/>
      <c r="K134" s="117"/>
      <c r="L134" s="115"/>
    </row>
    <row r="135">
      <c r="A135" s="117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94"/>
      <c r="H135" s="117"/>
      <c r="I135" s="117"/>
      <c r="J135" s="117"/>
      <c r="K135" s="117"/>
      <c r="L135" s="115"/>
    </row>
    <row r="136">
      <c r="A136" s="117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94"/>
      <c r="H136" s="117"/>
      <c r="I136" s="117"/>
      <c r="J136" s="117"/>
      <c r="K136" s="117"/>
      <c r="L136" s="115"/>
    </row>
    <row r="137">
      <c r="A137" s="117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94"/>
      <c r="H137" s="117"/>
      <c r="I137" s="117"/>
      <c r="J137" s="117"/>
      <c r="K137" s="117"/>
      <c r="L137" s="115"/>
    </row>
    <row r="138">
      <c r="A138" s="117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94"/>
      <c r="H138" s="117"/>
      <c r="I138" s="117"/>
      <c r="J138" s="117"/>
      <c r="K138" s="117"/>
      <c r="L138" s="115"/>
    </row>
    <row r="139">
      <c r="A139" s="117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94"/>
      <c r="H139" s="117"/>
      <c r="I139" s="117"/>
      <c r="J139" s="117"/>
      <c r="K139" s="117"/>
      <c r="L139" s="115"/>
    </row>
    <row r="140">
      <c r="A140" s="117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94"/>
      <c r="H140" s="117"/>
      <c r="I140" s="117"/>
      <c r="J140" s="117"/>
      <c r="K140" s="117"/>
      <c r="L140" s="115"/>
    </row>
    <row r="141">
      <c r="A141" s="117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94"/>
      <c r="H141" s="117"/>
      <c r="I141" s="117"/>
      <c r="J141" s="117"/>
      <c r="K141" s="117"/>
      <c r="L141" s="115"/>
    </row>
    <row r="142">
      <c r="A142" s="117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94"/>
      <c r="H142" s="117"/>
      <c r="I142" s="117"/>
      <c r="J142" s="117"/>
      <c r="K142" s="117"/>
      <c r="L142" s="115"/>
    </row>
    <row r="143">
      <c r="A143" s="117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94"/>
      <c r="H143" s="117"/>
      <c r="I143" s="117"/>
      <c r="J143" s="117"/>
      <c r="K143" s="117"/>
      <c r="L143" s="115"/>
    </row>
    <row r="144">
      <c r="A144" s="117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94"/>
      <c r="H144" s="117"/>
      <c r="I144" s="117"/>
      <c r="J144" s="117"/>
      <c r="K144" s="117"/>
      <c r="L144" s="115"/>
    </row>
    <row r="145">
      <c r="A145" s="117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94"/>
      <c r="H145" s="117"/>
      <c r="I145" s="117"/>
      <c r="J145" s="117"/>
      <c r="K145" s="117"/>
      <c r="L145" s="115"/>
    </row>
    <row r="146">
      <c r="A146" s="117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94"/>
      <c r="H146" s="117"/>
      <c r="I146" s="117"/>
      <c r="J146" s="117"/>
      <c r="K146" s="117"/>
      <c r="L146" s="115"/>
    </row>
    <row r="147">
      <c r="A147" s="117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94"/>
      <c r="H147" s="117"/>
      <c r="I147" s="117"/>
      <c r="J147" s="117"/>
      <c r="K147" s="117"/>
      <c r="L147" s="115"/>
    </row>
    <row r="148">
      <c r="A148" s="117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94"/>
      <c r="H148" s="117"/>
      <c r="I148" s="117"/>
      <c r="J148" s="117"/>
      <c r="K148" s="117"/>
      <c r="L148" s="115"/>
    </row>
    <row r="149">
      <c r="A149" s="117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94"/>
      <c r="H149" s="117"/>
      <c r="I149" s="117"/>
      <c r="J149" s="117"/>
      <c r="K149" s="117"/>
      <c r="L149" s="115"/>
    </row>
    <row r="150">
      <c r="A150" s="117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94"/>
      <c r="H150" s="117"/>
      <c r="I150" s="117"/>
      <c r="J150" s="117"/>
      <c r="K150" s="117"/>
      <c r="L150" s="115"/>
    </row>
    <row r="151">
      <c r="A151" s="117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94"/>
      <c r="H151" s="117"/>
      <c r="I151" s="117"/>
      <c r="J151" s="117"/>
      <c r="K151" s="117"/>
      <c r="L151" s="115"/>
    </row>
    <row r="152">
      <c r="A152" s="117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94"/>
      <c r="H152" s="117"/>
      <c r="I152" s="117"/>
      <c r="J152" s="117"/>
      <c r="K152" s="117"/>
      <c r="L152" s="115"/>
    </row>
    <row r="153">
      <c r="A153" s="117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94"/>
      <c r="H153" s="117"/>
      <c r="I153" s="117"/>
      <c r="J153" s="117"/>
      <c r="K153" s="117"/>
      <c r="L153" s="115"/>
    </row>
    <row r="154">
      <c r="A154" s="117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94"/>
      <c r="H154" s="117"/>
      <c r="I154" s="117"/>
      <c r="J154" s="117"/>
      <c r="K154" s="117"/>
      <c r="L154" s="115"/>
    </row>
    <row r="155">
      <c r="A155" s="117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117"/>
      <c r="I155" s="117"/>
      <c r="J155" s="117"/>
      <c r="K155" s="117"/>
      <c r="L155" s="115"/>
    </row>
    <row r="156">
      <c r="A156" s="117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117"/>
      <c r="I156" s="117"/>
      <c r="J156" s="117"/>
      <c r="K156" s="117"/>
      <c r="L156" s="115"/>
    </row>
    <row r="157">
      <c r="A157" s="117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117"/>
      <c r="I157" s="117"/>
      <c r="J157" s="117"/>
      <c r="K157" s="117"/>
      <c r="L157" s="115"/>
    </row>
    <row r="158">
      <c r="A158" s="117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117"/>
      <c r="I158" s="117"/>
      <c r="J158" s="117"/>
      <c r="K158" s="117"/>
      <c r="L158" s="115"/>
    </row>
    <row r="159">
      <c r="A159" s="117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117"/>
      <c r="I159" s="117"/>
      <c r="J159" s="117"/>
      <c r="K159" s="117"/>
      <c r="L159" s="115"/>
    </row>
    <row r="160">
      <c r="A160" s="117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117"/>
      <c r="I160" s="117"/>
      <c r="J160" s="117"/>
      <c r="K160" s="117"/>
      <c r="L160" s="115"/>
    </row>
    <row r="161">
      <c r="A161" s="117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117"/>
      <c r="I161" s="117"/>
      <c r="J161" s="117"/>
      <c r="K161" s="117"/>
      <c r="L161" s="115"/>
    </row>
    <row r="162">
      <c r="A162" s="117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117"/>
      <c r="I162" s="117"/>
      <c r="J162" s="117"/>
      <c r="K162" s="117"/>
      <c r="L162" s="115"/>
    </row>
    <row r="163">
      <c r="A163" s="117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117"/>
      <c r="I163" s="117"/>
      <c r="J163" s="117"/>
      <c r="K163" s="117"/>
      <c r="L163" s="115"/>
    </row>
    <row r="164">
      <c r="A164" s="117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117"/>
      <c r="I164" s="117"/>
      <c r="J164" s="117"/>
      <c r="K164" s="117"/>
      <c r="L164" s="115"/>
    </row>
    <row r="165">
      <c r="A165" s="117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117"/>
      <c r="I165" s="117"/>
      <c r="J165" s="117"/>
      <c r="K165" s="117"/>
      <c r="L165" s="115"/>
    </row>
    <row r="166">
      <c r="A166" s="117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117"/>
      <c r="I166" s="117"/>
      <c r="J166" s="117"/>
      <c r="K166" s="117"/>
      <c r="L166" s="115"/>
    </row>
    <row r="167">
      <c r="A167" s="117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117"/>
      <c r="I167" s="117"/>
      <c r="J167" s="117"/>
      <c r="K167" s="117"/>
      <c r="L167" s="115"/>
    </row>
    <row r="168">
      <c r="A168" s="117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117"/>
      <c r="I168" s="117"/>
      <c r="J168" s="117"/>
      <c r="K168" s="117"/>
      <c r="L168" s="115"/>
    </row>
    <row r="169">
      <c r="A169" s="117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117"/>
      <c r="I169" s="117"/>
      <c r="J169" s="117"/>
      <c r="K169" s="117"/>
      <c r="L169" s="115"/>
    </row>
    <row r="170">
      <c r="A170" s="117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117"/>
      <c r="I170" s="117"/>
      <c r="J170" s="117"/>
      <c r="K170" s="117"/>
      <c r="L170" s="115"/>
    </row>
    <row r="171">
      <c r="A171" s="117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117"/>
      <c r="I171" s="117"/>
      <c r="J171" s="117"/>
      <c r="K171" s="117"/>
      <c r="L171" s="115"/>
    </row>
    <row r="172">
      <c r="A172" s="117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117"/>
      <c r="I172" s="117"/>
      <c r="J172" s="117"/>
      <c r="K172" s="117"/>
      <c r="L172" s="115"/>
    </row>
    <row r="173">
      <c r="A173" s="117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117"/>
      <c r="I173" s="117"/>
      <c r="J173" s="117"/>
      <c r="K173" s="117"/>
      <c r="L173" s="115"/>
    </row>
    <row r="174">
      <c r="A174" s="117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117"/>
      <c r="I174" s="117"/>
      <c r="J174" s="117"/>
      <c r="K174" s="117"/>
      <c r="L174" s="115"/>
    </row>
    <row r="175">
      <c r="A175" s="117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117"/>
      <c r="I175" s="117"/>
      <c r="J175" s="117"/>
      <c r="K175" s="117"/>
      <c r="L175" s="115"/>
    </row>
    <row r="176">
      <c r="A176" s="117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117"/>
      <c r="I176" s="117"/>
      <c r="J176" s="117"/>
      <c r="K176" s="117"/>
      <c r="L176" s="115"/>
    </row>
    <row r="177">
      <c r="A177" s="117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117"/>
      <c r="I177" s="117"/>
      <c r="J177" s="117"/>
      <c r="K177" s="117"/>
      <c r="L177" s="115"/>
    </row>
    <row r="178">
      <c r="A178" s="117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117"/>
      <c r="I178" s="117"/>
      <c r="J178" s="117"/>
      <c r="K178" s="117"/>
      <c r="L178" s="115"/>
    </row>
    <row r="179">
      <c r="A179" s="117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117"/>
      <c r="I179" s="117"/>
      <c r="J179" s="117"/>
      <c r="K179" s="117"/>
      <c r="L179" s="115"/>
    </row>
    <row r="180">
      <c r="A180" s="117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117"/>
      <c r="I180" s="117"/>
      <c r="J180" s="117"/>
      <c r="K180" s="117"/>
      <c r="L180" s="115"/>
    </row>
    <row r="181">
      <c r="A181" s="117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117"/>
      <c r="I181" s="117"/>
      <c r="J181" s="117"/>
      <c r="K181" s="117"/>
      <c r="L181" s="115"/>
    </row>
    <row r="182">
      <c r="A182" s="117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117"/>
      <c r="I182" s="117"/>
      <c r="J182" s="117"/>
      <c r="K182" s="117"/>
      <c r="L182" s="115"/>
    </row>
    <row r="183">
      <c r="A183" s="117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117"/>
      <c r="I183" s="117"/>
      <c r="J183" s="117"/>
      <c r="K183" s="117"/>
      <c r="L183" s="115"/>
    </row>
    <row r="184">
      <c r="A184" s="117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117"/>
      <c r="I184" s="117"/>
      <c r="J184" s="117"/>
      <c r="K184" s="117"/>
      <c r="L184" s="115"/>
    </row>
    <row r="185">
      <c r="A185" s="117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117"/>
      <c r="I185" s="117"/>
      <c r="J185" s="117"/>
      <c r="K185" s="117"/>
      <c r="L185" s="115"/>
    </row>
    <row r="186">
      <c r="A186" s="117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117"/>
      <c r="I186" s="117"/>
      <c r="J186" s="117"/>
      <c r="K186" s="117"/>
      <c r="L186" s="115"/>
    </row>
    <row r="187">
      <c r="A187" s="117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117"/>
      <c r="I187" s="117"/>
      <c r="J187" s="117"/>
      <c r="K187" s="117"/>
      <c r="L187" s="115"/>
    </row>
    <row r="188">
      <c r="A188" s="117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117"/>
      <c r="I188" s="117"/>
      <c r="J188" s="117"/>
      <c r="K188" s="117"/>
      <c r="L188" s="115"/>
    </row>
    <row r="189">
      <c r="A189" s="117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117"/>
      <c r="I189" s="117"/>
      <c r="J189" s="117"/>
      <c r="K189" s="117"/>
      <c r="L189" s="115"/>
    </row>
    <row r="190">
      <c r="A190" s="117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117"/>
      <c r="I190" s="117"/>
      <c r="J190" s="117"/>
      <c r="K190" s="117"/>
      <c r="L190" s="115"/>
    </row>
    <row r="191">
      <c r="A191" s="117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117"/>
      <c r="I191" s="117"/>
      <c r="J191" s="117"/>
      <c r="K191" s="117"/>
      <c r="L191" s="115"/>
    </row>
    <row r="192">
      <c r="A192" s="117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117"/>
      <c r="I192" s="117"/>
      <c r="J192" s="117"/>
      <c r="K192" s="117"/>
      <c r="L192" s="115"/>
    </row>
    <row r="193">
      <c r="A193" s="117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117"/>
      <c r="I193" s="117"/>
      <c r="J193" s="117"/>
      <c r="K193" s="117"/>
      <c r="L193" s="115"/>
    </row>
    <row r="194">
      <c r="A194" s="117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117"/>
      <c r="I194" s="117"/>
      <c r="J194" s="117"/>
      <c r="K194" s="117"/>
      <c r="L194" s="115"/>
    </row>
    <row r="195">
      <c r="A195" s="117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117"/>
      <c r="I195" s="117"/>
      <c r="J195" s="117"/>
      <c r="K195" s="117"/>
      <c r="L195" s="115"/>
    </row>
    <row r="196">
      <c r="A196" s="117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117"/>
      <c r="I196" s="117"/>
      <c r="J196" s="117"/>
      <c r="K196" s="117"/>
      <c r="L196" s="115"/>
    </row>
    <row r="197">
      <c r="A197" s="117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117"/>
      <c r="I197" s="117"/>
      <c r="J197" s="117"/>
      <c r="K197" s="117"/>
      <c r="L197" s="115"/>
    </row>
    <row r="198">
      <c r="A198" s="117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117"/>
      <c r="I198" s="117"/>
      <c r="J198" s="117"/>
      <c r="K198" s="117"/>
      <c r="L198" s="115"/>
    </row>
    <row r="199">
      <c r="A199" s="117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117"/>
      <c r="I199" s="117"/>
      <c r="J199" s="117"/>
      <c r="K199" s="117"/>
      <c r="L199" s="115"/>
    </row>
    <row r="200">
      <c r="A200" s="117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117"/>
      <c r="I200" s="117"/>
      <c r="J200" s="117"/>
      <c r="K200" s="117"/>
      <c r="L200" s="115"/>
    </row>
    <row r="201">
      <c r="A201" s="117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117"/>
      <c r="I201" s="117"/>
      <c r="J201" s="117"/>
      <c r="K201" s="117"/>
      <c r="L201" s="115"/>
    </row>
    <row r="202">
      <c r="A202" s="117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117"/>
      <c r="I202" s="117"/>
      <c r="J202" s="117"/>
      <c r="K202" s="117"/>
      <c r="L202" s="115"/>
    </row>
    <row r="203">
      <c r="A203" s="117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117"/>
      <c r="I203" s="117"/>
      <c r="J203" s="117"/>
      <c r="K203" s="117"/>
      <c r="L203" s="115"/>
    </row>
    <row r="204">
      <c r="A204" s="117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117"/>
      <c r="I204" s="117"/>
      <c r="J204" s="117"/>
      <c r="K204" s="117"/>
      <c r="L204" s="115"/>
    </row>
    <row r="205">
      <c r="A205" s="117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117"/>
      <c r="I205" s="117"/>
      <c r="J205" s="117"/>
      <c r="K205" s="117"/>
      <c r="L205" s="115"/>
    </row>
    <row r="206">
      <c r="A206" s="117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117"/>
      <c r="I206" s="117"/>
      <c r="J206" s="117"/>
      <c r="K206" s="117"/>
      <c r="L206" s="115"/>
    </row>
    <row r="207">
      <c r="A207" s="117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117"/>
      <c r="I207" s="117"/>
      <c r="J207" s="117"/>
      <c r="K207" s="117"/>
      <c r="L207" s="115"/>
    </row>
    <row r="208">
      <c r="A208" s="117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117"/>
      <c r="I208" s="117"/>
      <c r="J208" s="117"/>
      <c r="K208" s="117"/>
      <c r="L208" s="115"/>
    </row>
    <row r="209">
      <c r="A209" s="117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117"/>
      <c r="I209" s="117"/>
      <c r="J209" s="117"/>
      <c r="K209" s="117"/>
      <c r="L209" s="115"/>
    </row>
    <row r="210">
      <c r="A210" s="117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117"/>
      <c r="I210" s="117"/>
      <c r="J210" s="117"/>
      <c r="K210" s="117"/>
      <c r="L210" s="115"/>
    </row>
    <row r="211">
      <c r="A211" s="117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117"/>
      <c r="I211" s="117"/>
      <c r="J211" s="117"/>
      <c r="K211" s="117"/>
      <c r="L211" s="115"/>
    </row>
    <row r="212">
      <c r="A212" s="117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117"/>
      <c r="I212" s="117"/>
      <c r="J212" s="117"/>
      <c r="K212" s="117"/>
      <c r="L212" s="115"/>
    </row>
    <row r="213">
      <c r="A213" s="117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117"/>
      <c r="I213" s="117"/>
      <c r="J213" s="117"/>
      <c r="K213" s="117"/>
      <c r="L213" s="115"/>
    </row>
    <row r="214">
      <c r="A214" s="117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117"/>
      <c r="I214" s="117"/>
      <c r="J214" s="117"/>
      <c r="K214" s="117"/>
      <c r="L214" s="115"/>
    </row>
    <row r="215">
      <c r="A215" s="117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117"/>
      <c r="I215" s="117"/>
      <c r="J215" s="117"/>
      <c r="K215" s="117"/>
      <c r="L215" s="115"/>
    </row>
    <row r="216">
      <c r="A216" s="117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117"/>
      <c r="I216" s="117"/>
      <c r="J216" s="117"/>
      <c r="K216" s="117"/>
      <c r="L216" s="115"/>
    </row>
    <row r="217">
      <c r="A217" s="117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117"/>
      <c r="I217" s="117"/>
      <c r="J217" s="117"/>
      <c r="K217" s="117"/>
      <c r="L217" s="115"/>
    </row>
    <row r="218">
      <c r="A218" s="117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117"/>
      <c r="I218" s="117"/>
      <c r="J218" s="117"/>
      <c r="K218" s="117"/>
      <c r="L218" s="115"/>
    </row>
    <row r="219">
      <c r="A219" s="117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117"/>
      <c r="I219" s="117"/>
      <c r="J219" s="117"/>
      <c r="K219" s="117"/>
      <c r="L219" s="115"/>
    </row>
    <row r="220">
      <c r="A220" s="117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117"/>
      <c r="I220" s="117"/>
      <c r="J220" s="117"/>
      <c r="K220" s="117"/>
      <c r="L220" s="115"/>
    </row>
    <row r="221">
      <c r="A221" s="117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117"/>
      <c r="I221" s="117"/>
      <c r="J221" s="117"/>
      <c r="K221" s="117"/>
      <c r="L221" s="115"/>
    </row>
    <row r="222">
      <c r="A222" s="117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117"/>
      <c r="I222" s="117"/>
      <c r="J222" s="117"/>
      <c r="K222" s="117"/>
      <c r="L222" s="115"/>
    </row>
    <row r="223">
      <c r="A223" s="117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117"/>
      <c r="I223" s="117"/>
      <c r="J223" s="117"/>
      <c r="K223" s="117"/>
      <c r="L223" s="115"/>
    </row>
    <row r="224">
      <c r="A224" s="117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117"/>
      <c r="I224" s="117"/>
      <c r="J224" s="117"/>
      <c r="K224" s="117"/>
      <c r="L224" s="115"/>
    </row>
    <row r="225">
      <c r="A225" s="117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117"/>
      <c r="I225" s="117"/>
      <c r="J225" s="117"/>
      <c r="K225" s="117"/>
      <c r="L225" s="115"/>
    </row>
    <row r="226">
      <c r="A226" s="117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117"/>
      <c r="I226" s="117"/>
      <c r="J226" s="117"/>
      <c r="K226" s="117"/>
      <c r="L226" s="115"/>
    </row>
    <row r="227">
      <c r="A227" s="117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117"/>
      <c r="I227" s="117"/>
      <c r="J227" s="117"/>
      <c r="K227" s="117"/>
      <c r="L227" s="115"/>
    </row>
    <row r="228">
      <c r="A228" s="117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117"/>
      <c r="I228" s="117"/>
      <c r="J228" s="117"/>
      <c r="K228" s="117"/>
      <c r="L228" s="115"/>
    </row>
    <row r="229">
      <c r="A229" s="117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117"/>
      <c r="I229" s="117"/>
      <c r="J229" s="117"/>
      <c r="K229" s="117"/>
      <c r="L229" s="115"/>
    </row>
    <row r="230">
      <c r="A230" s="117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117"/>
      <c r="I230" s="117"/>
      <c r="J230" s="117"/>
      <c r="K230" s="117"/>
      <c r="L230" s="115"/>
    </row>
    <row r="231">
      <c r="A231" s="117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117"/>
      <c r="I231" s="117"/>
      <c r="J231" s="117"/>
      <c r="K231" s="117"/>
      <c r="L231" s="115"/>
    </row>
    <row r="232">
      <c r="A232" s="117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117"/>
      <c r="I232" s="117"/>
      <c r="J232" s="117"/>
      <c r="K232" s="117"/>
      <c r="L232" s="115"/>
    </row>
    <row r="233">
      <c r="A233" s="117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117"/>
      <c r="I233" s="117"/>
      <c r="J233" s="117"/>
      <c r="K233" s="117"/>
      <c r="L233" s="115"/>
    </row>
    <row r="234">
      <c r="A234" s="117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117"/>
      <c r="I234" s="117"/>
      <c r="J234" s="117"/>
      <c r="K234" s="117"/>
      <c r="L234" s="115"/>
    </row>
    <row r="235">
      <c r="A235" s="117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117"/>
      <c r="I235" s="117"/>
      <c r="J235" s="117"/>
      <c r="K235" s="117"/>
      <c r="L235" s="115"/>
    </row>
    <row r="236">
      <c r="A236" s="117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117"/>
      <c r="I236" s="117"/>
      <c r="J236" s="117"/>
      <c r="K236" s="117"/>
      <c r="L236" s="115"/>
    </row>
    <row r="237">
      <c r="A237" s="117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117"/>
      <c r="I237" s="117"/>
      <c r="J237" s="117"/>
      <c r="K237" s="117"/>
      <c r="L237" s="115"/>
    </row>
    <row r="238">
      <c r="A238" s="117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117"/>
      <c r="I238" s="117"/>
      <c r="J238" s="117"/>
      <c r="K238" s="117"/>
      <c r="L238" s="115"/>
    </row>
    <row r="239">
      <c r="A239" s="117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117"/>
      <c r="I239" s="117"/>
      <c r="J239" s="117"/>
      <c r="K239" s="117"/>
      <c r="L239" s="115"/>
    </row>
    <row r="240">
      <c r="A240" s="117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117"/>
      <c r="I240" s="117"/>
      <c r="J240" s="117"/>
      <c r="K240" s="117"/>
      <c r="L240" s="115"/>
    </row>
    <row r="241">
      <c r="A241" s="117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117"/>
      <c r="I241" s="117"/>
      <c r="J241" s="117"/>
      <c r="K241" s="117"/>
      <c r="L241" s="115"/>
    </row>
    <row r="242">
      <c r="A242" s="117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117"/>
      <c r="I242" s="117"/>
      <c r="J242" s="117"/>
      <c r="K242" s="117"/>
      <c r="L242" s="115"/>
    </row>
    <row r="243">
      <c r="A243" s="117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117"/>
      <c r="I243" s="117"/>
      <c r="J243" s="117"/>
      <c r="K243" s="117"/>
      <c r="L243" s="115"/>
    </row>
    <row r="244">
      <c r="A244" s="117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117"/>
      <c r="I244" s="117"/>
      <c r="J244" s="117"/>
      <c r="K244" s="117"/>
      <c r="L244" s="115"/>
    </row>
    <row r="245">
      <c r="A245" s="117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117"/>
      <c r="I245" s="117"/>
      <c r="J245" s="117"/>
      <c r="K245" s="117"/>
      <c r="L245" s="115"/>
    </row>
    <row r="246">
      <c r="A246" s="117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117"/>
      <c r="I246" s="117"/>
      <c r="J246" s="117"/>
      <c r="K246" s="117"/>
      <c r="L246" s="115"/>
    </row>
    <row r="247">
      <c r="A247" s="117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117"/>
      <c r="I247" s="117"/>
      <c r="J247" s="117"/>
      <c r="K247" s="117"/>
      <c r="L247" s="115"/>
    </row>
    <row r="248">
      <c r="A248" s="117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117"/>
      <c r="I248" s="117"/>
      <c r="J248" s="117"/>
      <c r="K248" s="117"/>
      <c r="L248" s="115"/>
    </row>
    <row r="249">
      <c r="A249" s="117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117"/>
      <c r="I249" s="117"/>
      <c r="J249" s="117"/>
      <c r="K249" s="117"/>
      <c r="L249" s="115"/>
    </row>
    <row r="250">
      <c r="A250" s="117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117"/>
      <c r="I250" s="117"/>
      <c r="J250" s="117"/>
      <c r="K250" s="117"/>
      <c r="L250" s="115"/>
    </row>
    <row r="251">
      <c r="A251" s="117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117"/>
      <c r="I251" s="117"/>
      <c r="J251" s="117"/>
      <c r="K251" s="117"/>
      <c r="L251" s="115"/>
    </row>
    <row r="252">
      <c r="A252" s="117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117"/>
      <c r="I252" s="117"/>
      <c r="J252" s="117"/>
      <c r="K252" s="117"/>
      <c r="L252" s="115"/>
    </row>
    <row r="253">
      <c r="A253" s="117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117"/>
      <c r="I253" s="117"/>
      <c r="J253" s="117"/>
      <c r="K253" s="117"/>
      <c r="L253" s="115"/>
    </row>
    <row r="254">
      <c r="A254" s="117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117"/>
      <c r="I254" s="117"/>
      <c r="J254" s="117"/>
      <c r="K254" s="117"/>
      <c r="L254" s="115"/>
    </row>
    <row r="255">
      <c r="A255" s="117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117"/>
      <c r="I255" s="117"/>
      <c r="J255" s="117"/>
      <c r="K255" s="117"/>
      <c r="L255" s="115"/>
    </row>
    <row r="256">
      <c r="A256" s="117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117"/>
      <c r="I256" s="117"/>
      <c r="J256" s="117"/>
      <c r="K256" s="117"/>
      <c r="L256" s="115"/>
    </row>
    <row r="257">
      <c r="A257" s="117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117"/>
      <c r="I257" s="117"/>
      <c r="J257" s="117"/>
      <c r="K257" s="117"/>
      <c r="L257" s="115"/>
    </row>
    <row r="258">
      <c r="A258" s="117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117"/>
      <c r="I258" s="117"/>
      <c r="J258" s="117"/>
      <c r="K258" s="117"/>
      <c r="L258" s="115"/>
    </row>
    <row r="259">
      <c r="A259" s="117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117"/>
      <c r="I259" s="117"/>
      <c r="J259" s="117"/>
      <c r="K259" s="117"/>
      <c r="L259" s="115"/>
    </row>
    <row r="260">
      <c r="A260" s="117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117"/>
      <c r="I260" s="117"/>
      <c r="J260" s="117"/>
      <c r="K260" s="117"/>
      <c r="L260" s="115"/>
    </row>
    <row r="261">
      <c r="A261" s="117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117"/>
      <c r="I261" s="117"/>
      <c r="J261" s="117"/>
      <c r="K261" s="117"/>
      <c r="L261" s="115"/>
    </row>
    <row r="262">
      <c r="A262" s="117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117"/>
      <c r="I262" s="117"/>
      <c r="J262" s="117"/>
      <c r="K262" s="117"/>
      <c r="L262" s="115"/>
    </row>
    <row r="263">
      <c r="A263" s="117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117"/>
      <c r="I263" s="117"/>
      <c r="J263" s="117"/>
      <c r="K263" s="117"/>
      <c r="L263" s="115"/>
    </row>
    <row r="264">
      <c r="A264" s="117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117"/>
      <c r="I264" s="117"/>
      <c r="J264" s="117"/>
      <c r="K264" s="117"/>
      <c r="L264" s="115"/>
    </row>
    <row r="265">
      <c r="A265" s="117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117"/>
      <c r="I265" s="117"/>
      <c r="J265" s="117"/>
      <c r="K265" s="117"/>
      <c r="L265" s="115"/>
    </row>
    <row r="266">
      <c r="A266" s="117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117"/>
      <c r="I266" s="117"/>
      <c r="J266" s="117"/>
      <c r="K266" s="117"/>
      <c r="L266" s="115"/>
    </row>
    <row r="267">
      <c r="A267" s="117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117"/>
      <c r="I267" s="117"/>
      <c r="J267" s="117"/>
      <c r="K267" s="117"/>
      <c r="L267" s="115"/>
    </row>
    <row r="268">
      <c r="A268" s="117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117"/>
      <c r="I268" s="117"/>
      <c r="J268" s="117"/>
      <c r="K268" s="117"/>
      <c r="L268" s="115"/>
    </row>
    <row r="269">
      <c r="A269" s="117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117"/>
      <c r="I269" s="117"/>
      <c r="J269" s="117"/>
      <c r="K269" s="117"/>
      <c r="L269" s="115"/>
    </row>
    <row r="270">
      <c r="A270" s="117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117"/>
      <c r="I270" s="117"/>
      <c r="J270" s="117"/>
      <c r="K270" s="117"/>
      <c r="L270" s="115"/>
    </row>
    <row r="271">
      <c r="A271" s="117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117"/>
      <c r="I271" s="117"/>
      <c r="J271" s="117"/>
      <c r="K271" s="117"/>
      <c r="L271" s="115"/>
    </row>
    <row r="272">
      <c r="A272" s="117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117"/>
      <c r="I272" s="117"/>
      <c r="J272" s="117"/>
      <c r="K272" s="117"/>
      <c r="L272" s="115"/>
    </row>
    <row r="273">
      <c r="A273" s="117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117"/>
      <c r="I273" s="117"/>
      <c r="J273" s="117"/>
      <c r="K273" s="117"/>
      <c r="L273" s="115"/>
    </row>
    <row r="274">
      <c r="A274" s="117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117"/>
      <c r="I274" s="117"/>
      <c r="J274" s="117"/>
      <c r="K274" s="117"/>
      <c r="L274" s="115"/>
    </row>
    <row r="275">
      <c r="A275" s="117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117"/>
      <c r="I275" s="117"/>
      <c r="J275" s="117"/>
      <c r="K275" s="117"/>
      <c r="L275" s="115"/>
    </row>
    <row r="276">
      <c r="A276" s="117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117"/>
      <c r="I276" s="117"/>
      <c r="J276" s="117"/>
      <c r="K276" s="117"/>
      <c r="L276" s="115"/>
    </row>
    <row r="277">
      <c r="A277" s="117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117"/>
      <c r="I277" s="117"/>
      <c r="J277" s="117"/>
      <c r="K277" s="117"/>
      <c r="L277" s="115"/>
    </row>
    <row r="278">
      <c r="A278" s="117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117"/>
      <c r="I278" s="117"/>
      <c r="J278" s="117"/>
      <c r="K278" s="117"/>
      <c r="L278" s="115"/>
    </row>
    <row r="279">
      <c r="A279" s="117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117"/>
      <c r="I279" s="117"/>
      <c r="J279" s="117"/>
      <c r="K279" s="117"/>
      <c r="L279" s="115"/>
    </row>
    <row r="280">
      <c r="A280" s="117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117"/>
      <c r="I280" s="117"/>
      <c r="J280" s="117"/>
      <c r="K280" s="117"/>
      <c r="L280" s="115"/>
    </row>
    <row r="281">
      <c r="A281" s="117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117"/>
      <c r="I281" s="117"/>
      <c r="J281" s="117"/>
      <c r="K281" s="117"/>
      <c r="L281" s="115"/>
    </row>
    <row r="282">
      <c r="A282" s="117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117"/>
      <c r="I282" s="117"/>
      <c r="J282" s="117"/>
      <c r="K282" s="117"/>
      <c r="L282" s="115"/>
    </row>
    <row r="283">
      <c r="A283" s="117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117"/>
      <c r="I283" s="117"/>
      <c r="J283" s="117"/>
      <c r="K283" s="117"/>
      <c r="L283" s="115"/>
    </row>
    <row r="284"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117"/>
      <c r="I284" s="117"/>
      <c r="J284" s="117"/>
      <c r="K284" s="117"/>
      <c r="L284" s="115"/>
    </row>
    <row r="285"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117"/>
      <c r="I285" s="117"/>
      <c r="J285" s="117"/>
      <c r="K285" s="117"/>
      <c r="L285" s="115"/>
    </row>
    <row r="286"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117"/>
      <c r="I286" s="117"/>
      <c r="J286" s="117"/>
      <c r="K286" s="117"/>
      <c r="L286" s="115"/>
    </row>
    <row r="287"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117"/>
      <c r="I287" s="117"/>
      <c r="J287" s="117"/>
      <c r="K287" s="117"/>
      <c r="L287" s="115"/>
    </row>
    <row r="288"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117"/>
      <c r="I288" s="117"/>
      <c r="J288" s="117"/>
      <c r="K288" s="117"/>
      <c r="L288" s="115"/>
    </row>
    <row r="289"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117"/>
      <c r="I289" s="117"/>
      <c r="J289" s="117"/>
      <c r="K289" s="117"/>
      <c r="L289" s="115"/>
    </row>
    <row r="290"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117"/>
      <c r="I290" s="117"/>
      <c r="J290" s="117"/>
      <c r="K290" s="117"/>
      <c r="L290" s="115"/>
    </row>
    <row r="291"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117"/>
      <c r="I291" s="117"/>
      <c r="J291" s="117"/>
      <c r="K291" s="117"/>
      <c r="L291" s="115"/>
    </row>
    <row r="292"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117"/>
      <c r="I292" s="117"/>
      <c r="J292" s="117"/>
      <c r="K292" s="117"/>
      <c r="L292" s="115"/>
    </row>
    <row r="293"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117"/>
      <c r="I293" s="117"/>
      <c r="J293" s="117"/>
      <c r="K293" s="117"/>
      <c r="L293" s="115"/>
    </row>
    <row r="294"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117"/>
      <c r="I294" s="117"/>
      <c r="J294" s="117"/>
      <c r="K294" s="117"/>
      <c r="L294" s="115"/>
    </row>
    <row r="295"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117"/>
      <c r="I295" s="117"/>
      <c r="J295" s="117"/>
      <c r="K295" s="117"/>
      <c r="L295" s="115"/>
    </row>
    <row r="296"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117"/>
      <c r="I296" s="117"/>
      <c r="J296" s="117"/>
      <c r="K296" s="117"/>
      <c r="L296" s="115"/>
    </row>
    <row r="297"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117"/>
      <c r="I297" s="117"/>
      <c r="J297" s="117"/>
      <c r="K297" s="117"/>
      <c r="L297" s="115"/>
    </row>
    <row r="298"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117"/>
      <c r="I298" s="117"/>
      <c r="J298" s="117"/>
      <c r="K298" s="117"/>
      <c r="L298" s="115"/>
    </row>
    <row r="299">
      <c r="B299" s="135"/>
      <c r="G299" s="94"/>
    </row>
    <row r="300">
      <c r="B300" s="135"/>
      <c r="G300" s="94"/>
    </row>
    <row r="301">
      <c r="B301" s="135"/>
      <c r="G301" s="94"/>
    </row>
    <row r="302">
      <c r="B302" s="135"/>
      <c r="G302" s="94"/>
    </row>
    <row r="303">
      <c r="B303" s="135"/>
      <c r="G303" s="94"/>
    </row>
    <row r="304">
      <c r="B304" s="135"/>
      <c r="G304" s="94"/>
    </row>
    <row r="305">
      <c r="B305" s="135"/>
      <c r="G305" s="94"/>
    </row>
    <row r="306">
      <c r="B306" s="135"/>
      <c r="G306" s="94"/>
    </row>
    <row r="307">
      <c r="B307" s="135"/>
      <c r="G307" s="94"/>
    </row>
    <row r="308">
      <c r="B308" s="135"/>
      <c r="G308" s="94"/>
    </row>
    <row r="309">
      <c r="B309" s="135"/>
      <c r="G309" s="94"/>
    </row>
    <row r="310">
      <c r="B310" s="135"/>
      <c r="G310" s="94"/>
    </row>
    <row r="311">
      <c r="B311" s="135"/>
      <c r="G311" s="94"/>
    </row>
    <row r="312">
      <c r="B312" s="135"/>
      <c r="G312" s="94"/>
    </row>
    <row r="313">
      <c r="B313" s="135"/>
      <c r="G313" s="94"/>
    </row>
    <row r="314">
      <c r="B314" s="135"/>
      <c r="G314" s="94"/>
    </row>
    <row r="315">
      <c r="B315" s="135"/>
      <c r="G315" s="94"/>
    </row>
    <row r="316">
      <c r="B316" s="135"/>
      <c r="G316" s="94"/>
    </row>
    <row r="317">
      <c r="B317" s="135"/>
      <c r="G317" s="94"/>
    </row>
    <row r="318">
      <c r="B318" s="135"/>
      <c r="G318" s="94"/>
    </row>
    <row r="319">
      <c r="B319" s="135"/>
      <c r="G319" s="94"/>
    </row>
    <row r="320">
      <c r="B320" s="135"/>
      <c r="G320" s="94"/>
    </row>
    <row r="321">
      <c r="B321" s="135"/>
      <c r="G321" s="94"/>
    </row>
    <row r="322">
      <c r="B322" s="135"/>
      <c r="G322" s="94"/>
    </row>
    <row r="323">
      <c r="B323" s="135"/>
      <c r="G323" s="94"/>
    </row>
    <row r="324">
      <c r="B324" s="135"/>
      <c r="G324" s="94"/>
    </row>
    <row r="325">
      <c r="B325" s="135"/>
      <c r="G325" s="94"/>
    </row>
    <row r="326">
      <c r="B326" s="135"/>
      <c r="G326" s="94"/>
    </row>
    <row r="327">
      <c r="B327" s="135"/>
      <c r="G327" s="94"/>
    </row>
    <row r="328">
      <c r="B328" s="135"/>
      <c r="G328" s="94"/>
    </row>
    <row r="329">
      <c r="B329" s="135"/>
      <c r="G329" s="94"/>
    </row>
    <row r="330">
      <c r="B330" s="135"/>
      <c r="G330" s="94"/>
    </row>
    <row r="331">
      <c r="B331" s="135"/>
      <c r="G331" s="94"/>
    </row>
    <row r="332">
      <c r="B332" s="135"/>
      <c r="G332" s="94"/>
    </row>
    <row r="333">
      <c r="B333" s="135"/>
      <c r="G333" s="94"/>
    </row>
    <row r="334">
      <c r="B334" s="135"/>
      <c r="G334" s="94"/>
    </row>
    <row r="335">
      <c r="B335" s="135"/>
      <c r="G335" s="94"/>
    </row>
    <row r="336">
      <c r="B336" s="135"/>
      <c r="G336" s="94"/>
    </row>
    <row r="337">
      <c r="B337" s="135"/>
      <c r="G337" s="94"/>
    </row>
    <row r="338">
      <c r="B338" s="135"/>
      <c r="G338" s="94"/>
    </row>
    <row r="339">
      <c r="B339" s="135"/>
      <c r="G339" s="94"/>
    </row>
    <row r="340">
      <c r="B340" s="135"/>
      <c r="G340" s="94"/>
    </row>
    <row r="341">
      <c r="B341" s="135"/>
      <c r="G341" s="94"/>
    </row>
    <row r="342">
      <c r="B342" s="135"/>
      <c r="G342" s="94"/>
    </row>
    <row r="343">
      <c r="B343" s="135"/>
      <c r="G343" s="94"/>
    </row>
    <row r="344">
      <c r="B344" s="135"/>
      <c r="G344" s="94"/>
    </row>
    <row r="345">
      <c r="B345" s="135"/>
      <c r="G345" s="94"/>
    </row>
    <row r="346">
      <c r="B346" s="135"/>
      <c r="G346" s="94"/>
    </row>
    <row r="347">
      <c r="B347" s="135"/>
      <c r="G347" s="94"/>
    </row>
    <row r="348">
      <c r="B348" s="135"/>
      <c r="G348" s="94"/>
    </row>
    <row r="349">
      <c r="B349" s="135"/>
      <c r="G349" s="94"/>
    </row>
    <row r="350">
      <c r="B350" s="135"/>
      <c r="G350" s="94"/>
    </row>
    <row r="351">
      <c r="B351" s="135"/>
      <c r="G351" s="94"/>
    </row>
    <row r="352">
      <c r="B352" s="135"/>
      <c r="G352" s="94"/>
    </row>
    <row r="353">
      <c r="B353" s="135"/>
      <c r="G353" s="94"/>
    </row>
    <row r="354">
      <c r="B354" s="135"/>
      <c r="G354" s="94"/>
    </row>
    <row r="355">
      <c r="B355" s="135"/>
      <c r="G355" s="94"/>
    </row>
    <row r="356">
      <c r="B356" s="135"/>
      <c r="G356" s="94"/>
    </row>
    <row r="357">
      <c r="B357" s="135"/>
      <c r="G357" s="94"/>
    </row>
    <row r="358">
      <c r="B358" s="135"/>
      <c r="G358" s="94"/>
    </row>
    <row r="359">
      <c r="B359" s="135"/>
      <c r="G359" s="94"/>
    </row>
    <row r="360">
      <c r="B360" s="135"/>
      <c r="G360" s="94"/>
    </row>
    <row r="361">
      <c r="B361" s="135"/>
      <c r="G361" s="94"/>
    </row>
    <row r="362">
      <c r="B362" s="135"/>
      <c r="G362" s="94"/>
    </row>
    <row r="363">
      <c r="B363" s="135"/>
      <c r="G363" s="94"/>
    </row>
    <row r="364">
      <c r="B364" s="135"/>
      <c r="G364" s="94"/>
    </row>
    <row r="365">
      <c r="B365" s="135"/>
      <c r="G365" s="94"/>
    </row>
    <row r="366">
      <c r="B366" s="135"/>
      <c r="G366" s="94"/>
    </row>
    <row r="367">
      <c r="B367" s="135"/>
      <c r="G367" s="94"/>
    </row>
    <row r="368">
      <c r="B368" s="135"/>
      <c r="G368" s="94"/>
    </row>
    <row r="369">
      <c r="B369" s="135"/>
      <c r="G369" s="94"/>
    </row>
    <row r="370">
      <c r="B370" s="135"/>
      <c r="G370" s="94"/>
    </row>
    <row r="371">
      <c r="B371" s="135"/>
      <c r="G371" s="94"/>
    </row>
    <row r="372">
      <c r="B372" s="135"/>
      <c r="G372" s="94"/>
    </row>
    <row r="373">
      <c r="B373" s="135"/>
      <c r="G373" s="94"/>
    </row>
    <row r="374">
      <c r="B374" s="135"/>
      <c r="G374" s="94"/>
    </row>
    <row r="375">
      <c r="B375" s="135"/>
      <c r="G375" s="94"/>
    </row>
    <row r="376">
      <c r="B376" s="135"/>
      <c r="G376" s="94"/>
    </row>
    <row r="377">
      <c r="B377" s="135"/>
      <c r="G377" s="94"/>
    </row>
    <row r="378">
      <c r="B378" s="135"/>
      <c r="G378" s="94"/>
    </row>
    <row r="379">
      <c r="B379" s="135"/>
      <c r="G379" s="94"/>
    </row>
    <row r="380">
      <c r="B380" s="135"/>
      <c r="G380" s="94"/>
    </row>
    <row r="381">
      <c r="B381" s="135"/>
      <c r="G381" s="94"/>
    </row>
    <row r="382">
      <c r="B382" s="135"/>
      <c r="G382" s="94"/>
    </row>
    <row r="383">
      <c r="B383" s="135"/>
      <c r="G383" s="94"/>
    </row>
    <row r="384">
      <c r="B384" s="135"/>
      <c r="G384" s="94"/>
    </row>
    <row r="385">
      <c r="B385" s="135"/>
      <c r="G385" s="94"/>
    </row>
    <row r="386">
      <c r="B386" s="135"/>
      <c r="G386" s="94"/>
    </row>
    <row r="387">
      <c r="B387" s="135"/>
      <c r="G387" s="94"/>
    </row>
    <row r="388">
      <c r="B388" s="135"/>
      <c r="G388" s="94"/>
    </row>
    <row r="389">
      <c r="B389" s="135"/>
      <c r="G389" s="94"/>
    </row>
    <row r="390">
      <c r="B390" s="135"/>
      <c r="G390" s="94"/>
    </row>
    <row r="391">
      <c r="B391" s="135"/>
      <c r="G391" s="94"/>
    </row>
    <row r="392">
      <c r="B392" s="135"/>
      <c r="G392" s="94"/>
    </row>
    <row r="393">
      <c r="B393" s="135"/>
      <c r="G393" s="94"/>
    </row>
    <row r="394">
      <c r="B394" s="135"/>
      <c r="G394" s="94"/>
    </row>
    <row r="395">
      <c r="B395" s="135"/>
      <c r="G395" s="94"/>
    </row>
    <row r="396">
      <c r="B396" s="135"/>
      <c r="G396" s="94"/>
    </row>
    <row r="397">
      <c r="B397" s="135"/>
      <c r="G397" s="94"/>
    </row>
    <row r="398">
      <c r="B398" s="135"/>
      <c r="G398" s="94"/>
    </row>
    <row r="399">
      <c r="B399" s="135"/>
      <c r="G399" s="94"/>
    </row>
    <row r="400">
      <c r="B400" s="135"/>
      <c r="G400" s="94"/>
    </row>
    <row r="401">
      <c r="B401" s="135"/>
      <c r="G401" s="94"/>
    </row>
    <row r="402">
      <c r="B402" s="135"/>
      <c r="G402" s="94"/>
    </row>
    <row r="403">
      <c r="B403" s="135"/>
      <c r="G403" s="94"/>
    </row>
    <row r="404">
      <c r="B404" s="135"/>
      <c r="G404" s="94"/>
    </row>
    <row r="405">
      <c r="B405" s="135"/>
      <c r="G405" s="94"/>
    </row>
    <row r="406">
      <c r="B406" s="135"/>
      <c r="G406" s="94"/>
    </row>
    <row r="407">
      <c r="B407" s="135"/>
      <c r="G407" s="94"/>
    </row>
    <row r="408">
      <c r="B408" s="135"/>
      <c r="G408" s="94"/>
    </row>
    <row r="409">
      <c r="B409" s="135"/>
      <c r="G409" s="94"/>
    </row>
    <row r="410">
      <c r="B410" s="135"/>
      <c r="G410" s="94"/>
    </row>
    <row r="411">
      <c r="B411" s="135"/>
      <c r="G411" s="94"/>
    </row>
    <row r="412">
      <c r="B412" s="135"/>
      <c r="G412" s="94"/>
    </row>
    <row r="413">
      <c r="B413" s="135"/>
      <c r="G413" s="94"/>
    </row>
    <row r="414">
      <c r="B414" s="135"/>
      <c r="G414" s="94"/>
    </row>
    <row r="415">
      <c r="B415" s="135"/>
      <c r="G415" s="94"/>
    </row>
    <row r="416">
      <c r="B416" s="135"/>
      <c r="G416" s="94"/>
    </row>
    <row r="417">
      <c r="B417" s="135"/>
      <c r="G417" s="94"/>
    </row>
    <row r="418">
      <c r="B418" s="135"/>
      <c r="G418" s="94"/>
    </row>
    <row r="419">
      <c r="B419" s="135"/>
      <c r="G419" s="94"/>
    </row>
    <row r="420">
      <c r="B420" s="135"/>
      <c r="G420" s="94"/>
    </row>
    <row r="421">
      <c r="B421" s="135"/>
      <c r="G421" s="94"/>
    </row>
    <row r="422">
      <c r="B422" s="135"/>
      <c r="G422" s="94"/>
    </row>
    <row r="423">
      <c r="B423" s="135"/>
      <c r="G423" s="94"/>
    </row>
    <row r="424">
      <c r="B424" s="135"/>
      <c r="G424" s="94"/>
    </row>
    <row r="425">
      <c r="B425" s="135"/>
      <c r="G425" s="94"/>
    </row>
    <row r="426">
      <c r="B426" s="135"/>
      <c r="G426" s="94"/>
    </row>
    <row r="427">
      <c r="B427" s="135"/>
      <c r="G427" s="94"/>
    </row>
    <row r="428">
      <c r="B428" s="135"/>
      <c r="G428" s="94"/>
    </row>
    <row r="429">
      <c r="B429" s="135"/>
      <c r="G429" s="94"/>
    </row>
    <row r="430">
      <c r="B430" s="135"/>
      <c r="G430" s="94"/>
    </row>
    <row r="431">
      <c r="B431" s="135"/>
      <c r="G431" s="94"/>
    </row>
    <row r="432">
      <c r="B432" s="135"/>
      <c r="G432" s="94"/>
    </row>
    <row r="433">
      <c r="B433" s="135"/>
      <c r="G433" s="94"/>
    </row>
    <row r="434">
      <c r="B434" s="135"/>
      <c r="G434" s="94"/>
    </row>
    <row r="435">
      <c r="B435" s="135"/>
      <c r="G435" s="94"/>
    </row>
    <row r="436">
      <c r="B436" s="135"/>
      <c r="G436" s="94"/>
    </row>
    <row r="437">
      <c r="B437" s="135"/>
      <c r="G437" s="94"/>
    </row>
    <row r="438">
      <c r="B438" s="135"/>
      <c r="G438" s="94"/>
    </row>
    <row r="439">
      <c r="B439" s="135"/>
      <c r="G439" s="94"/>
    </row>
    <row r="440">
      <c r="B440" s="135"/>
      <c r="G440" s="94"/>
    </row>
    <row r="441">
      <c r="B441" s="135"/>
      <c r="G441" s="94"/>
    </row>
    <row r="442">
      <c r="B442" s="135"/>
      <c r="G442" s="94"/>
    </row>
    <row r="443">
      <c r="B443" s="135"/>
      <c r="G443" s="94"/>
    </row>
    <row r="444">
      <c r="B444" s="135"/>
      <c r="G444" s="94"/>
    </row>
    <row r="445">
      <c r="B445" s="135"/>
      <c r="G445" s="94"/>
    </row>
    <row r="446">
      <c r="B446" s="135"/>
      <c r="G446" s="94"/>
    </row>
    <row r="447">
      <c r="B447" s="135"/>
      <c r="G447" s="94"/>
    </row>
    <row r="448">
      <c r="B448" s="135"/>
      <c r="G448" s="94"/>
    </row>
    <row r="449">
      <c r="B449" s="135"/>
      <c r="G449" s="94"/>
    </row>
    <row r="450">
      <c r="B450" s="135"/>
      <c r="G450" s="94"/>
    </row>
    <row r="451">
      <c r="B451" s="135"/>
      <c r="G451" s="94"/>
    </row>
    <row r="452">
      <c r="B452" s="135"/>
      <c r="G452" s="94"/>
    </row>
    <row r="453">
      <c r="B453" s="135"/>
      <c r="G453" s="94"/>
    </row>
    <row r="454">
      <c r="B454" s="135"/>
      <c r="G454" s="94"/>
    </row>
    <row r="455">
      <c r="B455" s="135"/>
      <c r="G455" s="94"/>
    </row>
    <row r="456">
      <c r="B456" s="135"/>
      <c r="G456" s="94"/>
    </row>
    <row r="457">
      <c r="B457" s="135"/>
      <c r="G457" s="94"/>
    </row>
    <row r="458">
      <c r="B458" s="135"/>
      <c r="G458" s="94"/>
    </row>
    <row r="459">
      <c r="B459" s="135"/>
      <c r="G459" s="94"/>
    </row>
    <row r="460">
      <c r="B460" s="135"/>
      <c r="G460" s="94"/>
    </row>
    <row r="461">
      <c r="B461" s="135"/>
      <c r="G461" s="94"/>
    </row>
    <row r="462">
      <c r="B462" s="135"/>
      <c r="G462" s="94"/>
    </row>
    <row r="463">
      <c r="B463" s="135"/>
      <c r="G463" s="94"/>
    </row>
    <row r="464">
      <c r="B464" s="135"/>
      <c r="G464" s="94"/>
    </row>
    <row r="465">
      <c r="B465" s="135"/>
      <c r="G465" s="94"/>
    </row>
    <row r="466">
      <c r="B466" s="135"/>
      <c r="G466" s="94"/>
    </row>
    <row r="467">
      <c r="B467" s="135"/>
      <c r="G467" s="94"/>
    </row>
    <row r="468">
      <c r="B468" s="135"/>
      <c r="G468" s="94"/>
    </row>
    <row r="469">
      <c r="B469" s="135"/>
      <c r="G469" s="94"/>
    </row>
    <row r="470">
      <c r="B470" s="135"/>
      <c r="G470" s="94"/>
    </row>
    <row r="471">
      <c r="B471" s="135"/>
      <c r="G471" s="94"/>
    </row>
    <row r="472">
      <c r="B472" s="135"/>
      <c r="G472" s="94"/>
    </row>
    <row r="473">
      <c r="B473" s="135"/>
      <c r="G473" s="94"/>
    </row>
    <row r="474">
      <c r="B474" s="135"/>
      <c r="G474" s="94"/>
    </row>
    <row r="475">
      <c r="B475" s="135"/>
      <c r="G475" s="94"/>
    </row>
    <row r="476">
      <c r="B476" s="135"/>
      <c r="G476" s="94"/>
    </row>
    <row r="477">
      <c r="B477" s="135"/>
      <c r="G477" s="94"/>
    </row>
    <row r="478">
      <c r="B478" s="135"/>
      <c r="G478" s="94"/>
    </row>
    <row r="479">
      <c r="B479" s="135"/>
      <c r="G479" s="94"/>
    </row>
    <row r="480">
      <c r="B480" s="135"/>
      <c r="G480" s="94"/>
    </row>
    <row r="481">
      <c r="B481" s="135"/>
      <c r="G481" s="94"/>
    </row>
    <row r="482">
      <c r="B482" s="135"/>
      <c r="G482" s="94"/>
    </row>
    <row r="483">
      <c r="B483" s="135"/>
      <c r="G483" s="94"/>
    </row>
    <row r="484">
      <c r="B484" s="135"/>
      <c r="G484" s="94"/>
    </row>
    <row r="485">
      <c r="B485" s="135"/>
      <c r="G485" s="94"/>
    </row>
    <row r="486">
      <c r="B486" s="135"/>
      <c r="G486" s="94"/>
    </row>
    <row r="487">
      <c r="B487" s="135"/>
      <c r="G487" s="94"/>
    </row>
    <row r="488">
      <c r="B488" s="135"/>
      <c r="G488" s="94"/>
    </row>
    <row r="489">
      <c r="B489" s="135"/>
      <c r="G489" s="94"/>
    </row>
    <row r="490">
      <c r="B490" s="135"/>
      <c r="G490" s="94"/>
    </row>
    <row r="491">
      <c r="B491" s="135"/>
      <c r="G491" s="94"/>
    </row>
    <row r="492">
      <c r="B492" s="135"/>
      <c r="G492" s="94"/>
    </row>
    <row r="493">
      <c r="B493" s="135"/>
      <c r="G493" s="94"/>
    </row>
    <row r="494">
      <c r="B494" s="135"/>
      <c r="G494" s="94"/>
    </row>
    <row r="495">
      <c r="B495" s="135"/>
      <c r="G495" s="94"/>
    </row>
    <row r="496">
      <c r="B496" s="135"/>
      <c r="G496" s="94"/>
    </row>
    <row r="497">
      <c r="B497" s="135"/>
      <c r="G497" s="94"/>
    </row>
    <row r="498">
      <c r="B498" s="135"/>
      <c r="G498" s="94"/>
    </row>
    <row r="499">
      <c r="B499" s="135"/>
      <c r="G499" s="94"/>
    </row>
    <row r="500">
      <c r="B500" s="135"/>
      <c r="G500" s="94"/>
    </row>
    <row r="501">
      <c r="B501" s="135"/>
      <c r="G501" s="94"/>
    </row>
    <row r="502">
      <c r="B502" s="135"/>
      <c r="G502" s="94"/>
    </row>
    <row r="503">
      <c r="B503" s="135"/>
      <c r="G503" s="94"/>
    </row>
    <row r="504">
      <c r="B504" s="135"/>
      <c r="G504" s="94"/>
    </row>
    <row r="505">
      <c r="B505" s="135"/>
      <c r="G505" s="94"/>
    </row>
    <row r="506">
      <c r="B506" s="135"/>
      <c r="G506" s="94"/>
    </row>
    <row r="507">
      <c r="B507" s="135"/>
      <c r="G507" s="94"/>
    </row>
    <row r="508">
      <c r="B508" s="135"/>
      <c r="G508" s="94"/>
    </row>
    <row r="509">
      <c r="B509" s="135"/>
      <c r="G509" s="94"/>
    </row>
    <row r="510">
      <c r="B510" s="135"/>
      <c r="G510" s="94"/>
    </row>
    <row r="511">
      <c r="B511" s="135"/>
      <c r="G511" s="94"/>
    </row>
    <row r="512">
      <c r="B512" s="135"/>
      <c r="G512" s="94"/>
    </row>
    <row r="513">
      <c r="B513" s="135"/>
      <c r="G513" s="94"/>
    </row>
    <row r="514">
      <c r="B514" s="135"/>
      <c r="G514" s="94"/>
    </row>
    <row r="515">
      <c r="B515" s="135"/>
      <c r="G515" s="94"/>
    </row>
    <row r="516">
      <c r="B516" s="135"/>
      <c r="G516" s="94"/>
    </row>
    <row r="517">
      <c r="B517" s="135"/>
      <c r="G517" s="94"/>
    </row>
    <row r="518">
      <c r="B518" s="135"/>
      <c r="G518" s="94"/>
    </row>
    <row r="519">
      <c r="B519" s="135"/>
      <c r="G519" s="94"/>
    </row>
    <row r="520">
      <c r="B520" s="135"/>
      <c r="G520" s="94"/>
    </row>
    <row r="521">
      <c r="B521" s="135"/>
      <c r="G521" s="94"/>
    </row>
    <row r="522">
      <c r="B522" s="135"/>
      <c r="G522" s="94"/>
    </row>
    <row r="523">
      <c r="B523" s="135"/>
      <c r="G523" s="94"/>
    </row>
    <row r="524">
      <c r="B524" s="135"/>
      <c r="G524" s="94"/>
    </row>
    <row r="525">
      <c r="B525" s="135"/>
      <c r="G525" s="94"/>
    </row>
    <row r="526">
      <c r="B526" s="135"/>
      <c r="G526" s="94"/>
    </row>
    <row r="527">
      <c r="B527" s="135"/>
      <c r="G527" s="94"/>
    </row>
    <row r="528">
      <c r="B528" s="135"/>
      <c r="G528" s="94"/>
    </row>
    <row r="529">
      <c r="B529" s="135"/>
      <c r="G529" s="94"/>
    </row>
    <row r="530">
      <c r="B530" s="135"/>
      <c r="G530" s="94"/>
    </row>
    <row r="531">
      <c r="B531" s="135"/>
      <c r="G531" s="94"/>
    </row>
    <row r="532">
      <c r="B532" s="135"/>
      <c r="G532" s="94"/>
    </row>
    <row r="533">
      <c r="B533" s="135"/>
      <c r="G533" s="94"/>
    </row>
    <row r="534">
      <c r="B534" s="135"/>
      <c r="G534" s="94"/>
    </row>
    <row r="535">
      <c r="B535" s="135"/>
      <c r="G535" s="94"/>
    </row>
    <row r="536">
      <c r="B536" s="135"/>
      <c r="G536" s="94"/>
    </row>
    <row r="537">
      <c r="B537" s="135"/>
      <c r="G537" s="94"/>
    </row>
    <row r="538">
      <c r="B538" s="135"/>
      <c r="G538" s="94"/>
    </row>
    <row r="539">
      <c r="B539" s="135"/>
      <c r="G539" s="94"/>
    </row>
    <row r="540">
      <c r="B540" s="135"/>
      <c r="G540" s="94"/>
    </row>
    <row r="541">
      <c r="B541" s="135"/>
      <c r="G541" s="94"/>
    </row>
    <row r="542">
      <c r="B542" s="135"/>
      <c r="G542" s="94"/>
    </row>
    <row r="543">
      <c r="B543" s="135"/>
      <c r="G543" s="94"/>
    </row>
    <row r="544">
      <c r="B544" s="135"/>
      <c r="G544" s="94"/>
    </row>
    <row r="545">
      <c r="B545" s="135"/>
      <c r="G545" s="94"/>
    </row>
    <row r="546">
      <c r="B546" s="135"/>
      <c r="G546" s="94"/>
    </row>
    <row r="547">
      <c r="B547" s="135"/>
      <c r="G547" s="94"/>
    </row>
    <row r="548">
      <c r="B548" s="135"/>
      <c r="G548" s="94"/>
    </row>
    <row r="549">
      <c r="B549" s="135"/>
      <c r="G549" s="94"/>
    </row>
    <row r="550">
      <c r="B550" s="135"/>
      <c r="G550" s="94"/>
    </row>
    <row r="551">
      <c r="B551" s="135"/>
      <c r="G551" s="94"/>
    </row>
    <row r="552">
      <c r="B552" s="135"/>
      <c r="G552" s="94"/>
    </row>
    <row r="553">
      <c r="B553" s="135"/>
      <c r="G553" s="94"/>
    </row>
    <row r="554">
      <c r="B554" s="135"/>
      <c r="G554" s="94"/>
    </row>
    <row r="555">
      <c r="B555" s="135"/>
      <c r="G555" s="94"/>
    </row>
    <row r="556">
      <c r="B556" s="135"/>
      <c r="G556" s="94"/>
    </row>
    <row r="557">
      <c r="B557" s="135"/>
      <c r="G557" s="94"/>
    </row>
    <row r="558">
      <c r="B558" s="135"/>
      <c r="G558" s="94"/>
    </row>
    <row r="559">
      <c r="B559" s="135"/>
      <c r="G559" s="94"/>
    </row>
    <row r="560">
      <c r="B560" s="135"/>
      <c r="G560" s="94"/>
    </row>
    <row r="561">
      <c r="B561" s="135"/>
      <c r="G561" s="94"/>
    </row>
    <row r="562">
      <c r="B562" s="135"/>
      <c r="G562" s="94"/>
    </row>
    <row r="563">
      <c r="B563" s="135"/>
      <c r="G563" s="94"/>
    </row>
    <row r="564">
      <c r="B564" s="135"/>
      <c r="G564" s="94"/>
    </row>
    <row r="565">
      <c r="B565" s="135"/>
      <c r="G565" s="94"/>
    </row>
    <row r="566">
      <c r="B566" s="135"/>
      <c r="G566" s="94"/>
    </row>
    <row r="567">
      <c r="B567" s="135"/>
      <c r="G567" s="94"/>
    </row>
    <row r="568">
      <c r="B568" s="135"/>
      <c r="G568" s="94"/>
    </row>
    <row r="569">
      <c r="B569" s="135"/>
      <c r="G569" s="94"/>
    </row>
    <row r="570">
      <c r="B570" s="135"/>
      <c r="G570" s="94"/>
    </row>
    <row r="571">
      <c r="B571" s="135"/>
      <c r="G571" s="94"/>
    </row>
    <row r="572">
      <c r="B572" s="135"/>
      <c r="G572" s="94"/>
    </row>
    <row r="573">
      <c r="B573" s="135"/>
      <c r="G573" s="94"/>
    </row>
    <row r="574">
      <c r="B574" s="135"/>
      <c r="G574" s="94"/>
    </row>
    <row r="575">
      <c r="B575" s="135"/>
      <c r="G575" s="94"/>
    </row>
    <row r="576">
      <c r="B576" s="135"/>
      <c r="G576" s="94"/>
    </row>
    <row r="577">
      <c r="B577" s="135"/>
      <c r="G577" s="94"/>
    </row>
    <row r="578">
      <c r="B578" s="135"/>
      <c r="G578" s="94"/>
    </row>
    <row r="579">
      <c r="B579" s="135"/>
      <c r="G579" s="94"/>
    </row>
    <row r="580">
      <c r="B580" s="135"/>
      <c r="G580" s="94"/>
    </row>
    <row r="581">
      <c r="B581" s="135"/>
      <c r="G581" s="94"/>
    </row>
    <row r="582">
      <c r="B582" s="135"/>
      <c r="G582" s="94"/>
    </row>
    <row r="583">
      <c r="B583" s="135"/>
      <c r="G583" s="94"/>
    </row>
    <row r="584">
      <c r="B584" s="135"/>
      <c r="G584" s="94"/>
    </row>
    <row r="585">
      <c r="B585" s="135"/>
      <c r="G585" s="94"/>
    </row>
    <row r="586">
      <c r="B586" s="135"/>
      <c r="G586" s="94"/>
    </row>
    <row r="587">
      <c r="B587" s="135"/>
      <c r="G587" s="94"/>
    </row>
    <row r="588">
      <c r="B588" s="135"/>
      <c r="G588" s="94"/>
    </row>
    <row r="589">
      <c r="B589" s="135"/>
      <c r="G589" s="94"/>
    </row>
    <row r="590">
      <c r="B590" s="135"/>
      <c r="G590" s="94"/>
    </row>
    <row r="591">
      <c r="B591" s="135"/>
      <c r="G591" s="94"/>
    </row>
    <row r="592">
      <c r="B592" s="135"/>
      <c r="G592" s="94"/>
    </row>
    <row r="593">
      <c r="B593" s="135"/>
      <c r="G593" s="94"/>
    </row>
    <row r="594">
      <c r="B594" s="135"/>
      <c r="G594" s="94"/>
    </row>
    <row r="595">
      <c r="B595" s="135"/>
      <c r="G595" s="94"/>
    </row>
    <row r="596">
      <c r="B596" s="135"/>
      <c r="G596" s="94"/>
    </row>
    <row r="597">
      <c r="B597" s="135"/>
      <c r="G597" s="94"/>
    </row>
    <row r="598">
      <c r="B598" s="135"/>
      <c r="G598" s="94"/>
    </row>
    <row r="599">
      <c r="B599" s="135"/>
      <c r="G599" s="94"/>
    </row>
    <row r="600">
      <c r="B600" s="135"/>
      <c r="G600" s="94"/>
    </row>
    <row r="601">
      <c r="B601" s="135"/>
      <c r="G601" s="94"/>
    </row>
    <row r="602">
      <c r="B602" s="135"/>
      <c r="G602" s="94"/>
    </row>
    <row r="603">
      <c r="B603" s="135"/>
      <c r="G603" s="94"/>
    </row>
    <row r="604">
      <c r="B604" s="135"/>
      <c r="G604" s="94"/>
    </row>
    <row r="605">
      <c r="B605" s="135"/>
      <c r="G605" s="94"/>
    </row>
    <row r="606">
      <c r="B606" s="135"/>
      <c r="G606" s="94"/>
    </row>
    <row r="607">
      <c r="B607" s="135"/>
      <c r="G607" s="94"/>
    </row>
    <row r="608">
      <c r="B608" s="135"/>
      <c r="G608" s="94"/>
    </row>
    <row r="609">
      <c r="B609" s="135"/>
      <c r="G609" s="94"/>
    </row>
    <row r="610">
      <c r="B610" s="135"/>
      <c r="G610" s="94"/>
    </row>
    <row r="611">
      <c r="B611" s="135"/>
      <c r="G611" s="94"/>
    </row>
    <row r="612">
      <c r="B612" s="135"/>
      <c r="G612" s="94"/>
    </row>
    <row r="613">
      <c r="B613" s="135"/>
      <c r="G613" s="94"/>
    </row>
    <row r="614">
      <c r="B614" s="135"/>
      <c r="G614" s="94"/>
    </row>
    <row r="615">
      <c r="B615" s="135"/>
      <c r="G615" s="94"/>
    </row>
    <row r="616">
      <c r="B616" s="135"/>
      <c r="G616" s="94"/>
    </row>
    <row r="617">
      <c r="B617" s="135"/>
      <c r="G617" s="94"/>
    </row>
    <row r="618">
      <c r="B618" s="135"/>
      <c r="G618" s="94"/>
    </row>
    <row r="619">
      <c r="B619" s="135"/>
      <c r="G619" s="94"/>
    </row>
    <row r="620">
      <c r="B620" s="135"/>
      <c r="G620" s="94"/>
    </row>
    <row r="621">
      <c r="B621" s="135"/>
      <c r="G621" s="94"/>
    </row>
    <row r="622">
      <c r="B622" s="135"/>
      <c r="G622" s="94"/>
    </row>
    <row r="623">
      <c r="B623" s="135"/>
      <c r="G623" s="94"/>
    </row>
    <row r="624">
      <c r="B624" s="135"/>
      <c r="G624" s="94"/>
    </row>
    <row r="625">
      <c r="B625" s="135"/>
      <c r="G625" s="94"/>
    </row>
    <row r="626">
      <c r="B626" s="135"/>
      <c r="G626" s="94"/>
    </row>
    <row r="627">
      <c r="B627" s="135"/>
      <c r="G627" s="94"/>
    </row>
    <row r="628">
      <c r="B628" s="135"/>
      <c r="G628" s="94"/>
    </row>
    <row r="629">
      <c r="B629" s="135"/>
      <c r="G629" s="94"/>
    </row>
    <row r="630">
      <c r="B630" s="135"/>
      <c r="G630" s="94"/>
    </row>
    <row r="631">
      <c r="B631" s="135"/>
      <c r="G631" s="94"/>
    </row>
    <row r="632">
      <c r="B632" s="135"/>
      <c r="G632" s="94"/>
    </row>
    <row r="633">
      <c r="B633" s="135"/>
      <c r="G633" s="94"/>
    </row>
    <row r="634">
      <c r="B634" s="135"/>
      <c r="G634" s="94"/>
    </row>
    <row r="635">
      <c r="B635" s="135"/>
      <c r="G635" s="94"/>
    </row>
    <row r="636">
      <c r="B636" s="135"/>
      <c r="G636" s="94"/>
    </row>
    <row r="637">
      <c r="B637" s="135"/>
      <c r="G637" s="94"/>
    </row>
    <row r="638">
      <c r="B638" s="135"/>
      <c r="G638" s="94"/>
    </row>
    <row r="639">
      <c r="B639" s="135"/>
      <c r="G639" s="94"/>
    </row>
    <row r="640">
      <c r="B640" s="135"/>
      <c r="G640" s="94"/>
    </row>
    <row r="641">
      <c r="B641" s="135"/>
      <c r="G641" s="94"/>
    </row>
    <row r="642">
      <c r="B642" s="135"/>
      <c r="G642" s="94"/>
    </row>
    <row r="643">
      <c r="B643" s="135"/>
      <c r="G643" s="94"/>
    </row>
    <row r="644">
      <c r="B644" s="135"/>
      <c r="G644" s="94"/>
    </row>
    <row r="645">
      <c r="B645" s="135"/>
      <c r="G645" s="94"/>
    </row>
    <row r="646">
      <c r="B646" s="135"/>
      <c r="G646" s="94"/>
    </row>
    <row r="647">
      <c r="B647" s="135"/>
      <c r="G647" s="94"/>
    </row>
    <row r="648">
      <c r="B648" s="135"/>
      <c r="G648" s="94"/>
    </row>
    <row r="649">
      <c r="B649" s="135"/>
      <c r="G649" s="94"/>
    </row>
    <row r="650">
      <c r="B650" s="135"/>
      <c r="G650" s="94"/>
    </row>
    <row r="651">
      <c r="B651" s="135"/>
      <c r="G651" s="94"/>
    </row>
    <row r="652">
      <c r="B652" s="135"/>
      <c r="G652" s="94"/>
    </row>
    <row r="653">
      <c r="B653" s="135"/>
      <c r="G653" s="94"/>
    </row>
    <row r="654">
      <c r="B654" s="135"/>
      <c r="G654" s="94"/>
    </row>
    <row r="655">
      <c r="B655" s="135"/>
      <c r="G655" s="94"/>
    </row>
    <row r="656">
      <c r="B656" s="135"/>
      <c r="G656" s="94"/>
    </row>
    <row r="657">
      <c r="B657" s="135"/>
      <c r="G657" s="94"/>
    </row>
    <row r="658">
      <c r="B658" s="135"/>
      <c r="G658" s="94"/>
    </row>
    <row r="659">
      <c r="B659" s="135"/>
      <c r="G659" s="94"/>
    </row>
    <row r="660">
      <c r="B660" s="135"/>
      <c r="G660" s="94"/>
    </row>
    <row r="661">
      <c r="B661" s="135"/>
      <c r="G661" s="94"/>
    </row>
    <row r="662">
      <c r="B662" s="135"/>
      <c r="G662" s="94"/>
    </row>
    <row r="663">
      <c r="B663" s="135"/>
      <c r="G663" s="94"/>
    </row>
    <row r="664">
      <c r="B664" s="135"/>
      <c r="G664" s="94"/>
    </row>
    <row r="665">
      <c r="B665" s="135"/>
      <c r="G665" s="94"/>
    </row>
    <row r="666">
      <c r="B666" s="135"/>
      <c r="G666" s="94"/>
    </row>
    <row r="667">
      <c r="B667" s="135"/>
      <c r="G667" s="94"/>
    </row>
    <row r="668">
      <c r="B668" s="135"/>
      <c r="G668" s="94"/>
    </row>
    <row r="669">
      <c r="B669" s="135"/>
      <c r="G669" s="94"/>
    </row>
    <row r="670">
      <c r="B670" s="135"/>
      <c r="G670" s="94"/>
    </row>
    <row r="671">
      <c r="B671" s="135"/>
      <c r="G671" s="94"/>
    </row>
    <row r="672">
      <c r="B672" s="135"/>
      <c r="G672" s="94"/>
    </row>
    <row r="673">
      <c r="B673" s="135"/>
      <c r="G673" s="94"/>
    </row>
    <row r="674">
      <c r="B674" s="135"/>
      <c r="G674" s="94"/>
    </row>
    <row r="675">
      <c r="B675" s="135"/>
      <c r="G675" s="94"/>
    </row>
    <row r="676">
      <c r="B676" s="135"/>
      <c r="G676" s="94"/>
    </row>
    <row r="677">
      <c r="B677" s="135"/>
      <c r="G677" s="94"/>
    </row>
    <row r="678">
      <c r="B678" s="135"/>
      <c r="G678" s="94"/>
    </row>
    <row r="679">
      <c r="B679" s="135"/>
      <c r="G679" s="94"/>
    </row>
    <row r="680">
      <c r="B680" s="135"/>
      <c r="G680" s="94"/>
    </row>
    <row r="681">
      <c r="B681" s="135"/>
      <c r="G681" s="94"/>
    </row>
    <row r="682">
      <c r="B682" s="135"/>
      <c r="G682" s="94"/>
    </row>
    <row r="683">
      <c r="B683" s="135"/>
      <c r="G683" s="94"/>
    </row>
    <row r="684">
      <c r="B684" s="135"/>
      <c r="G684" s="94"/>
    </row>
    <row r="685">
      <c r="B685" s="135"/>
      <c r="G685" s="94"/>
    </row>
    <row r="686">
      <c r="B686" s="135"/>
      <c r="G686" s="94"/>
    </row>
    <row r="687">
      <c r="B687" s="135"/>
      <c r="G687" s="94"/>
    </row>
    <row r="688">
      <c r="B688" s="135"/>
      <c r="G688" s="94"/>
    </row>
    <row r="689">
      <c r="B689" s="135"/>
      <c r="G689" s="94"/>
    </row>
    <row r="690">
      <c r="B690" s="135"/>
      <c r="G690" s="94"/>
    </row>
    <row r="691">
      <c r="B691" s="135"/>
      <c r="G691" s="94"/>
    </row>
    <row r="692">
      <c r="B692" s="135"/>
      <c r="G692" s="94"/>
    </row>
    <row r="693">
      <c r="B693" s="135"/>
      <c r="G693" s="94"/>
    </row>
    <row r="694">
      <c r="B694" s="135"/>
      <c r="G694" s="94"/>
    </row>
    <row r="695">
      <c r="B695" s="135"/>
      <c r="G695" s="94"/>
    </row>
    <row r="696">
      <c r="B696" s="135"/>
      <c r="G696" s="94"/>
    </row>
    <row r="697">
      <c r="B697" s="135"/>
      <c r="G697" s="94"/>
    </row>
    <row r="698">
      <c r="B698" s="135"/>
      <c r="G698" s="94"/>
    </row>
    <row r="699">
      <c r="B699" s="135"/>
      <c r="G699" s="94"/>
    </row>
    <row r="700">
      <c r="B700" s="135"/>
      <c r="G700" s="94"/>
    </row>
    <row r="701">
      <c r="B701" s="135"/>
      <c r="G701" s="94"/>
    </row>
    <row r="702">
      <c r="B702" s="135"/>
      <c r="G702" s="94"/>
    </row>
    <row r="703">
      <c r="B703" s="135"/>
      <c r="G703" s="94"/>
    </row>
    <row r="704">
      <c r="B704" s="135"/>
      <c r="G704" s="94"/>
    </row>
    <row r="705">
      <c r="B705" s="135"/>
      <c r="G705" s="94"/>
    </row>
    <row r="706">
      <c r="B706" s="135"/>
      <c r="G706" s="94"/>
    </row>
    <row r="707">
      <c r="B707" s="135"/>
      <c r="G707" s="94"/>
    </row>
    <row r="708">
      <c r="B708" s="135"/>
      <c r="G708" s="94"/>
    </row>
    <row r="709">
      <c r="B709" s="135"/>
      <c r="G709" s="94"/>
    </row>
    <row r="710">
      <c r="B710" s="135"/>
      <c r="G710" s="94"/>
    </row>
    <row r="711">
      <c r="B711" s="135"/>
      <c r="G711" s="94"/>
    </row>
    <row r="712">
      <c r="B712" s="135"/>
      <c r="G712" s="94"/>
    </row>
    <row r="713">
      <c r="B713" s="135"/>
      <c r="G713" s="94"/>
    </row>
    <row r="714">
      <c r="B714" s="135"/>
      <c r="G714" s="94"/>
    </row>
    <row r="715">
      <c r="B715" s="135"/>
      <c r="G715" s="94"/>
    </row>
    <row r="716">
      <c r="B716" s="135"/>
      <c r="G716" s="94"/>
    </row>
    <row r="717">
      <c r="B717" s="135"/>
      <c r="G717" s="94"/>
    </row>
    <row r="718">
      <c r="B718" s="135"/>
      <c r="G718" s="94"/>
    </row>
    <row r="719">
      <c r="B719" s="135"/>
      <c r="G719" s="94"/>
    </row>
    <row r="720">
      <c r="B720" s="135"/>
      <c r="G720" s="94"/>
    </row>
    <row r="721">
      <c r="B721" s="135"/>
      <c r="G721" s="94"/>
    </row>
    <row r="722">
      <c r="B722" s="135"/>
      <c r="G722" s="94"/>
    </row>
    <row r="723">
      <c r="B723" s="135"/>
      <c r="G723" s="94"/>
    </row>
    <row r="724">
      <c r="B724" s="135"/>
      <c r="G724" s="94"/>
    </row>
    <row r="725">
      <c r="B725" s="135"/>
      <c r="G725" s="94"/>
    </row>
    <row r="726">
      <c r="B726" s="135"/>
      <c r="G726" s="94"/>
    </row>
    <row r="727">
      <c r="B727" s="135"/>
      <c r="G727" s="94"/>
    </row>
    <row r="728">
      <c r="B728" s="135"/>
      <c r="G728" s="94"/>
    </row>
    <row r="729">
      <c r="B729" s="135"/>
      <c r="G729" s="94"/>
    </row>
    <row r="730">
      <c r="B730" s="135"/>
      <c r="G730" s="94"/>
    </row>
    <row r="731">
      <c r="B731" s="135"/>
      <c r="G731" s="94"/>
    </row>
    <row r="732">
      <c r="B732" s="135"/>
      <c r="G732" s="94"/>
    </row>
    <row r="733">
      <c r="B733" s="135"/>
      <c r="G733" s="94"/>
    </row>
    <row r="734">
      <c r="B734" s="135"/>
      <c r="G734" s="94"/>
    </row>
    <row r="735">
      <c r="B735" s="135"/>
      <c r="G735" s="94"/>
    </row>
    <row r="736">
      <c r="B736" s="135"/>
      <c r="G736" s="94"/>
    </row>
    <row r="737">
      <c r="B737" s="135"/>
      <c r="G737" s="94"/>
    </row>
    <row r="738">
      <c r="B738" s="135"/>
      <c r="G738" s="94"/>
    </row>
    <row r="739">
      <c r="B739" s="135"/>
      <c r="G739" s="94"/>
    </row>
    <row r="740">
      <c r="B740" s="135"/>
      <c r="G740" s="94"/>
    </row>
    <row r="741">
      <c r="B741" s="135"/>
      <c r="G741" s="94"/>
    </row>
    <row r="742">
      <c r="B742" s="135"/>
      <c r="G742" s="94"/>
    </row>
    <row r="743">
      <c r="B743" s="135"/>
      <c r="G743" s="94"/>
    </row>
    <row r="744">
      <c r="B744" s="135"/>
      <c r="G744" s="94"/>
    </row>
    <row r="745">
      <c r="B745" s="135"/>
      <c r="G745" s="94"/>
    </row>
    <row r="746">
      <c r="B746" s="135"/>
      <c r="G746" s="94"/>
    </row>
    <row r="747">
      <c r="B747" s="135"/>
      <c r="G747" s="94"/>
    </row>
    <row r="748">
      <c r="B748" s="135"/>
      <c r="G748" s="94"/>
    </row>
    <row r="749">
      <c r="B749" s="135"/>
      <c r="G749" s="94"/>
    </row>
    <row r="750">
      <c r="B750" s="135"/>
      <c r="G750" s="94"/>
    </row>
    <row r="751">
      <c r="B751" s="135"/>
      <c r="G751" s="94"/>
    </row>
    <row r="752">
      <c r="B752" s="135"/>
      <c r="G752" s="94"/>
    </row>
    <row r="753">
      <c r="B753" s="135"/>
      <c r="G753" s="94"/>
    </row>
    <row r="754">
      <c r="B754" s="135"/>
      <c r="G754" s="94"/>
    </row>
    <row r="755">
      <c r="B755" s="135"/>
      <c r="G755" s="94"/>
    </row>
    <row r="756">
      <c r="B756" s="135"/>
      <c r="G756" s="94"/>
    </row>
    <row r="757">
      <c r="B757" s="135"/>
      <c r="G757" s="94"/>
    </row>
    <row r="758">
      <c r="B758" s="135"/>
      <c r="G758" s="94"/>
    </row>
    <row r="759">
      <c r="B759" s="135"/>
      <c r="G759" s="94"/>
    </row>
    <row r="760">
      <c r="B760" s="135"/>
      <c r="G760" s="94"/>
    </row>
    <row r="761">
      <c r="B761" s="135"/>
      <c r="G761" s="94"/>
    </row>
    <row r="762">
      <c r="B762" s="135"/>
      <c r="G762" s="94"/>
    </row>
    <row r="763">
      <c r="B763" s="135"/>
      <c r="G763" s="94"/>
    </row>
    <row r="764">
      <c r="B764" s="135"/>
      <c r="G764" s="94"/>
    </row>
    <row r="765">
      <c r="B765" s="135"/>
      <c r="G765" s="94"/>
    </row>
    <row r="766">
      <c r="B766" s="135"/>
      <c r="G766" s="94"/>
    </row>
    <row r="767">
      <c r="B767" s="135"/>
      <c r="G767" s="94"/>
    </row>
    <row r="768">
      <c r="B768" s="135"/>
      <c r="G768" s="94"/>
    </row>
    <row r="769">
      <c r="B769" s="135"/>
      <c r="G769" s="94"/>
    </row>
    <row r="770">
      <c r="B770" s="135"/>
      <c r="G770" s="94"/>
    </row>
    <row r="771">
      <c r="B771" s="135"/>
      <c r="G771" s="94"/>
    </row>
    <row r="772">
      <c r="B772" s="135"/>
      <c r="G772" s="94"/>
    </row>
    <row r="773">
      <c r="B773" s="135"/>
      <c r="G773" s="94"/>
    </row>
    <row r="774">
      <c r="B774" s="135"/>
      <c r="G774" s="94"/>
    </row>
    <row r="775">
      <c r="B775" s="135"/>
      <c r="G775" s="94"/>
    </row>
    <row r="776">
      <c r="B776" s="135"/>
      <c r="G776" s="94"/>
    </row>
    <row r="777">
      <c r="B777" s="135"/>
      <c r="G777" s="94"/>
    </row>
    <row r="778">
      <c r="B778" s="135"/>
      <c r="G778" s="94"/>
    </row>
    <row r="779">
      <c r="B779" s="135"/>
      <c r="G779" s="94"/>
    </row>
    <row r="780">
      <c r="B780" s="135"/>
      <c r="G780" s="94"/>
    </row>
    <row r="781">
      <c r="B781" s="135"/>
      <c r="G781" s="94"/>
    </row>
    <row r="782">
      <c r="B782" s="135"/>
      <c r="G782" s="94"/>
    </row>
    <row r="783">
      <c r="B783" s="135"/>
      <c r="G783" s="94"/>
    </row>
    <row r="784">
      <c r="B784" s="135"/>
      <c r="G784" s="94"/>
    </row>
    <row r="785">
      <c r="B785" s="135"/>
      <c r="G785" s="94"/>
    </row>
    <row r="786">
      <c r="B786" s="135"/>
      <c r="G786" s="94"/>
    </row>
    <row r="787">
      <c r="B787" s="135"/>
      <c r="G787" s="94"/>
    </row>
    <row r="788">
      <c r="B788" s="135"/>
      <c r="G788" s="94"/>
    </row>
    <row r="789">
      <c r="B789" s="135"/>
      <c r="G789" s="94"/>
    </row>
    <row r="790">
      <c r="B790" s="135"/>
      <c r="G790" s="94"/>
    </row>
    <row r="791">
      <c r="B791" s="135"/>
      <c r="G791" s="94"/>
    </row>
    <row r="792">
      <c r="B792" s="135"/>
      <c r="G792" s="94"/>
    </row>
    <row r="793">
      <c r="B793" s="135"/>
      <c r="G793" s="94"/>
    </row>
    <row r="794">
      <c r="B794" s="135"/>
      <c r="G794" s="94"/>
    </row>
    <row r="795">
      <c r="B795" s="135"/>
      <c r="G795" s="94"/>
    </row>
    <row r="796">
      <c r="B796" s="135"/>
      <c r="G796" s="94"/>
    </row>
    <row r="797">
      <c r="B797" s="135"/>
      <c r="G797" s="94"/>
    </row>
    <row r="798">
      <c r="B798" s="135"/>
      <c r="G798" s="94"/>
    </row>
    <row r="799">
      <c r="B799" s="135"/>
      <c r="G799" s="94"/>
    </row>
    <row r="800">
      <c r="B800" s="135"/>
      <c r="G800" s="94"/>
    </row>
    <row r="801">
      <c r="B801" s="135"/>
      <c r="G801" s="94"/>
    </row>
    <row r="802">
      <c r="B802" s="135"/>
      <c r="G802" s="94"/>
    </row>
    <row r="803">
      <c r="B803" s="135"/>
      <c r="G803" s="94"/>
    </row>
    <row r="804">
      <c r="B804" s="135"/>
      <c r="G804" s="94"/>
    </row>
    <row r="805">
      <c r="B805" s="135"/>
      <c r="G805" s="94"/>
    </row>
    <row r="806">
      <c r="B806" s="135"/>
      <c r="G806" s="94"/>
    </row>
    <row r="807">
      <c r="B807" s="135"/>
      <c r="G807" s="94"/>
    </row>
    <row r="808">
      <c r="B808" s="135"/>
      <c r="G808" s="94"/>
    </row>
    <row r="809">
      <c r="B809" s="135"/>
      <c r="G809" s="94"/>
    </row>
    <row r="810">
      <c r="B810" s="135"/>
      <c r="G810" s="94"/>
    </row>
    <row r="811">
      <c r="B811" s="135"/>
      <c r="G811" s="94"/>
    </row>
    <row r="812">
      <c r="B812" s="135"/>
      <c r="G812" s="94"/>
    </row>
    <row r="813">
      <c r="B813" s="135"/>
      <c r="G813" s="94"/>
    </row>
    <row r="814">
      <c r="B814" s="135"/>
      <c r="G814" s="94"/>
    </row>
    <row r="815">
      <c r="B815" s="135"/>
      <c r="G815" s="94"/>
    </row>
    <row r="816">
      <c r="B816" s="135"/>
      <c r="G816" s="94"/>
    </row>
    <row r="817">
      <c r="B817" s="135"/>
      <c r="G817" s="94"/>
    </row>
    <row r="818">
      <c r="B818" s="135"/>
      <c r="G818" s="94"/>
    </row>
    <row r="819">
      <c r="B819" s="135"/>
      <c r="G819" s="94"/>
    </row>
    <row r="820">
      <c r="B820" s="135"/>
      <c r="G820" s="94"/>
    </row>
    <row r="821">
      <c r="B821" s="135"/>
      <c r="G821" s="94"/>
    </row>
    <row r="822">
      <c r="B822" s="135"/>
      <c r="G822" s="94"/>
    </row>
    <row r="823">
      <c r="B823" s="135"/>
      <c r="G823" s="94"/>
    </row>
    <row r="824">
      <c r="B824" s="135"/>
      <c r="G824" s="94"/>
    </row>
    <row r="825">
      <c r="B825" s="135"/>
      <c r="G825" s="94"/>
    </row>
    <row r="826">
      <c r="B826" s="135"/>
      <c r="G826" s="94"/>
    </row>
    <row r="827">
      <c r="B827" s="135"/>
      <c r="G827" s="94"/>
    </row>
    <row r="828">
      <c r="B828" s="135"/>
      <c r="G828" s="94"/>
    </row>
    <row r="829">
      <c r="B829" s="135"/>
      <c r="G829" s="94"/>
    </row>
    <row r="830">
      <c r="B830" s="135"/>
      <c r="G830" s="94"/>
    </row>
    <row r="831">
      <c r="B831" s="135"/>
      <c r="G831" s="94"/>
    </row>
    <row r="832">
      <c r="B832" s="135"/>
      <c r="G832" s="94"/>
    </row>
    <row r="833">
      <c r="B833" s="135"/>
      <c r="G833" s="94"/>
    </row>
    <row r="834">
      <c r="B834" s="135"/>
      <c r="G834" s="94"/>
    </row>
    <row r="835">
      <c r="B835" s="135"/>
      <c r="G835" s="94"/>
    </row>
    <row r="836">
      <c r="B836" s="135"/>
      <c r="G836" s="94"/>
    </row>
    <row r="837">
      <c r="B837" s="135"/>
      <c r="G837" s="94"/>
    </row>
    <row r="838">
      <c r="B838" s="135"/>
      <c r="G838" s="94"/>
    </row>
    <row r="839">
      <c r="B839" s="135"/>
      <c r="G839" s="94"/>
    </row>
    <row r="840">
      <c r="B840" s="135"/>
      <c r="G840" s="94"/>
    </row>
    <row r="841">
      <c r="B841" s="135"/>
      <c r="G841" s="94"/>
    </row>
    <row r="842">
      <c r="B842" s="135"/>
      <c r="G842" s="94"/>
    </row>
    <row r="843">
      <c r="B843" s="135"/>
      <c r="G843" s="94"/>
    </row>
    <row r="844">
      <c r="B844" s="135"/>
      <c r="G844" s="94"/>
    </row>
    <row r="845">
      <c r="B845" s="135"/>
      <c r="G845" s="94"/>
    </row>
    <row r="846">
      <c r="B846" s="135"/>
      <c r="G846" s="94"/>
    </row>
    <row r="847">
      <c r="B847" s="135"/>
      <c r="G847" s="94"/>
    </row>
    <row r="848">
      <c r="B848" s="135"/>
      <c r="G848" s="94"/>
    </row>
    <row r="849">
      <c r="B849" s="135"/>
      <c r="G849" s="94"/>
    </row>
    <row r="850">
      <c r="B850" s="135"/>
      <c r="G850" s="94"/>
    </row>
    <row r="851">
      <c r="B851" s="135"/>
      <c r="G851" s="94"/>
    </row>
    <row r="852">
      <c r="B852" s="135"/>
      <c r="G852" s="94"/>
    </row>
    <row r="853">
      <c r="B853" s="135"/>
      <c r="G853" s="94"/>
    </row>
    <row r="854">
      <c r="B854" s="135"/>
      <c r="G854" s="94"/>
    </row>
    <row r="855">
      <c r="B855" s="135"/>
      <c r="G855" s="94"/>
    </row>
    <row r="856">
      <c r="B856" s="135"/>
      <c r="G856" s="94"/>
    </row>
    <row r="857">
      <c r="B857" s="135"/>
      <c r="G857" s="94"/>
    </row>
    <row r="858">
      <c r="B858" s="135"/>
      <c r="G858" s="94"/>
    </row>
    <row r="859">
      <c r="B859" s="135"/>
      <c r="G859" s="94"/>
    </row>
    <row r="860">
      <c r="B860" s="135"/>
      <c r="G860" s="94"/>
    </row>
    <row r="861">
      <c r="B861" s="135"/>
      <c r="G861" s="94"/>
    </row>
    <row r="862">
      <c r="B862" s="135"/>
      <c r="G862" s="94"/>
    </row>
    <row r="863">
      <c r="B863" s="135"/>
      <c r="G863" s="94"/>
    </row>
    <row r="864">
      <c r="B864" s="135"/>
      <c r="G864" s="94"/>
    </row>
    <row r="865">
      <c r="B865" s="135"/>
      <c r="G865" s="94"/>
    </row>
    <row r="866">
      <c r="B866" s="135"/>
      <c r="G866" s="94"/>
    </row>
    <row r="867">
      <c r="B867" s="135"/>
      <c r="G867" s="94"/>
    </row>
    <row r="868">
      <c r="B868" s="135"/>
      <c r="G868" s="94"/>
    </row>
    <row r="869">
      <c r="B869" s="135"/>
      <c r="G869" s="94"/>
    </row>
    <row r="870">
      <c r="B870" s="135"/>
      <c r="G870" s="94"/>
    </row>
    <row r="871">
      <c r="B871" s="135"/>
      <c r="G871" s="94"/>
    </row>
    <row r="872">
      <c r="B872" s="135"/>
      <c r="G872" s="94"/>
    </row>
    <row r="873">
      <c r="B873" s="135"/>
      <c r="G873" s="94"/>
    </row>
    <row r="874">
      <c r="B874" s="135"/>
      <c r="G874" s="94"/>
    </row>
    <row r="875">
      <c r="B875" s="135"/>
      <c r="G875" s="94"/>
    </row>
    <row r="876">
      <c r="B876" s="135"/>
      <c r="G876" s="94"/>
    </row>
    <row r="877">
      <c r="B877" s="135"/>
      <c r="G877" s="94"/>
    </row>
    <row r="878">
      <c r="B878" s="135"/>
      <c r="G878" s="94"/>
    </row>
    <row r="879">
      <c r="B879" s="135"/>
      <c r="G879" s="94"/>
    </row>
    <row r="880">
      <c r="B880" s="135"/>
      <c r="G880" s="94"/>
    </row>
    <row r="881">
      <c r="B881" s="135"/>
      <c r="G881" s="94"/>
    </row>
    <row r="882">
      <c r="B882" s="135"/>
      <c r="G882" s="94"/>
    </row>
    <row r="883">
      <c r="B883" s="135"/>
      <c r="G883" s="94"/>
    </row>
    <row r="884">
      <c r="B884" s="135"/>
      <c r="G884" s="94"/>
    </row>
    <row r="885">
      <c r="B885" s="135"/>
      <c r="G885" s="94"/>
    </row>
    <row r="886">
      <c r="B886" s="135"/>
      <c r="G886" s="94"/>
    </row>
    <row r="887">
      <c r="B887" s="135"/>
      <c r="G887" s="94"/>
    </row>
    <row r="888">
      <c r="B888" s="135"/>
      <c r="G888" s="94"/>
    </row>
    <row r="889">
      <c r="B889" s="135"/>
      <c r="G889" s="94"/>
    </row>
    <row r="890">
      <c r="B890" s="135"/>
      <c r="G890" s="94"/>
    </row>
    <row r="891">
      <c r="B891" s="135"/>
      <c r="G891" s="94"/>
    </row>
    <row r="892">
      <c r="B892" s="135"/>
      <c r="G892" s="94"/>
    </row>
    <row r="893">
      <c r="B893" s="135"/>
      <c r="G893" s="94"/>
    </row>
    <row r="894">
      <c r="B894" s="135"/>
      <c r="G894" s="94"/>
    </row>
    <row r="895">
      <c r="B895" s="135"/>
      <c r="G895" s="94"/>
    </row>
    <row r="896">
      <c r="B896" s="135"/>
      <c r="G896" s="94"/>
    </row>
    <row r="897">
      <c r="B897" s="135"/>
      <c r="G897" s="94"/>
    </row>
    <row r="898">
      <c r="B898" s="135"/>
      <c r="G898" s="94"/>
    </row>
    <row r="899">
      <c r="B899" s="135"/>
      <c r="G899" s="94"/>
    </row>
    <row r="900">
      <c r="B900" s="135"/>
      <c r="G900" s="94"/>
    </row>
    <row r="901">
      <c r="B901" s="135"/>
      <c r="G901" s="94"/>
    </row>
    <row r="902">
      <c r="B902" s="135"/>
      <c r="G902" s="94"/>
    </row>
    <row r="903">
      <c r="B903" s="135"/>
      <c r="G903" s="94"/>
    </row>
    <row r="904">
      <c r="B904" s="135"/>
      <c r="G904" s="94"/>
    </row>
    <row r="905">
      <c r="B905" s="135"/>
      <c r="G905" s="94"/>
    </row>
    <row r="906">
      <c r="B906" s="135"/>
      <c r="G906" s="94"/>
    </row>
    <row r="907">
      <c r="B907" s="135"/>
      <c r="G907" s="94"/>
    </row>
    <row r="908">
      <c r="B908" s="135"/>
      <c r="G908" s="94"/>
    </row>
    <row r="909">
      <c r="B909" s="135"/>
      <c r="G909" s="94"/>
    </row>
    <row r="910">
      <c r="B910" s="135"/>
      <c r="G910" s="94"/>
    </row>
    <row r="911">
      <c r="B911" s="135"/>
      <c r="G911" s="94"/>
    </row>
    <row r="912">
      <c r="B912" s="135"/>
      <c r="G912" s="94"/>
    </row>
    <row r="913">
      <c r="B913" s="135"/>
      <c r="G913" s="94"/>
    </row>
    <row r="914">
      <c r="B914" s="135"/>
      <c r="G914" s="94"/>
    </row>
    <row r="915">
      <c r="B915" s="135"/>
      <c r="G915" s="94"/>
    </row>
    <row r="916">
      <c r="B916" s="135"/>
      <c r="G916" s="94"/>
    </row>
    <row r="917">
      <c r="B917" s="135"/>
      <c r="G917" s="94"/>
    </row>
    <row r="918">
      <c r="B918" s="135"/>
      <c r="G918" s="94"/>
    </row>
    <row r="919">
      <c r="B919" s="135"/>
      <c r="G919" s="94"/>
    </row>
    <row r="920">
      <c r="B920" s="135"/>
      <c r="G920" s="94"/>
    </row>
    <row r="921">
      <c r="B921" s="135"/>
      <c r="G921" s="94"/>
    </row>
    <row r="922">
      <c r="B922" s="135"/>
      <c r="G922" s="94"/>
    </row>
    <row r="923">
      <c r="B923" s="135"/>
      <c r="G923" s="94"/>
    </row>
    <row r="924">
      <c r="B924" s="135"/>
      <c r="G924" s="94"/>
    </row>
    <row r="925">
      <c r="B925" s="135"/>
      <c r="G925" s="94"/>
    </row>
    <row r="926">
      <c r="B926" s="135"/>
      <c r="G926" s="94"/>
    </row>
    <row r="927">
      <c r="B927" s="135"/>
      <c r="G927" s="94"/>
    </row>
    <row r="928">
      <c r="B928" s="135"/>
      <c r="G928" s="94"/>
    </row>
    <row r="929">
      <c r="B929" s="135"/>
      <c r="G929" s="94"/>
    </row>
    <row r="930">
      <c r="B930" s="135"/>
      <c r="G930" s="94"/>
    </row>
    <row r="931">
      <c r="B931" s="135"/>
      <c r="G931" s="94"/>
    </row>
    <row r="932">
      <c r="B932" s="135"/>
      <c r="G932" s="94"/>
    </row>
    <row r="933">
      <c r="B933" s="135"/>
      <c r="G933" s="94"/>
    </row>
    <row r="934">
      <c r="B934" s="135"/>
      <c r="G934" s="94"/>
    </row>
    <row r="935">
      <c r="B935" s="135"/>
      <c r="G935" s="94"/>
    </row>
    <row r="936">
      <c r="B936" s="135"/>
      <c r="G936" s="94"/>
    </row>
    <row r="937">
      <c r="B937" s="135"/>
      <c r="G937" s="94"/>
    </row>
    <row r="938">
      <c r="B938" s="135"/>
      <c r="G938" s="94"/>
    </row>
    <row r="939">
      <c r="B939" s="135"/>
      <c r="G939" s="94"/>
    </row>
    <row r="940">
      <c r="B940" s="135"/>
      <c r="G940" s="94"/>
    </row>
    <row r="941">
      <c r="B941" s="135"/>
      <c r="G941" s="94"/>
    </row>
    <row r="942">
      <c r="B942" s="135"/>
      <c r="G942" s="94"/>
    </row>
    <row r="943">
      <c r="B943" s="135"/>
      <c r="G943" s="94"/>
    </row>
    <row r="944">
      <c r="B944" s="135"/>
      <c r="G944" s="94"/>
    </row>
    <row r="945">
      <c r="B945" s="135"/>
      <c r="G945" s="94"/>
    </row>
    <row r="946">
      <c r="B946" s="135"/>
      <c r="G946" s="94"/>
    </row>
    <row r="947">
      <c r="B947" s="135"/>
      <c r="G947" s="94"/>
    </row>
    <row r="948">
      <c r="B948" s="135"/>
      <c r="G948" s="94"/>
    </row>
    <row r="949">
      <c r="B949" s="135"/>
      <c r="G949" s="94"/>
    </row>
    <row r="950">
      <c r="B950" s="135"/>
      <c r="G950" s="94"/>
    </row>
    <row r="951">
      <c r="B951" s="135"/>
      <c r="G951" s="94"/>
    </row>
    <row r="952">
      <c r="B952" s="135"/>
      <c r="G952" s="94"/>
    </row>
    <row r="953">
      <c r="B953" s="135"/>
      <c r="G953" s="94"/>
    </row>
    <row r="954">
      <c r="B954" s="135"/>
      <c r="G954" s="94"/>
    </row>
    <row r="955">
      <c r="B955" s="135"/>
      <c r="G955" s="94"/>
    </row>
    <row r="956">
      <c r="B956" s="135"/>
      <c r="G956" s="94"/>
    </row>
    <row r="957">
      <c r="B957" s="135"/>
      <c r="G957" s="94"/>
    </row>
    <row r="958">
      <c r="B958" s="135"/>
      <c r="G958" s="94"/>
    </row>
    <row r="959">
      <c r="B959" s="135"/>
      <c r="G959" s="94"/>
    </row>
    <row r="960">
      <c r="B960" s="135"/>
      <c r="G960" s="94"/>
    </row>
    <row r="961">
      <c r="B961" s="135"/>
      <c r="G961" s="94"/>
    </row>
    <row r="962">
      <c r="B962" s="135"/>
      <c r="G962" s="94"/>
    </row>
    <row r="963">
      <c r="B963" s="135"/>
      <c r="G963" s="94"/>
    </row>
    <row r="964">
      <c r="B964" s="135"/>
      <c r="G964" s="94"/>
    </row>
    <row r="965">
      <c r="B965" s="135"/>
      <c r="G965" s="94"/>
    </row>
    <row r="966">
      <c r="B966" s="135"/>
      <c r="G966" s="94"/>
    </row>
    <row r="967">
      <c r="B967" s="135"/>
      <c r="G967" s="94"/>
    </row>
    <row r="968">
      <c r="B968" s="135"/>
      <c r="G968" s="94"/>
    </row>
    <row r="969">
      <c r="B969" s="135"/>
      <c r="G969" s="94"/>
    </row>
    <row r="970">
      <c r="B970" s="135"/>
      <c r="G970" s="94"/>
    </row>
    <row r="971">
      <c r="B971" s="135"/>
      <c r="G971" s="94"/>
    </row>
    <row r="972">
      <c r="B972" s="135"/>
      <c r="G972" s="94"/>
    </row>
    <row r="973">
      <c r="B973" s="135"/>
      <c r="G973" s="94"/>
    </row>
    <row r="974">
      <c r="B974" s="135"/>
      <c r="G974" s="94"/>
    </row>
    <row r="975">
      <c r="B975" s="135"/>
      <c r="G975" s="94"/>
    </row>
    <row r="976">
      <c r="B976" s="135"/>
      <c r="G976" s="94"/>
    </row>
    <row r="977">
      <c r="B977" s="135"/>
      <c r="G977" s="94"/>
    </row>
    <row r="978">
      <c r="B978" s="135"/>
      <c r="G978" s="94"/>
    </row>
    <row r="979">
      <c r="B979" s="135"/>
      <c r="G979" s="94"/>
    </row>
    <row r="980">
      <c r="B980" s="135"/>
      <c r="G980" s="94"/>
    </row>
    <row r="981">
      <c r="B981" s="135"/>
      <c r="G981" s="94"/>
    </row>
    <row r="982">
      <c r="B982" s="135"/>
      <c r="G982" s="94"/>
    </row>
    <row r="983">
      <c r="B983" s="135"/>
      <c r="G983" s="94"/>
    </row>
    <row r="984">
      <c r="B984" s="135"/>
      <c r="G984" s="94"/>
    </row>
    <row r="985">
      <c r="B985" s="135"/>
      <c r="G985" s="94"/>
    </row>
    <row r="986">
      <c r="B986" s="135"/>
      <c r="G986" s="94"/>
    </row>
    <row r="987">
      <c r="B987" s="135"/>
      <c r="G987" s="94"/>
    </row>
    <row r="988">
      <c r="B988" s="135"/>
      <c r="G988" s="94"/>
    </row>
    <row r="989">
      <c r="B989" s="135"/>
      <c r="G989" s="94"/>
    </row>
    <row r="990">
      <c r="B990" s="135"/>
      <c r="G990" s="94"/>
    </row>
    <row r="991">
      <c r="B991" s="135"/>
      <c r="G991" s="94"/>
    </row>
    <row r="992">
      <c r="B992" s="135"/>
      <c r="G992" s="94"/>
    </row>
    <row r="993">
      <c r="B993" s="135"/>
      <c r="G993" s="94"/>
    </row>
    <row r="994">
      <c r="B994" s="135"/>
      <c r="G994" s="94"/>
    </row>
    <row r="995">
      <c r="B995" s="135"/>
      <c r="G995" s="94"/>
    </row>
    <row r="996">
      <c r="B996" s="135"/>
      <c r="G996" s="94"/>
    </row>
    <row r="997">
      <c r="G997" s="94"/>
    </row>
    <row r="998">
      <c r="G998" s="94"/>
    </row>
  </sheetData>
  <autoFilter ref="$A$1:$Z$998">
    <sortState ref="A1:Z998">
      <sortCondition ref="B1:B998"/>
    </sortState>
  </autoFilter>
  <dataValidations>
    <dataValidation type="list" allowBlank="1" showErrorMessage="1" sqref="L2:L298">
      <formula1>"CARDIAC,PULMONARY,ECPR"</formula1>
    </dataValidation>
    <dataValidation type="list" allowBlank="1" showErrorMessage="1" sqref="H29">
      <formula1>'TENDINE SLIM'!$A$2:$A$18</formula1>
    </dataValidation>
    <dataValidation type="list" allowBlank="1" showErrorMessage="1" sqref="A2:A283">
      <formula1>ANAGRAFICA!$B$2:$B$506</formula1>
    </dataValidation>
    <dataValidation type="list" allowBlank="1" showErrorMessage="1" sqref="H2:K28 I29:K29 H30:K298">
      <formula1>'TENDINE SLIM'!$A$2:$A$30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2" width="20.25"/>
    <col customWidth="1" min="6" max="6" width="25.13"/>
    <col customWidth="1" min="8" max="8" width="28.38"/>
    <col customWidth="1" min="9" max="9" width="12.88"/>
    <col customWidth="1" min="10" max="10" width="3.5"/>
    <col customWidth="1" min="11" max="11" width="16.5"/>
    <col customWidth="1" min="12" max="12" width="14.63"/>
    <col customWidth="1" min="13" max="13" width="16.25"/>
    <col customWidth="1" min="14" max="14" width="13.88"/>
  </cols>
  <sheetData>
    <row r="1">
      <c r="A1" s="136" t="s">
        <v>1</v>
      </c>
      <c r="B1" s="137" t="s">
        <v>2</v>
      </c>
      <c r="C1" s="136" t="s">
        <v>3</v>
      </c>
      <c r="D1" s="136" t="s">
        <v>4</v>
      </c>
      <c r="E1" s="136" t="s">
        <v>385</v>
      </c>
      <c r="F1" s="138" t="s">
        <v>6</v>
      </c>
      <c r="G1" s="136" t="s">
        <v>386</v>
      </c>
      <c r="H1" s="136" t="s">
        <v>546</v>
      </c>
      <c r="I1" s="136" t="s">
        <v>575</v>
      </c>
      <c r="J1" s="136" t="s">
        <v>576</v>
      </c>
      <c r="K1" s="136" t="s">
        <v>577</v>
      </c>
      <c r="L1" s="136" t="s">
        <v>578</v>
      </c>
      <c r="M1" s="136" t="s">
        <v>579</v>
      </c>
      <c r="N1" s="136" t="s">
        <v>580</v>
      </c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>
      <c r="A2" s="3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115">
        <v>1.0</v>
      </c>
      <c r="H2" s="14" t="s">
        <v>581</v>
      </c>
      <c r="I2" s="11" t="s">
        <v>582</v>
      </c>
      <c r="J2" s="115">
        <v>23.0</v>
      </c>
      <c r="K2" s="115" t="s">
        <v>583</v>
      </c>
      <c r="L2" s="115">
        <v>971.0</v>
      </c>
      <c r="M2" s="115" t="b">
        <v>1</v>
      </c>
      <c r="N2" s="115" t="b">
        <v>0</v>
      </c>
    </row>
    <row r="3">
      <c r="A3" s="3">
        <v>2.124012963E9</v>
      </c>
      <c r="B3" s="109" t="str">
        <f>VLOOKUP($A3,ANAGRAFICA!$B$1:$G$306,2,FALSE)</f>
        <v>TARENZI</v>
      </c>
      <c r="C3" s="109" t="str">
        <f>VLOOKUP($A3,ANAGRAFICA!$B$1:$G$306,3,FALSE)</f>
        <v>GIACOMO</v>
      </c>
      <c r="D3" s="109" t="str">
        <f>VLOOKUP($A3,ANAGRAFICA!$B$1:$G$306,4,FALSE)</f>
        <v>758-7</v>
      </c>
      <c r="E3" s="109">
        <f>VLOOKUP($A3,ANAGRAFICA!$B$1:$G$306,5,FALSE)</f>
        <v>3272024073</v>
      </c>
      <c r="F3" s="109">
        <f>VLOOKUP($A3,ANAGRAFICA!$B$1:$G$306,6,FALSE)</f>
        <v>2024</v>
      </c>
      <c r="G3" s="115">
        <v>1.0</v>
      </c>
      <c r="H3" s="14" t="s">
        <v>584</v>
      </c>
      <c r="I3" s="11" t="s">
        <v>585</v>
      </c>
      <c r="J3" s="115">
        <v>17.0</v>
      </c>
      <c r="K3" s="115" t="s">
        <v>583</v>
      </c>
      <c r="L3" s="115">
        <v>949.0</v>
      </c>
      <c r="M3" s="115" t="b">
        <v>1</v>
      </c>
      <c r="N3" s="115" t="b">
        <v>0</v>
      </c>
    </row>
    <row r="4">
      <c r="A4" s="3">
        <v>2.124014461E9</v>
      </c>
      <c r="B4" s="109" t="str">
        <f>VLOOKUP($A4,ANAGRAFICA!$B$1:$G$306,2,FALSE)</f>
        <v>FUMAGALLI</v>
      </c>
      <c r="C4" s="109" t="str">
        <f>VLOOKUP($A4,ANAGRAFICA!$B$1:$G$306,3,FALSE)</f>
        <v>LUCA</v>
      </c>
      <c r="D4" s="109" t="str">
        <f>VLOOKUP($A4,ANAGRAFICA!$B$1:$G$306,4,FALSE)</f>
        <v>758-10</v>
      </c>
      <c r="E4" s="109">
        <f>VLOOKUP($A4,ANAGRAFICA!$B$1:$G$306,5,FALSE)</f>
        <v>3272024076</v>
      </c>
      <c r="F4" s="109">
        <f>VLOOKUP($A4,ANAGRAFICA!$B$1:$G$306,6,FALSE)</f>
        <v>2024</v>
      </c>
      <c r="G4" s="57">
        <v>1.0</v>
      </c>
      <c r="H4" s="14" t="s">
        <v>581</v>
      </c>
      <c r="I4" s="11" t="s">
        <v>582</v>
      </c>
      <c r="J4" s="57">
        <v>25.0</v>
      </c>
      <c r="K4" s="57" t="s">
        <v>583</v>
      </c>
      <c r="L4" s="57">
        <v>972.0</v>
      </c>
      <c r="M4" s="115" t="b">
        <v>1</v>
      </c>
      <c r="N4" s="115" t="b">
        <v>0</v>
      </c>
    </row>
    <row r="5">
      <c r="A5" s="3">
        <v>2.124014461E9</v>
      </c>
      <c r="B5" s="109" t="str">
        <f>VLOOKUP($A5,ANAGRAFICA!$B$1:$G$306,2,FALSE)</f>
        <v>FUMAGALLI</v>
      </c>
      <c r="C5" s="109" t="str">
        <f>VLOOKUP($A5,ANAGRAFICA!$B$1:$G$306,3,FALSE)</f>
        <v>LUCA</v>
      </c>
      <c r="D5" s="109" t="str">
        <f>VLOOKUP($A5,ANAGRAFICA!$B$1:$G$306,4,FALSE)</f>
        <v>758-10</v>
      </c>
      <c r="E5" s="109">
        <f>VLOOKUP($A5,ANAGRAFICA!$B$1:$G$306,5,FALSE)</f>
        <v>3272024076</v>
      </c>
      <c r="F5" s="109">
        <f>VLOOKUP($A5,ANAGRAFICA!$B$1:$G$306,6,FALSE)</f>
        <v>2024</v>
      </c>
      <c r="G5" s="57">
        <v>1.0</v>
      </c>
      <c r="H5" s="14" t="s">
        <v>584</v>
      </c>
      <c r="I5" s="11" t="s">
        <v>585</v>
      </c>
      <c r="J5" s="57">
        <v>17.0</v>
      </c>
      <c r="K5" s="57" t="s">
        <v>583</v>
      </c>
      <c r="L5" s="57">
        <v>949.0</v>
      </c>
      <c r="M5" s="115" t="b">
        <v>1</v>
      </c>
      <c r="N5" s="115" t="b">
        <v>0</v>
      </c>
      <c r="O5" s="115"/>
    </row>
    <row r="6">
      <c r="A6" s="52">
        <v>2.123023299E9</v>
      </c>
      <c r="B6" s="109" t="str">
        <f>VLOOKUP($A6,ANAGRAFICA!$B$1:$G$306,2,FALSE)</f>
        <v>BEATRICE</v>
      </c>
      <c r="C6" s="109" t="str">
        <f>VLOOKUP($A6,ANAGRAFICA!$B$1:$G$306,3,FALSE)</f>
        <v>GERARDINA</v>
      </c>
      <c r="D6" s="109" t="str">
        <f>VLOOKUP($A6,ANAGRAFICA!$B$1:$G$306,4,FALSE)</f>
        <v/>
      </c>
      <c r="E6" s="109">
        <f>VLOOKUP($A6,ANAGRAFICA!$B$1:$G$306,5,FALSE)</f>
        <v>3272024098</v>
      </c>
      <c r="F6" s="109">
        <f>VLOOKUP($A6,ANAGRAFICA!$B$1:$G$306,6,FALSE)</f>
        <v>2024</v>
      </c>
      <c r="G6" s="57">
        <v>1.0</v>
      </c>
      <c r="H6" s="14" t="s">
        <v>581</v>
      </c>
      <c r="I6" s="11" t="s">
        <v>582</v>
      </c>
      <c r="J6" s="57">
        <v>21.0</v>
      </c>
      <c r="K6" s="57" t="s">
        <v>583</v>
      </c>
      <c r="L6" s="57">
        <v>970.0</v>
      </c>
      <c r="M6" s="115" t="b">
        <v>1</v>
      </c>
      <c r="N6" s="115" t="b">
        <v>0</v>
      </c>
      <c r="O6" s="115"/>
    </row>
    <row r="7">
      <c r="A7" s="3">
        <v>2.123023299E9</v>
      </c>
      <c r="B7" s="109" t="str">
        <f>VLOOKUP($A7,ANAGRAFICA!$B$1:$G$306,2,FALSE)</f>
        <v>BEATRICE</v>
      </c>
      <c r="C7" s="109" t="str">
        <f>VLOOKUP($A7,ANAGRAFICA!$B$1:$G$306,3,FALSE)</f>
        <v>GERARDINA</v>
      </c>
      <c r="D7" s="109" t="str">
        <f>VLOOKUP($A7,ANAGRAFICA!$B$1:$G$306,4,FALSE)</f>
        <v/>
      </c>
      <c r="E7" s="109">
        <f>VLOOKUP($A7,ANAGRAFICA!$B$1:$G$306,5,FALSE)</f>
        <v>3272024098</v>
      </c>
      <c r="F7" s="109">
        <f>VLOOKUP($A7,ANAGRAFICA!$B$1:$G$306,6,FALSE)</f>
        <v>2024</v>
      </c>
      <c r="G7" s="57">
        <v>1.0</v>
      </c>
      <c r="H7" s="14" t="s">
        <v>584</v>
      </c>
      <c r="I7" s="11" t="s">
        <v>585</v>
      </c>
      <c r="J7" s="57">
        <v>15.0</v>
      </c>
      <c r="K7" s="57" t="s">
        <v>586</v>
      </c>
      <c r="L7" s="57">
        <v>948.0</v>
      </c>
      <c r="M7" s="115" t="b">
        <v>1</v>
      </c>
      <c r="N7" s="115" t="b">
        <v>0</v>
      </c>
      <c r="O7" s="57"/>
    </row>
    <row r="8">
      <c r="A8" s="3">
        <v>2.124000149E9</v>
      </c>
      <c r="B8" s="109" t="str">
        <f>VLOOKUP($A8,ANAGRAFICA!$B$1:$G$306,2,FALSE)</f>
        <v>MOTTA</v>
      </c>
      <c r="C8" s="109" t="str">
        <f>VLOOKUP($A8,ANAGRAFICA!$B$1:$G$306,3,FALSE)</f>
        <v>FABIO</v>
      </c>
      <c r="D8" s="109" t="str">
        <f>VLOOKUP($A8,ANAGRAFICA!$B$1:$G$306,4,FALSE)</f>
        <v/>
      </c>
      <c r="E8" s="109">
        <f>VLOOKUP($A8,ANAGRAFICA!$B$1:$G$306,5,FALSE)</f>
        <v>3272024051</v>
      </c>
      <c r="F8" s="109">
        <f>VLOOKUP($A8,ANAGRAFICA!$B$1:$G$306,6,FALSE)</f>
        <v>2024</v>
      </c>
      <c r="G8" s="57">
        <v>1.0</v>
      </c>
      <c r="H8" s="14" t="s">
        <v>581</v>
      </c>
      <c r="I8" s="11" t="s">
        <v>587</v>
      </c>
      <c r="J8" s="57">
        <v>32.0</v>
      </c>
      <c r="K8" s="57" t="s">
        <v>588</v>
      </c>
      <c r="L8" s="94"/>
      <c r="M8" s="115" t="b">
        <v>0</v>
      </c>
      <c r="N8" s="115" t="b">
        <v>0</v>
      </c>
      <c r="O8" s="57"/>
    </row>
    <row r="9">
      <c r="A9" s="3">
        <v>2.124000149E9</v>
      </c>
      <c r="B9" s="109" t="str">
        <f>VLOOKUP($A9,ANAGRAFICA!$B$1:$G$306,2,FALSE)</f>
        <v>MOTTA</v>
      </c>
      <c r="C9" s="109" t="str">
        <f>VLOOKUP($A9,ANAGRAFICA!$B$1:$G$306,3,FALSE)</f>
        <v>FABIO</v>
      </c>
      <c r="D9" s="109" t="str">
        <f>VLOOKUP($A9,ANAGRAFICA!$B$1:$G$306,4,FALSE)</f>
        <v/>
      </c>
      <c r="E9" s="109">
        <f>VLOOKUP($A9,ANAGRAFICA!$B$1:$G$306,5,FALSE)</f>
        <v>3272024051</v>
      </c>
      <c r="F9" s="109">
        <f>VLOOKUP($A9,ANAGRAFICA!$B$1:$G$306,6,FALSE)</f>
        <v>2024</v>
      </c>
      <c r="G9" s="11">
        <v>1.0</v>
      </c>
      <c r="H9" s="14" t="s">
        <v>584</v>
      </c>
      <c r="I9" s="11" t="s">
        <v>589</v>
      </c>
      <c r="J9" s="57">
        <v>22.0</v>
      </c>
      <c r="K9" s="57" t="s">
        <v>590</v>
      </c>
      <c r="L9" s="94"/>
      <c r="M9" s="115" t="b">
        <v>0</v>
      </c>
      <c r="N9" s="115" t="b">
        <v>0</v>
      </c>
    </row>
    <row r="10">
      <c r="A10" s="3">
        <v>2.124000241E9</v>
      </c>
      <c r="B10" s="109" t="str">
        <f>VLOOKUP($A10,ANAGRAFICA!$B$1:$G$306,2,FALSE)</f>
        <v>ISELLA</v>
      </c>
      <c r="C10" s="109" t="str">
        <f>VLOOKUP($A10,ANAGRAFICA!$B$1:$G$306,3,FALSE)</f>
        <v>VINCENZO</v>
      </c>
      <c r="D10" s="109" t="str">
        <f>VLOOKUP($A10,ANAGRAFICA!$B$1:$G$306,4,FALSE)</f>
        <v/>
      </c>
      <c r="E10" s="109">
        <f>VLOOKUP($A10,ANAGRAFICA!$B$1:$G$306,5,FALSE)</f>
        <v>3272024052</v>
      </c>
      <c r="F10" s="109">
        <f>VLOOKUP($A10,ANAGRAFICA!$B$1:$G$306,6,FALSE)</f>
        <v>2024</v>
      </c>
      <c r="G10" s="57">
        <v>1.0</v>
      </c>
      <c r="H10" s="14" t="s">
        <v>581</v>
      </c>
      <c r="I10" s="11" t="s">
        <v>582</v>
      </c>
      <c r="J10" s="57">
        <v>25.0</v>
      </c>
      <c r="K10" s="57" t="s">
        <v>586</v>
      </c>
      <c r="L10" s="57">
        <v>972.0</v>
      </c>
      <c r="M10" s="115" t="b">
        <v>1</v>
      </c>
      <c r="N10" s="115" t="b">
        <v>0</v>
      </c>
    </row>
    <row r="11">
      <c r="A11" s="3">
        <v>2.124000241E9</v>
      </c>
      <c r="B11" s="109" t="str">
        <f>VLOOKUP($A11,ANAGRAFICA!$B$1:$G$306,2,FALSE)</f>
        <v>ISELLA</v>
      </c>
      <c r="C11" s="109" t="str">
        <f>VLOOKUP($A11,ANAGRAFICA!$B$1:$G$306,3,FALSE)</f>
        <v>VINCENZO</v>
      </c>
      <c r="D11" s="109" t="str">
        <f>VLOOKUP($A11,ANAGRAFICA!$B$1:$G$306,4,FALSE)</f>
        <v/>
      </c>
      <c r="E11" s="109">
        <f>VLOOKUP($A11,ANAGRAFICA!$B$1:$G$306,5,FALSE)</f>
        <v>3272024052</v>
      </c>
      <c r="F11" s="109">
        <f>VLOOKUP($A11,ANAGRAFICA!$B$1:$G$306,6,FALSE)</f>
        <v>2024</v>
      </c>
      <c r="G11" s="57">
        <v>1.0</v>
      </c>
      <c r="H11" s="14" t="s">
        <v>584</v>
      </c>
      <c r="I11" s="11" t="s">
        <v>585</v>
      </c>
      <c r="J11" s="57">
        <v>17.0</v>
      </c>
      <c r="K11" s="57" t="s">
        <v>586</v>
      </c>
      <c r="L11" s="57">
        <v>949.0</v>
      </c>
      <c r="M11" s="115" t="b">
        <v>1</v>
      </c>
      <c r="N11" s="115" t="b">
        <v>0</v>
      </c>
    </row>
    <row r="12">
      <c r="A12" s="3">
        <v>2.124000328E9</v>
      </c>
      <c r="B12" s="109" t="str">
        <f>VLOOKUP($A12,ANAGRAFICA!$B$1:$G$306,2,FALSE)</f>
        <v>LAVANGA</v>
      </c>
      <c r="C12" s="109" t="str">
        <f>VLOOKUP($A12,ANAGRAFICA!$B$1:$G$306,3,FALSE)</f>
        <v>DONATO</v>
      </c>
      <c r="D12" s="109" t="str">
        <f>VLOOKUP($A12,ANAGRAFICA!$B$1:$G$306,4,FALSE)</f>
        <v/>
      </c>
      <c r="E12" s="109">
        <f>VLOOKUP($A12,ANAGRAFICA!$B$1:$G$306,5,FALSE)</f>
        <v>3272024053</v>
      </c>
      <c r="F12" s="109">
        <f>VLOOKUP($A12,ANAGRAFICA!$B$1:$G$306,6,FALSE)</f>
        <v>2024</v>
      </c>
      <c r="G12" s="57">
        <v>1.0</v>
      </c>
      <c r="H12" s="14" t="s">
        <v>581</v>
      </c>
      <c r="I12" s="11" t="s">
        <v>591</v>
      </c>
      <c r="J12" s="57">
        <v>25.0</v>
      </c>
      <c r="K12" s="57" t="s">
        <v>586</v>
      </c>
      <c r="L12" s="57">
        <v>972.0</v>
      </c>
      <c r="M12" s="115" t="b">
        <v>1</v>
      </c>
      <c r="N12" s="115" t="b">
        <v>0</v>
      </c>
    </row>
    <row r="13">
      <c r="A13" s="3">
        <v>2.124000328E9</v>
      </c>
      <c r="B13" s="109" t="str">
        <f>VLOOKUP($A13,ANAGRAFICA!$B$1:$G$306,2,FALSE)</f>
        <v>LAVANGA</v>
      </c>
      <c r="C13" s="109" t="str">
        <f>VLOOKUP($A13,ANAGRAFICA!$B$1:$G$306,3,FALSE)</f>
        <v>DONATO</v>
      </c>
      <c r="D13" s="109" t="str">
        <f>VLOOKUP($A13,ANAGRAFICA!$B$1:$G$306,4,FALSE)</f>
        <v/>
      </c>
      <c r="E13" s="109">
        <f>VLOOKUP($A13,ANAGRAFICA!$B$1:$G$306,5,FALSE)</f>
        <v>3272024053</v>
      </c>
      <c r="F13" s="109">
        <f>VLOOKUP($A13,ANAGRAFICA!$B$1:$G$306,6,FALSE)</f>
        <v>2024</v>
      </c>
      <c r="G13" s="57">
        <v>1.0</v>
      </c>
      <c r="H13" s="14" t="s">
        <v>584</v>
      </c>
      <c r="I13" s="11" t="s">
        <v>592</v>
      </c>
      <c r="J13" s="57">
        <v>17.0</v>
      </c>
      <c r="K13" s="57" t="s">
        <v>586</v>
      </c>
      <c r="L13" s="57">
        <v>949.0</v>
      </c>
      <c r="M13" s="115" t="b">
        <v>1</v>
      </c>
      <c r="N13" s="115" t="b">
        <v>0</v>
      </c>
    </row>
    <row r="14">
      <c r="A14" s="3">
        <v>2.124001121E9</v>
      </c>
      <c r="B14" s="109" t="str">
        <f>VLOOKUP($A14,ANAGRAFICA!$B$1:$G$306,2,FALSE)</f>
        <v>TIEGHI</v>
      </c>
      <c r="C14" s="109" t="str">
        <f>VLOOKUP($A14,ANAGRAFICA!$B$1:$G$306,3,FALSE)</f>
        <v>MASSIMO</v>
      </c>
      <c r="D14" s="109" t="str">
        <f>VLOOKUP($A14,ANAGRAFICA!$B$1:$G$306,4,FALSE)</f>
        <v/>
      </c>
      <c r="E14" s="109">
        <f>VLOOKUP($A14,ANAGRAFICA!$B$1:$G$306,5,FALSE)</f>
        <v>3272024054</v>
      </c>
      <c r="F14" s="109">
        <f>VLOOKUP($A14,ANAGRAFICA!$B$1:$G$306,6,FALSE)</f>
        <v>2024</v>
      </c>
      <c r="G14" s="57">
        <v>1.0</v>
      </c>
      <c r="H14" s="14" t="s">
        <v>581</v>
      </c>
      <c r="I14" s="11" t="s">
        <v>591</v>
      </c>
      <c r="J14" s="57">
        <v>25.0</v>
      </c>
      <c r="K14" s="57" t="s">
        <v>586</v>
      </c>
      <c r="L14" s="57">
        <v>972.0</v>
      </c>
      <c r="M14" s="115" t="b">
        <v>1</v>
      </c>
      <c r="N14" s="115" t="b">
        <v>0</v>
      </c>
    </row>
    <row r="15">
      <c r="A15" s="3">
        <v>2.124001121E9</v>
      </c>
      <c r="B15" s="109" t="str">
        <f>VLOOKUP($A15,ANAGRAFICA!$B$1:$G$306,2,FALSE)</f>
        <v>TIEGHI</v>
      </c>
      <c r="C15" s="109" t="str">
        <f>VLOOKUP($A15,ANAGRAFICA!$B$1:$G$306,3,FALSE)</f>
        <v>MASSIMO</v>
      </c>
      <c r="D15" s="109" t="str">
        <f>VLOOKUP($A15,ANAGRAFICA!$B$1:$G$306,4,FALSE)</f>
        <v/>
      </c>
      <c r="E15" s="109">
        <f>VLOOKUP($A15,ANAGRAFICA!$B$1:$G$306,5,FALSE)</f>
        <v>3272024054</v>
      </c>
      <c r="F15" s="109">
        <f>VLOOKUP($A15,ANAGRAFICA!$B$1:$G$306,6,FALSE)</f>
        <v>2024</v>
      </c>
      <c r="G15" s="57">
        <v>1.0</v>
      </c>
      <c r="H15" s="14" t="s">
        <v>584</v>
      </c>
      <c r="I15" s="11" t="s">
        <v>585</v>
      </c>
      <c r="J15" s="57">
        <v>17.0</v>
      </c>
      <c r="K15" s="57" t="s">
        <v>586</v>
      </c>
      <c r="L15" s="57">
        <v>949.0</v>
      </c>
      <c r="M15" s="115" t="b">
        <v>1</v>
      </c>
      <c r="N15" s="115" t="b">
        <v>0</v>
      </c>
    </row>
    <row r="16">
      <c r="A16" s="3">
        <v>2.124016781E9</v>
      </c>
      <c r="B16" s="109" t="str">
        <f>VLOOKUP($A16,ANAGRAFICA!$B$1:$G$306,2,FALSE)</f>
        <v>TURNO ARTHEMALLE</v>
      </c>
      <c r="C16" s="109" t="str">
        <f>VLOOKUP($A16,ANAGRAFICA!$B$1:$G$306,3,FALSE)</f>
        <v>ALICE</v>
      </c>
      <c r="D16" s="109" t="str">
        <f>VLOOKUP($A16,ANAGRAFICA!$B$1:$G$306,4,FALSE)</f>
        <v>758-12</v>
      </c>
      <c r="E16" s="109">
        <f>VLOOKUP($A16,ANAGRAFICA!$B$1:$G$306,5,FALSE)</f>
        <v>3272024078</v>
      </c>
      <c r="F16" s="109">
        <f>VLOOKUP($A16,ANAGRAFICA!$B$1:$G$306,6,FALSE)</f>
        <v>2024</v>
      </c>
      <c r="G16" s="57">
        <v>1.0</v>
      </c>
      <c r="H16" s="14" t="s">
        <v>581</v>
      </c>
      <c r="I16" s="11" t="s">
        <v>591</v>
      </c>
      <c r="J16" s="57">
        <v>23.0</v>
      </c>
      <c r="K16" s="57" t="s">
        <v>583</v>
      </c>
      <c r="L16" s="57">
        <v>971.0</v>
      </c>
      <c r="M16" s="115" t="b">
        <v>1</v>
      </c>
      <c r="N16" s="115" t="b">
        <v>0</v>
      </c>
    </row>
    <row r="17">
      <c r="A17" s="3">
        <v>2.124016781E9</v>
      </c>
      <c r="B17" s="109" t="str">
        <f>VLOOKUP($A17,ANAGRAFICA!$B$1:$G$306,2,FALSE)</f>
        <v>TURNO ARTHEMALLE</v>
      </c>
      <c r="C17" s="109" t="str">
        <f>VLOOKUP($A17,ANAGRAFICA!$B$1:$G$306,3,FALSE)</f>
        <v>ALICE</v>
      </c>
      <c r="D17" s="109" t="str">
        <f>VLOOKUP($A17,ANAGRAFICA!$B$1:$G$306,4,FALSE)</f>
        <v>758-12</v>
      </c>
      <c r="E17" s="109">
        <f>VLOOKUP($A17,ANAGRAFICA!$B$1:$G$306,5,FALSE)</f>
        <v>3272024078</v>
      </c>
      <c r="F17" s="109">
        <f>VLOOKUP($A17,ANAGRAFICA!$B$1:$G$306,6,FALSE)</f>
        <v>2024</v>
      </c>
      <c r="G17" s="57">
        <v>1.0</v>
      </c>
      <c r="H17" s="14" t="s">
        <v>584</v>
      </c>
      <c r="I17" s="11" t="s">
        <v>592</v>
      </c>
      <c r="J17" s="57">
        <v>15.0</v>
      </c>
      <c r="K17" s="57" t="s">
        <v>583</v>
      </c>
      <c r="L17" s="57">
        <v>948.0</v>
      </c>
      <c r="M17" s="115" t="b">
        <v>1</v>
      </c>
      <c r="N17" s="115" t="b">
        <v>0</v>
      </c>
    </row>
    <row r="18">
      <c r="A18" s="3">
        <v>2.124002215E9</v>
      </c>
      <c r="B18" s="109" t="str">
        <f>VLOOKUP($A18,ANAGRAFICA!$B$1:$G$306,2,FALSE)</f>
        <v>SCHIFANO</v>
      </c>
      <c r="C18" s="109" t="str">
        <f>VLOOKUP($A18,ANAGRAFICA!$B$1:$G$306,3,FALSE)</f>
        <v>FRANCESCO</v>
      </c>
      <c r="D18" s="109" t="str">
        <f>VLOOKUP($A18,ANAGRAFICA!$B$1:$G$306,4,FALSE)</f>
        <v/>
      </c>
      <c r="E18" s="109">
        <f>VLOOKUP($A18,ANAGRAFICA!$B$1:$G$306,5,FALSE)</f>
        <v>3272024055</v>
      </c>
      <c r="F18" s="109">
        <f>VLOOKUP($A18,ANAGRAFICA!$B$1:$G$306,6,FALSE)</f>
        <v>2024</v>
      </c>
      <c r="G18" s="57">
        <v>1.0</v>
      </c>
      <c r="H18" s="14" t="s">
        <v>581</v>
      </c>
      <c r="I18" s="11" t="s">
        <v>591</v>
      </c>
      <c r="J18" s="57">
        <v>21.0</v>
      </c>
      <c r="K18" s="57" t="s">
        <v>583</v>
      </c>
      <c r="L18" s="57">
        <v>970.0</v>
      </c>
      <c r="M18" s="115" t="b">
        <v>1</v>
      </c>
      <c r="N18" s="115" t="b">
        <v>0</v>
      </c>
    </row>
    <row r="19">
      <c r="A19" s="3">
        <v>2.124002215E9</v>
      </c>
      <c r="B19" s="109" t="str">
        <f>VLOOKUP($A19,ANAGRAFICA!$B$1:$G$306,2,FALSE)</f>
        <v>SCHIFANO</v>
      </c>
      <c r="C19" s="109" t="str">
        <f>VLOOKUP($A19,ANAGRAFICA!$B$1:$G$306,3,FALSE)</f>
        <v>FRANCESCO</v>
      </c>
      <c r="D19" s="109" t="str">
        <f>VLOOKUP($A19,ANAGRAFICA!$B$1:$G$306,4,FALSE)</f>
        <v/>
      </c>
      <c r="E19" s="109">
        <f>VLOOKUP($A19,ANAGRAFICA!$B$1:$G$306,5,FALSE)</f>
        <v>3272024055</v>
      </c>
      <c r="F19" s="109">
        <f>VLOOKUP($A19,ANAGRAFICA!$B$1:$G$306,6,FALSE)</f>
        <v>2024</v>
      </c>
      <c r="G19" s="57">
        <v>1.0</v>
      </c>
      <c r="H19" s="14" t="s">
        <v>584</v>
      </c>
      <c r="I19" s="11" t="s">
        <v>592</v>
      </c>
      <c r="J19" s="57">
        <v>15.0</v>
      </c>
      <c r="K19" s="57" t="s">
        <v>583</v>
      </c>
      <c r="L19" s="57">
        <v>948.0</v>
      </c>
      <c r="M19" s="115" t="b">
        <v>1</v>
      </c>
      <c r="N19" s="115" t="b">
        <v>0</v>
      </c>
    </row>
    <row r="20">
      <c r="A20" s="3">
        <v>2.124202869E9</v>
      </c>
      <c r="B20" s="109" t="str">
        <f>VLOOKUP($A20,ANAGRAFICA!$B$1:$G$306,2,FALSE)</f>
        <v>VALSECCHI</v>
      </c>
      <c r="C20" s="109" t="str">
        <f>VLOOKUP($A20,ANAGRAFICA!$B$1:$G$306,3,FALSE)</f>
        <v>ANDREA</v>
      </c>
      <c r="D20" s="109" t="str">
        <f>VLOOKUP($A20,ANAGRAFICA!$B$1:$G$306,4,FALSE)</f>
        <v/>
      </c>
      <c r="E20" s="109">
        <f>VLOOKUP($A20,ANAGRAFICA!$B$1:$G$306,5,FALSE)</f>
        <v>3272024056</v>
      </c>
      <c r="F20" s="109">
        <f>VLOOKUP($A20,ANAGRAFICA!$B$1:$G$306,6,FALSE)</f>
        <v>2024</v>
      </c>
      <c r="G20" s="57">
        <v>1.0</v>
      </c>
      <c r="H20" s="14" t="s">
        <v>581</v>
      </c>
      <c r="I20" s="11" t="s">
        <v>582</v>
      </c>
      <c r="J20" s="57">
        <v>25.0</v>
      </c>
      <c r="K20" s="57" t="s">
        <v>583</v>
      </c>
      <c r="L20" s="57">
        <v>972.0</v>
      </c>
      <c r="M20" s="115" t="b">
        <v>1</v>
      </c>
      <c r="N20" s="115" t="b">
        <v>0</v>
      </c>
    </row>
    <row r="21">
      <c r="A21" s="3">
        <v>2.124202869E9</v>
      </c>
      <c r="B21" s="109" t="str">
        <f>VLOOKUP($A21,ANAGRAFICA!$B$1:$G$306,2,FALSE)</f>
        <v>VALSECCHI</v>
      </c>
      <c r="C21" s="109" t="str">
        <f>VLOOKUP($A21,ANAGRAFICA!$B$1:$G$306,3,FALSE)</f>
        <v>ANDREA</v>
      </c>
      <c r="D21" s="109" t="str">
        <f>VLOOKUP($A21,ANAGRAFICA!$B$1:$G$306,4,FALSE)</f>
        <v/>
      </c>
      <c r="E21" s="109">
        <f>VLOOKUP($A21,ANAGRAFICA!$B$1:$G$306,5,FALSE)</f>
        <v>3272024056</v>
      </c>
      <c r="F21" s="109">
        <f>VLOOKUP($A21,ANAGRAFICA!$B$1:$G$306,6,FALSE)</f>
        <v>2024</v>
      </c>
      <c r="G21" s="57">
        <v>1.0</v>
      </c>
      <c r="H21" s="14" t="s">
        <v>584</v>
      </c>
      <c r="I21" s="11" t="s">
        <v>585</v>
      </c>
      <c r="J21" s="57">
        <v>15.0</v>
      </c>
      <c r="K21" s="57" t="s">
        <v>583</v>
      </c>
      <c r="L21" s="57">
        <v>948.0</v>
      </c>
      <c r="M21" s="115" t="b">
        <v>1</v>
      </c>
      <c r="N21" s="115" t="b">
        <v>0</v>
      </c>
    </row>
    <row r="22">
      <c r="A22" s="3">
        <v>2.124003531E9</v>
      </c>
      <c r="B22" s="109" t="str">
        <f>VLOOKUP($A22,ANAGRAFICA!$B$1:$G$306,2,FALSE)</f>
        <v>RASPANTI</v>
      </c>
      <c r="C22" s="109" t="str">
        <f>VLOOKUP($A22,ANAGRAFICA!$B$1:$G$306,3,FALSE)</f>
        <v>ANDREA</v>
      </c>
      <c r="D22" s="109" t="str">
        <f>VLOOKUP($A22,ANAGRAFICA!$B$1:$G$306,4,FALSE)</f>
        <v/>
      </c>
      <c r="E22" s="109">
        <f>VLOOKUP($A22,ANAGRAFICA!$B$1:$G$306,5,FALSE)</f>
        <v>3272024057</v>
      </c>
      <c r="F22" s="109">
        <f>VLOOKUP($A22,ANAGRAFICA!$B$1:$G$306,6,FALSE)</f>
        <v>2024</v>
      </c>
      <c r="G22" s="57">
        <v>1.0</v>
      </c>
      <c r="H22" s="14" t="s">
        <v>584</v>
      </c>
      <c r="I22" s="11" t="s">
        <v>585</v>
      </c>
      <c r="J22" s="57">
        <v>17.0</v>
      </c>
      <c r="K22" s="57" t="s">
        <v>583</v>
      </c>
      <c r="L22" s="57">
        <v>949.0</v>
      </c>
      <c r="M22" s="115" t="b">
        <v>1</v>
      </c>
      <c r="N22" s="115" t="b">
        <v>0</v>
      </c>
    </row>
    <row r="23">
      <c r="A23" s="140">
        <v>2.124003531E9</v>
      </c>
      <c r="B23" s="109" t="str">
        <f>VLOOKUP($A23,ANAGRAFICA!$B$1:$G$306,2,FALSE)</f>
        <v>RASPANTI</v>
      </c>
      <c r="C23" s="109" t="str">
        <f>VLOOKUP($A23,ANAGRAFICA!$B$1:$G$306,3,FALSE)</f>
        <v>ANDREA</v>
      </c>
      <c r="D23" s="109" t="str">
        <f>VLOOKUP($A23,ANAGRAFICA!$B$1:$G$306,4,FALSE)</f>
        <v/>
      </c>
      <c r="E23" s="109">
        <f>VLOOKUP($A23,ANAGRAFICA!$B$1:$G$306,5,FALSE)</f>
        <v>3272024057</v>
      </c>
      <c r="F23" s="109">
        <f>VLOOKUP($A23,ANAGRAFICA!$B$1:$G$306,6,FALSE)</f>
        <v>2024</v>
      </c>
      <c r="G23" s="57">
        <v>1.0</v>
      </c>
      <c r="H23" s="14" t="s">
        <v>581</v>
      </c>
      <c r="I23" s="11" t="s">
        <v>591</v>
      </c>
      <c r="J23" s="57">
        <v>25.0</v>
      </c>
      <c r="K23" s="57" t="s">
        <v>593</v>
      </c>
      <c r="L23" s="57">
        <v>972.0</v>
      </c>
      <c r="M23" s="115" t="b">
        <v>1</v>
      </c>
      <c r="N23" s="115" t="b">
        <v>0</v>
      </c>
    </row>
    <row r="24">
      <c r="A24" s="3">
        <v>2.124203781E9</v>
      </c>
      <c r="B24" s="109" t="str">
        <f>VLOOKUP($A24,ANAGRAFICA!$B$1:$G$306,2,FALSE)</f>
        <v>CONCA</v>
      </c>
      <c r="C24" s="109" t="str">
        <f>VLOOKUP($A24,ANAGRAFICA!$B$1:$G$306,3,FALSE)</f>
        <v>CAMILLA</v>
      </c>
      <c r="D24" s="109" t="str">
        <f>VLOOKUP($A24,ANAGRAFICA!$B$1:$G$306,4,FALSE)</f>
        <v/>
      </c>
      <c r="E24" s="109">
        <f>VLOOKUP($A24,ANAGRAFICA!$B$1:$G$306,5,FALSE)</f>
        <v>3272024058</v>
      </c>
      <c r="F24" s="109">
        <f>VLOOKUP($A24,ANAGRAFICA!$B$1:$G$306,6,FALSE)</f>
        <v>2024</v>
      </c>
      <c r="G24" s="57">
        <v>1.0</v>
      </c>
      <c r="H24" s="14" t="s">
        <v>581</v>
      </c>
      <c r="I24" s="11" t="s">
        <v>591</v>
      </c>
      <c r="J24" s="57">
        <v>25.0</v>
      </c>
      <c r="K24" s="57" t="s">
        <v>593</v>
      </c>
      <c r="L24" s="57">
        <v>972.0</v>
      </c>
      <c r="M24" s="115" t="b">
        <v>1</v>
      </c>
      <c r="N24" s="115" t="b">
        <v>0</v>
      </c>
    </row>
    <row r="25">
      <c r="A25" s="3">
        <v>2.124203781E9</v>
      </c>
      <c r="B25" s="109" t="str">
        <f>VLOOKUP($A25,ANAGRAFICA!$B$1:$G$306,2,FALSE)</f>
        <v>CONCA</v>
      </c>
      <c r="C25" s="109" t="str">
        <f>VLOOKUP($A25,ANAGRAFICA!$B$1:$G$306,3,FALSE)</f>
        <v>CAMILLA</v>
      </c>
      <c r="D25" s="109" t="str">
        <f>VLOOKUP($A25,ANAGRAFICA!$B$1:$G$306,4,FALSE)</f>
        <v/>
      </c>
      <c r="E25" s="109">
        <f>VLOOKUP($A25,ANAGRAFICA!$B$1:$G$306,5,FALSE)</f>
        <v>3272024058</v>
      </c>
      <c r="F25" s="109">
        <f>VLOOKUP($A25,ANAGRAFICA!$B$1:$G$306,6,FALSE)</f>
        <v>2024</v>
      </c>
      <c r="G25" s="57">
        <v>1.0</v>
      </c>
      <c r="H25" s="14" t="s">
        <v>584</v>
      </c>
      <c r="I25" s="11" t="s">
        <v>594</v>
      </c>
      <c r="J25" s="57">
        <v>15.0</v>
      </c>
      <c r="K25" s="57" t="s">
        <v>583</v>
      </c>
      <c r="L25" s="57">
        <v>948.0</v>
      </c>
      <c r="M25" s="115" t="b">
        <v>1</v>
      </c>
      <c r="N25" s="115" t="b">
        <v>0</v>
      </c>
    </row>
    <row r="26">
      <c r="A26" s="3">
        <v>2.124019725E9</v>
      </c>
      <c r="B26" s="109" t="str">
        <f>VLOOKUP($A26,ANAGRAFICA!$B$1:$G$306,2,FALSE)</f>
        <v>AMIWO</v>
      </c>
      <c r="C26" s="109" t="str">
        <f>VLOOKUP($A26,ANAGRAFICA!$B$1:$G$306,3,FALSE)</f>
        <v>REX STEVE</v>
      </c>
      <c r="D26" s="109" t="str">
        <f>VLOOKUP($A26,ANAGRAFICA!$B$1:$G$306,4,FALSE)</f>
        <v>758-18</v>
      </c>
      <c r="E26" s="109">
        <f>VLOOKUP($A26,ANAGRAFICA!$B$1:$G$306,5,FALSE)</f>
        <v>3272024084</v>
      </c>
      <c r="F26" s="109">
        <f>VLOOKUP($A26,ANAGRAFICA!$B$1:$G$306,6,FALSE)</f>
        <v>2024</v>
      </c>
      <c r="G26" s="57">
        <v>1.0</v>
      </c>
      <c r="H26" s="14" t="s">
        <v>581</v>
      </c>
      <c r="I26" s="11" t="s">
        <v>591</v>
      </c>
      <c r="J26" s="57">
        <v>25.0</v>
      </c>
      <c r="K26" s="57" t="s">
        <v>583</v>
      </c>
      <c r="L26" s="57">
        <v>972.0</v>
      </c>
      <c r="M26" s="115" t="b">
        <v>1</v>
      </c>
      <c r="N26" s="115" t="b">
        <v>0</v>
      </c>
    </row>
    <row r="27">
      <c r="A27" s="3">
        <v>2.124019725E9</v>
      </c>
      <c r="B27" s="109" t="str">
        <f>VLOOKUP($A27,ANAGRAFICA!$B$1:$G$306,2,FALSE)</f>
        <v>AMIWO</v>
      </c>
      <c r="C27" s="109" t="str">
        <f>VLOOKUP($A27,ANAGRAFICA!$B$1:$G$306,3,FALSE)</f>
        <v>REX STEVE</v>
      </c>
      <c r="D27" s="109" t="str">
        <f>VLOOKUP($A27,ANAGRAFICA!$B$1:$G$306,4,FALSE)</f>
        <v>758-18</v>
      </c>
      <c r="E27" s="109">
        <f>VLOOKUP($A27,ANAGRAFICA!$B$1:$G$306,5,FALSE)</f>
        <v>3272024084</v>
      </c>
      <c r="F27" s="109">
        <f>VLOOKUP($A27,ANAGRAFICA!$B$1:$G$306,6,FALSE)</f>
        <v>2024</v>
      </c>
      <c r="G27" s="57">
        <v>1.0</v>
      </c>
      <c r="H27" s="14" t="s">
        <v>584</v>
      </c>
      <c r="I27" s="11" t="s">
        <v>592</v>
      </c>
      <c r="J27" s="57">
        <v>17.0</v>
      </c>
      <c r="K27" s="57" t="s">
        <v>583</v>
      </c>
      <c r="L27" s="57">
        <v>949.0</v>
      </c>
      <c r="M27" s="115" t="b">
        <v>1</v>
      </c>
      <c r="N27" s="115" t="b">
        <v>0</v>
      </c>
    </row>
    <row r="28">
      <c r="A28" s="3">
        <v>2.12401869E9</v>
      </c>
      <c r="B28" s="109" t="str">
        <f>VLOOKUP($A28,ANAGRAFICA!$B$1:$G$306,2,FALSE)</f>
        <v>AVENIDO</v>
      </c>
      <c r="C28" s="109" t="str">
        <f>VLOOKUP($A28,ANAGRAFICA!$B$1:$G$306,3,FALSE)</f>
        <v>DELFIN</v>
      </c>
      <c r="D28" s="109" t="str">
        <f>VLOOKUP($A28,ANAGRAFICA!$B$1:$G$306,4,FALSE)</f>
        <v>758-16</v>
      </c>
      <c r="E28" s="109">
        <f>VLOOKUP($A28,ANAGRAFICA!$B$1:$G$306,5,FALSE)</f>
        <v>3272024082</v>
      </c>
      <c r="F28" s="109">
        <f>VLOOKUP($A28,ANAGRAFICA!$B$1:$G$306,6,FALSE)</f>
        <v>2024</v>
      </c>
      <c r="G28" s="57">
        <v>1.0</v>
      </c>
      <c r="H28" s="14" t="s">
        <v>581</v>
      </c>
      <c r="I28" s="11" t="s">
        <v>582</v>
      </c>
      <c r="J28" s="57">
        <v>23.0</v>
      </c>
      <c r="K28" s="57" t="s">
        <v>583</v>
      </c>
      <c r="L28" s="57">
        <v>971.0</v>
      </c>
      <c r="M28" s="115" t="b">
        <v>1</v>
      </c>
      <c r="N28" s="115" t="b">
        <v>0</v>
      </c>
    </row>
    <row r="29">
      <c r="A29" s="3">
        <v>2.12401869E9</v>
      </c>
      <c r="B29" s="109" t="str">
        <f>VLOOKUP($A29,ANAGRAFICA!$B$1:$G$306,2,FALSE)</f>
        <v>AVENIDO</v>
      </c>
      <c r="C29" s="109" t="str">
        <f>VLOOKUP($A29,ANAGRAFICA!$B$1:$G$306,3,FALSE)</f>
        <v>DELFIN</v>
      </c>
      <c r="D29" s="109" t="str">
        <f>VLOOKUP($A29,ANAGRAFICA!$B$1:$G$306,4,FALSE)</f>
        <v>758-16</v>
      </c>
      <c r="E29" s="109">
        <f>VLOOKUP($A29,ANAGRAFICA!$B$1:$G$306,5,FALSE)</f>
        <v>3272024082</v>
      </c>
      <c r="F29" s="109">
        <f>VLOOKUP($A29,ANAGRAFICA!$B$1:$G$306,6,FALSE)</f>
        <v>2024</v>
      </c>
      <c r="G29" s="57">
        <v>1.0</v>
      </c>
      <c r="H29" s="14" t="s">
        <v>584</v>
      </c>
      <c r="I29" s="11" t="s">
        <v>585</v>
      </c>
      <c r="J29" s="57">
        <v>17.0</v>
      </c>
      <c r="K29" s="57" t="s">
        <v>583</v>
      </c>
      <c r="L29" s="57">
        <v>949.0</v>
      </c>
      <c r="M29" s="115" t="b">
        <v>1</v>
      </c>
      <c r="N29" s="115" t="b">
        <v>0</v>
      </c>
    </row>
    <row r="30">
      <c r="A30" s="3">
        <v>2.124018637E9</v>
      </c>
      <c r="B30" s="109" t="str">
        <f>VLOOKUP($A30,ANAGRAFICA!$B$1:$G$306,2,FALSE)</f>
        <v>CARIBONI</v>
      </c>
      <c r="C30" s="109" t="str">
        <f>VLOOKUP($A30,ANAGRAFICA!$B$1:$G$306,3,FALSE)</f>
        <v>LORENZA</v>
      </c>
      <c r="D30" s="109" t="str">
        <f>VLOOKUP($A30,ANAGRAFICA!$B$1:$G$306,4,FALSE)</f>
        <v>758-15</v>
      </c>
      <c r="E30" s="109">
        <f>VLOOKUP($A30,ANAGRAFICA!$B$1:$G$306,5,FALSE)</f>
        <v>3272024081</v>
      </c>
      <c r="F30" s="109">
        <f>VLOOKUP($A30,ANAGRAFICA!$B$1:$G$306,6,FALSE)</f>
        <v>2024</v>
      </c>
      <c r="G30" s="57">
        <v>1.0</v>
      </c>
      <c r="H30" s="14" t="s">
        <v>581</v>
      </c>
      <c r="I30" s="11" t="s">
        <v>591</v>
      </c>
      <c r="J30" s="57">
        <v>23.0</v>
      </c>
      <c r="K30" s="57" t="s">
        <v>583</v>
      </c>
      <c r="L30" s="57">
        <v>971.0</v>
      </c>
      <c r="M30" s="115" t="b">
        <v>1</v>
      </c>
      <c r="N30" s="115" t="b">
        <v>0</v>
      </c>
    </row>
    <row r="31">
      <c r="A31" s="3">
        <v>2.124018637E9</v>
      </c>
      <c r="B31" s="109" t="str">
        <f>VLOOKUP($A31,ANAGRAFICA!$B$1:$G$306,2,FALSE)</f>
        <v>CARIBONI</v>
      </c>
      <c r="C31" s="109" t="str">
        <f>VLOOKUP($A31,ANAGRAFICA!$B$1:$G$306,3,FALSE)</f>
        <v>LORENZA</v>
      </c>
      <c r="D31" s="109" t="str">
        <f>VLOOKUP($A31,ANAGRAFICA!$B$1:$G$306,4,FALSE)</f>
        <v>758-15</v>
      </c>
      <c r="E31" s="109">
        <f>VLOOKUP($A31,ANAGRAFICA!$B$1:$G$306,5,FALSE)</f>
        <v>3272024081</v>
      </c>
      <c r="F31" s="109">
        <f>VLOOKUP($A31,ANAGRAFICA!$B$1:$G$306,6,FALSE)</f>
        <v>2024</v>
      </c>
      <c r="G31" s="57">
        <v>1.0</v>
      </c>
      <c r="H31" s="14" t="s">
        <v>584</v>
      </c>
      <c r="I31" s="11" t="s">
        <v>585</v>
      </c>
      <c r="J31" s="57">
        <v>15.0</v>
      </c>
      <c r="K31" s="57" t="s">
        <v>583</v>
      </c>
      <c r="L31" s="57">
        <v>984.0</v>
      </c>
      <c r="M31" s="115" t="b">
        <v>1</v>
      </c>
      <c r="N31" s="115" t="b">
        <v>0</v>
      </c>
    </row>
    <row r="32">
      <c r="A32" s="3">
        <v>2.124019184E9</v>
      </c>
      <c r="B32" s="109" t="str">
        <f>VLOOKUP($A32,ANAGRAFICA!$B$1:$G$306,2,FALSE)</f>
        <v>SERVIDIO</v>
      </c>
      <c r="C32" s="109" t="str">
        <f>VLOOKUP($A32,ANAGRAFICA!$B$1:$G$306,3,FALSE)</f>
        <v>GIOVANNI</v>
      </c>
      <c r="D32" s="109" t="str">
        <f>VLOOKUP($A32,ANAGRAFICA!$B$1:$G$306,4,FALSE)</f>
        <v>758-17</v>
      </c>
      <c r="E32" s="109">
        <f>VLOOKUP($A32,ANAGRAFICA!$B$1:$G$306,5,FALSE)</f>
        <v>3272024083</v>
      </c>
      <c r="F32" s="109">
        <f>VLOOKUP($A32,ANAGRAFICA!$B$1:$G$306,6,FALSE)</f>
        <v>2024</v>
      </c>
      <c r="G32" s="57">
        <v>1.0</v>
      </c>
      <c r="H32" s="14" t="s">
        <v>581</v>
      </c>
      <c r="I32" s="11" t="s">
        <v>582</v>
      </c>
      <c r="J32" s="57">
        <v>25.0</v>
      </c>
      <c r="K32" s="57" t="s">
        <v>583</v>
      </c>
      <c r="L32" s="57">
        <v>972.0</v>
      </c>
      <c r="M32" s="115" t="b">
        <v>1</v>
      </c>
      <c r="N32" s="115" t="b">
        <v>0</v>
      </c>
    </row>
    <row r="33">
      <c r="A33" s="3">
        <v>2.124019184E9</v>
      </c>
      <c r="B33" s="109" t="str">
        <f>VLOOKUP($A33,ANAGRAFICA!$B$1:$G$306,2,FALSE)</f>
        <v>SERVIDIO</v>
      </c>
      <c r="C33" s="109" t="str">
        <f>VLOOKUP($A33,ANAGRAFICA!$B$1:$G$306,3,FALSE)</f>
        <v>GIOVANNI</v>
      </c>
      <c r="D33" s="109" t="str">
        <f>VLOOKUP($A33,ANAGRAFICA!$B$1:$G$306,4,FALSE)</f>
        <v>758-17</v>
      </c>
      <c r="E33" s="109">
        <f>VLOOKUP($A33,ANAGRAFICA!$B$1:$G$306,5,FALSE)</f>
        <v>3272024083</v>
      </c>
      <c r="F33" s="109">
        <f>VLOOKUP($A33,ANAGRAFICA!$B$1:$G$306,6,FALSE)</f>
        <v>2024</v>
      </c>
      <c r="G33" s="57">
        <v>1.0</v>
      </c>
      <c r="H33" s="14" t="s">
        <v>584</v>
      </c>
      <c r="I33" s="11" t="s">
        <v>585</v>
      </c>
      <c r="J33" s="57">
        <v>17.0</v>
      </c>
      <c r="K33" s="57" t="s">
        <v>583</v>
      </c>
      <c r="L33" s="57">
        <v>949.0</v>
      </c>
      <c r="M33" s="115" t="b">
        <v>1</v>
      </c>
      <c r="N33" s="115" t="b">
        <v>0</v>
      </c>
    </row>
    <row r="34">
      <c r="A34" s="3">
        <v>2.124017757E9</v>
      </c>
      <c r="B34" s="109" t="str">
        <f>VLOOKUP($A34,ANAGRAFICA!$B$1:$G$306,2,FALSE)</f>
        <v>SALA</v>
      </c>
      <c r="C34" s="109" t="str">
        <f>VLOOKUP($A34,ANAGRAFICA!$B$1:$G$306,3,FALSE)</f>
        <v>FELICE</v>
      </c>
      <c r="D34" s="109" t="str">
        <f>VLOOKUP($A34,ANAGRAFICA!$B$1:$G$306,4,FALSE)</f>
        <v>758-14</v>
      </c>
      <c r="E34" s="109">
        <f>VLOOKUP($A34,ANAGRAFICA!$B$1:$G$306,5,FALSE)</f>
        <v>3272024080</v>
      </c>
      <c r="F34" s="109">
        <f>VLOOKUP($A34,ANAGRAFICA!$B$1:$G$306,6,FALSE)</f>
        <v>2024</v>
      </c>
      <c r="G34" s="57">
        <v>1.0</v>
      </c>
      <c r="H34" s="14" t="s">
        <v>581</v>
      </c>
      <c r="I34" s="11" t="s">
        <v>591</v>
      </c>
      <c r="J34" s="57">
        <v>25.0</v>
      </c>
      <c r="K34" s="57" t="s">
        <v>583</v>
      </c>
      <c r="L34" s="57">
        <v>972.0</v>
      </c>
      <c r="M34" s="115" t="b">
        <v>1</v>
      </c>
      <c r="N34" s="115" t="b">
        <v>0</v>
      </c>
    </row>
    <row r="35">
      <c r="A35" s="3">
        <v>2.124017757E9</v>
      </c>
      <c r="B35" s="109" t="str">
        <f>VLOOKUP($A35,ANAGRAFICA!$B$1:$G$306,2,FALSE)</f>
        <v>SALA</v>
      </c>
      <c r="C35" s="109" t="str">
        <f>VLOOKUP($A35,ANAGRAFICA!$B$1:$G$306,3,FALSE)</f>
        <v>FELICE</v>
      </c>
      <c r="D35" s="109" t="str">
        <f>VLOOKUP($A35,ANAGRAFICA!$B$1:$G$306,4,FALSE)</f>
        <v>758-14</v>
      </c>
      <c r="E35" s="109">
        <f>VLOOKUP($A35,ANAGRAFICA!$B$1:$G$306,5,FALSE)</f>
        <v>3272024080</v>
      </c>
      <c r="F35" s="109">
        <f>VLOOKUP($A35,ANAGRAFICA!$B$1:$G$306,6,FALSE)</f>
        <v>2024</v>
      </c>
      <c r="G35" s="57">
        <v>1.0</v>
      </c>
      <c r="H35" s="14" t="s">
        <v>584</v>
      </c>
      <c r="I35" s="11" t="s">
        <v>585</v>
      </c>
      <c r="J35" s="57">
        <v>17.0</v>
      </c>
      <c r="K35" s="57" t="s">
        <v>583</v>
      </c>
      <c r="L35" s="57">
        <v>949.0</v>
      </c>
      <c r="M35" s="115" t="b">
        <v>1</v>
      </c>
      <c r="N35" s="115" t="b">
        <v>0</v>
      </c>
    </row>
    <row r="36">
      <c r="A36" s="3">
        <v>2.124211722E9</v>
      </c>
      <c r="B36" s="109" t="str">
        <f>VLOOKUP($A36,ANAGRAFICA!$B$1:$G$306,2,FALSE)</f>
        <v>CORIO</v>
      </c>
      <c r="C36" s="109" t="str">
        <f>VLOOKUP($A36,ANAGRAFICA!$B$1:$G$306,3,FALSE)</f>
        <v>GIOVANNI</v>
      </c>
      <c r="D36" s="109" t="str">
        <f>VLOOKUP($A36,ANAGRAFICA!$B$1:$G$306,4,FALSE)</f>
        <v>758-13</v>
      </c>
      <c r="E36" s="109">
        <f>VLOOKUP($A36,ANAGRAFICA!$B$1:$G$306,5,FALSE)</f>
        <v>3272024079</v>
      </c>
      <c r="F36" s="109">
        <f>VLOOKUP($A36,ANAGRAFICA!$B$1:$G$306,6,FALSE)</f>
        <v>2024</v>
      </c>
      <c r="G36" s="57">
        <v>1.0</v>
      </c>
      <c r="H36" s="14" t="s">
        <v>581</v>
      </c>
      <c r="I36" s="11" t="s">
        <v>591</v>
      </c>
      <c r="J36" s="57">
        <v>25.0</v>
      </c>
      <c r="K36" s="57" t="s">
        <v>583</v>
      </c>
      <c r="L36" s="57">
        <v>971.0</v>
      </c>
      <c r="M36" s="115" t="b">
        <v>1</v>
      </c>
      <c r="N36" s="115" t="b">
        <v>0</v>
      </c>
    </row>
    <row r="37">
      <c r="A37" s="3">
        <v>2.124211722E9</v>
      </c>
      <c r="B37" s="109" t="str">
        <f>VLOOKUP($A37,ANAGRAFICA!$B$1:$G$306,2,FALSE)</f>
        <v>CORIO</v>
      </c>
      <c r="C37" s="109" t="str">
        <f>VLOOKUP($A37,ANAGRAFICA!$B$1:$G$306,3,FALSE)</f>
        <v>GIOVANNI</v>
      </c>
      <c r="D37" s="109" t="str">
        <f>VLOOKUP($A37,ANAGRAFICA!$B$1:$G$306,4,FALSE)</f>
        <v>758-13</v>
      </c>
      <c r="E37" s="109">
        <f>VLOOKUP($A37,ANAGRAFICA!$B$1:$G$306,5,FALSE)</f>
        <v>3272024079</v>
      </c>
      <c r="F37" s="109">
        <f>VLOOKUP($A37,ANAGRAFICA!$B$1:$G$306,6,FALSE)</f>
        <v>2024</v>
      </c>
      <c r="G37" s="57">
        <v>1.0</v>
      </c>
      <c r="H37" s="14" t="s">
        <v>584</v>
      </c>
      <c r="I37" s="11" t="s">
        <v>585</v>
      </c>
      <c r="J37" s="57">
        <v>15.0</v>
      </c>
      <c r="K37" s="57" t="s">
        <v>583</v>
      </c>
      <c r="L37" s="57">
        <v>984.0</v>
      </c>
      <c r="M37" s="115" t="b">
        <v>1</v>
      </c>
      <c r="N37" s="115" t="b">
        <v>0</v>
      </c>
    </row>
    <row r="38">
      <c r="A38" s="3">
        <v>2.124014334E9</v>
      </c>
      <c r="B38" s="109" t="str">
        <f>VLOOKUP($A38,ANAGRAFICA!$B$1:$G$306,2,FALSE)</f>
        <v>PONTIGGIA</v>
      </c>
      <c r="C38" s="109" t="str">
        <f>VLOOKUP($A38,ANAGRAFICA!$B$1:$G$306,3,FALSE)</f>
        <v>FLAVIO</v>
      </c>
      <c r="D38" s="109" t="str">
        <f>VLOOKUP($A38,ANAGRAFICA!$B$1:$G$306,4,FALSE)</f>
        <v>758-9</v>
      </c>
      <c r="E38" s="109">
        <f>VLOOKUP($A38,ANAGRAFICA!$B$1:$G$306,5,FALSE)</f>
        <v>3272024075</v>
      </c>
      <c r="F38" s="109">
        <f>VLOOKUP($A38,ANAGRAFICA!$B$1:$G$306,6,FALSE)</f>
        <v>2024</v>
      </c>
      <c r="G38" s="57">
        <v>1.0</v>
      </c>
      <c r="H38" s="14" t="s">
        <v>581</v>
      </c>
      <c r="I38" s="11" t="s">
        <v>591</v>
      </c>
      <c r="J38" s="57">
        <v>25.0</v>
      </c>
      <c r="K38" s="57" t="s">
        <v>583</v>
      </c>
      <c r="L38" s="57">
        <v>971.0</v>
      </c>
      <c r="M38" s="115" t="b">
        <v>1</v>
      </c>
      <c r="N38" s="115" t="b">
        <v>0</v>
      </c>
    </row>
    <row r="39">
      <c r="A39" s="3">
        <v>2.124014334E9</v>
      </c>
      <c r="B39" s="109" t="str">
        <f>VLOOKUP($A39,ANAGRAFICA!$B$1:$G$306,2,FALSE)</f>
        <v>PONTIGGIA</v>
      </c>
      <c r="C39" s="109" t="str">
        <f>VLOOKUP($A39,ANAGRAFICA!$B$1:$G$306,3,FALSE)</f>
        <v>FLAVIO</v>
      </c>
      <c r="D39" s="109" t="str">
        <f>VLOOKUP($A39,ANAGRAFICA!$B$1:$G$306,4,FALSE)</f>
        <v>758-9</v>
      </c>
      <c r="E39" s="109">
        <f>VLOOKUP($A39,ANAGRAFICA!$B$1:$G$306,5,FALSE)</f>
        <v>3272024075</v>
      </c>
      <c r="F39" s="109">
        <f>VLOOKUP($A39,ANAGRAFICA!$B$1:$G$306,6,FALSE)</f>
        <v>2024</v>
      </c>
      <c r="G39" s="57">
        <v>1.0</v>
      </c>
      <c r="H39" s="14" t="s">
        <v>584</v>
      </c>
      <c r="I39" s="11" t="s">
        <v>592</v>
      </c>
      <c r="J39" s="57">
        <v>17.0</v>
      </c>
      <c r="K39" s="57" t="s">
        <v>583</v>
      </c>
      <c r="L39" s="57">
        <v>949.0</v>
      </c>
      <c r="M39" s="115" t="b">
        <v>1</v>
      </c>
      <c r="N39" s="115" t="b">
        <v>0</v>
      </c>
    </row>
    <row r="40">
      <c r="A40" s="3">
        <v>2.124013801E9</v>
      </c>
      <c r="B40" s="109" t="str">
        <f>VLOOKUP($A40,ANAGRAFICA!$B$1:$G$306,2,FALSE)</f>
        <v>SGOBBA</v>
      </c>
      <c r="C40" s="109" t="str">
        <f>VLOOKUP($A40,ANAGRAFICA!$B$1:$G$306,3,FALSE)</f>
        <v>ANNA</v>
      </c>
      <c r="D40" s="109" t="str">
        <f>VLOOKUP($A40,ANAGRAFICA!$B$1:$G$306,4,FALSE)</f>
        <v>758-8</v>
      </c>
      <c r="E40" s="109">
        <f>VLOOKUP($A40,ANAGRAFICA!$B$1:$G$306,5,FALSE)</f>
        <v>3272024074</v>
      </c>
      <c r="F40" s="109">
        <f>VLOOKUP($A40,ANAGRAFICA!$B$1:$G$306,6,FALSE)</f>
        <v>2024</v>
      </c>
      <c r="G40" s="57">
        <v>1.0</v>
      </c>
      <c r="H40" s="14" t="s">
        <v>581</v>
      </c>
      <c r="I40" s="11" t="s">
        <v>591</v>
      </c>
      <c r="J40" s="57">
        <v>23.0</v>
      </c>
      <c r="K40" s="57" t="s">
        <v>583</v>
      </c>
      <c r="L40" s="57">
        <v>971.0</v>
      </c>
      <c r="M40" s="115" t="b">
        <v>0</v>
      </c>
      <c r="N40" s="115" t="b">
        <v>1</v>
      </c>
    </row>
    <row r="41">
      <c r="A41" s="3">
        <v>2.124013801E9</v>
      </c>
      <c r="B41" s="109" t="str">
        <f>VLOOKUP($A41,ANAGRAFICA!$B$1:$G$306,2,FALSE)</f>
        <v>SGOBBA</v>
      </c>
      <c r="C41" s="109" t="str">
        <f>VLOOKUP($A41,ANAGRAFICA!$B$1:$G$306,3,FALSE)</f>
        <v>ANNA</v>
      </c>
      <c r="D41" s="109" t="str">
        <f>VLOOKUP($A41,ANAGRAFICA!$B$1:$G$306,4,FALSE)</f>
        <v>758-8</v>
      </c>
      <c r="E41" s="109">
        <f>VLOOKUP($A41,ANAGRAFICA!$B$1:$G$306,5,FALSE)</f>
        <v>3272024074</v>
      </c>
      <c r="F41" s="109">
        <f>VLOOKUP($A41,ANAGRAFICA!$B$1:$G$306,6,FALSE)</f>
        <v>2024</v>
      </c>
      <c r="G41" s="57">
        <v>1.0</v>
      </c>
      <c r="H41" s="14" t="s">
        <v>584</v>
      </c>
      <c r="I41" s="11" t="s">
        <v>585</v>
      </c>
      <c r="J41" s="57">
        <v>15.0</v>
      </c>
      <c r="K41" s="57" t="s">
        <v>583</v>
      </c>
      <c r="L41" s="57">
        <v>948.0</v>
      </c>
      <c r="M41" s="115" t="b">
        <v>0</v>
      </c>
      <c r="N41" s="115" t="b">
        <v>1</v>
      </c>
    </row>
    <row r="42">
      <c r="A42" s="3">
        <v>2.124012915E9</v>
      </c>
      <c r="B42" s="109" t="str">
        <f>VLOOKUP($A42,ANAGRAFICA!$B$1:$G$306,2,FALSE)</f>
        <v>GARGIONI</v>
      </c>
      <c r="C42" s="109" t="str">
        <f>VLOOKUP($A42,ANAGRAFICA!$B$1:$G$306,3,FALSE)</f>
        <v>GIULIO</v>
      </c>
      <c r="D42" s="109" t="str">
        <f>VLOOKUP($A42,ANAGRAFICA!$B$1:$G$306,4,FALSE)</f>
        <v>758-6</v>
      </c>
      <c r="E42" s="109">
        <f>VLOOKUP($A42,ANAGRAFICA!$B$1:$G$306,5,FALSE)</f>
        <v>3272024072</v>
      </c>
      <c r="F42" s="109">
        <f>VLOOKUP($A42,ANAGRAFICA!$B$1:$G$306,6,FALSE)</f>
        <v>2024</v>
      </c>
      <c r="G42" s="57">
        <v>1.0</v>
      </c>
      <c r="H42" s="14" t="s">
        <v>581</v>
      </c>
      <c r="I42" s="11" t="s">
        <v>582</v>
      </c>
      <c r="J42" s="57">
        <v>23.0</v>
      </c>
      <c r="K42" s="57" t="s">
        <v>583</v>
      </c>
      <c r="L42" s="57">
        <v>971.0</v>
      </c>
      <c r="M42" s="115" t="b">
        <v>1</v>
      </c>
      <c r="N42" s="115" t="b">
        <v>0</v>
      </c>
    </row>
    <row r="43">
      <c r="A43" s="3">
        <v>2.124012915E9</v>
      </c>
      <c r="B43" s="109" t="str">
        <f>VLOOKUP($A43,ANAGRAFICA!$B$1:$G$306,2,FALSE)</f>
        <v>GARGIONI</v>
      </c>
      <c r="C43" s="109" t="str">
        <f>VLOOKUP($A43,ANAGRAFICA!$B$1:$G$306,3,FALSE)</f>
        <v>GIULIO</v>
      </c>
      <c r="D43" s="109" t="str">
        <f>VLOOKUP($A43,ANAGRAFICA!$B$1:$G$306,4,FALSE)</f>
        <v>758-6</v>
      </c>
      <c r="E43" s="109">
        <f>VLOOKUP($A43,ANAGRAFICA!$B$1:$G$306,5,FALSE)</f>
        <v>3272024072</v>
      </c>
      <c r="F43" s="109">
        <f>VLOOKUP($A43,ANAGRAFICA!$B$1:$G$306,6,FALSE)</f>
        <v>2024</v>
      </c>
      <c r="G43" s="57">
        <v>1.0</v>
      </c>
      <c r="H43" s="14" t="s">
        <v>584</v>
      </c>
      <c r="I43" s="11" t="s">
        <v>592</v>
      </c>
      <c r="J43" s="57">
        <v>17.0</v>
      </c>
      <c r="K43" s="57" t="s">
        <v>583</v>
      </c>
      <c r="L43" s="57">
        <v>949.0</v>
      </c>
      <c r="M43" s="115" t="b">
        <v>1</v>
      </c>
      <c r="N43" s="115" t="b">
        <v>0</v>
      </c>
    </row>
    <row r="44">
      <c r="A44" s="3">
        <v>2.124208629E9</v>
      </c>
      <c r="B44" s="109" t="str">
        <f>VLOOKUP($A44,ANAGRAFICA!$B$1:$G$306,2,FALSE)</f>
        <v>D'ANDREA</v>
      </c>
      <c r="C44" s="109" t="str">
        <f>VLOOKUP($A44,ANAGRAFICA!$B$1:$G$306,3,FALSE)</f>
        <v>FERNANDO ANTONIO</v>
      </c>
      <c r="D44" s="109" t="str">
        <f>VLOOKUP($A44,ANAGRAFICA!$B$1:$G$306,4,FALSE)</f>
        <v>758-5</v>
      </c>
      <c r="E44" s="109">
        <f>VLOOKUP($A44,ANAGRAFICA!$B$1:$G$306,5,FALSE)</f>
        <v>3272024071</v>
      </c>
      <c r="F44" s="109">
        <f>VLOOKUP($A44,ANAGRAFICA!$B$1:$G$306,6,FALSE)</f>
        <v>2024</v>
      </c>
      <c r="G44" s="57">
        <v>1.0</v>
      </c>
      <c r="H44" s="14" t="s">
        <v>581</v>
      </c>
      <c r="I44" s="11" t="s">
        <v>591</v>
      </c>
      <c r="J44" s="57">
        <v>25.0</v>
      </c>
      <c r="K44" s="57" t="s">
        <v>583</v>
      </c>
      <c r="L44" s="57">
        <v>971.0</v>
      </c>
      <c r="M44" s="115" t="b">
        <v>1</v>
      </c>
      <c r="N44" s="115" t="b">
        <v>0</v>
      </c>
    </row>
    <row r="45">
      <c r="A45" s="3">
        <v>2.124208629E9</v>
      </c>
      <c r="B45" s="109" t="str">
        <f>VLOOKUP($A45,ANAGRAFICA!$B$1:$G$306,2,FALSE)</f>
        <v>D'ANDREA</v>
      </c>
      <c r="C45" s="109" t="str">
        <f>VLOOKUP($A45,ANAGRAFICA!$B$1:$G$306,3,FALSE)</f>
        <v>FERNANDO ANTONIO</v>
      </c>
      <c r="D45" s="109" t="str">
        <f>VLOOKUP($A45,ANAGRAFICA!$B$1:$G$306,4,FALSE)</f>
        <v>758-5</v>
      </c>
      <c r="E45" s="109">
        <f>VLOOKUP($A45,ANAGRAFICA!$B$1:$G$306,5,FALSE)</f>
        <v>3272024071</v>
      </c>
      <c r="F45" s="109">
        <f>VLOOKUP($A45,ANAGRAFICA!$B$1:$G$306,6,FALSE)</f>
        <v>2024</v>
      </c>
      <c r="G45" s="57">
        <v>1.0</v>
      </c>
      <c r="H45" s="14" t="s">
        <v>584</v>
      </c>
      <c r="I45" s="11" t="s">
        <v>592</v>
      </c>
      <c r="J45" s="57">
        <v>17.0</v>
      </c>
      <c r="K45" s="57" t="s">
        <v>583</v>
      </c>
      <c r="L45" s="57">
        <v>949.0</v>
      </c>
      <c r="M45" s="115" t="b">
        <v>1</v>
      </c>
      <c r="N45" s="115" t="b">
        <v>0</v>
      </c>
    </row>
    <row r="46">
      <c r="A46" s="3">
        <v>2.124011588E9</v>
      </c>
      <c r="B46" s="109" t="str">
        <f>VLOOKUP($A46,ANAGRAFICA!$B$1:$G$306,2,FALSE)</f>
        <v>FRATINO</v>
      </c>
      <c r="C46" s="109" t="str">
        <f>VLOOKUP($A46,ANAGRAFICA!$B$1:$G$306,3,FALSE)</f>
        <v>OLIVIERO</v>
      </c>
      <c r="D46" s="109" t="str">
        <f>VLOOKUP($A46,ANAGRAFICA!$B$1:$G$306,4,FALSE)</f>
        <v>758-4</v>
      </c>
      <c r="E46" s="109">
        <f>VLOOKUP($A46,ANAGRAFICA!$B$1:$G$306,5,FALSE)</f>
        <v>3272024070</v>
      </c>
      <c r="F46" s="109">
        <f>VLOOKUP($A46,ANAGRAFICA!$B$1:$G$306,6,FALSE)</f>
        <v>2024</v>
      </c>
      <c r="G46" s="57">
        <v>1.0</v>
      </c>
      <c r="H46" s="14" t="s">
        <v>581</v>
      </c>
      <c r="I46" s="11" t="s">
        <v>582</v>
      </c>
      <c r="J46" s="57">
        <v>23.0</v>
      </c>
      <c r="K46" s="57" t="s">
        <v>583</v>
      </c>
      <c r="L46" s="57">
        <v>971.0</v>
      </c>
      <c r="M46" s="115" t="b">
        <v>1</v>
      </c>
      <c r="N46" s="115" t="b">
        <v>0</v>
      </c>
    </row>
    <row r="47">
      <c r="A47" s="3">
        <v>2.124011588E9</v>
      </c>
      <c r="B47" s="109" t="str">
        <f>VLOOKUP($A47,ANAGRAFICA!$B$1:$G$306,2,FALSE)</f>
        <v>FRATINO</v>
      </c>
      <c r="C47" s="109" t="str">
        <f>VLOOKUP($A47,ANAGRAFICA!$B$1:$G$306,3,FALSE)</f>
        <v>OLIVIERO</v>
      </c>
      <c r="D47" s="109" t="str">
        <f>VLOOKUP($A47,ANAGRAFICA!$B$1:$G$306,4,FALSE)</f>
        <v>758-4</v>
      </c>
      <c r="E47" s="109">
        <f>VLOOKUP($A47,ANAGRAFICA!$B$1:$G$306,5,FALSE)</f>
        <v>3272024070</v>
      </c>
      <c r="F47" s="109">
        <f>VLOOKUP($A47,ANAGRAFICA!$B$1:$G$306,6,FALSE)</f>
        <v>2024</v>
      </c>
      <c r="G47" s="57">
        <v>1.0</v>
      </c>
      <c r="H47" s="14" t="s">
        <v>584</v>
      </c>
      <c r="I47" s="11" t="s">
        <v>585</v>
      </c>
      <c r="J47" s="57">
        <v>15.0</v>
      </c>
      <c r="K47" s="57" t="s">
        <v>583</v>
      </c>
      <c r="L47" s="57">
        <v>948.0</v>
      </c>
      <c r="M47" s="115" t="b">
        <v>1</v>
      </c>
      <c r="N47" s="115" t="b">
        <v>0</v>
      </c>
    </row>
    <row r="48">
      <c r="A48" s="3">
        <v>2.1240107E9</v>
      </c>
      <c r="B48" s="109" t="str">
        <f>VLOOKUP($A48,ANAGRAFICA!$B$1:$G$306,2,FALSE)</f>
        <v>ORNAGHI</v>
      </c>
      <c r="C48" s="109" t="str">
        <f>VLOOKUP($A48,ANAGRAFICA!$B$1:$G$306,3,FALSE)</f>
        <v>LORENZO</v>
      </c>
      <c r="D48" s="109" t="str">
        <f>VLOOKUP($A48,ANAGRAFICA!$B$1:$G$306,4,FALSE)</f>
        <v>758-2</v>
      </c>
      <c r="E48" s="109">
        <f>VLOOKUP($A48,ANAGRAFICA!$B$1:$G$306,5,FALSE)</f>
        <v>3272024068</v>
      </c>
      <c r="F48" s="109">
        <f>VLOOKUP($A48,ANAGRAFICA!$B$1:$G$306,6,FALSE)</f>
        <v>2024</v>
      </c>
      <c r="G48" s="57">
        <v>1.0</v>
      </c>
      <c r="H48" s="14" t="s">
        <v>581</v>
      </c>
      <c r="I48" s="11" t="s">
        <v>582</v>
      </c>
      <c r="J48" s="57">
        <v>23.0</v>
      </c>
      <c r="K48" s="57" t="s">
        <v>583</v>
      </c>
      <c r="L48" s="57">
        <v>971.0</v>
      </c>
      <c r="M48" s="115" t="b">
        <v>1</v>
      </c>
      <c r="N48" s="115" t="b">
        <v>0</v>
      </c>
    </row>
    <row r="49">
      <c r="A49" s="3">
        <v>2.1240107E9</v>
      </c>
      <c r="B49" s="109" t="str">
        <f>VLOOKUP($A49,ANAGRAFICA!$B$1:$G$306,2,FALSE)</f>
        <v>ORNAGHI</v>
      </c>
      <c r="C49" s="109" t="str">
        <f>VLOOKUP($A49,ANAGRAFICA!$B$1:$G$306,3,FALSE)</f>
        <v>LORENZO</v>
      </c>
      <c r="D49" s="109" t="str">
        <f>VLOOKUP($A49,ANAGRAFICA!$B$1:$G$306,4,FALSE)</f>
        <v>758-2</v>
      </c>
      <c r="E49" s="109">
        <f>VLOOKUP($A49,ANAGRAFICA!$B$1:$G$306,5,FALSE)</f>
        <v>3272024068</v>
      </c>
      <c r="F49" s="109">
        <f>VLOOKUP($A49,ANAGRAFICA!$B$1:$G$306,6,FALSE)</f>
        <v>2024</v>
      </c>
      <c r="G49" s="57">
        <v>1.0</v>
      </c>
      <c r="H49" s="14" t="s">
        <v>584</v>
      </c>
      <c r="I49" s="11" t="s">
        <v>592</v>
      </c>
      <c r="J49" s="57">
        <v>15.0</v>
      </c>
      <c r="K49" s="57" t="s">
        <v>583</v>
      </c>
      <c r="L49" s="57">
        <v>949.0</v>
      </c>
      <c r="M49" s="115" t="b">
        <v>1</v>
      </c>
      <c r="N49" s="115" t="b">
        <v>0</v>
      </c>
    </row>
    <row r="50">
      <c r="A50" s="3">
        <v>2.124009735E9</v>
      </c>
      <c r="B50" s="109" t="str">
        <f>VLOOKUP($A50,ANAGRAFICA!$B$1:$G$306,2,FALSE)</f>
        <v>BOSSI</v>
      </c>
      <c r="C50" s="109" t="str">
        <f>VLOOKUP($A50,ANAGRAFICA!$B$1:$G$306,3,FALSE)</f>
        <v>LUDOVICO</v>
      </c>
      <c r="D50" s="109" t="str">
        <f>VLOOKUP($A50,ANAGRAFICA!$B$1:$G$306,4,FALSE)</f>
        <v>758-1</v>
      </c>
      <c r="E50" s="109">
        <f>VLOOKUP($A50,ANAGRAFICA!$B$1:$G$306,5,FALSE)</f>
        <v>3272024067</v>
      </c>
      <c r="F50" s="109">
        <f>VLOOKUP($A50,ANAGRAFICA!$B$1:$G$306,6,FALSE)</f>
        <v>2024</v>
      </c>
      <c r="G50" s="57">
        <v>1.0</v>
      </c>
      <c r="H50" s="14" t="s">
        <v>581</v>
      </c>
      <c r="I50" s="11" t="s">
        <v>592</v>
      </c>
      <c r="J50" s="57">
        <v>17.0</v>
      </c>
      <c r="K50" s="57" t="s">
        <v>583</v>
      </c>
      <c r="L50" s="57">
        <v>949.0</v>
      </c>
      <c r="M50" s="115" t="b">
        <v>1</v>
      </c>
      <c r="N50" s="115" t="b">
        <v>0</v>
      </c>
    </row>
    <row r="51">
      <c r="A51" s="3">
        <v>2.124009735E9</v>
      </c>
      <c r="B51" s="109" t="str">
        <f>VLOOKUP($A51,ANAGRAFICA!$B$1:$G$306,2,FALSE)</f>
        <v>BOSSI</v>
      </c>
      <c r="C51" s="109" t="str">
        <f>VLOOKUP($A51,ANAGRAFICA!$B$1:$G$306,3,FALSE)</f>
        <v>LUDOVICO</v>
      </c>
      <c r="D51" s="109" t="str">
        <f>VLOOKUP($A51,ANAGRAFICA!$B$1:$G$306,4,FALSE)</f>
        <v>758-1</v>
      </c>
      <c r="E51" s="109">
        <f>VLOOKUP($A51,ANAGRAFICA!$B$1:$G$306,5,FALSE)</f>
        <v>3272024067</v>
      </c>
      <c r="F51" s="109">
        <f>VLOOKUP($A51,ANAGRAFICA!$B$1:$G$306,6,FALSE)</f>
        <v>2024</v>
      </c>
      <c r="G51" s="57">
        <v>1.0</v>
      </c>
      <c r="H51" s="14" t="s">
        <v>584</v>
      </c>
      <c r="I51" s="11" t="s">
        <v>591</v>
      </c>
      <c r="J51" s="57">
        <v>25.0</v>
      </c>
      <c r="K51" s="57" t="s">
        <v>583</v>
      </c>
      <c r="L51" s="57">
        <v>971.0</v>
      </c>
      <c r="M51" s="115" t="b">
        <v>1</v>
      </c>
      <c r="N51" s="115" t="b">
        <v>0</v>
      </c>
    </row>
    <row r="52">
      <c r="A52" s="3">
        <v>2.124008291E9</v>
      </c>
      <c r="B52" s="109" t="str">
        <f>VLOOKUP($A52,ANAGRAFICA!$B$1:$G$306,2,FALSE)</f>
        <v>FUMAGALLI</v>
      </c>
      <c r="C52" s="109" t="str">
        <f>VLOOKUP($A52,ANAGRAFICA!$B$1:$G$306,3,FALSE)</f>
        <v>PIERO</v>
      </c>
      <c r="D52" s="109" t="str">
        <f>VLOOKUP($A52,ANAGRAFICA!$B$1:$G$306,4,FALSE)</f>
        <v/>
      </c>
      <c r="E52" s="109">
        <f>VLOOKUP($A52,ANAGRAFICA!$B$1:$G$306,5,FALSE)</f>
        <v>3272024065</v>
      </c>
      <c r="F52" s="109">
        <f>VLOOKUP($A52,ANAGRAFICA!$B$1:$G$306,6,FALSE)</f>
        <v>2024</v>
      </c>
      <c r="G52" s="57">
        <v>1.0</v>
      </c>
      <c r="H52" s="14" t="s">
        <v>581</v>
      </c>
      <c r="I52" s="11" t="s">
        <v>591</v>
      </c>
      <c r="J52" s="57">
        <v>25.0</v>
      </c>
      <c r="K52" s="57" t="s">
        <v>583</v>
      </c>
      <c r="L52" s="57">
        <v>971.0</v>
      </c>
      <c r="M52" s="115" t="b">
        <v>1</v>
      </c>
      <c r="N52" s="115" t="b">
        <v>0</v>
      </c>
    </row>
    <row r="53">
      <c r="A53" s="3">
        <v>2.124008291E9</v>
      </c>
      <c r="B53" s="109" t="str">
        <f>VLOOKUP($A53,ANAGRAFICA!$B$1:$G$306,2,FALSE)</f>
        <v>FUMAGALLI</v>
      </c>
      <c r="C53" s="109" t="str">
        <f>VLOOKUP($A53,ANAGRAFICA!$B$1:$G$306,3,FALSE)</f>
        <v>PIERO</v>
      </c>
      <c r="D53" s="109" t="str">
        <f>VLOOKUP($A53,ANAGRAFICA!$B$1:$G$306,4,FALSE)</f>
        <v/>
      </c>
      <c r="E53" s="109">
        <f>VLOOKUP($A53,ANAGRAFICA!$B$1:$G$306,5,FALSE)</f>
        <v>3272024065</v>
      </c>
      <c r="F53" s="109">
        <f>VLOOKUP($A53,ANAGRAFICA!$B$1:$G$306,6,FALSE)</f>
        <v>2024</v>
      </c>
      <c r="G53" s="57">
        <v>1.0</v>
      </c>
      <c r="H53" s="14" t="s">
        <v>584</v>
      </c>
      <c r="I53" s="11" t="s">
        <v>585</v>
      </c>
      <c r="J53" s="57">
        <v>17.0</v>
      </c>
      <c r="K53" s="57" t="s">
        <v>583</v>
      </c>
      <c r="L53" s="57">
        <v>949.0</v>
      </c>
      <c r="M53" s="115" t="b">
        <v>1</v>
      </c>
      <c r="N53" s="115" t="b">
        <v>0</v>
      </c>
    </row>
    <row r="54">
      <c r="A54" s="3">
        <v>2.124206072E9</v>
      </c>
      <c r="B54" s="109" t="str">
        <f>VLOOKUP($A54,ANAGRAFICA!$B$1:$G$306,2,FALSE)</f>
        <v>CONSONNI</v>
      </c>
      <c r="C54" s="109" t="str">
        <f>VLOOKUP($A54,ANAGRAFICA!$B$1:$G$306,3,FALSE)</f>
        <v>GIULIO</v>
      </c>
      <c r="D54" s="109" t="str">
        <f>VLOOKUP($A54,ANAGRAFICA!$B$1:$G$306,4,FALSE)</f>
        <v/>
      </c>
      <c r="E54" s="109">
        <f>VLOOKUP($A54,ANAGRAFICA!$B$1:$G$306,5,FALSE)</f>
        <v>3272024064</v>
      </c>
      <c r="F54" s="109">
        <f>VLOOKUP($A54,ANAGRAFICA!$B$1:$G$306,6,FALSE)</f>
        <v>2024</v>
      </c>
      <c r="G54" s="57">
        <v>1.0</v>
      </c>
      <c r="H54" s="14" t="s">
        <v>584</v>
      </c>
      <c r="I54" s="11" t="s">
        <v>589</v>
      </c>
      <c r="J54" s="57">
        <v>22.0</v>
      </c>
      <c r="K54" s="57" t="s">
        <v>590</v>
      </c>
      <c r="L54" s="94"/>
      <c r="M54" s="115" t="b">
        <v>0</v>
      </c>
      <c r="N54" s="115" t="b">
        <v>0</v>
      </c>
    </row>
    <row r="55">
      <c r="A55" s="3">
        <v>2.124206072E9</v>
      </c>
      <c r="B55" s="109" t="str">
        <f>VLOOKUP($A55,ANAGRAFICA!$B$1:$G$306,2,FALSE)</f>
        <v>CONSONNI</v>
      </c>
      <c r="C55" s="109" t="str">
        <f>VLOOKUP($A55,ANAGRAFICA!$B$1:$G$306,3,FALSE)</f>
        <v>GIULIO</v>
      </c>
      <c r="D55" s="109" t="str">
        <f>VLOOKUP($A55,ANAGRAFICA!$B$1:$G$306,4,FALSE)</f>
        <v/>
      </c>
      <c r="E55" s="109">
        <f>VLOOKUP($A55,ANAGRAFICA!$B$1:$G$306,5,FALSE)</f>
        <v>3272024064</v>
      </c>
      <c r="F55" s="109">
        <f>VLOOKUP($A55,ANAGRAFICA!$B$1:$G$306,6,FALSE)</f>
        <v>2024</v>
      </c>
      <c r="G55" s="57">
        <v>1.0</v>
      </c>
      <c r="H55" s="14" t="s">
        <v>581</v>
      </c>
      <c r="I55" s="11" t="s">
        <v>582</v>
      </c>
      <c r="J55" s="57">
        <v>23.0</v>
      </c>
      <c r="K55" s="57" t="s">
        <v>583</v>
      </c>
      <c r="L55" s="57">
        <v>971.0</v>
      </c>
      <c r="M55" s="115" t="b">
        <v>0</v>
      </c>
      <c r="N55" s="115" t="b">
        <v>0</v>
      </c>
    </row>
    <row r="56">
      <c r="A56" s="3">
        <v>2.124007138E9</v>
      </c>
      <c r="B56" s="109" t="str">
        <f>VLOOKUP($A56,ANAGRAFICA!$B$1:$G$306,2,FALSE)</f>
        <v>TARTARELLI</v>
      </c>
      <c r="C56" s="109" t="str">
        <f>VLOOKUP($A56,ANAGRAFICA!$B$1:$G$306,3,FALSE)</f>
        <v>GIUSEPPE</v>
      </c>
      <c r="D56" s="109" t="str">
        <f>VLOOKUP($A56,ANAGRAFICA!$B$1:$G$306,4,FALSE)</f>
        <v/>
      </c>
      <c r="E56" s="109">
        <f>VLOOKUP($A56,ANAGRAFICA!$B$1:$G$306,5,FALSE)</f>
        <v>3272024063</v>
      </c>
      <c r="F56" s="109">
        <f>VLOOKUP($A56,ANAGRAFICA!$B$1:$G$306,6,FALSE)</f>
        <v>2024</v>
      </c>
      <c r="G56" s="57">
        <v>1.0</v>
      </c>
      <c r="H56" s="14" t="s">
        <v>584</v>
      </c>
      <c r="I56" s="11" t="s">
        <v>592</v>
      </c>
      <c r="J56" s="57">
        <v>15.0</v>
      </c>
      <c r="K56" s="57" t="s">
        <v>583</v>
      </c>
      <c r="L56" s="94"/>
      <c r="M56" s="115" t="b">
        <v>1</v>
      </c>
      <c r="N56" s="115" t="b">
        <v>0</v>
      </c>
    </row>
    <row r="57">
      <c r="A57" s="3">
        <v>2.124007138E9</v>
      </c>
      <c r="B57" s="109" t="str">
        <f>VLOOKUP($A57,ANAGRAFICA!$B$1:$G$306,2,FALSE)</f>
        <v>TARTARELLI</v>
      </c>
      <c r="C57" s="109" t="str">
        <f>VLOOKUP($A57,ANAGRAFICA!$B$1:$G$306,3,FALSE)</f>
        <v>GIUSEPPE</v>
      </c>
      <c r="D57" s="109" t="str">
        <f>VLOOKUP($A57,ANAGRAFICA!$B$1:$G$306,4,FALSE)</f>
        <v/>
      </c>
      <c r="E57" s="109">
        <f>VLOOKUP($A57,ANAGRAFICA!$B$1:$G$306,5,FALSE)</f>
        <v>3272024063</v>
      </c>
      <c r="F57" s="109">
        <f>VLOOKUP($A57,ANAGRAFICA!$B$1:$G$306,6,FALSE)</f>
        <v>2024</v>
      </c>
      <c r="G57" s="57">
        <v>1.0</v>
      </c>
      <c r="H57" s="14" t="s">
        <v>581</v>
      </c>
      <c r="I57" s="11" t="s">
        <v>591</v>
      </c>
      <c r="J57" s="57">
        <v>23.0</v>
      </c>
      <c r="K57" s="57" t="s">
        <v>583</v>
      </c>
      <c r="L57" s="94"/>
      <c r="M57" s="115" t="b">
        <v>1</v>
      </c>
      <c r="N57" s="115" t="b">
        <v>0</v>
      </c>
    </row>
    <row r="58">
      <c r="A58" s="3">
        <v>2.124008603E9</v>
      </c>
      <c r="B58" s="109" t="str">
        <f>VLOOKUP($A58,ANAGRAFICA!$B$1:$G$306,2,FALSE)</f>
        <v>MARIANI</v>
      </c>
      <c r="C58" s="109" t="str">
        <f>VLOOKUP($A58,ANAGRAFICA!$B$1:$G$306,3,FALSE)</f>
        <v>MARCO</v>
      </c>
      <c r="D58" s="109" t="str">
        <f>VLOOKUP($A58,ANAGRAFICA!$B$1:$G$306,4,FALSE)</f>
        <v/>
      </c>
      <c r="E58" s="109">
        <f>VLOOKUP($A58,ANAGRAFICA!$B$1:$G$306,5,FALSE)</f>
        <v>3272024066</v>
      </c>
      <c r="F58" s="109">
        <f>VLOOKUP($A58,ANAGRAFICA!$B$1:$G$306,6,FALSE)</f>
        <v>2024</v>
      </c>
      <c r="G58" s="57">
        <v>1.0</v>
      </c>
      <c r="H58" s="14" t="s">
        <v>581</v>
      </c>
      <c r="I58" s="11" t="s">
        <v>591</v>
      </c>
      <c r="J58" s="57">
        <v>23.0</v>
      </c>
      <c r="K58" s="57" t="s">
        <v>583</v>
      </c>
      <c r="L58" s="57">
        <v>971.0</v>
      </c>
      <c r="M58" s="115" t="b">
        <v>1</v>
      </c>
      <c r="N58" s="115" t="b">
        <v>0</v>
      </c>
    </row>
    <row r="59">
      <c r="A59" s="3">
        <v>2.124008603E9</v>
      </c>
      <c r="B59" s="109" t="str">
        <f>VLOOKUP($A59,ANAGRAFICA!$B$1:$G$306,2,FALSE)</f>
        <v>MARIANI</v>
      </c>
      <c r="C59" s="109" t="str">
        <f>VLOOKUP($A59,ANAGRAFICA!$B$1:$G$306,3,FALSE)</f>
        <v>MARCO</v>
      </c>
      <c r="D59" s="109" t="str">
        <f>VLOOKUP($A59,ANAGRAFICA!$B$1:$G$306,4,FALSE)</f>
        <v/>
      </c>
      <c r="E59" s="109">
        <f>VLOOKUP($A59,ANAGRAFICA!$B$1:$G$306,5,FALSE)</f>
        <v>3272024066</v>
      </c>
      <c r="F59" s="109">
        <f>VLOOKUP($A59,ANAGRAFICA!$B$1:$G$306,6,FALSE)</f>
        <v>2024</v>
      </c>
      <c r="G59" s="57">
        <v>1.0</v>
      </c>
      <c r="H59" s="14" t="s">
        <v>584</v>
      </c>
      <c r="I59" s="11" t="s">
        <v>595</v>
      </c>
      <c r="J59" s="57">
        <v>17.0</v>
      </c>
      <c r="K59" s="57" t="s">
        <v>583</v>
      </c>
      <c r="L59" s="57" t="s">
        <v>596</v>
      </c>
      <c r="M59" s="115" t="b">
        <v>1</v>
      </c>
      <c r="N59" s="115" t="b">
        <v>1</v>
      </c>
    </row>
    <row r="60">
      <c r="A60" s="3">
        <v>2.124015827E9</v>
      </c>
      <c r="B60" s="109" t="str">
        <f>VLOOKUP($A60,ANAGRAFICA!$B$1:$G$306,2,FALSE)</f>
        <v>SCHIAVON</v>
      </c>
      <c r="C60" s="109" t="str">
        <f>VLOOKUP($A60,ANAGRAFICA!$B$1:$G$306,3,FALSE)</f>
        <v>ELIO PAOLO</v>
      </c>
      <c r="D60" s="109" t="str">
        <f>VLOOKUP($A60,ANAGRAFICA!$B$1:$G$306,4,FALSE)</f>
        <v>758-11</v>
      </c>
      <c r="E60" s="109">
        <f>VLOOKUP($A60,ANAGRAFICA!$B$1:$G$306,5,FALSE)</f>
        <v>3272024077</v>
      </c>
      <c r="F60" s="109">
        <f>VLOOKUP($A60,ANAGRAFICA!$B$1:$G$306,6,FALSE)</f>
        <v>2024</v>
      </c>
      <c r="G60" s="57">
        <v>1.0</v>
      </c>
      <c r="H60" s="14" t="s">
        <v>581</v>
      </c>
      <c r="I60" s="11" t="s">
        <v>582</v>
      </c>
      <c r="J60" s="57">
        <v>23.0</v>
      </c>
      <c r="K60" s="57" t="s">
        <v>583</v>
      </c>
      <c r="L60" s="57">
        <v>971.0</v>
      </c>
      <c r="M60" s="115" t="b">
        <v>1</v>
      </c>
      <c r="N60" s="115" t="b">
        <v>0</v>
      </c>
    </row>
    <row r="61">
      <c r="A61" s="3">
        <v>2.124015827E9</v>
      </c>
      <c r="B61" s="109" t="str">
        <f>VLOOKUP($A61,ANAGRAFICA!$B$1:$G$306,2,FALSE)</f>
        <v>SCHIAVON</v>
      </c>
      <c r="C61" s="109" t="str">
        <f>VLOOKUP($A61,ANAGRAFICA!$B$1:$G$306,3,FALSE)</f>
        <v>ELIO PAOLO</v>
      </c>
      <c r="D61" s="109" t="str">
        <f>VLOOKUP($A61,ANAGRAFICA!$B$1:$G$306,4,FALSE)</f>
        <v>758-11</v>
      </c>
      <c r="E61" s="109">
        <f>VLOOKUP($A61,ANAGRAFICA!$B$1:$G$306,5,FALSE)</f>
        <v>3272024077</v>
      </c>
      <c r="F61" s="109">
        <f>VLOOKUP($A61,ANAGRAFICA!$B$1:$G$306,6,FALSE)</f>
        <v>2024</v>
      </c>
      <c r="G61" s="57">
        <v>1.0</v>
      </c>
      <c r="H61" s="14" t="s">
        <v>584</v>
      </c>
      <c r="I61" s="11" t="s">
        <v>592</v>
      </c>
      <c r="J61" s="57">
        <v>17.0</v>
      </c>
      <c r="K61" s="57" t="s">
        <v>583</v>
      </c>
      <c r="L61" s="57">
        <v>949.0</v>
      </c>
      <c r="M61" s="115" t="b">
        <v>1</v>
      </c>
      <c r="N61" s="115" t="b">
        <v>0</v>
      </c>
    </row>
    <row r="62">
      <c r="A62" s="3">
        <v>2.12400578E9</v>
      </c>
      <c r="B62" s="109" t="str">
        <f>VLOOKUP($A62,ANAGRAFICA!$B$1:$G$306,2,FALSE)</f>
        <v>SAINCIUC</v>
      </c>
      <c r="C62" s="109" t="str">
        <f>VLOOKUP($A62,ANAGRAFICA!$B$1:$G$306,3,FALSE)</f>
        <v>AUREL</v>
      </c>
      <c r="D62" s="109" t="str">
        <f>VLOOKUP($A62,ANAGRAFICA!$B$1:$G$306,4,FALSE)</f>
        <v/>
      </c>
      <c r="E62" s="109">
        <f>VLOOKUP($A62,ANAGRAFICA!$B$1:$G$306,5,FALSE)</f>
        <v>3272024061</v>
      </c>
      <c r="F62" s="109">
        <f>VLOOKUP($A62,ANAGRAFICA!$B$1:$G$306,6,FALSE)</f>
        <v>2024</v>
      </c>
      <c r="G62" s="57">
        <v>1.0</v>
      </c>
      <c r="H62" s="14" t="s">
        <v>581</v>
      </c>
      <c r="I62" s="11" t="s">
        <v>582</v>
      </c>
      <c r="J62" s="57">
        <v>23.0</v>
      </c>
      <c r="K62" s="57" t="s">
        <v>583</v>
      </c>
      <c r="L62" s="57">
        <v>971.0</v>
      </c>
      <c r="M62" s="115" t="b">
        <v>1</v>
      </c>
      <c r="N62" s="115" t="b">
        <v>0</v>
      </c>
    </row>
    <row r="63">
      <c r="A63" s="3">
        <v>2.12400578E9</v>
      </c>
      <c r="B63" s="109" t="str">
        <f>VLOOKUP($A63,ANAGRAFICA!$B$1:$G$306,2,FALSE)</f>
        <v>SAINCIUC</v>
      </c>
      <c r="C63" s="109" t="str">
        <f>VLOOKUP($A63,ANAGRAFICA!$B$1:$G$306,3,FALSE)</f>
        <v>AUREL</v>
      </c>
      <c r="D63" s="109" t="str">
        <f>VLOOKUP($A63,ANAGRAFICA!$B$1:$G$306,4,FALSE)</f>
        <v/>
      </c>
      <c r="E63" s="109">
        <f>VLOOKUP($A63,ANAGRAFICA!$B$1:$G$306,5,FALSE)</f>
        <v>3272024061</v>
      </c>
      <c r="F63" s="109">
        <f>VLOOKUP($A63,ANAGRAFICA!$B$1:$G$306,6,FALSE)</f>
        <v>2024</v>
      </c>
      <c r="G63" s="57">
        <v>1.0</v>
      </c>
      <c r="H63" s="14" t="s">
        <v>584</v>
      </c>
      <c r="I63" s="11" t="s">
        <v>585</v>
      </c>
      <c r="J63" s="57">
        <v>17.0</v>
      </c>
      <c r="K63" s="57" t="s">
        <v>583</v>
      </c>
      <c r="L63" s="57">
        <v>949.0</v>
      </c>
      <c r="M63" s="115" t="b">
        <v>1</v>
      </c>
      <c r="N63" s="115" t="b">
        <v>0</v>
      </c>
    </row>
    <row r="64">
      <c r="A64" s="3">
        <v>2.124006081E9</v>
      </c>
      <c r="B64" s="109" t="str">
        <f>VLOOKUP($A64,ANAGRAFICA!$B$1:$G$306,2,FALSE)</f>
        <v>DOSSI</v>
      </c>
      <c r="C64" s="109" t="str">
        <f>VLOOKUP($A64,ANAGRAFICA!$B$1:$G$306,3,FALSE)</f>
        <v>MAURIZIO ANTONIO</v>
      </c>
      <c r="D64" s="109" t="str">
        <f>VLOOKUP($A64,ANAGRAFICA!$B$1:$G$306,4,FALSE)</f>
        <v/>
      </c>
      <c r="E64" s="109">
        <f>VLOOKUP($A64,ANAGRAFICA!$B$1:$G$306,5,FALSE)</f>
        <v>3272024062</v>
      </c>
      <c r="F64" s="109">
        <f>VLOOKUP($A64,ANAGRAFICA!$B$1:$G$306,6,FALSE)</f>
        <v>2024</v>
      </c>
      <c r="G64" s="57">
        <v>1.0</v>
      </c>
      <c r="H64" s="14" t="s">
        <v>581</v>
      </c>
      <c r="I64" s="11" t="s">
        <v>587</v>
      </c>
      <c r="J64" s="57">
        <v>29.0</v>
      </c>
      <c r="K64" s="57" t="s">
        <v>516</v>
      </c>
      <c r="L64" s="94"/>
      <c r="M64" s="115" t="b">
        <v>0</v>
      </c>
      <c r="N64" s="115" t="b">
        <v>0</v>
      </c>
    </row>
    <row r="65">
      <c r="A65" s="3">
        <v>2.124006081E9</v>
      </c>
      <c r="B65" s="109" t="str">
        <f>VLOOKUP($A65,ANAGRAFICA!$B$1:$G$306,2,FALSE)</f>
        <v>DOSSI</v>
      </c>
      <c r="C65" s="109" t="str">
        <f>VLOOKUP($A65,ANAGRAFICA!$B$1:$G$306,3,FALSE)</f>
        <v>MAURIZIO ANTONIO</v>
      </c>
      <c r="D65" s="109" t="str">
        <f>VLOOKUP($A65,ANAGRAFICA!$B$1:$G$306,4,FALSE)</f>
        <v/>
      </c>
      <c r="E65" s="109">
        <f>VLOOKUP($A65,ANAGRAFICA!$B$1:$G$306,5,FALSE)</f>
        <v>3272024062</v>
      </c>
      <c r="F65" s="109">
        <f>VLOOKUP($A65,ANAGRAFICA!$B$1:$G$306,6,FALSE)</f>
        <v>2024</v>
      </c>
      <c r="G65" s="57">
        <v>1.0</v>
      </c>
      <c r="H65" s="14" t="s">
        <v>584</v>
      </c>
      <c r="I65" s="11" t="s">
        <v>589</v>
      </c>
      <c r="J65" s="57">
        <v>21.0</v>
      </c>
      <c r="K65" s="57" t="s">
        <v>516</v>
      </c>
      <c r="L65" s="94"/>
      <c r="M65" s="115" t="b">
        <v>0</v>
      </c>
      <c r="N65" s="115" t="b">
        <v>0</v>
      </c>
    </row>
    <row r="66">
      <c r="A66" s="3">
        <v>2.124004761E9</v>
      </c>
      <c r="B66" s="109" t="str">
        <f>VLOOKUP($A66,ANAGRAFICA!$B$1:$G$306,2,FALSE)</f>
        <v>TRAMPOLIN</v>
      </c>
      <c r="C66" s="109" t="str">
        <f>VLOOKUP($A66,ANAGRAFICA!$B$1:$G$306,3,FALSE)</f>
        <v>FABIO</v>
      </c>
      <c r="D66" s="109" t="str">
        <f>VLOOKUP($A66,ANAGRAFICA!$B$1:$G$306,4,FALSE)</f>
        <v/>
      </c>
      <c r="E66" s="109">
        <f>VLOOKUP($A66,ANAGRAFICA!$B$1:$G$306,5,FALSE)</f>
        <v>3272024060</v>
      </c>
      <c r="F66" s="109">
        <f>VLOOKUP($A66,ANAGRAFICA!$B$1:$G$306,6,FALSE)</f>
        <v>2024</v>
      </c>
      <c r="G66" s="57">
        <v>1.0</v>
      </c>
      <c r="H66" s="14" t="s">
        <v>581</v>
      </c>
      <c r="I66" s="11" t="s">
        <v>591</v>
      </c>
      <c r="J66" s="57">
        <v>23.0</v>
      </c>
      <c r="K66" s="57" t="s">
        <v>583</v>
      </c>
      <c r="L66" s="57">
        <v>971.0</v>
      </c>
      <c r="M66" s="115" t="b">
        <v>1</v>
      </c>
      <c r="N66" s="115" t="b">
        <v>0</v>
      </c>
    </row>
    <row r="67">
      <c r="A67" s="3">
        <v>2.124004761E9</v>
      </c>
      <c r="B67" s="109" t="str">
        <f>VLOOKUP($A67,ANAGRAFICA!$B$1:$G$306,2,FALSE)</f>
        <v>TRAMPOLIN</v>
      </c>
      <c r="C67" s="109" t="str">
        <f>VLOOKUP($A67,ANAGRAFICA!$B$1:$G$306,3,FALSE)</f>
        <v>FABIO</v>
      </c>
      <c r="D67" s="109" t="str">
        <f>VLOOKUP($A67,ANAGRAFICA!$B$1:$G$306,4,FALSE)</f>
        <v/>
      </c>
      <c r="E67" s="109">
        <f>VLOOKUP($A67,ANAGRAFICA!$B$1:$G$306,5,FALSE)</f>
        <v>3272024060</v>
      </c>
      <c r="F67" s="109">
        <f>VLOOKUP($A67,ANAGRAFICA!$B$1:$G$306,6,FALSE)</f>
        <v>2024</v>
      </c>
      <c r="G67" s="57">
        <v>1.0</v>
      </c>
      <c r="H67" s="14" t="s">
        <v>584</v>
      </c>
      <c r="I67" s="11" t="s">
        <v>585</v>
      </c>
      <c r="J67" s="57">
        <v>15.0</v>
      </c>
      <c r="K67" s="57" t="s">
        <v>583</v>
      </c>
      <c r="L67" s="57">
        <v>948.0</v>
      </c>
      <c r="M67" s="115" t="b">
        <v>1</v>
      </c>
      <c r="N67" s="115" t="b">
        <v>0</v>
      </c>
    </row>
    <row r="68">
      <c r="A68" s="3">
        <v>2.124003924E9</v>
      </c>
      <c r="B68" s="109" t="str">
        <f>VLOOKUP($A68,ANAGRAFICA!$B$1:$G$306,2,FALSE)</f>
        <v>MUHAMMAD</v>
      </c>
      <c r="C68" s="109" t="str">
        <f>VLOOKUP($A68,ANAGRAFICA!$B$1:$G$306,3,FALSE)</f>
        <v>SHARIF</v>
      </c>
      <c r="D68" s="109" t="str">
        <f>VLOOKUP($A68,ANAGRAFICA!$B$1:$G$306,4,FALSE)</f>
        <v/>
      </c>
      <c r="E68" s="109">
        <f>VLOOKUP($A68,ANAGRAFICA!$B$1:$G$306,5,FALSE)</f>
        <v>3272024059</v>
      </c>
      <c r="F68" s="109">
        <f>VLOOKUP($A68,ANAGRAFICA!$B$1:$G$306,6,FALSE)</f>
        <v>2024</v>
      </c>
      <c r="G68" s="57">
        <v>1.0</v>
      </c>
      <c r="H68" s="14" t="s">
        <v>581</v>
      </c>
      <c r="I68" s="11" t="s">
        <v>582</v>
      </c>
      <c r="J68" s="57">
        <v>25.0</v>
      </c>
      <c r="K68" s="57" t="s">
        <v>583</v>
      </c>
      <c r="L68" s="57">
        <v>972.0</v>
      </c>
      <c r="M68" s="115" t="b">
        <v>1</v>
      </c>
      <c r="N68" s="115" t="b">
        <v>0</v>
      </c>
    </row>
    <row r="69">
      <c r="A69" s="3">
        <v>2.124003924E9</v>
      </c>
      <c r="B69" s="109" t="str">
        <f>VLOOKUP($A69,ANAGRAFICA!$B$1:$G$306,2,FALSE)</f>
        <v>MUHAMMAD</v>
      </c>
      <c r="C69" s="109" t="str">
        <f>VLOOKUP($A69,ANAGRAFICA!$B$1:$G$306,3,FALSE)</f>
        <v>SHARIF</v>
      </c>
      <c r="D69" s="109" t="str">
        <f>VLOOKUP($A69,ANAGRAFICA!$B$1:$G$306,4,FALSE)</f>
        <v/>
      </c>
      <c r="E69" s="109">
        <f>VLOOKUP($A69,ANAGRAFICA!$B$1:$G$306,5,FALSE)</f>
        <v>3272024059</v>
      </c>
      <c r="F69" s="109">
        <f>VLOOKUP($A69,ANAGRAFICA!$B$1:$G$306,6,FALSE)</f>
        <v>2024</v>
      </c>
      <c r="G69" s="57">
        <v>1.0</v>
      </c>
      <c r="H69" s="14" t="s">
        <v>584</v>
      </c>
      <c r="I69" s="11" t="s">
        <v>585</v>
      </c>
      <c r="J69" s="57">
        <v>17.0</v>
      </c>
      <c r="K69" s="57" t="s">
        <v>583</v>
      </c>
      <c r="L69" s="57">
        <v>949.0</v>
      </c>
      <c r="M69" s="115" t="b">
        <v>1</v>
      </c>
      <c r="N69" s="115" t="b">
        <v>0</v>
      </c>
    </row>
    <row r="70">
      <c r="A70" s="3">
        <v>2.124206072E9</v>
      </c>
      <c r="B70" s="109" t="str">
        <f>VLOOKUP($A70,ANAGRAFICA!$B$1:$G$306,2,FALSE)</f>
        <v>CONSONNI</v>
      </c>
      <c r="C70" s="109" t="str">
        <f>VLOOKUP($A70,ANAGRAFICA!$B$1:$G$306,3,FALSE)</f>
        <v>GIULIO</v>
      </c>
      <c r="D70" s="109" t="str">
        <f>VLOOKUP($A70,ANAGRAFICA!$B$1:$G$306,4,FALSE)</f>
        <v/>
      </c>
      <c r="E70" s="109">
        <f>VLOOKUP($A70,ANAGRAFICA!$B$1:$G$306,5,FALSE)</f>
        <v>3272024064</v>
      </c>
      <c r="F70" s="109">
        <f>VLOOKUP($A70,ANAGRAFICA!$B$1:$G$306,6,FALSE)</f>
        <v>2024</v>
      </c>
      <c r="G70" s="57">
        <v>2.0</v>
      </c>
      <c r="H70" s="14" t="s">
        <v>581</v>
      </c>
      <c r="I70" s="11" t="s">
        <v>582</v>
      </c>
      <c r="J70" s="57">
        <v>23.0</v>
      </c>
      <c r="K70" s="57" t="s">
        <v>583</v>
      </c>
      <c r="L70" s="57">
        <v>971.0</v>
      </c>
      <c r="M70" s="115" t="b">
        <v>1</v>
      </c>
      <c r="N70" s="115" t="b">
        <v>0</v>
      </c>
    </row>
    <row r="71">
      <c r="A71" s="3">
        <v>2.124206072E9</v>
      </c>
      <c r="B71" s="109" t="str">
        <f>VLOOKUP($A71,ANAGRAFICA!$B$1:$G$306,2,FALSE)</f>
        <v>CONSONNI</v>
      </c>
      <c r="C71" s="109" t="str">
        <f>VLOOKUP($A71,ANAGRAFICA!$B$1:$G$306,3,FALSE)</f>
        <v>GIULIO</v>
      </c>
      <c r="D71" s="109" t="str">
        <f>VLOOKUP($A71,ANAGRAFICA!$B$1:$G$306,4,FALSE)</f>
        <v/>
      </c>
      <c r="E71" s="109">
        <f>VLOOKUP($A71,ANAGRAFICA!$B$1:$G$306,5,FALSE)</f>
        <v>3272024064</v>
      </c>
      <c r="F71" s="109">
        <f>VLOOKUP($A71,ANAGRAFICA!$B$1:$G$306,6,FALSE)</f>
        <v>2024</v>
      </c>
      <c r="G71" s="57">
        <v>2.0</v>
      </c>
      <c r="H71" s="14" t="s">
        <v>584</v>
      </c>
      <c r="I71" s="11" t="s">
        <v>585</v>
      </c>
      <c r="J71" s="57">
        <v>17.0</v>
      </c>
      <c r="K71" s="57" t="s">
        <v>583</v>
      </c>
      <c r="L71" s="57">
        <v>948.0</v>
      </c>
      <c r="M71" s="115" t="b">
        <v>1</v>
      </c>
      <c r="N71" s="115" t="b">
        <v>0</v>
      </c>
    </row>
    <row r="72">
      <c r="A72" s="3">
        <v>2.124023603E9</v>
      </c>
      <c r="B72" s="109" t="str">
        <f>VLOOKUP($A72,ANAGRAFICA!$B$1:$G$306,2,FALSE)</f>
        <v>MAZZARDIS </v>
      </c>
      <c r="C72" s="109" t="str">
        <f>VLOOKUP($A72,ANAGRAFICA!$B$1:$G$306,3,FALSE)</f>
        <v>DAVIDE</v>
      </c>
      <c r="D72" s="109" t="str">
        <f>VLOOKUP($A72,ANAGRAFICA!$B$1:$G$306,4,FALSE)</f>
        <v>758-19</v>
      </c>
      <c r="E72" s="109">
        <f>VLOOKUP($A72,ANAGRAFICA!$B$1:$G$306,5,FALSE)</f>
        <v>3272024085</v>
      </c>
      <c r="F72" s="109">
        <f>VLOOKUP($A72,ANAGRAFICA!$B$1:$G$306,6,FALSE)</f>
        <v>2024</v>
      </c>
      <c r="G72" s="57">
        <v>1.0</v>
      </c>
      <c r="H72" s="14" t="s">
        <v>581</v>
      </c>
      <c r="I72" s="11" t="s">
        <v>582</v>
      </c>
      <c r="J72" s="57">
        <v>25.0</v>
      </c>
      <c r="K72" s="57" t="s">
        <v>583</v>
      </c>
      <c r="L72" s="57">
        <v>972.0</v>
      </c>
      <c r="M72" s="115" t="b">
        <v>1</v>
      </c>
      <c r="N72" s="115" t="b">
        <v>0</v>
      </c>
    </row>
    <row r="73">
      <c r="A73" s="3">
        <v>2.124023603E9</v>
      </c>
      <c r="B73" s="109" t="str">
        <f>VLOOKUP($A73,ANAGRAFICA!$B$1:$G$306,2,FALSE)</f>
        <v>MAZZARDIS </v>
      </c>
      <c r="C73" s="109" t="str">
        <f>VLOOKUP($A73,ANAGRAFICA!$B$1:$G$306,3,FALSE)</f>
        <v>DAVIDE</v>
      </c>
      <c r="D73" s="109" t="str">
        <f>VLOOKUP($A73,ANAGRAFICA!$B$1:$G$306,4,FALSE)</f>
        <v>758-19</v>
      </c>
      <c r="E73" s="109">
        <f>VLOOKUP($A73,ANAGRAFICA!$B$1:$G$306,5,FALSE)</f>
        <v>3272024085</v>
      </c>
      <c r="F73" s="109">
        <f>VLOOKUP($A73,ANAGRAFICA!$B$1:$G$306,6,FALSE)</f>
        <v>2024</v>
      </c>
      <c r="G73" s="57">
        <v>1.0</v>
      </c>
      <c r="H73" s="14" t="s">
        <v>584</v>
      </c>
      <c r="I73" s="11" t="s">
        <v>585</v>
      </c>
      <c r="J73" s="57">
        <v>17.0</v>
      </c>
      <c r="K73" s="57" t="s">
        <v>583</v>
      </c>
      <c r="L73" s="57">
        <v>949.0</v>
      </c>
      <c r="M73" s="115" t="b">
        <v>1</v>
      </c>
      <c r="N73" s="115" t="b">
        <v>0</v>
      </c>
    </row>
    <row r="74">
      <c r="A74" s="3">
        <v>2.124011236E9</v>
      </c>
      <c r="B74" s="109" t="str">
        <f>VLOOKUP($A74,ANAGRAFICA!$B$1:$G$306,2,FALSE)</f>
        <v>BERETTA</v>
      </c>
      <c r="C74" s="109" t="str">
        <f>VLOOKUP($A74,ANAGRAFICA!$B$1:$G$306,3,FALSE)</f>
        <v>ENZO LUCIANO</v>
      </c>
      <c r="D74" s="109" t="str">
        <f>VLOOKUP($A74,ANAGRAFICA!$B$1:$G$306,4,FALSE)</f>
        <v>758-3</v>
      </c>
      <c r="E74" s="109">
        <f>VLOOKUP($A74,ANAGRAFICA!$B$1:$G$306,5,FALSE)</f>
        <v>3272024069</v>
      </c>
      <c r="F74" s="109">
        <f>VLOOKUP($A74,ANAGRAFICA!$B$1:$G$306,6,FALSE)</f>
        <v>2024</v>
      </c>
      <c r="G74" s="57">
        <v>1.0</v>
      </c>
      <c r="H74" s="14" t="s">
        <v>581</v>
      </c>
      <c r="I74" s="11" t="s">
        <v>582</v>
      </c>
      <c r="J74" s="57">
        <v>21.0</v>
      </c>
      <c r="K74" s="57" t="s">
        <v>583</v>
      </c>
      <c r="L74" s="57">
        <v>970.0</v>
      </c>
      <c r="M74" s="115" t="b">
        <v>1</v>
      </c>
      <c r="N74" s="115" t="b">
        <v>0</v>
      </c>
    </row>
    <row r="75">
      <c r="A75" s="3">
        <v>2.124011236E9</v>
      </c>
      <c r="B75" s="109" t="str">
        <f>VLOOKUP($A75,ANAGRAFICA!$B$1:$G$306,2,FALSE)</f>
        <v>BERETTA</v>
      </c>
      <c r="C75" s="109" t="str">
        <f>VLOOKUP($A75,ANAGRAFICA!$B$1:$G$306,3,FALSE)</f>
        <v>ENZO LUCIANO</v>
      </c>
      <c r="D75" s="109" t="str">
        <f>VLOOKUP($A75,ANAGRAFICA!$B$1:$G$306,4,FALSE)</f>
        <v>758-3</v>
      </c>
      <c r="E75" s="109">
        <f>VLOOKUP($A75,ANAGRAFICA!$B$1:$G$306,5,FALSE)</f>
        <v>3272024069</v>
      </c>
      <c r="F75" s="109">
        <f>VLOOKUP($A75,ANAGRAFICA!$B$1:$G$306,6,FALSE)</f>
        <v>2024</v>
      </c>
      <c r="G75" s="57">
        <v>1.0</v>
      </c>
      <c r="H75" s="14" t="s">
        <v>584</v>
      </c>
      <c r="I75" s="11" t="s">
        <v>585</v>
      </c>
      <c r="J75" s="57">
        <v>15.0</v>
      </c>
      <c r="K75" s="57" t="s">
        <v>583</v>
      </c>
      <c r="L75" s="57">
        <v>948.0</v>
      </c>
      <c r="M75" s="115" t="b">
        <v>1</v>
      </c>
      <c r="N75" s="115" t="b">
        <v>0</v>
      </c>
    </row>
    <row r="76">
      <c r="A76" s="3">
        <v>2.124023603E9</v>
      </c>
      <c r="B76" s="109" t="str">
        <f>VLOOKUP($A76,ANAGRAFICA!$B$1:$G$306,2,FALSE)</f>
        <v>MAZZARDIS </v>
      </c>
      <c r="C76" s="109" t="str">
        <f>VLOOKUP($A76,ANAGRAFICA!$B$1:$G$306,3,FALSE)</f>
        <v>DAVIDE</v>
      </c>
      <c r="D76" s="109" t="str">
        <f>VLOOKUP($A76,ANAGRAFICA!$B$1:$G$306,4,FALSE)</f>
        <v>758-19</v>
      </c>
      <c r="E76" s="109">
        <f>VLOOKUP($A76,ANAGRAFICA!$B$1:$G$306,5,FALSE)</f>
        <v>3272024085</v>
      </c>
      <c r="F76" s="109">
        <f>VLOOKUP($A76,ANAGRAFICA!$B$1:$G$306,6,FALSE)</f>
        <v>2024</v>
      </c>
      <c r="G76" s="57">
        <v>2.0</v>
      </c>
      <c r="H76" s="14" t="s">
        <v>581</v>
      </c>
      <c r="I76" s="11" t="s">
        <v>591</v>
      </c>
      <c r="J76" s="57">
        <v>23.0</v>
      </c>
      <c r="K76" s="57" t="s">
        <v>583</v>
      </c>
      <c r="L76" s="57">
        <v>970.0</v>
      </c>
      <c r="M76" s="115" t="b">
        <v>1</v>
      </c>
      <c r="N76" s="115" t="b">
        <v>0</v>
      </c>
    </row>
    <row r="77">
      <c r="A77" s="3">
        <v>2.124023603E9</v>
      </c>
      <c r="B77" s="109" t="str">
        <f>VLOOKUP($A77,ANAGRAFICA!$B$1:$G$306,2,FALSE)</f>
        <v>MAZZARDIS </v>
      </c>
      <c r="C77" s="109" t="str">
        <f>VLOOKUP($A77,ANAGRAFICA!$B$1:$G$306,3,FALSE)</f>
        <v>DAVIDE</v>
      </c>
      <c r="D77" s="109" t="str">
        <f>VLOOKUP($A77,ANAGRAFICA!$B$1:$G$306,4,FALSE)</f>
        <v>758-19</v>
      </c>
      <c r="E77" s="109">
        <f>VLOOKUP($A77,ANAGRAFICA!$B$1:$G$306,5,FALSE)</f>
        <v>3272024085</v>
      </c>
      <c r="F77" s="109">
        <f>VLOOKUP($A77,ANAGRAFICA!$B$1:$G$306,6,FALSE)</f>
        <v>2024</v>
      </c>
      <c r="G77" s="57">
        <v>2.0</v>
      </c>
      <c r="H77" s="14" t="s">
        <v>584</v>
      </c>
      <c r="I77" s="11" t="s">
        <v>592</v>
      </c>
      <c r="J77" s="57">
        <v>17.0</v>
      </c>
      <c r="K77" s="57" t="s">
        <v>583</v>
      </c>
      <c r="L77" s="57">
        <v>948.0</v>
      </c>
      <c r="M77" s="115" t="b">
        <v>1</v>
      </c>
      <c r="N77" s="115" t="b">
        <v>0</v>
      </c>
    </row>
    <row r="78">
      <c r="A78" s="3">
        <v>2.124024078E9</v>
      </c>
      <c r="B78" s="109" t="str">
        <f>VLOOKUP($A78,ANAGRAFICA!$B$1:$G$306,2,FALSE)</f>
        <v>ROVARIS</v>
      </c>
      <c r="C78" s="109" t="str">
        <f>VLOOKUP($A78,ANAGRAFICA!$B$1:$G$306,3,FALSE)</f>
        <v>ANGELO FELICE</v>
      </c>
      <c r="D78" s="109" t="str">
        <f>VLOOKUP($A78,ANAGRAFICA!$B$1:$G$306,4,FALSE)</f>
        <v>758-20</v>
      </c>
      <c r="E78" s="109">
        <f>VLOOKUP($A78,ANAGRAFICA!$B$1:$G$306,5,FALSE)</f>
        <v>3272024086</v>
      </c>
      <c r="F78" s="109">
        <f>VLOOKUP($A78,ANAGRAFICA!$B$1:$G$306,6,FALSE)</f>
        <v>2024</v>
      </c>
      <c r="G78" s="57">
        <v>1.0</v>
      </c>
      <c r="H78" s="14" t="s">
        <v>581</v>
      </c>
      <c r="I78" s="11" t="s">
        <v>582</v>
      </c>
      <c r="J78" s="57">
        <v>25.0</v>
      </c>
      <c r="K78" s="57" t="s">
        <v>583</v>
      </c>
      <c r="L78" s="57">
        <v>972.0</v>
      </c>
      <c r="M78" s="115" t="b">
        <v>1</v>
      </c>
      <c r="N78" s="115" t="b">
        <v>0</v>
      </c>
    </row>
    <row r="79">
      <c r="A79" s="3">
        <v>2.124024078E9</v>
      </c>
      <c r="B79" s="109" t="str">
        <f>VLOOKUP($A79,ANAGRAFICA!$B$1:$G$306,2,FALSE)</f>
        <v>ROVARIS</v>
      </c>
      <c r="C79" s="109" t="str">
        <f>VLOOKUP($A79,ANAGRAFICA!$B$1:$G$306,3,FALSE)</f>
        <v>ANGELO FELICE</v>
      </c>
      <c r="D79" s="109" t="str">
        <f>VLOOKUP($A79,ANAGRAFICA!$B$1:$G$306,4,FALSE)</f>
        <v>758-20</v>
      </c>
      <c r="E79" s="109">
        <f>VLOOKUP($A79,ANAGRAFICA!$B$1:$G$306,5,FALSE)</f>
        <v>3272024086</v>
      </c>
      <c r="F79" s="109">
        <f>VLOOKUP($A79,ANAGRAFICA!$B$1:$G$306,6,FALSE)</f>
        <v>2024</v>
      </c>
      <c r="G79" s="57">
        <v>1.0</v>
      </c>
      <c r="H79" s="14" t="s">
        <v>584</v>
      </c>
      <c r="I79" s="11" t="s">
        <v>585</v>
      </c>
      <c r="J79" s="57">
        <v>17.0</v>
      </c>
      <c r="K79" s="57" t="s">
        <v>583</v>
      </c>
      <c r="L79" s="57">
        <v>948.0</v>
      </c>
      <c r="M79" s="115" t="b">
        <v>1</v>
      </c>
      <c r="N79" s="115" t="b">
        <v>0</v>
      </c>
    </row>
    <row r="80">
      <c r="A80" s="3">
        <v>2.124025195E9</v>
      </c>
      <c r="B80" s="109" t="str">
        <f>VLOOKUP($A80,ANAGRAFICA!$B$1:$G$306,2,FALSE)</f>
        <v>FAZIO</v>
      </c>
      <c r="C80" s="109" t="str">
        <f>VLOOKUP($A80,ANAGRAFICA!$B$1:$G$306,3,FALSE)</f>
        <v>FRANCESCO ANTONIO</v>
      </c>
      <c r="D80" s="109" t="str">
        <f>VLOOKUP($A80,ANAGRAFICA!$B$1:$G$306,4,FALSE)</f>
        <v>758-21</v>
      </c>
      <c r="E80" s="109">
        <f>VLOOKUP($A80,ANAGRAFICA!$B$1:$G$306,5,FALSE)</f>
        <v>3272024087</v>
      </c>
      <c r="F80" s="109">
        <f>VLOOKUP($A80,ANAGRAFICA!$B$1:$G$306,6,FALSE)</f>
        <v>2024</v>
      </c>
      <c r="G80" s="57">
        <v>1.0</v>
      </c>
      <c r="H80" s="14" t="s">
        <v>581</v>
      </c>
      <c r="I80" s="11" t="s">
        <v>591</v>
      </c>
      <c r="J80" s="57">
        <v>23.0</v>
      </c>
      <c r="K80" s="57" t="s">
        <v>583</v>
      </c>
      <c r="L80" s="57">
        <v>971.0</v>
      </c>
      <c r="M80" s="115" t="b">
        <v>0</v>
      </c>
      <c r="N80" s="115" t="b">
        <v>0</v>
      </c>
    </row>
    <row r="81">
      <c r="A81" s="3">
        <v>2.124025195E9</v>
      </c>
      <c r="B81" s="109" t="str">
        <f>VLOOKUP($A81,ANAGRAFICA!$B$1:$G$306,2,FALSE)</f>
        <v>FAZIO</v>
      </c>
      <c r="C81" s="109" t="str">
        <f>VLOOKUP($A81,ANAGRAFICA!$B$1:$G$306,3,FALSE)</f>
        <v>FRANCESCO ANTONIO</v>
      </c>
      <c r="D81" s="109" t="str">
        <f>VLOOKUP($A81,ANAGRAFICA!$B$1:$G$306,4,FALSE)</f>
        <v>758-21</v>
      </c>
      <c r="E81" s="109">
        <f>VLOOKUP($A81,ANAGRAFICA!$B$1:$G$306,5,FALSE)</f>
        <v>3272024087</v>
      </c>
      <c r="F81" s="109">
        <f>VLOOKUP($A81,ANAGRAFICA!$B$1:$G$306,6,FALSE)</f>
        <v>2024</v>
      </c>
      <c r="G81" s="57">
        <v>1.0</v>
      </c>
      <c r="H81" s="14" t="s">
        <v>584</v>
      </c>
      <c r="I81" s="11" t="s">
        <v>585</v>
      </c>
      <c r="J81" s="57">
        <v>17.0</v>
      </c>
      <c r="K81" s="57" t="s">
        <v>583</v>
      </c>
      <c r="L81" s="57">
        <v>949.0</v>
      </c>
      <c r="M81" s="115" t="b">
        <v>0</v>
      </c>
      <c r="N81" s="115" t="b">
        <v>0</v>
      </c>
    </row>
    <row r="82">
      <c r="A82" s="3">
        <v>2.125000348E9</v>
      </c>
      <c r="B82" s="109" t="str">
        <f>VLOOKUP($A82,ANAGRAFICA!$B$1:$G$306,2,FALSE)</f>
        <v>SLAVKOVA</v>
      </c>
      <c r="C82" s="109" t="str">
        <f>VLOOKUP($A82,ANAGRAFICA!$B$1:$G$306,3,FALSE)</f>
        <v>EVELINA PLAMENOVA</v>
      </c>
      <c r="D82" s="109" t="str">
        <f>VLOOKUP($A82,ANAGRAFICA!$B$1:$G$306,4,FALSE)</f>
        <v/>
      </c>
      <c r="E82" s="109">
        <f>VLOOKUP($A82,ANAGRAFICA!$B$1:$G$306,5,FALSE)</f>
        <v>3272025051</v>
      </c>
      <c r="F82" s="109">
        <f>VLOOKUP($A82,ANAGRAFICA!$B$1:$G$306,6,FALSE)</f>
        <v>2025</v>
      </c>
      <c r="G82" s="57">
        <v>1.0</v>
      </c>
      <c r="H82" s="14" t="s">
        <v>581</v>
      </c>
      <c r="I82" s="11" t="s">
        <v>582</v>
      </c>
      <c r="J82" s="57">
        <v>23.0</v>
      </c>
      <c r="K82" s="57" t="s">
        <v>583</v>
      </c>
      <c r="L82" s="94"/>
      <c r="M82" s="115" t="b">
        <v>1</v>
      </c>
      <c r="N82" s="115" t="b">
        <v>1</v>
      </c>
    </row>
    <row r="83">
      <c r="A83" s="3">
        <v>2.125000348E9</v>
      </c>
      <c r="B83" s="109" t="str">
        <f>VLOOKUP($A83,ANAGRAFICA!$B$1:$G$306,2,FALSE)</f>
        <v>SLAVKOVA</v>
      </c>
      <c r="C83" s="109" t="str">
        <f>VLOOKUP($A83,ANAGRAFICA!$B$1:$G$306,3,FALSE)</f>
        <v>EVELINA PLAMENOVA</v>
      </c>
      <c r="D83" s="109" t="str">
        <f>VLOOKUP($A83,ANAGRAFICA!$B$1:$G$306,4,FALSE)</f>
        <v/>
      </c>
      <c r="E83" s="94"/>
      <c r="F83" s="109">
        <f>VLOOKUP($A83,ANAGRAFICA!$B$1:$G$306,6,FALSE)</f>
        <v>2025</v>
      </c>
      <c r="G83" s="57">
        <v>1.0</v>
      </c>
      <c r="H83" s="14" t="s">
        <v>584</v>
      </c>
      <c r="I83" s="11" t="s">
        <v>585</v>
      </c>
      <c r="J83" s="3">
        <v>15.0</v>
      </c>
      <c r="K83" s="57" t="s">
        <v>583</v>
      </c>
      <c r="L83" s="94"/>
      <c r="M83" s="115" t="b">
        <v>1</v>
      </c>
      <c r="N83" s="115" t="b">
        <v>0</v>
      </c>
    </row>
    <row r="84">
      <c r="A84" s="3">
        <v>2.124025878E9</v>
      </c>
      <c r="B84" s="109" t="str">
        <f>VLOOKUP($A84,ANAGRAFICA!$B$1:$G$306,2,FALSE)</f>
        <v>PEDRONI </v>
      </c>
      <c r="C84" s="109" t="str">
        <f>VLOOKUP($A84,ANAGRAFICA!$B$1:$G$306,3,FALSE)</f>
        <v>PIERANGELO</v>
      </c>
      <c r="D84" s="109" t="str">
        <f>VLOOKUP($A84,ANAGRAFICA!$B$1:$G$306,4,FALSE)</f>
        <v>758-22</v>
      </c>
      <c r="E84" s="109">
        <f>VLOOKUP($A84,ANAGRAFICA!$B$1:$G$306,5,FALSE)</f>
        <v>3272024088</v>
      </c>
      <c r="F84" s="109">
        <f>VLOOKUP($A84,ANAGRAFICA!$B$1:$G$306,6,FALSE)</f>
        <v>2024</v>
      </c>
      <c r="G84" s="57">
        <v>1.0</v>
      </c>
      <c r="H84" s="14" t="s">
        <v>581</v>
      </c>
      <c r="I84" s="11" t="s">
        <v>582</v>
      </c>
      <c r="J84" s="57">
        <v>25.0</v>
      </c>
      <c r="K84" s="57" t="s">
        <v>583</v>
      </c>
      <c r="L84" s="94"/>
      <c r="M84" s="115" t="b">
        <v>1</v>
      </c>
      <c r="N84" s="115" t="b">
        <v>0</v>
      </c>
    </row>
    <row r="85">
      <c r="A85" s="3">
        <v>2.124025878E9</v>
      </c>
      <c r="B85" s="109" t="str">
        <f>VLOOKUP($A85,ANAGRAFICA!$B$1:$G$306,2,FALSE)</f>
        <v>PEDRONI </v>
      </c>
      <c r="C85" s="109" t="str">
        <f>VLOOKUP($A85,ANAGRAFICA!$B$1:$G$306,3,FALSE)</f>
        <v>PIERANGELO</v>
      </c>
      <c r="D85" s="109" t="str">
        <f>VLOOKUP($A85,ANAGRAFICA!$B$1:$G$306,4,FALSE)</f>
        <v>758-22</v>
      </c>
      <c r="E85" s="109">
        <f>VLOOKUP($A85,ANAGRAFICA!$B$1:$G$306,5,FALSE)</f>
        <v>3272024088</v>
      </c>
      <c r="F85" s="109">
        <f>VLOOKUP($A85,ANAGRAFICA!$B$1:$G$306,6,FALSE)</f>
        <v>2024</v>
      </c>
      <c r="G85" s="57">
        <v>1.0</v>
      </c>
      <c r="H85" s="14" t="s">
        <v>584</v>
      </c>
      <c r="I85" s="11" t="s">
        <v>585</v>
      </c>
      <c r="J85" s="57">
        <v>17.0</v>
      </c>
      <c r="K85" s="57" t="s">
        <v>583</v>
      </c>
      <c r="L85" s="57">
        <v>949.0</v>
      </c>
      <c r="M85" s="115" t="b">
        <v>1</v>
      </c>
      <c r="N85" s="115" t="b">
        <v>0</v>
      </c>
    </row>
    <row r="86">
      <c r="A86" s="3">
        <v>2.124208975E9</v>
      </c>
      <c r="B86" s="109" t="str">
        <f>VLOOKUP($A86,ANAGRAFICA!$B$1:$G$306,2,FALSE)</f>
        <v>FERRARO</v>
      </c>
      <c r="C86" s="109" t="str">
        <f>VLOOKUP($A86,ANAGRAFICA!$B$1:$G$306,3,FALSE)</f>
        <v>DANIELE</v>
      </c>
      <c r="D86" s="109" t="str">
        <f>VLOOKUP($A86,ANAGRAFICA!$B$1:$G$306,4,FALSE)</f>
        <v/>
      </c>
      <c r="E86" s="109" t="str">
        <f>VLOOKUP($A86,ANAGRAFICA!$B$1:$G$306,5,FALSE)</f>
        <v/>
      </c>
      <c r="F86" s="109">
        <f>VLOOKUP($A86,ANAGRAFICA!$B$1:$G$306,6,FALSE)</f>
        <v>2024</v>
      </c>
      <c r="G86" s="57">
        <v>1.0</v>
      </c>
      <c r="H86" s="14" t="s">
        <v>581</v>
      </c>
      <c r="I86" s="11" t="s">
        <v>582</v>
      </c>
      <c r="J86" s="57">
        <v>25.0</v>
      </c>
      <c r="K86" s="57" t="s">
        <v>583</v>
      </c>
      <c r="L86" s="57">
        <v>972.0</v>
      </c>
      <c r="M86" s="115" t="b">
        <v>1</v>
      </c>
      <c r="N86" s="115" t="b">
        <v>0</v>
      </c>
    </row>
    <row r="87">
      <c r="A87" s="3">
        <v>2.124208975E9</v>
      </c>
      <c r="B87" s="109" t="str">
        <f>VLOOKUP($A87,ANAGRAFICA!$B$1:$G$306,2,FALSE)</f>
        <v>FERRARO</v>
      </c>
      <c r="C87" s="109" t="str">
        <f>VLOOKUP($A87,ANAGRAFICA!$B$1:$G$306,3,FALSE)</f>
        <v>DANIELE</v>
      </c>
      <c r="D87" s="109" t="str">
        <f>VLOOKUP($A87,ANAGRAFICA!$B$1:$G$306,4,FALSE)</f>
        <v/>
      </c>
      <c r="E87" s="109" t="str">
        <f>VLOOKUP($A87,ANAGRAFICA!$B$1:$G$306,5,FALSE)</f>
        <v/>
      </c>
      <c r="F87" s="109">
        <f>VLOOKUP($A87,ANAGRAFICA!$B$1:$G$306,6,FALSE)</f>
        <v>2024</v>
      </c>
      <c r="G87" s="57">
        <v>1.0</v>
      </c>
      <c r="H87" s="14" t="s">
        <v>584</v>
      </c>
      <c r="I87" s="11" t="s">
        <v>585</v>
      </c>
      <c r="J87" s="57">
        <v>17.0</v>
      </c>
      <c r="K87" s="57" t="s">
        <v>583</v>
      </c>
      <c r="L87" s="57">
        <v>949.0</v>
      </c>
      <c r="M87" s="115" t="b">
        <v>1</v>
      </c>
      <c r="N87" s="115" t="b">
        <v>0</v>
      </c>
    </row>
    <row r="88">
      <c r="A88" s="3">
        <v>2.124018611E9</v>
      </c>
      <c r="B88" s="109" t="str">
        <f>VLOOKUP($A88,ANAGRAFICA!$B$1:$G$306,2,FALSE)</f>
        <v>CURTO</v>
      </c>
      <c r="C88" s="109" t="str">
        <f>VLOOKUP($A88,ANAGRAFICA!$B$1:$G$306,3,FALSE)</f>
        <v>ROBERTO</v>
      </c>
      <c r="D88" s="109" t="str">
        <f>VLOOKUP($A88,ANAGRAFICA!$B$1:$G$306,4,FALSE)</f>
        <v/>
      </c>
      <c r="E88" s="109" t="str">
        <f>VLOOKUP($A88,ANAGRAFICA!$B$1:$G$306,5,FALSE)</f>
        <v/>
      </c>
      <c r="F88" s="109">
        <f>VLOOKUP($A88,ANAGRAFICA!$B$1:$G$306,6,FALSE)</f>
        <v>2024</v>
      </c>
      <c r="G88" s="57">
        <v>1.0</v>
      </c>
      <c r="H88" s="14" t="s">
        <v>581</v>
      </c>
      <c r="I88" s="11" t="s">
        <v>591</v>
      </c>
      <c r="J88" s="57">
        <v>25.0</v>
      </c>
      <c r="K88" s="57" t="s">
        <v>583</v>
      </c>
      <c r="L88" s="57">
        <v>972.0</v>
      </c>
      <c r="M88" s="115" t="b">
        <v>1</v>
      </c>
      <c r="N88" s="115" t="b">
        <v>0</v>
      </c>
    </row>
    <row r="89">
      <c r="A89" s="3">
        <v>2.124018611E9</v>
      </c>
      <c r="B89" s="109" t="str">
        <f>VLOOKUP($A89,ANAGRAFICA!$B$1:$G$306,2,FALSE)</f>
        <v>CURTO</v>
      </c>
      <c r="C89" s="109" t="str">
        <f>VLOOKUP($A89,ANAGRAFICA!$B$1:$G$306,3,FALSE)</f>
        <v>ROBERTO</v>
      </c>
      <c r="D89" s="109" t="str">
        <f>VLOOKUP($A89,ANAGRAFICA!$B$1:$G$306,4,FALSE)</f>
        <v/>
      </c>
      <c r="E89" s="109" t="str">
        <f>VLOOKUP($A89,ANAGRAFICA!$B$1:$G$306,5,FALSE)</f>
        <v/>
      </c>
      <c r="F89" s="109">
        <f>VLOOKUP($A89,ANAGRAFICA!$B$1:$G$306,6,FALSE)</f>
        <v>2024</v>
      </c>
      <c r="G89" s="57">
        <v>1.0</v>
      </c>
      <c r="H89" s="14" t="s">
        <v>584</v>
      </c>
      <c r="I89" s="11" t="s">
        <v>585</v>
      </c>
      <c r="J89" s="57">
        <v>17.0</v>
      </c>
      <c r="K89" s="57" t="s">
        <v>583</v>
      </c>
      <c r="L89" s="57">
        <v>949.0</v>
      </c>
      <c r="M89" s="115" t="b">
        <v>1</v>
      </c>
      <c r="N89" s="115" t="b">
        <v>0</v>
      </c>
    </row>
    <row r="90">
      <c r="A90" s="3">
        <v>2.125004454E9</v>
      </c>
      <c r="B90" s="109" t="str">
        <f>VLOOKUP($A90,ANAGRAFICA!$B$1:$G$306,2,FALSE)</f>
        <v>ANTIGNANO</v>
      </c>
      <c r="C90" s="109" t="str">
        <f>VLOOKUP($A90,ANAGRAFICA!$B$1:$G$306,3,FALSE)</f>
        <v>MAURO</v>
      </c>
      <c r="D90" s="109" t="str">
        <f>VLOOKUP($A90,ANAGRAFICA!$B$1:$G$306,4,FALSE)</f>
        <v>758-23</v>
      </c>
      <c r="E90" s="109">
        <f>VLOOKUP($A90,ANAGRAFICA!$B$1:$G$306,5,FALSE)</f>
        <v>3272025052</v>
      </c>
      <c r="F90" s="109">
        <f>VLOOKUP($A90,ANAGRAFICA!$B$1:$G$306,6,FALSE)</f>
        <v>2025</v>
      </c>
      <c r="G90" s="57">
        <v>1.0</v>
      </c>
      <c r="H90" s="14" t="s">
        <v>581</v>
      </c>
      <c r="I90" s="11" t="s">
        <v>591</v>
      </c>
      <c r="J90" s="57">
        <v>23.0</v>
      </c>
      <c r="K90" s="57" t="s">
        <v>583</v>
      </c>
      <c r="L90" s="94"/>
      <c r="M90" s="115" t="b">
        <v>1</v>
      </c>
      <c r="N90" s="115" t="b">
        <v>0</v>
      </c>
    </row>
    <row r="91">
      <c r="A91" s="3">
        <v>2.125004454E9</v>
      </c>
      <c r="B91" s="109" t="str">
        <f>VLOOKUP($A91,ANAGRAFICA!$B$1:$G$306,2,FALSE)</f>
        <v>ANTIGNANO</v>
      </c>
      <c r="C91" s="109" t="str">
        <f>VLOOKUP($A91,ANAGRAFICA!$B$1:$G$306,3,FALSE)</f>
        <v>MAURO</v>
      </c>
      <c r="D91" s="109" t="str">
        <f>VLOOKUP($A91,ANAGRAFICA!$B$1:$G$306,4,FALSE)</f>
        <v>758-23</v>
      </c>
      <c r="E91" s="109">
        <f>VLOOKUP($A91,ANAGRAFICA!$B$1:$G$306,5,FALSE)</f>
        <v>3272025052</v>
      </c>
      <c r="F91" s="109">
        <f>VLOOKUP($A91,ANAGRAFICA!$B$1:$G$306,6,FALSE)</f>
        <v>2025</v>
      </c>
      <c r="G91" s="57">
        <v>1.0</v>
      </c>
      <c r="H91" s="14" t="s">
        <v>584</v>
      </c>
      <c r="I91" s="11" t="s">
        <v>585</v>
      </c>
      <c r="J91" s="57">
        <v>15.0</v>
      </c>
      <c r="K91" s="57" t="s">
        <v>583</v>
      </c>
      <c r="L91" s="94"/>
      <c r="M91" s="115" t="b">
        <v>1</v>
      </c>
      <c r="N91" s="115" t="b">
        <v>0</v>
      </c>
    </row>
    <row r="92">
      <c r="A92" s="3">
        <v>2.125004867E9</v>
      </c>
      <c r="B92" s="109" t="str">
        <f>VLOOKUP($A92,ANAGRAFICA!$B$1:$G$306,2,FALSE)</f>
        <v>MARCONI</v>
      </c>
      <c r="C92" s="109" t="str">
        <f>VLOOKUP($A92,ANAGRAFICA!$B$1:$G$306,3,FALSE)</f>
        <v>PIETRO VITTORIO</v>
      </c>
      <c r="D92" s="109" t="str">
        <f>VLOOKUP($A92,ANAGRAFICA!$B$1:$G$306,4,FALSE)</f>
        <v/>
      </c>
      <c r="E92" s="109">
        <f>VLOOKUP($A92,ANAGRAFICA!$B$1:$G$306,5,FALSE)</f>
        <v>3272025053</v>
      </c>
      <c r="F92" s="109">
        <f>VLOOKUP($A92,ANAGRAFICA!$B$1:$G$306,6,FALSE)</f>
        <v>2025</v>
      </c>
      <c r="G92" s="57">
        <v>1.0</v>
      </c>
      <c r="H92" s="14" t="s">
        <v>581</v>
      </c>
      <c r="I92" s="11" t="s">
        <v>582</v>
      </c>
      <c r="J92" s="57">
        <v>25.0</v>
      </c>
      <c r="K92" s="57" t="s">
        <v>583</v>
      </c>
      <c r="L92" s="94"/>
      <c r="M92" s="115" t="b">
        <v>0</v>
      </c>
      <c r="N92" s="115" t="b">
        <v>0</v>
      </c>
    </row>
    <row r="93">
      <c r="A93" s="3">
        <v>2.125004867E9</v>
      </c>
      <c r="B93" s="109" t="str">
        <f>VLOOKUP($A93,ANAGRAFICA!$B$1:$G$306,2,FALSE)</f>
        <v>MARCONI</v>
      </c>
      <c r="C93" s="109" t="str">
        <f>VLOOKUP($A93,ANAGRAFICA!$B$1:$G$306,3,FALSE)</f>
        <v>PIETRO VITTORIO</v>
      </c>
      <c r="D93" s="109" t="str">
        <f>VLOOKUP($A93,ANAGRAFICA!$B$1:$G$306,4,FALSE)</f>
        <v/>
      </c>
      <c r="E93" s="109">
        <f>VLOOKUP($A93,ANAGRAFICA!$B$1:$G$306,5,FALSE)</f>
        <v>3272025053</v>
      </c>
      <c r="F93" s="109">
        <f>VLOOKUP($A93,ANAGRAFICA!$B$1:$G$306,6,FALSE)</f>
        <v>2025</v>
      </c>
      <c r="G93" s="57">
        <v>1.0</v>
      </c>
      <c r="H93" s="14" t="s">
        <v>584</v>
      </c>
      <c r="I93" s="11" t="s">
        <v>585</v>
      </c>
      <c r="J93" s="57">
        <v>17.0</v>
      </c>
      <c r="K93" s="57" t="s">
        <v>583</v>
      </c>
      <c r="L93" s="94"/>
      <c r="M93" s="115" t="b">
        <v>1</v>
      </c>
      <c r="N93" s="115" t="b">
        <v>0</v>
      </c>
    </row>
    <row r="94">
      <c r="A94" s="3">
        <v>2.025010247E9</v>
      </c>
      <c r="B94" s="109" t="str">
        <f>VLOOKUP($A94,ANAGRAFICA!$B$1:$G$306,2,FALSE)</f>
        <v>TREMOLADA</v>
      </c>
      <c r="C94" s="109" t="str">
        <f>VLOOKUP($A94,ANAGRAFICA!$B$1:$G$306,3,FALSE)</f>
        <v>MARCO</v>
      </c>
      <c r="D94" s="109" t="str">
        <f>VLOOKUP($A94,ANAGRAFICA!$B$1:$G$306,4,FALSE)</f>
        <v>758-25</v>
      </c>
      <c r="E94" s="109">
        <f>VLOOKUP($A94,ANAGRAFICA!$B$1:$G$306,5,FALSE)</f>
        <v>3272025054</v>
      </c>
      <c r="F94" s="109">
        <f>VLOOKUP($A94,ANAGRAFICA!$B$1:$G$306,6,FALSE)</f>
        <v>2025</v>
      </c>
      <c r="G94" s="57">
        <v>1.0</v>
      </c>
      <c r="H94" s="14" t="s">
        <v>584</v>
      </c>
      <c r="I94" s="11" t="s">
        <v>592</v>
      </c>
      <c r="J94" s="57">
        <v>19.0</v>
      </c>
      <c r="K94" s="57" t="s">
        <v>583</v>
      </c>
      <c r="L94" s="94"/>
      <c r="M94" s="115" t="b">
        <v>1</v>
      </c>
      <c r="N94" s="115" t="b">
        <v>1</v>
      </c>
    </row>
    <row r="95">
      <c r="A95" s="3">
        <v>2.025010247E9</v>
      </c>
      <c r="B95" s="109" t="str">
        <f>VLOOKUP($A95,ANAGRAFICA!$B$1:$G$306,2,FALSE)</f>
        <v>TREMOLADA</v>
      </c>
      <c r="C95" s="109" t="str">
        <f>VLOOKUP($A95,ANAGRAFICA!$B$1:$G$306,3,FALSE)</f>
        <v>MARCO</v>
      </c>
      <c r="D95" s="109" t="str">
        <f>VLOOKUP($A95,ANAGRAFICA!$B$1:$G$306,4,FALSE)</f>
        <v>758-25</v>
      </c>
      <c r="E95" s="109">
        <f>VLOOKUP($A95,ANAGRAFICA!$B$1:$G$306,5,FALSE)</f>
        <v>3272025054</v>
      </c>
      <c r="F95" s="109">
        <f>VLOOKUP($A95,ANAGRAFICA!$B$1:$G$306,6,FALSE)</f>
        <v>2025</v>
      </c>
      <c r="G95" s="57">
        <v>1.0</v>
      </c>
      <c r="H95" s="14" t="s">
        <v>581</v>
      </c>
      <c r="I95" s="11" t="s">
        <v>582</v>
      </c>
      <c r="J95" s="57">
        <v>25.0</v>
      </c>
      <c r="K95" s="57" t="s">
        <v>583</v>
      </c>
      <c r="L95" s="94"/>
      <c r="M95" s="115" t="b">
        <v>1</v>
      </c>
      <c r="N95" s="115" t="b">
        <v>1</v>
      </c>
    </row>
    <row r="96">
      <c r="A96" s="3">
        <v>2.025010247E9</v>
      </c>
      <c r="B96" s="109" t="str">
        <f>VLOOKUP($A96,ANAGRAFICA!$B$1:$G$306,2,FALSE)</f>
        <v>TREMOLADA</v>
      </c>
      <c r="C96" s="109" t="str">
        <f>VLOOKUP($A96,ANAGRAFICA!$B$1:$G$306,3,FALSE)</f>
        <v>MARCO</v>
      </c>
      <c r="D96" s="109" t="str">
        <f>VLOOKUP($A96,ANAGRAFICA!$B$1:$G$306,4,FALSE)</f>
        <v>758-25</v>
      </c>
      <c r="E96" s="109">
        <f>VLOOKUP($A96,ANAGRAFICA!$B$1:$G$306,5,FALSE)</f>
        <v>3272025054</v>
      </c>
      <c r="F96" s="109">
        <f>VLOOKUP($A96,ANAGRAFICA!$B$1:$G$306,6,FALSE)</f>
        <v>2025</v>
      </c>
      <c r="G96" s="57">
        <v>2.0</v>
      </c>
      <c r="H96" s="14" t="s">
        <v>584</v>
      </c>
      <c r="I96" s="11" t="s">
        <v>592</v>
      </c>
      <c r="J96" s="57">
        <v>19.0</v>
      </c>
      <c r="K96" s="57" t="s">
        <v>583</v>
      </c>
      <c r="L96" s="94"/>
      <c r="M96" s="115" t="b">
        <v>1</v>
      </c>
      <c r="N96" s="115" t="b">
        <v>1</v>
      </c>
    </row>
    <row r="97">
      <c r="A97" s="3">
        <v>2.025010247E9</v>
      </c>
      <c r="B97" s="109" t="str">
        <f>VLOOKUP($A97,ANAGRAFICA!$B$1:$G$306,2,FALSE)</f>
        <v>TREMOLADA</v>
      </c>
      <c r="C97" s="109" t="str">
        <f>VLOOKUP($A97,ANAGRAFICA!$B$1:$G$306,3,FALSE)</f>
        <v>MARCO</v>
      </c>
      <c r="D97" s="109" t="str">
        <f>VLOOKUP($A97,ANAGRAFICA!$B$1:$G$306,4,FALSE)</f>
        <v>758-25</v>
      </c>
      <c r="E97" s="109">
        <f>VLOOKUP($A97,ANAGRAFICA!$B$1:$G$306,5,FALSE)</f>
        <v>3272025054</v>
      </c>
      <c r="F97" s="109">
        <f>VLOOKUP($A97,ANAGRAFICA!$B$1:$G$306,6,FALSE)</f>
        <v>2025</v>
      </c>
      <c r="G97" s="57">
        <v>2.0</v>
      </c>
      <c r="H97" s="14" t="s">
        <v>581</v>
      </c>
      <c r="I97" s="11" t="s">
        <v>582</v>
      </c>
      <c r="J97" s="57">
        <v>25.0</v>
      </c>
      <c r="K97" s="57" t="s">
        <v>583</v>
      </c>
      <c r="L97" s="94"/>
      <c r="M97" s="115" t="b">
        <v>1</v>
      </c>
      <c r="N97" s="115" t="b">
        <v>1</v>
      </c>
    </row>
    <row r="98">
      <c r="A98" s="3">
        <v>2.125020858E9</v>
      </c>
      <c r="B98" s="109" t="str">
        <f>VLOOKUP($A98,ANAGRAFICA!$B$1:$G$306,2,FALSE)</f>
        <v>FALVO</v>
      </c>
      <c r="C98" s="109" t="str">
        <f>VLOOKUP($A98,ANAGRAFICA!$B$1:$G$306,3,FALSE)</f>
        <v>FRANCESCO</v>
      </c>
      <c r="D98" s="109" t="str">
        <f>VLOOKUP($A98,ANAGRAFICA!$B$1:$G$306,4,FALSE)</f>
        <v/>
      </c>
      <c r="E98" s="109">
        <f>VLOOKUP($A98,ANAGRAFICA!$B$1:$G$306,5,FALSE)</f>
        <v>3272025055</v>
      </c>
      <c r="F98" s="109">
        <f>VLOOKUP($A98,ANAGRAFICA!$B$1:$G$306,6,FALSE)</f>
        <v>2025</v>
      </c>
      <c r="G98" s="57">
        <v>1.0</v>
      </c>
      <c r="H98" s="14" t="s">
        <v>581</v>
      </c>
      <c r="I98" s="11" t="s">
        <v>582</v>
      </c>
      <c r="J98" s="57">
        <v>23.0</v>
      </c>
      <c r="K98" s="57" t="s">
        <v>583</v>
      </c>
      <c r="L98" s="94"/>
      <c r="M98" s="115" t="b">
        <v>1</v>
      </c>
      <c r="N98" s="115" t="b">
        <v>0</v>
      </c>
    </row>
    <row r="99">
      <c r="A99" s="3">
        <v>2.125020858E9</v>
      </c>
      <c r="B99" s="109" t="str">
        <f>VLOOKUP($A99,ANAGRAFICA!$B$1:$G$306,2,FALSE)</f>
        <v>FALVO</v>
      </c>
      <c r="C99" s="109" t="str">
        <f>VLOOKUP($A99,ANAGRAFICA!$B$1:$G$306,3,FALSE)</f>
        <v>FRANCESCO</v>
      </c>
      <c r="D99" s="109" t="str">
        <f>VLOOKUP($A99,ANAGRAFICA!$B$1:$G$306,4,FALSE)</f>
        <v/>
      </c>
      <c r="E99" s="109">
        <f>VLOOKUP($A99,ANAGRAFICA!$B$1:$G$306,5,FALSE)</f>
        <v>3272025055</v>
      </c>
      <c r="F99" s="109">
        <f>VLOOKUP($A99,ANAGRAFICA!$B$1:$G$306,6,FALSE)</f>
        <v>2025</v>
      </c>
      <c r="G99" s="57">
        <v>1.0</v>
      </c>
      <c r="H99" s="14" t="s">
        <v>584</v>
      </c>
      <c r="I99" s="11" t="s">
        <v>592</v>
      </c>
      <c r="J99" s="57">
        <v>17.0</v>
      </c>
      <c r="K99" s="57" t="s">
        <v>583</v>
      </c>
      <c r="L99" s="94"/>
      <c r="M99" s="115" t="b">
        <v>1</v>
      </c>
      <c r="N99" s="115" t="b">
        <v>0</v>
      </c>
    </row>
    <row r="100">
      <c r="A100" s="3">
        <v>2.125023093E9</v>
      </c>
      <c r="B100" s="109" t="str">
        <f>VLOOKUP($A100,ANAGRAFICA!$B$1:$G$306,2,FALSE)</f>
        <v>GHEZZI</v>
      </c>
      <c r="C100" s="109" t="str">
        <f>VLOOKUP($A100,ANAGRAFICA!$B$1:$G$306,3,FALSE)</f>
        <v>FABIO</v>
      </c>
      <c r="D100" s="109" t="str">
        <f>VLOOKUP($A100,ANAGRAFICA!$B$1:$G$306,4,FALSE)</f>
        <v>758-28</v>
      </c>
      <c r="E100" s="109">
        <f>VLOOKUP($A100,ANAGRAFICA!$B$1:$G$306,5,FALSE)</f>
        <v>3272025056</v>
      </c>
      <c r="F100" s="109">
        <f>VLOOKUP($A100,ANAGRAFICA!$B$1:$G$306,6,FALSE)</f>
        <v>2025</v>
      </c>
      <c r="G100" s="57">
        <v>1.0</v>
      </c>
      <c r="H100" s="14" t="s">
        <v>581</v>
      </c>
      <c r="I100" s="11" t="s">
        <v>582</v>
      </c>
      <c r="J100" s="57">
        <v>25.0</v>
      </c>
      <c r="K100" s="57" t="s">
        <v>583</v>
      </c>
      <c r="L100" s="94"/>
      <c r="M100" s="115" t="b">
        <v>1</v>
      </c>
      <c r="N100" s="115" t="b">
        <v>0</v>
      </c>
    </row>
    <row r="101">
      <c r="A101" s="3">
        <v>2.125023093E9</v>
      </c>
      <c r="B101" s="109" t="str">
        <f>VLOOKUP($A101,ANAGRAFICA!$B$1:$G$306,2,FALSE)</f>
        <v>GHEZZI</v>
      </c>
      <c r="C101" s="109" t="str">
        <f>VLOOKUP($A101,ANAGRAFICA!$B$1:$G$306,3,FALSE)</f>
        <v>FABIO</v>
      </c>
      <c r="D101" s="109" t="str">
        <f>VLOOKUP($A101,ANAGRAFICA!$B$1:$G$306,4,FALSE)</f>
        <v>758-28</v>
      </c>
      <c r="E101" s="109">
        <f>VLOOKUP($A101,ANAGRAFICA!$B$1:$G$306,5,FALSE)</f>
        <v>3272025056</v>
      </c>
      <c r="F101" s="109">
        <f>VLOOKUP($A101,ANAGRAFICA!$B$1:$G$306,6,FALSE)</f>
        <v>2025</v>
      </c>
      <c r="G101" s="57">
        <v>1.0</v>
      </c>
      <c r="H101" s="14" t="s">
        <v>584</v>
      </c>
      <c r="I101" s="11" t="s">
        <v>585</v>
      </c>
      <c r="J101" s="57">
        <v>17.0</v>
      </c>
      <c r="K101" s="57" t="s">
        <v>583</v>
      </c>
      <c r="L101" s="94"/>
      <c r="M101" s="115" t="b">
        <v>1</v>
      </c>
      <c r="N101" s="115" t="b">
        <v>0</v>
      </c>
    </row>
    <row r="102">
      <c r="A102" s="3">
        <v>2.125024608E9</v>
      </c>
      <c r="B102" s="109" t="str">
        <f>VLOOKUP($A102,ANAGRAFICA!$B$1:$G$306,2,FALSE)</f>
        <v>ZAPPIA</v>
      </c>
      <c r="C102" s="109" t="str">
        <f>VLOOKUP($A102,ANAGRAFICA!$B$1:$G$306,3,FALSE)</f>
        <v>LEONARDO</v>
      </c>
      <c r="D102" s="109" t="str">
        <f>VLOOKUP($A102,ANAGRAFICA!$B$1:$G$306,4,FALSE)</f>
        <v>758-29</v>
      </c>
      <c r="E102" s="109">
        <f>VLOOKUP($A102,ANAGRAFICA!$B$1:$G$306,5,FALSE)</f>
        <v>3272025057</v>
      </c>
      <c r="F102" s="109">
        <f>VLOOKUP($A102,ANAGRAFICA!$B$1:$G$306,6,FALSE)</f>
        <v>2025</v>
      </c>
      <c r="G102" s="57">
        <v>1.0</v>
      </c>
      <c r="H102" s="14" t="s">
        <v>581</v>
      </c>
      <c r="I102" s="11" t="s">
        <v>582</v>
      </c>
      <c r="J102" s="57">
        <v>23.0</v>
      </c>
      <c r="K102" s="57" t="s">
        <v>583</v>
      </c>
      <c r="L102" s="94"/>
      <c r="M102" s="115" t="b">
        <v>1</v>
      </c>
      <c r="N102" s="115" t="b">
        <v>0</v>
      </c>
    </row>
    <row r="103">
      <c r="A103" s="3">
        <v>2.125024608E9</v>
      </c>
      <c r="B103" s="109" t="str">
        <f>VLOOKUP($A103,ANAGRAFICA!$B$1:$G$306,2,FALSE)</f>
        <v>ZAPPIA</v>
      </c>
      <c r="C103" s="109" t="str">
        <f>VLOOKUP($A103,ANAGRAFICA!$B$1:$G$306,3,FALSE)</f>
        <v>LEONARDO</v>
      </c>
      <c r="D103" s="109" t="str">
        <f>VLOOKUP($A103,ANAGRAFICA!$B$1:$G$306,4,FALSE)</f>
        <v>758-29</v>
      </c>
      <c r="E103" s="109">
        <f>VLOOKUP($A103,ANAGRAFICA!$B$1:$G$306,5,FALSE)</f>
        <v>3272025057</v>
      </c>
      <c r="F103" s="109">
        <f>VLOOKUP($A103,ANAGRAFICA!$B$1:$G$306,6,FALSE)</f>
        <v>2025</v>
      </c>
      <c r="G103" s="57">
        <v>1.0</v>
      </c>
      <c r="H103" s="14" t="s">
        <v>584</v>
      </c>
      <c r="I103" s="11" t="s">
        <v>585</v>
      </c>
      <c r="J103" s="57">
        <v>17.0</v>
      </c>
      <c r="K103" s="57" t="s">
        <v>583</v>
      </c>
      <c r="L103" s="94"/>
      <c r="M103" s="115" t="b">
        <v>1</v>
      </c>
      <c r="N103" s="115" t="b">
        <v>0</v>
      </c>
    </row>
    <row r="104">
      <c r="A104" s="3">
        <v>2.125024565E9</v>
      </c>
      <c r="B104" s="109" t="str">
        <f>VLOOKUP($A104,ANAGRAFICA!$B$1:$G$306,2,FALSE)</f>
        <v>POLICARPO</v>
      </c>
      <c r="C104" s="109" t="str">
        <f>VLOOKUP($A104,ANAGRAFICA!$B$1:$G$306,3,FALSE)</f>
        <v>FRANCESCO</v>
      </c>
      <c r="D104" s="109" t="str">
        <f>VLOOKUP($A104,ANAGRAFICA!$B$1:$G$306,4,FALSE)</f>
        <v>758-30</v>
      </c>
      <c r="E104" s="109" t="str">
        <f>VLOOKUP($A104,ANAGRAFICA!$B$1:$G$306,5,FALSE)</f>
        <v/>
      </c>
      <c r="F104" s="109">
        <f>VLOOKUP($A104,ANAGRAFICA!$B$1:$G$306,6,FALSE)</f>
        <v>2025</v>
      </c>
      <c r="G104" s="57">
        <v>1.0</v>
      </c>
      <c r="H104" s="14" t="s">
        <v>581</v>
      </c>
      <c r="I104" s="11" t="s">
        <v>591</v>
      </c>
      <c r="J104" s="57">
        <v>15.0</v>
      </c>
      <c r="K104" s="57" t="s">
        <v>583</v>
      </c>
      <c r="L104" s="94"/>
      <c r="M104" s="115" t="b">
        <v>1</v>
      </c>
      <c r="N104" s="115" t="b">
        <v>0</v>
      </c>
    </row>
    <row r="105">
      <c r="A105" s="3">
        <v>2.125024565E9</v>
      </c>
      <c r="B105" s="109" t="str">
        <f>VLOOKUP($A105,ANAGRAFICA!$B$1:$G$306,2,FALSE)</f>
        <v>POLICARPO</v>
      </c>
      <c r="C105" s="109" t="str">
        <f>VLOOKUP($A105,ANAGRAFICA!$B$1:$G$306,3,FALSE)</f>
        <v>FRANCESCO</v>
      </c>
      <c r="D105" s="109" t="str">
        <f>VLOOKUP($A105,ANAGRAFICA!$B$1:$G$306,4,FALSE)</f>
        <v>758-30</v>
      </c>
      <c r="E105" s="109" t="str">
        <f>VLOOKUP($A105,ANAGRAFICA!$B$1:$G$306,5,FALSE)</f>
        <v/>
      </c>
      <c r="F105" s="109">
        <f>VLOOKUP($A105,ANAGRAFICA!$B$1:$G$306,6,FALSE)</f>
        <v>2025</v>
      </c>
      <c r="G105" s="57">
        <v>1.0</v>
      </c>
      <c r="H105" s="14" t="s">
        <v>584</v>
      </c>
      <c r="I105" s="11" t="s">
        <v>585</v>
      </c>
      <c r="J105" s="57">
        <v>23.0</v>
      </c>
      <c r="K105" s="57" t="s">
        <v>583</v>
      </c>
      <c r="L105" s="94"/>
      <c r="M105" s="115" t="b">
        <v>1</v>
      </c>
      <c r="N105" s="115" t="b">
        <v>0</v>
      </c>
    </row>
    <row r="106">
      <c r="A106" s="3">
        <v>2.125025861E9</v>
      </c>
      <c r="B106" s="109" t="str">
        <f>VLOOKUP($A106,ANAGRAFICA!$B$1:$G$306,2,FALSE)</f>
        <v>CASSANI</v>
      </c>
      <c r="C106" s="109" t="str">
        <f>VLOOKUP($A106,ANAGRAFICA!$B$1:$G$306,3,FALSE)</f>
        <v>DAVIDE VIRGILIO</v>
      </c>
      <c r="D106" s="109" t="str">
        <f>VLOOKUP($A106,ANAGRAFICA!$B$1:$G$306,4,FALSE)</f>
        <v>758-31</v>
      </c>
      <c r="E106" s="109">
        <f>VLOOKUP($A106,ANAGRAFICA!$B$1:$G$306,5,FALSE)</f>
        <v>3272025058</v>
      </c>
      <c r="F106" s="109">
        <f>VLOOKUP($A106,ANAGRAFICA!$B$1:$G$306,6,FALSE)</f>
        <v>2025</v>
      </c>
      <c r="G106" s="57">
        <v>1.0</v>
      </c>
      <c r="H106" s="14" t="s">
        <v>581</v>
      </c>
      <c r="I106" s="11" t="s">
        <v>591</v>
      </c>
      <c r="J106" s="57">
        <v>17.0</v>
      </c>
      <c r="K106" s="57" t="s">
        <v>583</v>
      </c>
      <c r="L106" s="94"/>
      <c r="M106" s="115" t="b">
        <v>1</v>
      </c>
      <c r="N106" s="115" t="b">
        <v>0</v>
      </c>
    </row>
    <row r="107">
      <c r="A107" s="3">
        <v>2.125025861E9</v>
      </c>
      <c r="B107" s="109" t="str">
        <f>VLOOKUP($A107,ANAGRAFICA!$B$1:$G$306,2,FALSE)</f>
        <v>CASSANI</v>
      </c>
      <c r="C107" s="109" t="str">
        <f>VLOOKUP($A107,ANAGRAFICA!$B$1:$G$306,3,FALSE)</f>
        <v>DAVIDE VIRGILIO</v>
      </c>
      <c r="D107" s="109" t="str">
        <f>VLOOKUP($A107,ANAGRAFICA!$B$1:$G$306,4,FALSE)</f>
        <v>758-31</v>
      </c>
      <c r="E107" s="109">
        <f>VLOOKUP($A107,ANAGRAFICA!$B$1:$G$306,5,FALSE)</f>
        <v>3272025058</v>
      </c>
      <c r="F107" s="109">
        <f>VLOOKUP($A107,ANAGRAFICA!$B$1:$G$306,6,FALSE)</f>
        <v>2025</v>
      </c>
      <c r="G107" s="57">
        <v>1.0</v>
      </c>
      <c r="H107" s="14" t="s">
        <v>584</v>
      </c>
      <c r="I107" s="11" t="s">
        <v>592</v>
      </c>
      <c r="J107" s="57">
        <v>25.0</v>
      </c>
      <c r="K107" s="57" t="s">
        <v>583</v>
      </c>
      <c r="L107" s="94"/>
      <c r="M107" s="115" t="b">
        <v>1</v>
      </c>
      <c r="N107" s="115" t="b">
        <v>0</v>
      </c>
    </row>
    <row r="108">
      <c r="A108" s="3">
        <v>2.125026559E9</v>
      </c>
      <c r="B108" s="109" t="str">
        <f>VLOOKUP($A108,ANAGRAFICA!$B$1:$G$306,2,FALSE)</f>
        <v>VEDUTI</v>
      </c>
      <c r="C108" s="109" t="str">
        <f>VLOOKUP($A108,ANAGRAFICA!$B$1:$G$306,3,FALSE)</f>
        <v>LORENZO</v>
      </c>
      <c r="D108" s="109" t="str">
        <f>VLOOKUP($A108,ANAGRAFICA!$B$1:$G$306,4,FALSE)</f>
        <v>758-32</v>
      </c>
      <c r="E108" s="109">
        <f>VLOOKUP($A108,ANAGRAFICA!$B$1:$G$306,5,FALSE)</f>
        <v>3272025059</v>
      </c>
      <c r="F108" s="109">
        <f>VLOOKUP($A108,ANAGRAFICA!$B$1:$G$306,6,FALSE)</f>
        <v>2025</v>
      </c>
      <c r="G108" s="57">
        <v>1.0</v>
      </c>
      <c r="H108" s="14" t="s">
        <v>584</v>
      </c>
      <c r="I108" s="11" t="s">
        <v>582</v>
      </c>
      <c r="J108" s="57">
        <v>25.0</v>
      </c>
      <c r="K108" s="57" t="s">
        <v>583</v>
      </c>
      <c r="L108" s="94"/>
      <c r="M108" s="115" t="b">
        <v>1</v>
      </c>
      <c r="N108" s="115" t="b">
        <v>0</v>
      </c>
    </row>
    <row r="109">
      <c r="A109" s="3">
        <v>2.125026559E9</v>
      </c>
      <c r="B109" s="109" t="str">
        <f>VLOOKUP($A109,ANAGRAFICA!$B$1:$G$306,2,FALSE)</f>
        <v>VEDUTI</v>
      </c>
      <c r="C109" s="109" t="str">
        <f>VLOOKUP($A109,ANAGRAFICA!$B$1:$G$306,3,FALSE)</f>
        <v>LORENZO</v>
      </c>
      <c r="D109" s="109" t="str">
        <f>VLOOKUP($A109,ANAGRAFICA!$B$1:$G$306,4,FALSE)</f>
        <v>758-32</v>
      </c>
      <c r="E109" s="109">
        <f>VLOOKUP($A109,ANAGRAFICA!$B$1:$G$306,5,FALSE)</f>
        <v>3272025059</v>
      </c>
      <c r="F109" s="109">
        <f>VLOOKUP($A109,ANAGRAFICA!$B$1:$G$306,6,FALSE)</f>
        <v>2025</v>
      </c>
      <c r="G109" s="57">
        <v>1.0</v>
      </c>
      <c r="H109" s="14" t="s">
        <v>581</v>
      </c>
      <c r="I109" s="11" t="s">
        <v>592</v>
      </c>
      <c r="J109" s="57">
        <v>17.0</v>
      </c>
      <c r="K109" s="57" t="s">
        <v>583</v>
      </c>
      <c r="L109" s="94"/>
      <c r="M109" s="115" t="b">
        <v>1</v>
      </c>
      <c r="N109" s="115" t="b">
        <v>0</v>
      </c>
    </row>
    <row r="110">
      <c r="A110" s="3">
        <v>2.125027331E9</v>
      </c>
      <c r="B110" s="109" t="str">
        <f>VLOOKUP($A110,ANAGRAFICA!$B$1:$G$306,2,FALSE)</f>
        <v>QUARIN</v>
      </c>
      <c r="C110" s="109" t="str">
        <f>VLOOKUP($A110,ANAGRAFICA!$B$1:$G$306,3,FALSE)</f>
        <v>FRANCO</v>
      </c>
      <c r="D110" s="109" t="str">
        <f>VLOOKUP($A110,ANAGRAFICA!$B$1:$G$306,4,FALSE)</f>
        <v>758-34</v>
      </c>
      <c r="E110" s="109" t="str">
        <f>VLOOKUP($A110,ANAGRAFICA!$B$1:$G$306,5,FALSE)</f>
        <v/>
      </c>
      <c r="F110" s="109">
        <f>VLOOKUP($A110,ANAGRAFICA!$B$1:$G$306,6,FALSE)</f>
        <v>2025</v>
      </c>
      <c r="G110" s="57">
        <v>1.0</v>
      </c>
      <c r="H110" s="14" t="s">
        <v>581</v>
      </c>
      <c r="I110" s="11" t="s">
        <v>582</v>
      </c>
      <c r="J110" s="57">
        <v>25.0</v>
      </c>
      <c r="K110" s="57" t="s">
        <v>583</v>
      </c>
      <c r="L110" s="94"/>
      <c r="M110" s="115" t="b">
        <v>1</v>
      </c>
      <c r="N110" s="115" t="b">
        <v>0</v>
      </c>
    </row>
    <row r="111">
      <c r="A111" s="3">
        <v>2.125027331E9</v>
      </c>
      <c r="B111" s="109" t="str">
        <f>VLOOKUP($A111,ANAGRAFICA!$B$1:$G$306,2,FALSE)</f>
        <v>QUARIN</v>
      </c>
      <c r="C111" s="109" t="str">
        <f>VLOOKUP($A111,ANAGRAFICA!$B$1:$G$306,3,FALSE)</f>
        <v>FRANCO</v>
      </c>
      <c r="D111" s="109" t="str">
        <f>VLOOKUP($A111,ANAGRAFICA!$B$1:$G$306,4,FALSE)</f>
        <v>758-34</v>
      </c>
      <c r="E111" s="109" t="str">
        <f>VLOOKUP($A111,ANAGRAFICA!$B$1:$G$306,5,FALSE)</f>
        <v/>
      </c>
      <c r="F111" s="109">
        <f>VLOOKUP($A111,ANAGRAFICA!$B$1:$G$306,6,FALSE)</f>
        <v>2025</v>
      </c>
      <c r="G111" s="57">
        <v>1.0</v>
      </c>
      <c r="H111" s="14" t="s">
        <v>584</v>
      </c>
      <c r="I111" s="11" t="s">
        <v>585</v>
      </c>
      <c r="J111" s="57">
        <v>17.0</v>
      </c>
      <c r="K111" s="57" t="s">
        <v>583</v>
      </c>
      <c r="L111" s="94"/>
      <c r="M111" s="115" t="b">
        <v>1</v>
      </c>
      <c r="N111" s="115" t="b">
        <v>0</v>
      </c>
    </row>
    <row r="112">
      <c r="A112" s="3">
        <v>2.125029623E9</v>
      </c>
      <c r="B112" s="109" t="str">
        <f>VLOOKUP($A112,ANAGRAFICA!$B$1:$G$306,2,FALSE)</f>
        <v>IANDIORIO</v>
      </c>
      <c r="C112" s="109" t="str">
        <f>VLOOKUP($A112,ANAGRAFICA!$B$1:$G$306,3,FALSE)</f>
        <v>ALDO NATALINO</v>
      </c>
      <c r="D112" s="109" t="str">
        <f>VLOOKUP($A112,ANAGRAFICA!$B$1:$G$306,4,FALSE)</f>
        <v>758-36</v>
      </c>
      <c r="E112" s="109">
        <f>VLOOKUP($A112,ANAGRAFICA!$B$1:$G$306,5,FALSE)</f>
        <v>3272025062</v>
      </c>
      <c r="F112" s="109">
        <f>VLOOKUP($A112,ANAGRAFICA!$B$1:$G$306,6,FALSE)</f>
        <v>2025</v>
      </c>
      <c r="G112" s="57">
        <v>1.0</v>
      </c>
      <c r="H112" s="14" t="s">
        <v>584</v>
      </c>
      <c r="I112" s="11" t="s">
        <v>592</v>
      </c>
      <c r="J112" s="57">
        <v>17.0</v>
      </c>
      <c r="K112" s="57" t="s">
        <v>583</v>
      </c>
      <c r="L112" s="94"/>
      <c r="M112" s="115" t="b">
        <v>1</v>
      </c>
      <c r="N112" s="115" t="b">
        <v>0</v>
      </c>
    </row>
    <row r="113">
      <c r="A113" s="3">
        <v>2.125029623E9</v>
      </c>
      <c r="B113" s="109" t="str">
        <f>VLOOKUP($A113,ANAGRAFICA!$B$1:$G$306,2,FALSE)</f>
        <v>IANDIORIO</v>
      </c>
      <c r="C113" s="109" t="str">
        <f>VLOOKUP($A113,ANAGRAFICA!$B$1:$G$306,3,FALSE)</f>
        <v>ALDO NATALINO</v>
      </c>
      <c r="D113" s="109" t="str">
        <f>VLOOKUP($A113,ANAGRAFICA!$B$1:$G$306,4,FALSE)</f>
        <v>758-36</v>
      </c>
      <c r="E113" s="109">
        <f>VLOOKUP($A113,ANAGRAFICA!$B$1:$G$306,5,FALSE)</f>
        <v>3272025062</v>
      </c>
      <c r="F113" s="109">
        <f>VLOOKUP($A113,ANAGRAFICA!$B$1:$G$306,6,FALSE)</f>
        <v>2025</v>
      </c>
      <c r="G113" s="57">
        <v>1.0</v>
      </c>
      <c r="H113" s="14" t="s">
        <v>581</v>
      </c>
      <c r="I113" s="11" t="s">
        <v>582</v>
      </c>
      <c r="J113" s="57">
        <v>25.0</v>
      </c>
      <c r="K113" s="57" t="s">
        <v>583</v>
      </c>
      <c r="L113" s="94"/>
      <c r="M113" s="115" t="b">
        <v>1</v>
      </c>
      <c r="N113" s="115" t="b">
        <v>0</v>
      </c>
    </row>
    <row r="114">
      <c r="A114" s="3">
        <v>2.125026384E9</v>
      </c>
      <c r="B114" s="109" t="str">
        <f>VLOOKUP($A114,ANAGRAFICA!$B$1:$G$306,2,FALSE)</f>
        <v>PRINCIPATO</v>
      </c>
      <c r="C114" s="109" t="str">
        <f>VLOOKUP($A114,ANAGRAFICA!$B$1:$G$306,3,FALSE)</f>
        <v>FRANCO ANGELO</v>
      </c>
      <c r="D114" s="109" t="str">
        <f>VLOOKUP($A114,ANAGRAFICA!$B$1:$G$306,4,FALSE)</f>
        <v>758-35</v>
      </c>
      <c r="E114" s="109">
        <f>VLOOKUP($A114,ANAGRAFICA!$B$1:$G$306,5,FALSE)</f>
        <v>3272025061</v>
      </c>
      <c r="F114" s="109">
        <f>VLOOKUP($A114,ANAGRAFICA!$B$1:$G$306,6,FALSE)</f>
        <v>2025</v>
      </c>
      <c r="G114" s="57">
        <v>1.0</v>
      </c>
      <c r="H114" s="14" t="s">
        <v>584</v>
      </c>
      <c r="I114" s="11" t="s">
        <v>592</v>
      </c>
      <c r="J114" s="57">
        <v>17.0</v>
      </c>
      <c r="K114" s="57" t="s">
        <v>583</v>
      </c>
      <c r="L114" s="94"/>
      <c r="M114" s="115" t="b">
        <v>1</v>
      </c>
      <c r="N114" s="115" t="b">
        <v>0</v>
      </c>
    </row>
    <row r="115">
      <c r="A115" s="3">
        <v>2.125026384E9</v>
      </c>
      <c r="B115" s="109" t="str">
        <f>VLOOKUP($A115,ANAGRAFICA!$B$1:$G$306,2,FALSE)</f>
        <v>PRINCIPATO</v>
      </c>
      <c r="C115" s="109" t="str">
        <f>VLOOKUP($A115,ANAGRAFICA!$B$1:$G$306,3,FALSE)</f>
        <v>FRANCO ANGELO</v>
      </c>
      <c r="D115" s="109" t="str">
        <f>VLOOKUP($A115,ANAGRAFICA!$B$1:$G$306,4,FALSE)</f>
        <v>758-35</v>
      </c>
      <c r="E115" s="109">
        <f>VLOOKUP($A115,ANAGRAFICA!$B$1:$G$306,5,FALSE)</f>
        <v>3272025061</v>
      </c>
      <c r="F115" s="109">
        <f>VLOOKUP($A115,ANAGRAFICA!$B$1:$G$306,6,FALSE)</f>
        <v>2025</v>
      </c>
      <c r="G115" s="57">
        <v>1.0</v>
      </c>
      <c r="H115" s="14" t="s">
        <v>581</v>
      </c>
      <c r="I115" s="11" t="s">
        <v>582</v>
      </c>
      <c r="J115" s="57">
        <v>23.0</v>
      </c>
      <c r="K115" s="57" t="s">
        <v>583</v>
      </c>
      <c r="L115" s="94"/>
      <c r="M115" s="115" t="b">
        <v>1</v>
      </c>
      <c r="N115" s="115" t="b">
        <v>0</v>
      </c>
    </row>
    <row r="116">
      <c r="A116" s="3">
        <v>2.125026869E9</v>
      </c>
      <c r="B116" s="109" t="str">
        <f>VLOOKUP($A116,ANAGRAFICA!$B$1:$G$306,2,FALSE)</f>
        <v>NACCARI</v>
      </c>
      <c r="C116" s="109" t="str">
        <f>VLOOKUP($A116,ANAGRAFICA!$B$1:$G$306,3,FALSE)</f>
        <v>ROBERTO</v>
      </c>
      <c r="D116" s="109" t="str">
        <f>VLOOKUP($A116,ANAGRAFICA!$B$1:$G$306,4,FALSE)</f>
        <v>758-33</v>
      </c>
      <c r="E116" s="109">
        <f>VLOOKUP($A116,ANAGRAFICA!$B$1:$G$306,5,FALSE)</f>
        <v>3272025060</v>
      </c>
      <c r="F116" s="109">
        <f>VLOOKUP($A116,ANAGRAFICA!$B$1:$G$306,6,FALSE)</f>
        <v>2025</v>
      </c>
      <c r="G116" s="57">
        <v>1.0</v>
      </c>
      <c r="H116" s="14" t="s">
        <v>581</v>
      </c>
      <c r="I116" s="11" t="s">
        <v>582</v>
      </c>
      <c r="J116" s="57">
        <v>25.0</v>
      </c>
      <c r="K116" s="57" t="s">
        <v>583</v>
      </c>
      <c r="L116" s="94"/>
      <c r="M116" s="115" t="b">
        <v>1</v>
      </c>
      <c r="N116" s="115" t="b">
        <v>0</v>
      </c>
    </row>
    <row r="117">
      <c r="A117" s="3">
        <v>2.125026869E9</v>
      </c>
      <c r="B117" s="109" t="str">
        <f>VLOOKUP($A117,ANAGRAFICA!$B$1:$G$306,2,FALSE)</f>
        <v>NACCARI</v>
      </c>
      <c r="C117" s="109" t="str">
        <f>VLOOKUP($A117,ANAGRAFICA!$B$1:$G$306,3,FALSE)</f>
        <v>ROBERTO</v>
      </c>
      <c r="D117" s="109" t="str">
        <f>VLOOKUP($A117,ANAGRAFICA!$B$1:$G$306,4,FALSE)</f>
        <v>758-33</v>
      </c>
      <c r="E117" s="109">
        <f>VLOOKUP($A117,ANAGRAFICA!$B$1:$G$306,5,FALSE)</f>
        <v>3272025060</v>
      </c>
      <c r="F117" s="109">
        <f>VLOOKUP($A117,ANAGRAFICA!$B$1:$G$306,6,FALSE)</f>
        <v>2025</v>
      </c>
      <c r="G117" s="57">
        <v>1.0</v>
      </c>
      <c r="H117" s="14" t="s">
        <v>584</v>
      </c>
      <c r="I117" s="11" t="s">
        <v>585</v>
      </c>
      <c r="J117" s="57">
        <v>17.0</v>
      </c>
      <c r="K117" s="57" t="s">
        <v>583</v>
      </c>
      <c r="L117" s="94"/>
      <c r="M117" s="115" t="b">
        <v>1</v>
      </c>
      <c r="N117" s="115" t="b">
        <v>0</v>
      </c>
    </row>
    <row r="118">
      <c r="A118" s="3">
        <v>2.125032902E9</v>
      </c>
      <c r="B118" s="109" t="str">
        <f>VLOOKUP($A118,ANAGRAFICA!$B$1:$G$306,2,FALSE)</f>
        <v>BRAIDA</v>
      </c>
      <c r="C118" s="109" t="str">
        <f>VLOOKUP($A118,ANAGRAFICA!$B$1:$G$306,3,FALSE)</f>
        <v>ILARIO</v>
      </c>
      <c r="D118" s="109" t="str">
        <f>VLOOKUP($A118,ANAGRAFICA!$B$1:$G$306,4,FALSE)</f>
        <v>758-37</v>
      </c>
      <c r="E118" s="109">
        <f>VLOOKUP($A118,ANAGRAFICA!$B$1:$G$306,5,FALSE)</f>
        <v>3272025063</v>
      </c>
      <c r="F118" s="109">
        <f>VLOOKUP($A118,ANAGRAFICA!$B$1:$G$306,6,FALSE)</f>
        <v>2025</v>
      </c>
      <c r="G118" s="57">
        <v>1.0</v>
      </c>
      <c r="H118" s="14" t="s">
        <v>584</v>
      </c>
      <c r="I118" s="11" t="s">
        <v>592</v>
      </c>
      <c r="J118" s="57">
        <v>17.0</v>
      </c>
      <c r="K118" s="57" t="s">
        <v>583</v>
      </c>
      <c r="L118" s="94"/>
      <c r="M118" s="115" t="b">
        <v>1</v>
      </c>
      <c r="N118" s="115" t="b">
        <v>0</v>
      </c>
    </row>
    <row r="119">
      <c r="A119" s="3">
        <v>2.125032902E9</v>
      </c>
      <c r="B119" s="109" t="str">
        <f>VLOOKUP($A119,ANAGRAFICA!$B$1:$G$306,2,FALSE)</f>
        <v>BRAIDA</v>
      </c>
      <c r="C119" s="109" t="str">
        <f>VLOOKUP($A119,ANAGRAFICA!$B$1:$G$306,3,FALSE)</f>
        <v>ILARIO</v>
      </c>
      <c r="D119" s="109" t="str">
        <f>VLOOKUP($A119,ANAGRAFICA!$B$1:$G$306,4,FALSE)</f>
        <v>758-37</v>
      </c>
      <c r="E119" s="109">
        <f>VLOOKUP($A119,ANAGRAFICA!$B$1:$G$306,5,FALSE)</f>
        <v>3272025063</v>
      </c>
      <c r="F119" s="109">
        <f>VLOOKUP($A119,ANAGRAFICA!$B$1:$G$306,6,FALSE)</f>
        <v>2025</v>
      </c>
      <c r="G119" s="94"/>
      <c r="H119" s="14" t="s">
        <v>581</v>
      </c>
      <c r="I119" s="11" t="s">
        <v>591</v>
      </c>
      <c r="J119" s="57">
        <v>25.0</v>
      </c>
      <c r="K119" s="57" t="s">
        <v>583</v>
      </c>
      <c r="L119" s="94"/>
      <c r="M119" s="115" t="b">
        <v>1</v>
      </c>
      <c r="N119" s="115" t="b">
        <v>0</v>
      </c>
    </row>
    <row r="120">
      <c r="A120" s="3">
        <v>2.125032653E9</v>
      </c>
      <c r="B120" s="109" t="str">
        <f>VLOOKUP($A120,ANAGRAFICA!$B$1:$G$306,2,FALSE)</f>
        <v>BAIOCCO</v>
      </c>
      <c r="C120" s="109" t="str">
        <f>VLOOKUP($A120,ANAGRAFICA!$B$1:$G$306,3,FALSE)</f>
        <v>RICCARDO</v>
      </c>
      <c r="D120" s="109" t="str">
        <f>VLOOKUP($A120,ANAGRAFICA!$B$1:$G$306,4,FALSE)</f>
        <v/>
      </c>
      <c r="E120" s="109">
        <f>VLOOKUP($A120,ANAGRAFICA!$B$1:$G$306,5,FALSE)</f>
        <v>3272025064</v>
      </c>
      <c r="F120" s="109">
        <f>VLOOKUP($A120,ANAGRAFICA!$B$1:$G$306,6,FALSE)</f>
        <v>2025</v>
      </c>
      <c r="G120" s="57">
        <v>1.0</v>
      </c>
      <c r="H120" s="14" t="s">
        <v>584</v>
      </c>
      <c r="I120" s="11" t="s">
        <v>585</v>
      </c>
      <c r="J120" s="57">
        <v>17.0</v>
      </c>
      <c r="K120" s="57" t="s">
        <v>583</v>
      </c>
      <c r="L120" s="94"/>
      <c r="M120" s="115" t="b">
        <v>1</v>
      </c>
      <c r="N120" s="115" t="b">
        <v>0</v>
      </c>
    </row>
    <row r="121">
      <c r="A121" s="3">
        <v>2.125032653E9</v>
      </c>
      <c r="B121" s="109" t="str">
        <f>VLOOKUP($A121,ANAGRAFICA!$B$1:$G$306,2,FALSE)</f>
        <v>BAIOCCO</v>
      </c>
      <c r="C121" s="109" t="str">
        <f>VLOOKUP($A121,ANAGRAFICA!$B$1:$G$306,3,FALSE)</f>
        <v>RICCARDO</v>
      </c>
      <c r="D121" s="109" t="str">
        <f>VLOOKUP($A121,ANAGRAFICA!$B$1:$G$306,4,FALSE)</f>
        <v/>
      </c>
      <c r="E121" s="109">
        <f>VLOOKUP($A121,ANAGRAFICA!$B$1:$G$306,5,FALSE)</f>
        <v>3272025064</v>
      </c>
      <c r="F121" s="109">
        <f>VLOOKUP($A121,ANAGRAFICA!$B$1:$G$306,6,FALSE)</f>
        <v>2025</v>
      </c>
      <c r="G121" s="57">
        <v>1.0</v>
      </c>
      <c r="H121" s="14" t="s">
        <v>581</v>
      </c>
      <c r="I121" s="11" t="s">
        <v>582</v>
      </c>
      <c r="J121" s="57">
        <v>25.0</v>
      </c>
      <c r="K121" s="57" t="s">
        <v>586</v>
      </c>
      <c r="L121" s="94"/>
      <c r="M121" s="115" t="b">
        <v>1</v>
      </c>
      <c r="N121" s="115" t="b">
        <v>0</v>
      </c>
    </row>
    <row r="122">
      <c r="A122" s="117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141"/>
      <c r="I122" s="11"/>
      <c r="J122" s="94"/>
      <c r="K122" s="94"/>
      <c r="L122" s="94"/>
      <c r="M122" s="115" t="b">
        <v>0</v>
      </c>
      <c r="N122" s="115" t="b">
        <v>0</v>
      </c>
    </row>
    <row r="123">
      <c r="A123" s="3">
        <v>2.125037955E9</v>
      </c>
      <c r="B123" s="109" t="str">
        <f>VLOOKUP($A123,ANAGRAFICA!$B$1:$G$306,2,FALSE)</f>
        <v>MANNINO</v>
      </c>
      <c r="C123" s="109" t="str">
        <f>VLOOKUP($A123,ANAGRAFICA!$B$1:$G$306,3,FALSE)</f>
        <v>ANDREA</v>
      </c>
      <c r="D123" s="109" t="str">
        <f>VLOOKUP($A123,ANAGRAFICA!$B$1:$G$306,4,FALSE)</f>
        <v>758-39</v>
      </c>
      <c r="E123" s="109">
        <f>VLOOKUP($A123,ANAGRAFICA!$B$1:$G$306,5,FALSE)</f>
        <v>3272025066</v>
      </c>
      <c r="F123" s="109">
        <f>VLOOKUP($A123,ANAGRAFICA!$B$1:$G$306,6,FALSE)</f>
        <v>2025</v>
      </c>
      <c r="G123" s="57">
        <v>1.0</v>
      </c>
      <c r="H123" s="14" t="s">
        <v>581</v>
      </c>
      <c r="I123" s="11" t="s">
        <v>582</v>
      </c>
      <c r="J123" s="57">
        <v>23.0</v>
      </c>
      <c r="K123" s="94"/>
      <c r="L123" s="94"/>
      <c r="M123" s="115" t="b">
        <v>1</v>
      </c>
      <c r="N123" s="115" t="b">
        <v>0</v>
      </c>
    </row>
    <row r="124">
      <c r="A124" s="3">
        <v>2.125037955E9</v>
      </c>
      <c r="B124" s="109" t="str">
        <f>VLOOKUP($A124,ANAGRAFICA!$B$1:$G$306,2,FALSE)</f>
        <v>MANNINO</v>
      </c>
      <c r="C124" s="109" t="str">
        <f>VLOOKUP($A124,ANAGRAFICA!$B$1:$G$306,3,FALSE)</f>
        <v>ANDREA</v>
      </c>
      <c r="D124" s="109" t="str">
        <f>VLOOKUP($A124,ANAGRAFICA!$B$1:$G$306,4,FALSE)</f>
        <v>758-39</v>
      </c>
      <c r="E124" s="109">
        <f>VLOOKUP($A124,ANAGRAFICA!$B$1:$G$306,5,FALSE)</f>
        <v>3272025066</v>
      </c>
      <c r="F124" s="109">
        <f>VLOOKUP($A124,ANAGRAFICA!$B$1:$G$306,6,FALSE)</f>
        <v>2025</v>
      </c>
      <c r="G124" s="57">
        <v>1.0</v>
      </c>
      <c r="H124" s="14" t="s">
        <v>584</v>
      </c>
      <c r="I124" s="11" t="s">
        <v>585</v>
      </c>
      <c r="J124" s="57">
        <v>15.0</v>
      </c>
      <c r="K124" s="94"/>
      <c r="L124" s="94"/>
      <c r="M124" s="115" t="b">
        <v>1</v>
      </c>
      <c r="N124" s="115" t="b">
        <v>0</v>
      </c>
    </row>
    <row r="125">
      <c r="A125" s="3">
        <v>2.125037955E9</v>
      </c>
      <c r="B125" s="109" t="str">
        <f>VLOOKUP($A125,ANAGRAFICA!$B$1:$G$306,2,FALSE)</f>
        <v>MANNINO</v>
      </c>
      <c r="C125" s="109" t="str">
        <f>VLOOKUP($A125,ANAGRAFICA!$B$1:$G$306,3,FALSE)</f>
        <v>ANDREA</v>
      </c>
      <c r="D125" s="109" t="str">
        <f>VLOOKUP($A125,ANAGRAFICA!$B$1:$G$306,4,FALSE)</f>
        <v>758-39</v>
      </c>
      <c r="E125" s="109">
        <f>VLOOKUP($A125,ANAGRAFICA!$B$1:$G$306,5,FALSE)</f>
        <v>3272025066</v>
      </c>
      <c r="F125" s="109">
        <f>VLOOKUP($A125,ANAGRAFICA!$B$1:$G$306,6,FALSE)</f>
        <v>2025</v>
      </c>
      <c r="G125" s="57">
        <v>2.0</v>
      </c>
      <c r="H125" s="14" t="s">
        <v>581</v>
      </c>
      <c r="I125" s="11" t="s">
        <v>582</v>
      </c>
      <c r="J125" s="57">
        <v>23.0</v>
      </c>
      <c r="K125" s="94"/>
      <c r="L125" s="94"/>
      <c r="M125" s="115" t="b">
        <v>1</v>
      </c>
      <c r="N125" s="115" t="b">
        <v>0</v>
      </c>
    </row>
    <row r="126">
      <c r="A126" s="3">
        <v>2.125037955E9</v>
      </c>
      <c r="B126" s="109" t="str">
        <f>VLOOKUP($A126,ANAGRAFICA!$B$1:$G$306,2,FALSE)</f>
        <v>MANNINO</v>
      </c>
      <c r="C126" s="109" t="str">
        <f>VLOOKUP($A126,ANAGRAFICA!$B$1:$G$306,3,FALSE)</f>
        <v>ANDREA</v>
      </c>
      <c r="D126" s="109" t="str">
        <f>VLOOKUP($A126,ANAGRAFICA!$B$1:$G$306,4,FALSE)</f>
        <v>758-39</v>
      </c>
      <c r="E126" s="109">
        <f>VLOOKUP($A126,ANAGRAFICA!$B$1:$G$306,5,FALSE)</f>
        <v>3272025066</v>
      </c>
      <c r="F126" s="109">
        <f>VLOOKUP($A126,ANAGRAFICA!$B$1:$G$306,6,FALSE)</f>
        <v>2025</v>
      </c>
      <c r="G126" s="57">
        <v>2.0</v>
      </c>
      <c r="H126" s="14" t="s">
        <v>584</v>
      </c>
      <c r="I126" s="11" t="s">
        <v>585</v>
      </c>
      <c r="J126" s="57">
        <v>15.0</v>
      </c>
      <c r="K126" s="94"/>
      <c r="L126" s="94"/>
      <c r="M126" s="115" t="b">
        <v>1</v>
      </c>
      <c r="N126" s="115" t="b">
        <v>0</v>
      </c>
    </row>
    <row r="127">
      <c r="A127" s="3">
        <v>2.125037782E9</v>
      </c>
      <c r="B127" s="109" t="str">
        <f>VLOOKUP($A127,ANAGRAFICA!$B$1:$G$306,2,FALSE)</f>
        <v>GILARDI</v>
      </c>
      <c r="C127" s="109" t="str">
        <f>VLOOKUP($A127,ANAGRAFICA!$B$1:$G$306,3,FALSE)</f>
        <v>CARLO VIRGINIO</v>
      </c>
      <c r="D127" s="109" t="str">
        <f>VLOOKUP($A127,ANAGRAFICA!$B$1:$G$306,4,FALSE)</f>
        <v>758-38</v>
      </c>
      <c r="E127" s="109">
        <f>VLOOKUP($A127,ANAGRAFICA!$B$1:$G$306,5,FALSE)</f>
        <v>3272025065</v>
      </c>
      <c r="F127" s="109">
        <f>VLOOKUP($A127,ANAGRAFICA!$B$1:$G$306,6,FALSE)</f>
        <v>2025</v>
      </c>
      <c r="G127" s="57">
        <v>1.0</v>
      </c>
      <c r="H127" s="14" t="s">
        <v>581</v>
      </c>
      <c r="I127" s="11" t="s">
        <v>582</v>
      </c>
      <c r="J127" s="57">
        <v>23.0</v>
      </c>
      <c r="K127" s="94"/>
      <c r="L127" s="94"/>
      <c r="M127" s="115" t="b">
        <v>0</v>
      </c>
      <c r="N127" s="115" t="b">
        <v>0</v>
      </c>
    </row>
    <row r="128">
      <c r="A128" s="142">
        <v>2.125037782E9</v>
      </c>
      <c r="B128" s="109" t="str">
        <f>VLOOKUP($A128,ANAGRAFICA!$B$1:$G$306,2,FALSE)</f>
        <v>GILARDI</v>
      </c>
      <c r="C128" s="109" t="str">
        <f>VLOOKUP($A128,ANAGRAFICA!$B$1:$G$306,3,FALSE)</f>
        <v>CARLO VIRGINIO</v>
      </c>
      <c r="D128" s="109" t="str">
        <f>VLOOKUP($A128,ANAGRAFICA!$B$1:$G$306,4,FALSE)</f>
        <v>758-38</v>
      </c>
      <c r="E128" s="109">
        <f>VLOOKUP($A128,ANAGRAFICA!$B$1:$G$306,5,FALSE)</f>
        <v>3272025065</v>
      </c>
      <c r="F128" s="109">
        <f>VLOOKUP($A128,ANAGRAFICA!$B$1:$G$306,6,FALSE)</f>
        <v>2025</v>
      </c>
      <c r="G128" s="57">
        <v>1.0</v>
      </c>
      <c r="H128" s="14" t="s">
        <v>584</v>
      </c>
      <c r="I128" s="11" t="s">
        <v>585</v>
      </c>
      <c r="J128" s="57">
        <v>17.0</v>
      </c>
      <c r="K128" s="94"/>
      <c r="L128" s="94"/>
      <c r="M128" s="115" t="b">
        <v>0</v>
      </c>
      <c r="N128" s="115" t="b">
        <v>0</v>
      </c>
    </row>
    <row r="129">
      <c r="A129" s="3">
        <v>2.125040106E9</v>
      </c>
      <c r="B129" s="109" t="str">
        <f>VLOOKUP($A129,ANAGRAFICA!$B$1:$G$306,2,FALSE)</f>
        <v>COLNAGHI</v>
      </c>
      <c r="C129" s="109" t="str">
        <f>VLOOKUP($A129,ANAGRAFICA!$B$1:$G$306,3,FALSE)</f>
        <v>EUGENIO PIERO</v>
      </c>
      <c r="D129" s="109" t="str">
        <f>VLOOKUP($A129,ANAGRAFICA!$B$1:$G$306,4,FALSE)</f>
        <v>758-41</v>
      </c>
      <c r="E129" s="109">
        <f>VLOOKUP($A129,ANAGRAFICA!$B$1:$G$306,5,FALSE)</f>
        <v>3272025068</v>
      </c>
      <c r="F129" s="109">
        <f>VLOOKUP($A129,ANAGRAFICA!$B$1:$G$306,6,FALSE)</f>
        <v>2025</v>
      </c>
      <c r="G129" s="57">
        <v>1.0</v>
      </c>
      <c r="H129" s="14" t="s">
        <v>584</v>
      </c>
      <c r="I129" s="11" t="s">
        <v>585</v>
      </c>
      <c r="J129" s="57">
        <v>15.0</v>
      </c>
      <c r="K129" s="57" t="s">
        <v>583</v>
      </c>
      <c r="L129" s="94"/>
      <c r="M129" s="115" t="b">
        <v>1</v>
      </c>
      <c r="N129" s="115" t="b">
        <v>0</v>
      </c>
    </row>
    <row r="130">
      <c r="A130" s="3">
        <v>2.125040106E9</v>
      </c>
      <c r="B130" s="109" t="str">
        <f>VLOOKUP($A130,ANAGRAFICA!$B$1:$G$306,2,FALSE)</f>
        <v>COLNAGHI</v>
      </c>
      <c r="C130" s="109" t="str">
        <f>VLOOKUP($A130,ANAGRAFICA!$B$1:$G$306,3,FALSE)</f>
        <v>EUGENIO PIERO</v>
      </c>
      <c r="D130" s="109" t="str">
        <f>VLOOKUP($A130,ANAGRAFICA!$B$1:$G$306,4,FALSE)</f>
        <v>758-41</v>
      </c>
      <c r="E130" s="109">
        <f>VLOOKUP($A130,ANAGRAFICA!$B$1:$G$306,5,FALSE)</f>
        <v>3272025068</v>
      </c>
      <c r="F130" s="109">
        <f>VLOOKUP($A130,ANAGRAFICA!$B$1:$G$306,6,FALSE)</f>
        <v>2025</v>
      </c>
      <c r="G130" s="57">
        <v>1.0</v>
      </c>
      <c r="H130" s="14" t="s">
        <v>581</v>
      </c>
      <c r="I130" s="11" t="s">
        <v>582</v>
      </c>
      <c r="J130" s="57">
        <v>23.0</v>
      </c>
      <c r="K130" s="94"/>
      <c r="L130" s="94"/>
      <c r="M130" s="115" t="b">
        <v>0</v>
      </c>
      <c r="N130" s="115" t="b">
        <v>0</v>
      </c>
    </row>
    <row r="131">
      <c r="A131" s="3">
        <v>2.125040052E9</v>
      </c>
      <c r="B131" s="109" t="str">
        <f>VLOOKUP($A131,ANAGRAFICA!$B$1:$G$306,2,FALSE)</f>
        <v>TODESCATO</v>
      </c>
      <c r="C131" s="109" t="str">
        <f>VLOOKUP($A131,ANAGRAFICA!$B$1:$G$306,3,FALSE)</f>
        <v>GIANLUCA</v>
      </c>
      <c r="D131" s="109" t="str">
        <f>VLOOKUP($A131,ANAGRAFICA!$B$1:$G$306,4,FALSE)</f>
        <v>758-40</v>
      </c>
      <c r="E131" s="109">
        <f>VLOOKUP($A131,ANAGRAFICA!$B$1:$G$306,5,FALSE)</f>
        <v>3272025067</v>
      </c>
      <c r="F131" s="109">
        <f>VLOOKUP($A131,ANAGRAFICA!$B$1:$G$306,6,FALSE)</f>
        <v>2025</v>
      </c>
      <c r="G131" s="57">
        <v>1.0</v>
      </c>
      <c r="H131" s="14" t="s">
        <v>581</v>
      </c>
      <c r="I131" s="11" t="s">
        <v>587</v>
      </c>
      <c r="J131" s="57" t="s">
        <v>597</v>
      </c>
      <c r="K131" s="57" t="s">
        <v>590</v>
      </c>
      <c r="L131" s="57" t="s">
        <v>598</v>
      </c>
      <c r="M131" s="115" t="b">
        <v>0</v>
      </c>
      <c r="N131" s="115" t="b">
        <v>1</v>
      </c>
    </row>
    <row r="132">
      <c r="A132" s="3">
        <v>2.125040052E9</v>
      </c>
      <c r="B132" s="109" t="str">
        <f>VLOOKUP($A132,ANAGRAFICA!$B$1:$G$306,2,FALSE)</f>
        <v>TODESCATO</v>
      </c>
      <c r="C132" s="109" t="str">
        <f>VLOOKUP($A132,ANAGRAFICA!$B$1:$G$306,3,FALSE)</f>
        <v>GIANLUCA</v>
      </c>
      <c r="D132" s="109" t="str">
        <f>VLOOKUP($A132,ANAGRAFICA!$B$1:$G$306,4,FALSE)</f>
        <v>758-40</v>
      </c>
      <c r="E132" s="109">
        <f>VLOOKUP($A132,ANAGRAFICA!$B$1:$G$306,5,FALSE)</f>
        <v>3272025067</v>
      </c>
      <c r="F132" s="109">
        <f>VLOOKUP($A132,ANAGRAFICA!$B$1:$G$306,6,FALSE)</f>
        <v>2025</v>
      </c>
      <c r="G132" s="57">
        <v>1.0</v>
      </c>
      <c r="H132" s="14" t="s">
        <v>584</v>
      </c>
      <c r="I132" s="11" t="s">
        <v>592</v>
      </c>
      <c r="J132" s="57">
        <v>19.0</v>
      </c>
      <c r="K132" s="94"/>
      <c r="L132" s="94"/>
      <c r="M132" s="115" t="b">
        <v>1</v>
      </c>
      <c r="N132" s="115" t="b">
        <v>0</v>
      </c>
    </row>
    <row r="133">
      <c r="A133" s="3">
        <v>2.125040835E9</v>
      </c>
      <c r="B133" s="109" t="str">
        <f>VLOOKUP($A133,ANAGRAFICA!$B$1:$G$306,2,FALSE)</f>
        <v>PESACANE</v>
      </c>
      <c r="C133" s="109" t="str">
        <f>VLOOKUP($A133,ANAGRAFICA!$B$1:$G$306,3,FALSE)</f>
        <v>MATTEO VALERIO</v>
      </c>
      <c r="D133" s="109" t="str">
        <f>VLOOKUP($A133,ANAGRAFICA!$B$1:$G$306,4,FALSE)</f>
        <v>758-42</v>
      </c>
      <c r="E133" s="109">
        <f>VLOOKUP($A133,ANAGRAFICA!$B$1:$G$306,5,FALSE)</f>
        <v>3272025069</v>
      </c>
      <c r="F133" s="109">
        <f>VLOOKUP($A133,ANAGRAFICA!$B$1:$G$306,6,FALSE)</f>
        <v>2025</v>
      </c>
      <c r="G133" s="57">
        <v>1.0</v>
      </c>
      <c r="H133" s="14" t="s">
        <v>581</v>
      </c>
      <c r="I133" s="11" t="s">
        <v>582</v>
      </c>
      <c r="J133" s="57">
        <v>23.0</v>
      </c>
      <c r="K133" s="94"/>
      <c r="L133" s="94"/>
      <c r="M133" s="115" t="b">
        <v>1</v>
      </c>
      <c r="N133" s="115" t="b">
        <v>0</v>
      </c>
    </row>
    <row r="134">
      <c r="A134" s="3">
        <v>2.125040835E9</v>
      </c>
      <c r="B134" s="109" t="str">
        <f>VLOOKUP($A134,ANAGRAFICA!$B$1:$G$306,2,FALSE)</f>
        <v>PESACANE</v>
      </c>
      <c r="C134" s="109" t="str">
        <f>VLOOKUP($A134,ANAGRAFICA!$B$1:$G$306,3,FALSE)</f>
        <v>MATTEO VALERIO</v>
      </c>
      <c r="D134" s="109" t="str">
        <f>VLOOKUP($A134,ANAGRAFICA!$B$1:$G$306,4,FALSE)</f>
        <v>758-42</v>
      </c>
      <c r="E134" s="109">
        <f>VLOOKUP($A134,ANAGRAFICA!$B$1:$G$306,5,FALSE)</f>
        <v>3272025069</v>
      </c>
      <c r="F134" s="109">
        <f>VLOOKUP($A134,ANAGRAFICA!$B$1:$G$306,6,FALSE)</f>
        <v>2025</v>
      </c>
      <c r="G134" s="57">
        <v>1.0</v>
      </c>
      <c r="H134" s="14" t="s">
        <v>584</v>
      </c>
      <c r="I134" s="11" t="s">
        <v>585</v>
      </c>
      <c r="J134" s="57">
        <v>17.0</v>
      </c>
      <c r="K134" s="94"/>
      <c r="L134" s="94"/>
      <c r="M134" s="115" t="b">
        <v>1</v>
      </c>
      <c r="N134" s="115" t="b">
        <v>0</v>
      </c>
    </row>
    <row r="135">
      <c r="A135" s="3">
        <v>2.125042368E9</v>
      </c>
      <c r="B135" s="109" t="str">
        <f>VLOOKUP($A135,ANAGRAFICA!$B$1:$G$306,2,FALSE)</f>
        <v>MARKOVIC</v>
      </c>
      <c r="C135" s="109" t="str">
        <f>VLOOKUP($A135,ANAGRAFICA!$B$1:$G$306,3,FALSE)</f>
        <v>BRANKO</v>
      </c>
      <c r="D135" s="109" t="str">
        <f>VLOOKUP($A135,ANAGRAFICA!$B$1:$G$306,4,FALSE)</f>
        <v>758-43</v>
      </c>
      <c r="E135" s="109">
        <f>VLOOKUP($A135,ANAGRAFICA!$B$1:$G$306,5,FALSE)</f>
        <v>3272025070</v>
      </c>
      <c r="F135" s="109">
        <f>VLOOKUP($A135,ANAGRAFICA!$B$1:$G$306,6,FALSE)</f>
        <v>2025</v>
      </c>
      <c r="G135" s="57">
        <v>1.0</v>
      </c>
      <c r="H135" s="14" t="s">
        <v>581</v>
      </c>
      <c r="I135" s="11" t="s">
        <v>582</v>
      </c>
      <c r="J135" s="57">
        <v>23.0</v>
      </c>
      <c r="K135" s="94"/>
      <c r="L135" s="94"/>
      <c r="M135" s="115" t="b">
        <v>0</v>
      </c>
      <c r="N135" s="115" t="b">
        <v>0</v>
      </c>
    </row>
    <row r="136">
      <c r="A136" s="3">
        <v>2.125042368E9</v>
      </c>
      <c r="B136" s="109" t="str">
        <f>VLOOKUP($A136,ANAGRAFICA!$B$1:$G$306,2,FALSE)</f>
        <v>MARKOVIC</v>
      </c>
      <c r="C136" s="109" t="str">
        <f>VLOOKUP($A136,ANAGRAFICA!$B$1:$G$306,3,FALSE)</f>
        <v>BRANKO</v>
      </c>
      <c r="D136" s="109" t="str">
        <f>VLOOKUP($A136,ANAGRAFICA!$B$1:$G$306,4,FALSE)</f>
        <v>758-43</v>
      </c>
      <c r="E136" s="109">
        <f>VLOOKUP($A136,ANAGRAFICA!$B$1:$G$306,5,FALSE)</f>
        <v>3272025070</v>
      </c>
      <c r="F136" s="109">
        <f>VLOOKUP($A136,ANAGRAFICA!$B$1:$G$306,6,FALSE)</f>
        <v>2025</v>
      </c>
      <c r="G136" s="57">
        <v>1.0</v>
      </c>
      <c r="H136" s="14" t="s">
        <v>584</v>
      </c>
      <c r="I136" s="11" t="s">
        <v>585</v>
      </c>
      <c r="J136" s="57">
        <v>17.0</v>
      </c>
      <c r="K136" s="94"/>
      <c r="L136" s="94"/>
      <c r="M136" s="115" t="b">
        <v>1</v>
      </c>
      <c r="N136" s="115" t="b">
        <v>0</v>
      </c>
    </row>
    <row r="137">
      <c r="A137" s="3">
        <v>2.125046195E9</v>
      </c>
      <c r="B137" s="109" t="str">
        <f>VLOOKUP($A137,ANAGRAFICA!$B$1:$G$306,2,FALSE)</f>
        <v>CASILLO</v>
      </c>
      <c r="C137" s="109" t="str">
        <f>VLOOKUP($A137,ANAGRAFICA!$B$1:$G$306,3,FALSE)</f>
        <v>SALVATORE</v>
      </c>
      <c r="D137" s="109" t="str">
        <f>VLOOKUP($A137,ANAGRAFICA!$B$1:$G$306,4,FALSE)</f>
        <v>758-44</v>
      </c>
      <c r="E137" s="109">
        <f>VLOOKUP($A137,ANAGRAFICA!$B$1:$G$306,5,FALSE)</f>
        <v>3272025071</v>
      </c>
      <c r="F137" s="109">
        <f>VLOOKUP($A137,ANAGRAFICA!$B$1:$G$306,6,FALSE)</f>
        <v>2025</v>
      </c>
      <c r="G137" s="57">
        <v>1.0</v>
      </c>
      <c r="H137" s="14" t="s">
        <v>581</v>
      </c>
      <c r="I137" s="11" t="s">
        <v>591</v>
      </c>
      <c r="J137" s="57">
        <v>23.0</v>
      </c>
      <c r="K137" s="94"/>
      <c r="L137" s="94"/>
      <c r="M137" s="115" t="b">
        <v>1</v>
      </c>
      <c r="N137" s="115" t="b">
        <v>0</v>
      </c>
    </row>
    <row r="138">
      <c r="A138" s="3">
        <v>2.125046195E9</v>
      </c>
      <c r="B138" s="109" t="str">
        <f>VLOOKUP($A138,ANAGRAFICA!$B$1:$G$306,2,FALSE)</f>
        <v>CASILLO</v>
      </c>
      <c r="C138" s="109" t="str">
        <f>VLOOKUP($A138,ANAGRAFICA!$B$1:$G$306,3,FALSE)</f>
        <v>SALVATORE</v>
      </c>
      <c r="D138" s="109" t="str">
        <f>VLOOKUP($A138,ANAGRAFICA!$B$1:$G$306,4,FALSE)</f>
        <v>758-44</v>
      </c>
      <c r="E138" s="109">
        <f>VLOOKUP($A138,ANAGRAFICA!$B$1:$G$306,5,FALSE)</f>
        <v>3272025071</v>
      </c>
      <c r="F138" s="109">
        <f>VLOOKUP($A138,ANAGRAFICA!$B$1:$G$306,6,FALSE)</f>
        <v>2025</v>
      </c>
      <c r="G138" s="57">
        <v>1.0</v>
      </c>
      <c r="H138" s="14" t="s">
        <v>584</v>
      </c>
      <c r="I138" s="11" t="s">
        <v>592</v>
      </c>
      <c r="J138" s="57">
        <v>17.0</v>
      </c>
      <c r="K138" s="94"/>
      <c r="L138" s="94"/>
      <c r="M138" s="115" t="b">
        <v>1</v>
      </c>
      <c r="N138" s="115" t="b">
        <v>0</v>
      </c>
    </row>
    <row r="139">
      <c r="A139" s="3">
        <v>2.125051424E9</v>
      </c>
      <c r="B139" s="109" t="str">
        <f>VLOOKUP($A139,ANAGRAFICA!$B$1:$G$306,2,FALSE)</f>
        <v>CASABURI</v>
      </c>
      <c r="C139" s="109" t="str">
        <f>VLOOKUP($A139,ANAGRAFICA!$B$1:$G$306,3,FALSE)</f>
        <v>ERRICO</v>
      </c>
      <c r="D139" s="109" t="str">
        <f>VLOOKUP($A139,ANAGRAFICA!$B$1:$G$306,4,FALSE)</f>
        <v>758-45</v>
      </c>
      <c r="E139" s="109">
        <f>VLOOKUP($A139,ANAGRAFICA!$B$1:$G$306,5,FALSE)</f>
        <v>3272025072</v>
      </c>
      <c r="F139" s="109">
        <f>VLOOKUP($A139,ANAGRAFICA!$B$1:$G$306,6,FALSE)</f>
        <v>2025</v>
      </c>
      <c r="G139" s="57">
        <v>1.0</v>
      </c>
      <c r="H139" s="14" t="s">
        <v>581</v>
      </c>
      <c r="I139" s="11" t="s">
        <v>591</v>
      </c>
      <c r="J139" s="57">
        <v>25.0</v>
      </c>
      <c r="K139" s="94"/>
      <c r="L139" s="94"/>
      <c r="M139" s="115" t="b">
        <v>0</v>
      </c>
      <c r="N139" s="115" t="b">
        <v>0</v>
      </c>
    </row>
    <row r="140">
      <c r="A140" s="3">
        <v>2.125051424E9</v>
      </c>
      <c r="B140" s="109" t="str">
        <f>VLOOKUP($A140,ANAGRAFICA!$B$1:$G$306,2,FALSE)</f>
        <v>CASABURI</v>
      </c>
      <c r="C140" s="109" t="str">
        <f>VLOOKUP($A140,ANAGRAFICA!$B$1:$G$306,3,FALSE)</f>
        <v>ERRICO</v>
      </c>
      <c r="D140" s="109" t="str">
        <f>VLOOKUP($A140,ANAGRAFICA!$B$1:$G$306,4,FALSE)</f>
        <v>758-45</v>
      </c>
      <c r="E140" s="109">
        <f>VLOOKUP($A140,ANAGRAFICA!$B$1:$G$306,5,FALSE)</f>
        <v>3272025072</v>
      </c>
      <c r="F140" s="109">
        <f>VLOOKUP($A140,ANAGRAFICA!$B$1:$G$306,6,FALSE)</f>
        <v>2025</v>
      </c>
      <c r="G140" s="57">
        <v>1.0</v>
      </c>
      <c r="H140" s="14" t="s">
        <v>584</v>
      </c>
      <c r="I140" s="11" t="s">
        <v>585</v>
      </c>
      <c r="J140" s="57">
        <v>17.0</v>
      </c>
      <c r="K140" s="94"/>
      <c r="L140" s="94"/>
      <c r="M140" s="115" t="b">
        <v>1</v>
      </c>
      <c r="N140" s="115" t="b">
        <v>0</v>
      </c>
    </row>
    <row r="141">
      <c r="A141" s="3">
        <v>2.1250527E9</v>
      </c>
      <c r="B141" s="109" t="str">
        <f>VLOOKUP($A141,ANAGRAFICA!$B$1:$G$306,2,FALSE)</f>
        <v>GADDA</v>
      </c>
      <c r="C141" s="109" t="str">
        <f>VLOOKUP($A141,ANAGRAFICA!$B$1:$G$306,3,FALSE)</f>
        <v>LILIANA</v>
      </c>
      <c r="D141" s="109" t="str">
        <f>VLOOKUP($A141,ANAGRAFICA!$B$1:$G$306,4,FALSE)</f>
        <v>758-46</v>
      </c>
      <c r="E141" s="109">
        <f>VLOOKUP($A141,ANAGRAFICA!$B$1:$G$306,5,FALSE)</f>
        <v>3272025073</v>
      </c>
      <c r="F141" s="109">
        <f>VLOOKUP($A141,ANAGRAFICA!$B$1:$G$306,6,FALSE)</f>
        <v>2025</v>
      </c>
      <c r="G141" s="57">
        <v>1.0</v>
      </c>
      <c r="H141" s="14" t="s">
        <v>584</v>
      </c>
      <c r="I141" s="11" t="s">
        <v>592</v>
      </c>
      <c r="J141" s="57">
        <v>17.0</v>
      </c>
      <c r="K141" s="94"/>
      <c r="L141" s="94"/>
      <c r="M141" s="115" t="b">
        <v>0</v>
      </c>
      <c r="N141" s="115" t="b">
        <v>0</v>
      </c>
    </row>
    <row r="142">
      <c r="A142" s="3">
        <v>2.1250527E9</v>
      </c>
      <c r="B142" s="109" t="str">
        <f>VLOOKUP($A142,ANAGRAFICA!$B$1:$G$306,2,FALSE)</f>
        <v>GADDA</v>
      </c>
      <c r="C142" s="109" t="str">
        <f>VLOOKUP($A142,ANAGRAFICA!$B$1:$G$306,3,FALSE)</f>
        <v>LILIANA</v>
      </c>
      <c r="D142" s="109" t="str">
        <f>VLOOKUP($A142,ANAGRAFICA!$B$1:$G$306,4,FALSE)</f>
        <v>758-46</v>
      </c>
      <c r="E142" s="109">
        <f>VLOOKUP($A142,ANAGRAFICA!$B$1:$G$306,5,FALSE)</f>
        <v>3272025073</v>
      </c>
      <c r="F142" s="109">
        <f>VLOOKUP($A142,ANAGRAFICA!$B$1:$G$306,6,FALSE)</f>
        <v>2025</v>
      </c>
      <c r="G142" s="57">
        <v>1.0</v>
      </c>
      <c r="H142" s="14" t="s">
        <v>581</v>
      </c>
      <c r="I142" s="11" t="s">
        <v>582</v>
      </c>
      <c r="J142" s="57">
        <v>23.0</v>
      </c>
      <c r="K142" s="94"/>
      <c r="L142" s="94"/>
      <c r="M142" s="115" t="b">
        <v>0</v>
      </c>
      <c r="N142" s="115" t="b">
        <v>0</v>
      </c>
    </row>
    <row r="143">
      <c r="A143" s="3">
        <v>2.125053097E9</v>
      </c>
      <c r="B143" s="109" t="str">
        <f>VLOOKUP($A143,ANAGRAFICA!$B$1:$G$306,2,FALSE)</f>
        <v>LISSONI</v>
      </c>
      <c r="C143" s="109" t="str">
        <f>VLOOKUP($A143,ANAGRAFICA!$B$1:$G$306,3,FALSE)</f>
        <v>ALESSANDRA</v>
      </c>
      <c r="D143" s="109" t="str">
        <f>VLOOKUP($A143,ANAGRAFICA!$B$1:$G$306,4,FALSE)</f>
        <v>758-47</v>
      </c>
      <c r="E143" s="109">
        <f>VLOOKUP($A143,ANAGRAFICA!$B$1:$G$306,5,FALSE)</f>
        <v>3272025074</v>
      </c>
      <c r="F143" s="109">
        <f>VLOOKUP($A143,ANAGRAFICA!$B$1:$G$306,6,FALSE)</f>
        <v>2025</v>
      </c>
      <c r="G143" s="57">
        <v>1.0</v>
      </c>
      <c r="H143" s="14" t="s">
        <v>581</v>
      </c>
      <c r="I143" s="11" t="s">
        <v>591</v>
      </c>
      <c r="J143" s="57">
        <v>23.0</v>
      </c>
      <c r="K143" s="94"/>
      <c r="L143" s="94"/>
      <c r="M143" s="115" t="b">
        <v>0</v>
      </c>
      <c r="N143" s="115" t="b">
        <v>0</v>
      </c>
    </row>
    <row r="144">
      <c r="A144" s="3">
        <v>2.125053097E9</v>
      </c>
      <c r="B144" s="109" t="str">
        <f>VLOOKUP($A144,ANAGRAFICA!$B$1:$G$306,2,FALSE)</f>
        <v>LISSONI</v>
      </c>
      <c r="C144" s="109" t="str">
        <f>VLOOKUP($A144,ANAGRAFICA!$B$1:$G$306,3,FALSE)</f>
        <v>ALESSANDRA</v>
      </c>
      <c r="D144" s="109" t="str">
        <f>VLOOKUP($A144,ANAGRAFICA!$B$1:$G$306,4,FALSE)</f>
        <v>758-47</v>
      </c>
      <c r="E144" s="109">
        <f>VLOOKUP($A144,ANAGRAFICA!$B$1:$G$306,5,FALSE)</f>
        <v>3272025074</v>
      </c>
      <c r="F144" s="109">
        <f>VLOOKUP($A144,ANAGRAFICA!$B$1:$G$306,6,FALSE)</f>
        <v>2025</v>
      </c>
      <c r="G144" s="57">
        <v>1.0</v>
      </c>
      <c r="H144" s="14" t="s">
        <v>584</v>
      </c>
      <c r="I144" s="11" t="s">
        <v>592</v>
      </c>
      <c r="J144" s="57">
        <v>15.0</v>
      </c>
      <c r="K144" s="94"/>
      <c r="L144" s="94"/>
      <c r="M144" s="115" t="b">
        <v>0</v>
      </c>
      <c r="N144" s="115" t="b">
        <v>0</v>
      </c>
    </row>
    <row r="145">
      <c r="A145" s="3">
        <v>2.125053589E9</v>
      </c>
      <c r="B145" s="109" t="str">
        <f>VLOOKUP($A145,ANAGRAFICA!$B$1:$G$306,2,FALSE)</f>
        <v>HU</v>
      </c>
      <c r="C145" s="109" t="str">
        <f>VLOOKUP($A145,ANAGRAFICA!$B$1:$G$306,3,FALSE)</f>
        <v>LIBEI</v>
      </c>
      <c r="D145" s="109" t="str">
        <f>VLOOKUP($A145,ANAGRAFICA!$B$1:$G$306,4,FALSE)</f>
        <v>758-48</v>
      </c>
      <c r="E145" s="109" t="str">
        <f>VLOOKUP($A145,ANAGRAFICA!$B$1:$G$306,5,FALSE)</f>
        <v/>
      </c>
      <c r="F145" s="109">
        <f>VLOOKUP($A145,ANAGRAFICA!$B$1:$G$306,6,FALSE)</f>
        <v>2025</v>
      </c>
      <c r="G145" s="57">
        <v>1.0</v>
      </c>
      <c r="H145" s="14" t="s">
        <v>581</v>
      </c>
      <c r="I145" s="11" t="s">
        <v>585</v>
      </c>
      <c r="J145" s="57">
        <v>17.0</v>
      </c>
      <c r="K145" s="94"/>
      <c r="L145" s="94"/>
      <c r="M145" s="115" t="b">
        <v>1</v>
      </c>
      <c r="N145" s="115" t="b">
        <v>0</v>
      </c>
    </row>
    <row r="146">
      <c r="A146" s="3">
        <v>2.125053589E9</v>
      </c>
      <c r="B146" s="109" t="str">
        <f>VLOOKUP($A146,ANAGRAFICA!$B$1:$G$306,2,FALSE)</f>
        <v>HU</v>
      </c>
      <c r="C146" s="109" t="str">
        <f>VLOOKUP($A146,ANAGRAFICA!$B$1:$G$306,3,FALSE)</f>
        <v>LIBEI</v>
      </c>
      <c r="D146" s="109" t="str">
        <f>VLOOKUP($A146,ANAGRAFICA!$B$1:$G$306,4,FALSE)</f>
        <v>758-48</v>
      </c>
      <c r="E146" s="109" t="str">
        <f>VLOOKUP($A146,ANAGRAFICA!$B$1:$G$306,5,FALSE)</f>
        <v/>
      </c>
      <c r="F146" s="109">
        <f>VLOOKUP($A146,ANAGRAFICA!$B$1:$G$306,6,FALSE)</f>
        <v>2025</v>
      </c>
      <c r="G146" s="57">
        <v>1.0</v>
      </c>
      <c r="H146" s="14" t="s">
        <v>584</v>
      </c>
      <c r="I146" s="11" t="s">
        <v>582</v>
      </c>
      <c r="J146" s="57">
        <v>25.0</v>
      </c>
      <c r="K146" s="94"/>
      <c r="L146" s="94"/>
      <c r="M146" s="115" t="b">
        <v>0</v>
      </c>
      <c r="N146" s="115" t="b">
        <v>0</v>
      </c>
    </row>
    <row r="147">
      <c r="A147" s="3">
        <v>2.126005799E9</v>
      </c>
      <c r="B147" s="109" t="str">
        <f>VLOOKUP($A147,ANAGRAFICA!$B$1:$G$306,2,FALSE)</f>
        <v>MAIORANO</v>
      </c>
      <c r="C147" s="109" t="str">
        <f>VLOOKUP($A147,ANAGRAFICA!$B$1:$G$306,3,FALSE)</f>
        <v>IOLANDA MARIA</v>
      </c>
      <c r="D147" s="109" t="str">
        <f>VLOOKUP($A147,ANAGRAFICA!$B$1:$G$306,4,FALSE)</f>
        <v>758-56</v>
      </c>
      <c r="E147" s="109" t="str">
        <f>VLOOKUP($A147,ANAGRAFICA!$B$1:$G$306,5,FALSE)</f>
        <v/>
      </c>
      <c r="F147" s="109">
        <f>VLOOKUP($A147,ANAGRAFICA!$B$1:$G$306,6,FALSE)</f>
        <v>2026</v>
      </c>
      <c r="G147" s="57">
        <v>1.0</v>
      </c>
      <c r="H147" s="14" t="s">
        <v>581</v>
      </c>
      <c r="I147" s="11" t="s">
        <v>582</v>
      </c>
      <c r="J147" s="57">
        <v>23.0</v>
      </c>
      <c r="K147" s="94"/>
      <c r="L147" s="94"/>
      <c r="M147" s="115" t="b">
        <v>0</v>
      </c>
      <c r="N147" s="115" t="b">
        <v>0</v>
      </c>
    </row>
    <row r="148">
      <c r="A148" s="3">
        <v>2.126005799E9</v>
      </c>
      <c r="B148" s="109" t="str">
        <f>VLOOKUP($A148,ANAGRAFICA!$B$1:$G$306,2,FALSE)</f>
        <v>MAIORANO</v>
      </c>
      <c r="C148" s="109" t="str">
        <f>VLOOKUP($A148,ANAGRAFICA!$B$1:$G$306,3,FALSE)</f>
        <v>IOLANDA MARIA</v>
      </c>
      <c r="D148" s="109" t="str">
        <f>VLOOKUP($A148,ANAGRAFICA!$B$1:$G$306,4,FALSE)</f>
        <v>758-56</v>
      </c>
      <c r="E148" s="109" t="str">
        <f>VLOOKUP($A148,ANAGRAFICA!$B$1:$G$306,5,FALSE)</f>
        <v/>
      </c>
      <c r="F148" s="109">
        <f>VLOOKUP($A148,ANAGRAFICA!$B$1:$G$306,6,FALSE)</f>
        <v>2026</v>
      </c>
      <c r="G148" s="57">
        <v>1.0</v>
      </c>
      <c r="H148" s="14" t="s">
        <v>584</v>
      </c>
      <c r="I148" s="11" t="s">
        <v>585</v>
      </c>
      <c r="J148" s="57">
        <v>15.0</v>
      </c>
      <c r="K148" s="94"/>
      <c r="L148" s="94"/>
      <c r="M148" s="115" t="b">
        <v>0</v>
      </c>
      <c r="N148" s="115" t="b">
        <v>0</v>
      </c>
    </row>
    <row r="149">
      <c r="A149" s="3">
        <v>2.12505375E9</v>
      </c>
      <c r="B149" s="109" t="str">
        <f>VLOOKUP($A149,ANAGRAFICA!$B$1:$G$306,2,FALSE)</f>
        <v>BERETTA</v>
      </c>
      <c r="C149" s="109" t="str">
        <f>VLOOKUP($A149,ANAGRAFICA!$B$1:$G$306,3,FALSE)</f>
        <v>FULVIO</v>
      </c>
      <c r="D149" s="109" t="str">
        <f>VLOOKUP($A149,ANAGRAFICA!$B$1:$G$306,4,FALSE)</f>
        <v/>
      </c>
      <c r="E149" s="109" t="str">
        <f>VLOOKUP($A149,ANAGRAFICA!$B$1:$G$306,5,FALSE)</f>
        <v/>
      </c>
      <c r="F149" s="109">
        <f>VLOOKUP($A149,ANAGRAFICA!$B$1:$G$306,6,FALSE)</f>
        <v>2025</v>
      </c>
      <c r="G149" s="57">
        <v>1.0</v>
      </c>
      <c r="H149" s="14" t="s">
        <v>581</v>
      </c>
      <c r="I149" s="11" t="s">
        <v>591</v>
      </c>
      <c r="J149" s="57">
        <v>23.0</v>
      </c>
      <c r="K149" s="94"/>
      <c r="L149" s="94"/>
      <c r="M149" s="115" t="b">
        <v>1</v>
      </c>
      <c r="N149" s="115" t="b">
        <v>0</v>
      </c>
    </row>
    <row r="150">
      <c r="A150" s="3">
        <v>2.12505375E9</v>
      </c>
      <c r="B150" s="109" t="str">
        <f>VLOOKUP($A150,ANAGRAFICA!$B$1:$G$306,2,FALSE)</f>
        <v>BERETTA</v>
      </c>
      <c r="C150" s="109" t="str">
        <f>VLOOKUP($A150,ANAGRAFICA!$B$1:$G$306,3,FALSE)</f>
        <v>FULVIO</v>
      </c>
      <c r="D150" s="109" t="str">
        <f>VLOOKUP($A150,ANAGRAFICA!$B$1:$G$306,4,FALSE)</f>
        <v/>
      </c>
      <c r="E150" s="109" t="str">
        <f>VLOOKUP($A150,ANAGRAFICA!$B$1:$G$306,5,FALSE)</f>
        <v/>
      </c>
      <c r="F150" s="109">
        <f>VLOOKUP($A150,ANAGRAFICA!$B$1:$G$306,6,FALSE)</f>
        <v>2025</v>
      </c>
      <c r="G150" s="57">
        <v>1.0</v>
      </c>
      <c r="H150" s="14" t="s">
        <v>584</v>
      </c>
      <c r="I150" s="11" t="s">
        <v>585</v>
      </c>
      <c r="J150" s="57">
        <v>17.0</v>
      </c>
      <c r="K150" s="94"/>
      <c r="L150" s="94"/>
      <c r="M150" s="115" t="b">
        <v>1</v>
      </c>
      <c r="N150" s="115" t="b">
        <v>0</v>
      </c>
    </row>
    <row r="151">
      <c r="A151" s="3">
        <v>2.126002771E9</v>
      </c>
      <c r="B151" s="109" t="str">
        <f>VLOOKUP($A151,ANAGRAFICA!$B$1:$G$306,2,FALSE)</f>
        <v>LONGOBARDI</v>
      </c>
      <c r="C151" s="109" t="str">
        <f>VLOOKUP($A151,ANAGRAFICA!$B$1:$G$306,3,FALSE)</f>
        <v>FRANCESCO</v>
      </c>
      <c r="D151" s="109" t="str">
        <f>VLOOKUP($A151,ANAGRAFICA!$B$1:$G$306,4,FALSE)</f>
        <v>758-52</v>
      </c>
      <c r="E151" s="109" t="str">
        <f>VLOOKUP($A151,ANAGRAFICA!$B$1:$G$306,5,FALSE)</f>
        <v/>
      </c>
      <c r="F151" s="109">
        <f>VLOOKUP($A151,ANAGRAFICA!$B$1:$G$306,6,FALSE)</f>
        <v>2026</v>
      </c>
      <c r="G151" s="57">
        <v>1.0</v>
      </c>
      <c r="H151" s="14" t="s">
        <v>584</v>
      </c>
      <c r="I151" s="11" t="s">
        <v>585</v>
      </c>
      <c r="J151" s="57">
        <v>23.0</v>
      </c>
      <c r="K151" s="94"/>
      <c r="L151" s="94"/>
      <c r="M151" s="115" t="b">
        <v>1</v>
      </c>
      <c r="N151" s="115" t="b">
        <v>0</v>
      </c>
    </row>
    <row r="152">
      <c r="A152" s="3">
        <v>2.126002771E9</v>
      </c>
      <c r="B152" s="109" t="str">
        <f>VLOOKUP($A152,ANAGRAFICA!$B$1:$G$306,2,FALSE)</f>
        <v>LONGOBARDI</v>
      </c>
      <c r="C152" s="109" t="str">
        <f>VLOOKUP($A152,ANAGRAFICA!$B$1:$G$306,3,FALSE)</f>
        <v>FRANCESCO</v>
      </c>
      <c r="D152" s="109" t="str">
        <f>VLOOKUP($A152,ANAGRAFICA!$B$1:$G$306,4,FALSE)</f>
        <v>758-52</v>
      </c>
      <c r="E152" s="109" t="str">
        <f>VLOOKUP($A152,ANAGRAFICA!$B$1:$G$306,5,FALSE)</f>
        <v/>
      </c>
      <c r="F152" s="109">
        <f>VLOOKUP($A152,ANAGRAFICA!$B$1:$G$306,6,FALSE)</f>
        <v>2026</v>
      </c>
      <c r="G152" s="57">
        <v>1.0</v>
      </c>
      <c r="H152" s="14" t="s">
        <v>581</v>
      </c>
      <c r="I152" s="11"/>
      <c r="J152" s="94"/>
      <c r="K152" s="94"/>
      <c r="L152" s="94"/>
      <c r="M152" s="115" t="b">
        <v>0</v>
      </c>
      <c r="N152" s="115" t="b">
        <v>0</v>
      </c>
    </row>
    <row r="153">
      <c r="A153" s="3">
        <v>2.126001104E9</v>
      </c>
      <c r="B153" s="109" t="str">
        <f>VLOOKUP($A153,ANAGRAFICA!$B$1:$G$306,2,FALSE)</f>
        <v>LOREGGIA</v>
      </c>
      <c r="C153" s="109" t="str">
        <f>VLOOKUP($A153,ANAGRAFICA!$B$1:$G$306,3,FALSE)</f>
        <v>GIAN MARCO</v>
      </c>
      <c r="D153" s="109" t="str">
        <f>VLOOKUP($A153,ANAGRAFICA!$B$1:$G$306,4,FALSE)</f>
        <v>758-51</v>
      </c>
      <c r="E153" s="109" t="str">
        <f>VLOOKUP($A153,ANAGRAFICA!$B$1:$G$306,5,FALSE)</f>
        <v/>
      </c>
      <c r="F153" s="109">
        <f>VLOOKUP($A153,ANAGRAFICA!$B$1:$G$306,6,FALSE)</f>
        <v>2026</v>
      </c>
      <c r="G153" s="57">
        <v>1.0</v>
      </c>
      <c r="H153" s="14" t="s">
        <v>584</v>
      </c>
      <c r="I153" s="11" t="s">
        <v>585</v>
      </c>
      <c r="J153" s="57">
        <v>17.0</v>
      </c>
      <c r="K153" s="94"/>
      <c r="L153" s="94"/>
      <c r="M153" s="115" t="b">
        <v>1</v>
      </c>
      <c r="N153" s="115" t="b">
        <v>0</v>
      </c>
    </row>
    <row r="154">
      <c r="A154" s="3">
        <v>2.126001104E9</v>
      </c>
      <c r="B154" s="109" t="str">
        <f>VLOOKUP($A154,ANAGRAFICA!$B$1:$G$306,2,FALSE)</f>
        <v>LOREGGIA</v>
      </c>
      <c r="C154" s="109" t="str">
        <f>VLOOKUP($A154,ANAGRAFICA!$B$1:$G$306,3,FALSE)</f>
        <v>GIAN MARCO</v>
      </c>
      <c r="D154" s="109" t="str">
        <f>VLOOKUP($A154,ANAGRAFICA!$B$1:$G$306,4,FALSE)</f>
        <v>758-51</v>
      </c>
      <c r="E154" s="109" t="str">
        <f>VLOOKUP($A154,ANAGRAFICA!$B$1:$G$306,5,FALSE)</f>
        <v/>
      </c>
      <c r="F154" s="109">
        <f>VLOOKUP($A154,ANAGRAFICA!$B$1:$G$306,6,FALSE)</f>
        <v>2026</v>
      </c>
      <c r="G154" s="57">
        <v>1.0</v>
      </c>
      <c r="H154" s="14" t="s">
        <v>581</v>
      </c>
      <c r="I154" s="11" t="s">
        <v>582</v>
      </c>
      <c r="J154" s="57">
        <v>25.0</v>
      </c>
      <c r="K154" s="94"/>
      <c r="L154" s="94"/>
      <c r="M154" s="115" t="b">
        <v>1</v>
      </c>
      <c r="N154" s="115" t="b">
        <v>0</v>
      </c>
    </row>
    <row r="155">
      <c r="A155" s="117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141"/>
      <c r="I155" s="11"/>
      <c r="J155" s="94"/>
      <c r="K155" s="94"/>
      <c r="L155" s="94"/>
      <c r="M155" s="115" t="b">
        <v>0</v>
      </c>
      <c r="N155" s="115" t="b">
        <v>0</v>
      </c>
    </row>
    <row r="156">
      <c r="A156" s="117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141"/>
      <c r="I156" s="11"/>
      <c r="J156" s="94"/>
      <c r="K156" s="94"/>
      <c r="L156" s="94"/>
      <c r="M156" s="115" t="b">
        <v>0</v>
      </c>
      <c r="N156" s="115" t="b">
        <v>0</v>
      </c>
    </row>
    <row r="157">
      <c r="A157" s="117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141"/>
      <c r="I157" s="11"/>
      <c r="J157" s="94"/>
      <c r="K157" s="94"/>
      <c r="L157" s="94"/>
      <c r="M157" s="115" t="b">
        <v>0</v>
      </c>
      <c r="N157" s="115" t="b">
        <v>0</v>
      </c>
    </row>
    <row r="158">
      <c r="A158" s="117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141"/>
      <c r="I158" s="11"/>
      <c r="J158" s="94"/>
      <c r="K158" s="94"/>
      <c r="L158" s="94"/>
      <c r="M158" s="115" t="b">
        <v>0</v>
      </c>
      <c r="N158" s="115" t="b">
        <v>0</v>
      </c>
    </row>
    <row r="159">
      <c r="A159" s="117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141"/>
      <c r="I159" s="11"/>
      <c r="J159" s="94"/>
      <c r="K159" s="94"/>
      <c r="L159" s="94"/>
      <c r="M159" s="115" t="b">
        <v>0</v>
      </c>
      <c r="N159" s="115" t="b">
        <v>0</v>
      </c>
    </row>
    <row r="160">
      <c r="A160" s="117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141"/>
      <c r="I160" s="11"/>
      <c r="J160" s="94"/>
      <c r="K160" s="94"/>
      <c r="L160" s="94"/>
      <c r="M160" s="115" t="b">
        <v>0</v>
      </c>
      <c r="N160" s="115" t="b">
        <v>0</v>
      </c>
    </row>
    <row r="161">
      <c r="A161" s="117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141"/>
      <c r="I161" s="11"/>
      <c r="J161" s="94"/>
      <c r="K161" s="94"/>
      <c r="L161" s="94"/>
      <c r="M161" s="115" t="b">
        <v>0</v>
      </c>
      <c r="N161" s="115" t="b">
        <v>0</v>
      </c>
    </row>
    <row r="162">
      <c r="A162" s="117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141"/>
      <c r="I162" s="11"/>
      <c r="J162" s="94"/>
      <c r="K162" s="94"/>
      <c r="L162" s="94"/>
      <c r="M162" s="115" t="b">
        <v>0</v>
      </c>
      <c r="N162" s="115" t="b">
        <v>0</v>
      </c>
    </row>
    <row r="163">
      <c r="A163" s="117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141"/>
      <c r="I163" s="11"/>
      <c r="J163" s="94"/>
      <c r="K163" s="94"/>
      <c r="L163" s="94"/>
      <c r="M163" s="115" t="b">
        <v>0</v>
      </c>
      <c r="N163" s="115" t="b">
        <v>0</v>
      </c>
    </row>
    <row r="164">
      <c r="A164" s="117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141"/>
      <c r="I164" s="11"/>
      <c r="J164" s="94"/>
      <c r="K164" s="94"/>
      <c r="L164" s="94"/>
      <c r="M164" s="115" t="b">
        <v>0</v>
      </c>
      <c r="N164" s="115" t="b">
        <v>0</v>
      </c>
    </row>
    <row r="165">
      <c r="A165" s="117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141"/>
      <c r="I165" s="11"/>
      <c r="J165" s="94"/>
      <c r="K165" s="94"/>
      <c r="L165" s="94"/>
      <c r="M165" s="115" t="b">
        <v>0</v>
      </c>
      <c r="N165" s="115" t="b">
        <v>0</v>
      </c>
    </row>
    <row r="166">
      <c r="A166" s="117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141"/>
      <c r="I166" s="11"/>
      <c r="J166" s="94"/>
      <c r="K166" s="94"/>
      <c r="L166" s="94"/>
      <c r="M166" s="115" t="b">
        <v>0</v>
      </c>
      <c r="N166" s="115" t="b">
        <v>0</v>
      </c>
    </row>
    <row r="167">
      <c r="A167" s="117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141"/>
      <c r="I167" s="11"/>
      <c r="J167" s="94"/>
      <c r="K167" s="94"/>
      <c r="L167" s="94"/>
      <c r="M167" s="115" t="b">
        <v>0</v>
      </c>
      <c r="N167" s="115" t="b">
        <v>0</v>
      </c>
    </row>
    <row r="168">
      <c r="A168" s="117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141"/>
      <c r="I168" s="11"/>
      <c r="J168" s="94"/>
      <c r="K168" s="94"/>
      <c r="L168" s="94"/>
      <c r="M168" s="115" t="b">
        <v>0</v>
      </c>
      <c r="N168" s="115" t="b">
        <v>0</v>
      </c>
    </row>
    <row r="169">
      <c r="A169" s="117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141"/>
      <c r="I169" s="11"/>
      <c r="J169" s="94"/>
      <c r="K169" s="94"/>
      <c r="L169" s="94"/>
      <c r="M169" s="115" t="b">
        <v>0</v>
      </c>
      <c r="N169" s="115" t="b">
        <v>0</v>
      </c>
    </row>
    <row r="170">
      <c r="A170" s="117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141"/>
      <c r="I170" s="11"/>
      <c r="J170" s="94"/>
      <c r="K170" s="94"/>
      <c r="L170" s="94"/>
      <c r="M170" s="115" t="b">
        <v>0</v>
      </c>
      <c r="N170" s="115" t="b">
        <v>0</v>
      </c>
    </row>
    <row r="171">
      <c r="A171" s="117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141"/>
      <c r="I171" s="11"/>
      <c r="J171" s="94"/>
      <c r="K171" s="94"/>
      <c r="L171" s="94"/>
      <c r="M171" s="115" t="b">
        <v>0</v>
      </c>
      <c r="N171" s="115" t="b">
        <v>0</v>
      </c>
    </row>
    <row r="172">
      <c r="A172" s="117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141"/>
      <c r="I172" s="11"/>
      <c r="J172" s="94"/>
      <c r="K172" s="94"/>
      <c r="L172" s="94"/>
      <c r="M172" s="115" t="b">
        <v>0</v>
      </c>
      <c r="N172" s="115" t="b">
        <v>0</v>
      </c>
    </row>
    <row r="173">
      <c r="A173" s="117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141"/>
      <c r="I173" s="11"/>
      <c r="J173" s="94"/>
      <c r="K173" s="94"/>
      <c r="L173" s="94"/>
      <c r="M173" s="115" t="b">
        <v>0</v>
      </c>
      <c r="N173" s="115" t="b">
        <v>0</v>
      </c>
    </row>
    <row r="174">
      <c r="A174" s="117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141"/>
      <c r="I174" s="11"/>
      <c r="J174" s="94"/>
      <c r="K174" s="94"/>
      <c r="L174" s="94"/>
      <c r="M174" s="115" t="b">
        <v>0</v>
      </c>
      <c r="N174" s="115" t="b">
        <v>0</v>
      </c>
    </row>
    <row r="175">
      <c r="A175" s="117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141"/>
      <c r="I175" s="11"/>
      <c r="J175" s="94"/>
      <c r="K175" s="94"/>
      <c r="L175" s="94"/>
      <c r="M175" s="115" t="b">
        <v>0</v>
      </c>
      <c r="N175" s="115" t="b">
        <v>0</v>
      </c>
    </row>
    <row r="176">
      <c r="A176" s="117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141"/>
      <c r="I176" s="11"/>
      <c r="J176" s="94"/>
      <c r="K176" s="94"/>
      <c r="L176" s="94"/>
      <c r="M176" s="115" t="b">
        <v>0</v>
      </c>
      <c r="N176" s="115" t="b">
        <v>0</v>
      </c>
    </row>
    <row r="177">
      <c r="A177" s="117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141"/>
      <c r="I177" s="11"/>
      <c r="J177" s="94"/>
      <c r="K177" s="94"/>
      <c r="L177" s="94"/>
      <c r="M177" s="115" t="b">
        <v>0</v>
      </c>
      <c r="N177" s="115" t="b">
        <v>0</v>
      </c>
    </row>
    <row r="178">
      <c r="A178" s="117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141"/>
      <c r="I178" s="11"/>
      <c r="J178" s="94"/>
      <c r="K178" s="94"/>
      <c r="L178" s="94"/>
      <c r="M178" s="115" t="b">
        <v>0</v>
      </c>
      <c r="N178" s="115" t="b">
        <v>0</v>
      </c>
    </row>
    <row r="179">
      <c r="A179" s="117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141"/>
      <c r="I179" s="11"/>
      <c r="J179" s="94"/>
      <c r="K179" s="94"/>
      <c r="L179" s="94"/>
      <c r="M179" s="115" t="b">
        <v>0</v>
      </c>
      <c r="N179" s="115" t="b">
        <v>0</v>
      </c>
    </row>
    <row r="180">
      <c r="A180" s="117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141"/>
      <c r="I180" s="11"/>
      <c r="J180" s="94"/>
      <c r="K180" s="94"/>
      <c r="L180" s="94"/>
      <c r="M180" s="115" t="b">
        <v>0</v>
      </c>
      <c r="N180" s="115" t="b">
        <v>0</v>
      </c>
    </row>
    <row r="181">
      <c r="A181" s="117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141"/>
      <c r="I181" s="11"/>
      <c r="J181" s="94"/>
      <c r="K181" s="94"/>
      <c r="L181" s="94"/>
      <c r="M181" s="115" t="b">
        <v>0</v>
      </c>
      <c r="N181" s="115" t="b">
        <v>0</v>
      </c>
    </row>
    <row r="182">
      <c r="A182" s="117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141"/>
      <c r="I182" s="11"/>
      <c r="J182" s="94"/>
      <c r="K182" s="94"/>
      <c r="L182" s="94"/>
      <c r="M182" s="115" t="b">
        <v>0</v>
      </c>
      <c r="N182" s="115" t="b">
        <v>0</v>
      </c>
    </row>
    <row r="183">
      <c r="A183" s="117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141"/>
      <c r="I183" s="11"/>
      <c r="J183" s="94"/>
      <c r="K183" s="94"/>
      <c r="L183" s="94"/>
      <c r="M183" s="115" t="b">
        <v>0</v>
      </c>
      <c r="N183" s="115" t="b">
        <v>0</v>
      </c>
    </row>
    <row r="184">
      <c r="A184" s="117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141"/>
      <c r="I184" s="11"/>
      <c r="J184" s="94"/>
      <c r="K184" s="94"/>
      <c r="L184" s="94"/>
      <c r="M184" s="115" t="b">
        <v>0</v>
      </c>
      <c r="N184" s="115" t="b">
        <v>0</v>
      </c>
    </row>
    <row r="185">
      <c r="A185" s="117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141"/>
      <c r="I185" s="11"/>
      <c r="J185" s="94"/>
      <c r="K185" s="94"/>
      <c r="L185" s="94"/>
      <c r="M185" s="115" t="b">
        <v>0</v>
      </c>
      <c r="N185" s="115" t="b">
        <v>0</v>
      </c>
    </row>
    <row r="186">
      <c r="A186" s="117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141"/>
      <c r="I186" s="11"/>
      <c r="J186" s="94"/>
      <c r="K186" s="94"/>
      <c r="L186" s="94"/>
      <c r="M186" s="115" t="b">
        <v>0</v>
      </c>
      <c r="N186" s="115" t="b">
        <v>0</v>
      </c>
    </row>
    <row r="187">
      <c r="A187" s="117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141"/>
      <c r="I187" s="11"/>
      <c r="J187" s="94"/>
      <c r="K187" s="94"/>
      <c r="L187" s="94"/>
      <c r="M187" s="115" t="b">
        <v>0</v>
      </c>
      <c r="N187" s="115" t="b">
        <v>0</v>
      </c>
    </row>
    <row r="188">
      <c r="A188" s="117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141"/>
      <c r="I188" s="11"/>
      <c r="J188" s="94"/>
      <c r="K188" s="94"/>
      <c r="L188" s="94"/>
      <c r="M188" s="115" t="b">
        <v>0</v>
      </c>
      <c r="N188" s="115" t="b">
        <v>0</v>
      </c>
    </row>
    <row r="189">
      <c r="A189" s="117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141"/>
      <c r="I189" s="11"/>
      <c r="J189" s="94"/>
      <c r="K189" s="94"/>
      <c r="L189" s="94"/>
      <c r="M189" s="115" t="b">
        <v>0</v>
      </c>
      <c r="N189" s="115" t="b">
        <v>0</v>
      </c>
    </row>
    <row r="190">
      <c r="A190" s="117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141"/>
      <c r="I190" s="11"/>
      <c r="J190" s="94"/>
      <c r="K190" s="94"/>
      <c r="L190" s="94"/>
      <c r="M190" s="115" t="b">
        <v>0</v>
      </c>
      <c r="N190" s="115" t="b">
        <v>0</v>
      </c>
    </row>
    <row r="191">
      <c r="A191" s="117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141"/>
      <c r="I191" s="11"/>
      <c r="J191" s="94"/>
      <c r="K191" s="94"/>
      <c r="L191" s="94"/>
      <c r="M191" s="115" t="b">
        <v>0</v>
      </c>
      <c r="N191" s="115" t="b">
        <v>0</v>
      </c>
    </row>
    <row r="192">
      <c r="A192" s="117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141"/>
      <c r="I192" s="11"/>
      <c r="J192" s="94"/>
      <c r="K192" s="94"/>
      <c r="L192" s="94"/>
      <c r="M192" s="115" t="b">
        <v>0</v>
      </c>
      <c r="N192" s="115" t="b">
        <v>0</v>
      </c>
    </row>
    <row r="193">
      <c r="A193" s="117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141"/>
      <c r="I193" s="11"/>
      <c r="J193" s="94"/>
      <c r="K193" s="94"/>
      <c r="L193" s="94"/>
      <c r="M193" s="115" t="b">
        <v>0</v>
      </c>
      <c r="N193" s="115" t="b">
        <v>0</v>
      </c>
    </row>
    <row r="194">
      <c r="A194" s="117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141"/>
      <c r="I194" s="11"/>
      <c r="J194" s="94"/>
      <c r="K194" s="94"/>
      <c r="L194" s="94"/>
      <c r="M194" s="115" t="b">
        <v>0</v>
      </c>
      <c r="N194" s="115" t="b">
        <v>0</v>
      </c>
    </row>
    <row r="195">
      <c r="A195" s="117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141"/>
      <c r="I195" s="11"/>
      <c r="J195" s="94"/>
      <c r="K195" s="94"/>
      <c r="L195" s="94"/>
      <c r="M195" s="115" t="b">
        <v>0</v>
      </c>
      <c r="N195" s="115" t="b">
        <v>0</v>
      </c>
    </row>
    <row r="196">
      <c r="A196" s="117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141"/>
      <c r="I196" s="11"/>
      <c r="J196" s="94"/>
      <c r="K196" s="94"/>
      <c r="L196" s="94"/>
      <c r="M196" s="115" t="b">
        <v>0</v>
      </c>
      <c r="N196" s="115" t="b">
        <v>0</v>
      </c>
    </row>
    <row r="197">
      <c r="A197" s="117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141"/>
      <c r="I197" s="11"/>
      <c r="J197" s="94"/>
      <c r="K197" s="94"/>
      <c r="L197" s="94"/>
      <c r="M197" s="115" t="b">
        <v>0</v>
      </c>
      <c r="N197" s="115" t="b">
        <v>0</v>
      </c>
    </row>
    <row r="198">
      <c r="A198" s="117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141"/>
      <c r="I198" s="11"/>
      <c r="J198" s="94"/>
      <c r="K198" s="94"/>
      <c r="L198" s="94"/>
      <c r="M198" s="115" t="b">
        <v>0</v>
      </c>
      <c r="N198" s="115" t="b">
        <v>0</v>
      </c>
    </row>
    <row r="199">
      <c r="A199" s="117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141"/>
      <c r="I199" s="11"/>
      <c r="J199" s="94"/>
      <c r="K199" s="94"/>
      <c r="L199" s="94"/>
      <c r="M199" s="115" t="b">
        <v>0</v>
      </c>
      <c r="N199" s="115" t="b">
        <v>0</v>
      </c>
    </row>
    <row r="200">
      <c r="A200" s="117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141"/>
      <c r="I200" s="11"/>
      <c r="J200" s="94"/>
      <c r="K200" s="94"/>
      <c r="L200" s="94"/>
      <c r="M200" s="115" t="b">
        <v>0</v>
      </c>
      <c r="N200" s="115" t="b">
        <v>0</v>
      </c>
    </row>
    <row r="201">
      <c r="A201" s="117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141"/>
      <c r="I201" s="11"/>
      <c r="J201" s="94"/>
      <c r="K201" s="94"/>
      <c r="L201" s="94"/>
      <c r="M201" s="115" t="b">
        <v>0</v>
      </c>
      <c r="N201" s="115" t="b">
        <v>0</v>
      </c>
    </row>
    <row r="202">
      <c r="A202" s="117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141"/>
      <c r="I202" s="11"/>
      <c r="J202" s="94"/>
      <c r="K202" s="94"/>
      <c r="L202" s="94"/>
      <c r="M202" s="115" t="b">
        <v>0</v>
      </c>
      <c r="N202" s="115" t="b">
        <v>0</v>
      </c>
    </row>
    <row r="203">
      <c r="A203" s="117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141"/>
      <c r="I203" s="11"/>
      <c r="J203" s="94"/>
      <c r="K203" s="94"/>
      <c r="L203" s="94"/>
      <c r="M203" s="115" t="b">
        <v>0</v>
      </c>
      <c r="N203" s="115" t="b">
        <v>0</v>
      </c>
    </row>
    <row r="204">
      <c r="A204" s="117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141"/>
      <c r="I204" s="11"/>
      <c r="J204" s="94"/>
      <c r="K204" s="94"/>
      <c r="L204" s="94"/>
      <c r="M204" s="115" t="b">
        <v>0</v>
      </c>
      <c r="N204" s="115" t="b">
        <v>0</v>
      </c>
    </row>
    <row r="205">
      <c r="A205" s="117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141"/>
      <c r="I205" s="11"/>
      <c r="J205" s="94"/>
      <c r="K205" s="94"/>
      <c r="L205" s="94"/>
      <c r="M205" s="115" t="b">
        <v>0</v>
      </c>
      <c r="N205" s="115" t="b">
        <v>0</v>
      </c>
    </row>
    <row r="206">
      <c r="A206" s="117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141"/>
      <c r="I206" s="11"/>
      <c r="J206" s="94"/>
      <c r="K206" s="94"/>
      <c r="L206" s="94"/>
      <c r="M206" s="115" t="b">
        <v>0</v>
      </c>
      <c r="N206" s="115" t="b">
        <v>0</v>
      </c>
    </row>
    <row r="207">
      <c r="A207" s="117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141"/>
      <c r="I207" s="11"/>
      <c r="J207" s="94"/>
      <c r="K207" s="94"/>
      <c r="L207" s="94"/>
      <c r="M207" s="115" t="b">
        <v>0</v>
      </c>
      <c r="N207" s="115" t="b">
        <v>0</v>
      </c>
    </row>
    <row r="208">
      <c r="A208" s="117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141"/>
      <c r="I208" s="11"/>
      <c r="J208" s="94"/>
      <c r="K208" s="94"/>
      <c r="L208" s="94"/>
      <c r="M208" s="115" t="b">
        <v>0</v>
      </c>
      <c r="N208" s="115" t="b">
        <v>0</v>
      </c>
    </row>
    <row r="209">
      <c r="A209" s="117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141"/>
      <c r="I209" s="11"/>
      <c r="J209" s="94"/>
      <c r="K209" s="94"/>
      <c r="L209" s="94"/>
      <c r="M209" s="115" t="b">
        <v>0</v>
      </c>
      <c r="N209" s="115" t="b">
        <v>0</v>
      </c>
    </row>
    <row r="210">
      <c r="A210" s="117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141"/>
      <c r="I210" s="11"/>
      <c r="J210" s="94"/>
      <c r="K210" s="94"/>
      <c r="L210" s="94"/>
      <c r="M210" s="115" t="b">
        <v>0</v>
      </c>
      <c r="N210" s="115" t="b">
        <v>0</v>
      </c>
    </row>
    <row r="211">
      <c r="A211" s="117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141"/>
      <c r="I211" s="11"/>
      <c r="J211" s="94"/>
      <c r="K211" s="94"/>
      <c r="L211" s="94"/>
      <c r="M211" s="115" t="b">
        <v>0</v>
      </c>
      <c r="N211" s="115" t="b">
        <v>0</v>
      </c>
    </row>
    <row r="212">
      <c r="A212" s="117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141"/>
      <c r="I212" s="11"/>
      <c r="J212" s="94"/>
      <c r="K212" s="94"/>
      <c r="L212" s="94"/>
      <c r="M212" s="115" t="b">
        <v>0</v>
      </c>
      <c r="N212" s="115" t="b">
        <v>0</v>
      </c>
    </row>
    <row r="213">
      <c r="A213" s="117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141"/>
      <c r="I213" s="11"/>
      <c r="J213" s="94"/>
      <c r="K213" s="94"/>
      <c r="L213" s="94"/>
      <c r="M213" s="115" t="b">
        <v>0</v>
      </c>
      <c r="N213" s="115" t="b">
        <v>0</v>
      </c>
    </row>
    <row r="214">
      <c r="A214" s="117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141"/>
      <c r="I214" s="11"/>
      <c r="J214" s="94"/>
      <c r="K214" s="94"/>
      <c r="L214" s="94"/>
      <c r="M214" s="115" t="b">
        <v>0</v>
      </c>
      <c r="N214" s="115" t="b">
        <v>0</v>
      </c>
    </row>
    <row r="215">
      <c r="A215" s="117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141"/>
      <c r="I215" s="11"/>
      <c r="J215" s="94"/>
      <c r="K215" s="94"/>
      <c r="L215" s="94"/>
      <c r="M215" s="115" t="b">
        <v>0</v>
      </c>
      <c r="N215" s="115" t="b">
        <v>0</v>
      </c>
    </row>
    <row r="216">
      <c r="A216" s="117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141"/>
      <c r="I216" s="11"/>
      <c r="J216" s="94"/>
      <c r="K216" s="94"/>
      <c r="L216" s="94"/>
      <c r="M216" s="115" t="b">
        <v>0</v>
      </c>
      <c r="N216" s="115" t="b">
        <v>0</v>
      </c>
    </row>
    <row r="217">
      <c r="A217" s="117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141"/>
      <c r="I217" s="11"/>
      <c r="J217" s="94"/>
      <c r="K217" s="94"/>
      <c r="L217" s="94"/>
      <c r="M217" s="115" t="b">
        <v>0</v>
      </c>
      <c r="N217" s="115" t="b">
        <v>0</v>
      </c>
    </row>
    <row r="218">
      <c r="A218" s="117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141"/>
      <c r="I218" s="11"/>
      <c r="J218" s="94"/>
      <c r="K218" s="94"/>
      <c r="L218" s="94"/>
      <c r="M218" s="115" t="b">
        <v>0</v>
      </c>
      <c r="N218" s="115" t="b">
        <v>0</v>
      </c>
    </row>
    <row r="219">
      <c r="A219" s="117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141"/>
      <c r="I219" s="11"/>
      <c r="J219" s="94"/>
      <c r="K219" s="94"/>
      <c r="L219" s="94"/>
      <c r="M219" s="115" t="b">
        <v>0</v>
      </c>
      <c r="N219" s="115" t="b">
        <v>0</v>
      </c>
    </row>
    <row r="220">
      <c r="A220" s="117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141"/>
      <c r="I220" s="11"/>
      <c r="J220" s="94"/>
      <c r="K220" s="94"/>
      <c r="L220" s="94"/>
      <c r="M220" s="115" t="b">
        <v>0</v>
      </c>
      <c r="N220" s="115" t="b">
        <v>0</v>
      </c>
    </row>
    <row r="221">
      <c r="A221" s="117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141"/>
      <c r="I221" s="11"/>
      <c r="J221" s="94"/>
      <c r="K221" s="94"/>
      <c r="L221" s="94"/>
      <c r="M221" s="115" t="b">
        <v>0</v>
      </c>
      <c r="N221" s="115" t="b">
        <v>0</v>
      </c>
    </row>
    <row r="222">
      <c r="A222" s="117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141"/>
      <c r="I222" s="11"/>
      <c r="J222" s="94"/>
      <c r="K222" s="94"/>
      <c r="L222" s="94"/>
      <c r="M222" s="115" t="b">
        <v>0</v>
      </c>
      <c r="N222" s="115" t="b">
        <v>0</v>
      </c>
    </row>
    <row r="223">
      <c r="A223" s="117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141"/>
      <c r="I223" s="11"/>
      <c r="J223" s="94"/>
      <c r="K223" s="94"/>
      <c r="L223" s="94"/>
      <c r="M223" s="115" t="b">
        <v>0</v>
      </c>
      <c r="N223" s="115" t="b">
        <v>0</v>
      </c>
    </row>
    <row r="224">
      <c r="A224" s="117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141"/>
      <c r="I224" s="11"/>
      <c r="J224" s="94"/>
      <c r="K224" s="94"/>
      <c r="L224" s="94"/>
      <c r="M224" s="115" t="b">
        <v>0</v>
      </c>
      <c r="N224" s="115" t="b">
        <v>0</v>
      </c>
    </row>
    <row r="225">
      <c r="A225" s="117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141"/>
      <c r="I225" s="11"/>
      <c r="J225" s="94"/>
      <c r="K225" s="94"/>
      <c r="L225" s="94"/>
      <c r="M225" s="115" t="b">
        <v>0</v>
      </c>
      <c r="N225" s="115" t="b">
        <v>0</v>
      </c>
    </row>
    <row r="226">
      <c r="A226" s="117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141"/>
      <c r="I226" s="11"/>
      <c r="J226" s="94"/>
      <c r="K226" s="94"/>
      <c r="L226" s="94"/>
      <c r="M226" s="115" t="b">
        <v>0</v>
      </c>
      <c r="N226" s="115" t="b">
        <v>0</v>
      </c>
    </row>
    <row r="227">
      <c r="A227" s="117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141"/>
      <c r="I227" s="11"/>
      <c r="J227" s="94"/>
      <c r="K227" s="94"/>
      <c r="L227" s="94"/>
      <c r="M227" s="115" t="b">
        <v>0</v>
      </c>
      <c r="N227" s="115" t="b">
        <v>0</v>
      </c>
    </row>
    <row r="228">
      <c r="A228" s="117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141"/>
      <c r="I228" s="11"/>
      <c r="J228" s="94"/>
      <c r="K228" s="94"/>
      <c r="L228" s="94"/>
      <c r="M228" s="115" t="b">
        <v>0</v>
      </c>
      <c r="N228" s="115" t="b">
        <v>0</v>
      </c>
    </row>
    <row r="229">
      <c r="A229" s="117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141"/>
      <c r="I229" s="11"/>
      <c r="J229" s="94"/>
      <c r="K229" s="94"/>
      <c r="L229" s="94"/>
      <c r="M229" s="115" t="b">
        <v>0</v>
      </c>
      <c r="N229" s="115" t="b">
        <v>0</v>
      </c>
    </row>
    <row r="230">
      <c r="A230" s="117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141"/>
      <c r="I230" s="11"/>
      <c r="J230" s="94"/>
      <c r="K230" s="94"/>
      <c r="L230" s="94"/>
      <c r="M230" s="115" t="b">
        <v>0</v>
      </c>
      <c r="N230" s="115" t="b">
        <v>0</v>
      </c>
    </row>
    <row r="231">
      <c r="A231" s="117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141"/>
      <c r="I231" s="11"/>
      <c r="J231" s="94"/>
      <c r="K231" s="94"/>
      <c r="L231" s="94"/>
      <c r="M231" s="115" t="b">
        <v>0</v>
      </c>
      <c r="N231" s="115" t="b">
        <v>0</v>
      </c>
    </row>
    <row r="232">
      <c r="A232" s="117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141"/>
      <c r="I232" s="11"/>
      <c r="J232" s="94"/>
      <c r="K232" s="94"/>
      <c r="L232" s="94"/>
      <c r="M232" s="115" t="b">
        <v>0</v>
      </c>
      <c r="N232" s="115" t="b">
        <v>0</v>
      </c>
    </row>
    <row r="233">
      <c r="A233" s="117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141"/>
      <c r="I233" s="11"/>
      <c r="J233" s="94"/>
      <c r="K233" s="94"/>
      <c r="L233" s="94"/>
      <c r="M233" s="115" t="b">
        <v>0</v>
      </c>
      <c r="N233" s="115" t="b">
        <v>0</v>
      </c>
    </row>
    <row r="234">
      <c r="A234" s="117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141"/>
      <c r="I234" s="11"/>
      <c r="J234" s="94"/>
      <c r="K234" s="94"/>
      <c r="L234" s="94"/>
      <c r="M234" s="115" t="b">
        <v>0</v>
      </c>
      <c r="N234" s="115" t="b">
        <v>0</v>
      </c>
    </row>
    <row r="235">
      <c r="A235" s="117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141"/>
      <c r="I235" s="11"/>
      <c r="J235" s="94"/>
      <c r="K235" s="94"/>
      <c r="L235" s="94"/>
      <c r="M235" s="115" t="b">
        <v>0</v>
      </c>
      <c r="N235" s="115" t="b">
        <v>0</v>
      </c>
    </row>
    <row r="236">
      <c r="A236" s="117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141"/>
      <c r="I236" s="11"/>
      <c r="J236" s="94"/>
      <c r="K236" s="94"/>
      <c r="L236" s="94"/>
      <c r="M236" s="115" t="b">
        <v>0</v>
      </c>
      <c r="N236" s="115" t="b">
        <v>0</v>
      </c>
    </row>
    <row r="237">
      <c r="A237" s="117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141"/>
      <c r="I237" s="11"/>
      <c r="J237" s="94"/>
      <c r="K237" s="94"/>
      <c r="L237" s="94"/>
      <c r="M237" s="115" t="b">
        <v>0</v>
      </c>
      <c r="N237" s="115" t="b">
        <v>0</v>
      </c>
    </row>
    <row r="238">
      <c r="A238" s="117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141"/>
      <c r="I238" s="11"/>
      <c r="J238" s="94"/>
      <c r="K238" s="94"/>
      <c r="L238" s="94"/>
      <c r="M238" s="115" t="b">
        <v>0</v>
      </c>
      <c r="N238" s="115" t="b">
        <v>0</v>
      </c>
    </row>
    <row r="239">
      <c r="A239" s="117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141"/>
      <c r="I239" s="11"/>
      <c r="J239" s="94"/>
      <c r="K239" s="94"/>
      <c r="L239" s="94"/>
      <c r="M239" s="115" t="b">
        <v>0</v>
      </c>
      <c r="N239" s="115" t="b">
        <v>0</v>
      </c>
    </row>
    <row r="240">
      <c r="A240" s="117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141"/>
      <c r="I240" s="11"/>
      <c r="J240" s="94"/>
      <c r="K240" s="94"/>
      <c r="L240" s="94"/>
      <c r="M240" s="115" t="b">
        <v>0</v>
      </c>
      <c r="N240" s="115" t="b">
        <v>0</v>
      </c>
    </row>
    <row r="241">
      <c r="A241" s="117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141"/>
      <c r="I241" s="11"/>
      <c r="J241" s="94"/>
      <c r="K241" s="94"/>
      <c r="L241" s="94"/>
      <c r="M241" s="115" t="b">
        <v>0</v>
      </c>
      <c r="N241" s="115" t="b">
        <v>0</v>
      </c>
    </row>
    <row r="242">
      <c r="A242" s="117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141"/>
      <c r="I242" s="11"/>
      <c r="J242" s="94"/>
      <c r="K242" s="94"/>
      <c r="L242" s="94"/>
      <c r="M242" s="115" t="b">
        <v>0</v>
      </c>
      <c r="N242" s="115" t="b">
        <v>0</v>
      </c>
    </row>
    <row r="243">
      <c r="A243" s="117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141"/>
      <c r="I243" s="11"/>
      <c r="J243" s="94"/>
      <c r="K243" s="94"/>
      <c r="L243" s="94"/>
      <c r="M243" s="115" t="b">
        <v>0</v>
      </c>
      <c r="N243" s="115" t="b">
        <v>0</v>
      </c>
    </row>
    <row r="244">
      <c r="A244" s="117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141"/>
      <c r="I244" s="11"/>
      <c r="J244" s="94"/>
      <c r="K244" s="94"/>
      <c r="L244" s="94"/>
      <c r="M244" s="115" t="b">
        <v>0</v>
      </c>
      <c r="N244" s="115" t="b">
        <v>0</v>
      </c>
    </row>
    <row r="245">
      <c r="A245" s="117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141"/>
      <c r="I245" s="11"/>
      <c r="J245" s="94"/>
      <c r="K245" s="94"/>
      <c r="L245" s="94"/>
      <c r="M245" s="115" t="b">
        <v>0</v>
      </c>
      <c r="N245" s="115" t="b">
        <v>0</v>
      </c>
    </row>
    <row r="246">
      <c r="A246" s="117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141"/>
      <c r="I246" s="11"/>
      <c r="J246" s="94"/>
      <c r="K246" s="94"/>
      <c r="L246" s="94"/>
      <c r="M246" s="115" t="b">
        <v>0</v>
      </c>
      <c r="N246" s="115" t="b">
        <v>0</v>
      </c>
    </row>
    <row r="247">
      <c r="A247" s="117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141"/>
      <c r="I247" s="11"/>
      <c r="J247" s="94"/>
      <c r="K247" s="94"/>
      <c r="L247" s="94"/>
      <c r="M247" s="115" t="b">
        <v>0</v>
      </c>
      <c r="N247" s="115" t="b">
        <v>0</v>
      </c>
    </row>
    <row r="248">
      <c r="A248" s="117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141"/>
      <c r="I248" s="11"/>
      <c r="J248" s="94"/>
      <c r="K248" s="94"/>
      <c r="L248" s="94"/>
      <c r="M248" s="115" t="b">
        <v>0</v>
      </c>
      <c r="N248" s="115" t="b">
        <v>0</v>
      </c>
    </row>
    <row r="249">
      <c r="A249" s="117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141"/>
      <c r="I249" s="11"/>
      <c r="J249" s="94"/>
      <c r="K249" s="94"/>
      <c r="L249" s="94"/>
      <c r="M249" s="115" t="b">
        <v>0</v>
      </c>
      <c r="N249" s="115" t="b">
        <v>0</v>
      </c>
    </row>
    <row r="250">
      <c r="A250" s="117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141"/>
      <c r="I250" s="11"/>
      <c r="J250" s="94"/>
      <c r="K250" s="94"/>
      <c r="L250" s="94"/>
      <c r="M250" s="115" t="b">
        <v>0</v>
      </c>
      <c r="N250" s="115" t="b">
        <v>0</v>
      </c>
    </row>
    <row r="251">
      <c r="A251" s="117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141"/>
      <c r="I251" s="11"/>
      <c r="J251" s="94"/>
      <c r="K251" s="94"/>
      <c r="L251" s="94"/>
      <c r="M251" s="115" t="b">
        <v>0</v>
      </c>
      <c r="N251" s="115" t="b">
        <v>0</v>
      </c>
    </row>
    <row r="252">
      <c r="A252" s="117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141"/>
      <c r="I252" s="11"/>
      <c r="J252" s="94"/>
      <c r="K252" s="94"/>
      <c r="L252" s="94"/>
      <c r="M252" s="115" t="b">
        <v>0</v>
      </c>
      <c r="N252" s="115" t="b">
        <v>0</v>
      </c>
    </row>
    <row r="253">
      <c r="A253" s="117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141"/>
      <c r="I253" s="11"/>
      <c r="J253" s="94"/>
      <c r="K253" s="94"/>
      <c r="L253" s="94"/>
      <c r="M253" s="115" t="b">
        <v>0</v>
      </c>
      <c r="N253" s="115" t="b">
        <v>0</v>
      </c>
    </row>
    <row r="254">
      <c r="A254" s="117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141"/>
      <c r="I254" s="11"/>
      <c r="J254" s="94"/>
      <c r="K254" s="94"/>
      <c r="L254" s="94"/>
      <c r="M254" s="115" t="b">
        <v>0</v>
      </c>
      <c r="N254" s="115" t="b">
        <v>0</v>
      </c>
    </row>
    <row r="255">
      <c r="A255" s="117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141"/>
      <c r="I255" s="11"/>
      <c r="J255" s="94"/>
      <c r="K255" s="94"/>
      <c r="L255" s="94"/>
      <c r="M255" s="115" t="b">
        <v>0</v>
      </c>
      <c r="N255" s="115" t="b">
        <v>0</v>
      </c>
    </row>
    <row r="256">
      <c r="A256" s="117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141"/>
      <c r="I256" s="11"/>
      <c r="J256" s="94"/>
      <c r="K256" s="94"/>
      <c r="L256" s="94"/>
      <c r="M256" s="115" t="b">
        <v>0</v>
      </c>
      <c r="N256" s="115" t="b">
        <v>0</v>
      </c>
    </row>
    <row r="257">
      <c r="A257" s="117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141"/>
      <c r="I257" s="11"/>
      <c r="J257" s="94"/>
      <c r="K257" s="94"/>
      <c r="L257" s="94"/>
      <c r="M257" s="115" t="b">
        <v>0</v>
      </c>
      <c r="N257" s="115" t="b">
        <v>0</v>
      </c>
    </row>
    <row r="258">
      <c r="A258" s="117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141"/>
      <c r="I258" s="11"/>
      <c r="J258" s="94"/>
      <c r="K258" s="94"/>
      <c r="L258" s="94"/>
      <c r="M258" s="115" t="b">
        <v>0</v>
      </c>
      <c r="N258" s="115" t="b">
        <v>0</v>
      </c>
    </row>
    <row r="259">
      <c r="A259" s="117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141"/>
      <c r="I259" s="11"/>
      <c r="J259" s="94"/>
      <c r="K259" s="94"/>
      <c r="L259" s="94"/>
      <c r="M259" s="115" t="b">
        <v>0</v>
      </c>
      <c r="N259" s="115" t="b">
        <v>0</v>
      </c>
    </row>
    <row r="260">
      <c r="A260" s="117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141"/>
      <c r="I260" s="11"/>
      <c r="J260" s="94"/>
      <c r="K260" s="94"/>
      <c r="L260" s="94"/>
      <c r="M260" s="115" t="b">
        <v>0</v>
      </c>
      <c r="N260" s="115" t="b">
        <v>0</v>
      </c>
    </row>
    <row r="261">
      <c r="A261" s="117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141"/>
      <c r="I261" s="11"/>
      <c r="J261" s="94"/>
      <c r="K261" s="94"/>
      <c r="L261" s="94"/>
      <c r="M261" s="115" t="b">
        <v>0</v>
      </c>
      <c r="N261" s="115" t="b">
        <v>0</v>
      </c>
    </row>
    <row r="262">
      <c r="A262" s="117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141"/>
      <c r="I262" s="11"/>
      <c r="J262" s="94"/>
      <c r="K262" s="94"/>
      <c r="L262" s="94"/>
      <c r="M262" s="115" t="b">
        <v>0</v>
      </c>
      <c r="N262" s="115" t="b">
        <v>0</v>
      </c>
    </row>
    <row r="263">
      <c r="A263" s="117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141"/>
      <c r="I263" s="11"/>
      <c r="J263" s="94"/>
      <c r="K263" s="94"/>
      <c r="L263" s="94"/>
      <c r="M263" s="115" t="b">
        <v>0</v>
      </c>
      <c r="N263" s="115" t="b">
        <v>0</v>
      </c>
    </row>
    <row r="264">
      <c r="A264" s="117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141"/>
      <c r="I264" s="11"/>
      <c r="J264" s="94"/>
      <c r="K264" s="94"/>
      <c r="L264" s="94"/>
      <c r="M264" s="115" t="b">
        <v>0</v>
      </c>
      <c r="N264" s="115" t="b">
        <v>0</v>
      </c>
    </row>
    <row r="265">
      <c r="A265" s="117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141"/>
      <c r="I265" s="11"/>
      <c r="J265" s="94"/>
      <c r="K265" s="94"/>
      <c r="L265" s="94"/>
      <c r="M265" s="115" t="b">
        <v>0</v>
      </c>
      <c r="N265" s="115" t="b">
        <v>0</v>
      </c>
    </row>
    <row r="266">
      <c r="A266" s="117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141"/>
      <c r="I266" s="11"/>
      <c r="J266" s="94"/>
      <c r="K266" s="94"/>
      <c r="L266" s="94"/>
      <c r="M266" s="115" t="b">
        <v>0</v>
      </c>
      <c r="N266" s="115" t="b">
        <v>0</v>
      </c>
    </row>
    <row r="267">
      <c r="A267" s="117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141"/>
      <c r="I267" s="11"/>
      <c r="J267" s="94"/>
      <c r="K267" s="94"/>
      <c r="L267" s="94"/>
      <c r="M267" s="115" t="b">
        <v>0</v>
      </c>
      <c r="N267" s="115" t="b">
        <v>0</v>
      </c>
    </row>
    <row r="268">
      <c r="A268" s="117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141"/>
      <c r="I268" s="11"/>
      <c r="J268" s="94"/>
      <c r="K268" s="94"/>
      <c r="L268" s="94"/>
      <c r="M268" s="115" t="b">
        <v>0</v>
      </c>
      <c r="N268" s="115" t="b">
        <v>0</v>
      </c>
    </row>
    <row r="269">
      <c r="A269" s="117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141"/>
      <c r="I269" s="11"/>
      <c r="J269" s="94"/>
      <c r="K269" s="94"/>
      <c r="L269" s="94"/>
      <c r="M269" s="115" t="b">
        <v>0</v>
      </c>
      <c r="N269" s="115" t="b">
        <v>0</v>
      </c>
    </row>
    <row r="270">
      <c r="A270" s="117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141"/>
      <c r="I270" s="11"/>
      <c r="J270" s="94"/>
      <c r="K270" s="94"/>
      <c r="L270" s="94"/>
      <c r="M270" s="115" t="b">
        <v>0</v>
      </c>
      <c r="N270" s="115" t="b">
        <v>0</v>
      </c>
    </row>
    <row r="271">
      <c r="A271" s="117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141"/>
      <c r="I271" s="11"/>
      <c r="J271" s="94"/>
      <c r="K271" s="94"/>
      <c r="L271" s="94"/>
      <c r="M271" s="115" t="b">
        <v>0</v>
      </c>
      <c r="N271" s="115" t="b">
        <v>0</v>
      </c>
    </row>
    <row r="272">
      <c r="A272" s="117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141"/>
      <c r="I272" s="11"/>
      <c r="J272" s="94"/>
      <c r="K272" s="94"/>
      <c r="L272" s="94"/>
      <c r="M272" s="115" t="b">
        <v>0</v>
      </c>
      <c r="N272" s="115" t="b">
        <v>0</v>
      </c>
    </row>
    <row r="273">
      <c r="A273" s="117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141"/>
      <c r="I273" s="11"/>
      <c r="J273" s="94"/>
      <c r="K273" s="94"/>
      <c r="L273" s="94"/>
      <c r="M273" s="115" t="b">
        <v>0</v>
      </c>
      <c r="N273" s="115" t="b">
        <v>0</v>
      </c>
    </row>
    <row r="274">
      <c r="A274" s="117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141"/>
      <c r="I274" s="11"/>
      <c r="J274" s="94"/>
      <c r="K274" s="94"/>
      <c r="L274" s="94"/>
      <c r="M274" s="115" t="b">
        <v>0</v>
      </c>
      <c r="N274" s="115" t="b">
        <v>0</v>
      </c>
    </row>
    <row r="275">
      <c r="A275" s="117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141"/>
      <c r="I275" s="11"/>
      <c r="J275" s="94"/>
      <c r="K275" s="94"/>
      <c r="L275" s="94"/>
      <c r="M275" s="115" t="b">
        <v>0</v>
      </c>
      <c r="N275" s="115" t="b">
        <v>0</v>
      </c>
    </row>
    <row r="276">
      <c r="A276" s="117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141"/>
      <c r="I276" s="11"/>
      <c r="J276" s="94"/>
      <c r="K276" s="94"/>
      <c r="L276" s="94"/>
      <c r="M276" s="115" t="b">
        <v>0</v>
      </c>
      <c r="N276" s="115" t="b">
        <v>0</v>
      </c>
    </row>
    <row r="277">
      <c r="A277" s="117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141"/>
      <c r="I277" s="11"/>
      <c r="J277" s="94"/>
      <c r="K277" s="94"/>
      <c r="L277" s="94"/>
      <c r="M277" s="115" t="b">
        <v>0</v>
      </c>
      <c r="N277" s="115" t="b">
        <v>0</v>
      </c>
    </row>
    <row r="278">
      <c r="A278" s="117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141"/>
      <c r="I278" s="11"/>
      <c r="J278" s="94"/>
      <c r="K278" s="94"/>
      <c r="L278" s="94"/>
      <c r="M278" s="115" t="b">
        <v>0</v>
      </c>
      <c r="N278" s="115" t="b">
        <v>0</v>
      </c>
    </row>
    <row r="279">
      <c r="A279" s="117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141"/>
      <c r="I279" s="11"/>
      <c r="J279" s="94"/>
      <c r="K279" s="94"/>
      <c r="L279" s="94"/>
      <c r="M279" s="115" t="b">
        <v>0</v>
      </c>
      <c r="N279" s="115" t="b">
        <v>0</v>
      </c>
    </row>
    <row r="280">
      <c r="A280" s="117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141"/>
      <c r="I280" s="11"/>
      <c r="J280" s="94"/>
      <c r="K280" s="94"/>
      <c r="L280" s="94"/>
      <c r="M280" s="115" t="b">
        <v>0</v>
      </c>
      <c r="N280" s="115" t="b">
        <v>0</v>
      </c>
    </row>
    <row r="281">
      <c r="A281" s="117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141"/>
      <c r="I281" s="11"/>
      <c r="J281" s="94"/>
      <c r="K281" s="94"/>
      <c r="L281" s="94"/>
      <c r="M281" s="115" t="b">
        <v>0</v>
      </c>
      <c r="N281" s="115" t="b">
        <v>0</v>
      </c>
    </row>
    <row r="282">
      <c r="A282" s="117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141"/>
      <c r="I282" s="11"/>
      <c r="J282" s="94"/>
      <c r="K282" s="94"/>
      <c r="L282" s="94"/>
      <c r="M282" s="115" t="b">
        <v>0</v>
      </c>
      <c r="N282" s="115" t="b">
        <v>0</v>
      </c>
    </row>
    <row r="283">
      <c r="A283" s="117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141"/>
      <c r="I283" s="11"/>
      <c r="J283" s="94"/>
      <c r="K283" s="94"/>
      <c r="L283" s="94"/>
      <c r="M283" s="115" t="b">
        <v>0</v>
      </c>
      <c r="N283" s="115" t="b">
        <v>0</v>
      </c>
    </row>
    <row r="284">
      <c r="A284" s="117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141"/>
      <c r="I284" s="11"/>
      <c r="J284" s="94"/>
      <c r="K284" s="94"/>
      <c r="L284" s="94"/>
      <c r="M284" s="115" t="b">
        <v>0</v>
      </c>
      <c r="N284" s="115" t="b">
        <v>0</v>
      </c>
    </row>
    <row r="285"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141"/>
      <c r="I285" s="11"/>
      <c r="J285" s="94"/>
      <c r="K285" s="94"/>
      <c r="L285" s="94"/>
      <c r="M285" s="115" t="b">
        <v>0</v>
      </c>
      <c r="N285" s="115" t="b">
        <v>0</v>
      </c>
    </row>
    <row r="286"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141"/>
      <c r="I286" s="11"/>
      <c r="J286" s="94"/>
      <c r="K286" s="94"/>
      <c r="L286" s="94"/>
      <c r="M286" s="115" t="b">
        <v>0</v>
      </c>
      <c r="N286" s="115" t="b">
        <v>0</v>
      </c>
    </row>
    <row r="287"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141"/>
      <c r="I287" s="11"/>
      <c r="J287" s="94"/>
      <c r="K287" s="94"/>
      <c r="L287" s="94"/>
      <c r="M287" s="115" t="b">
        <v>0</v>
      </c>
      <c r="N287" s="115" t="b">
        <v>0</v>
      </c>
    </row>
    <row r="288"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141"/>
      <c r="I288" s="11"/>
      <c r="J288" s="94"/>
      <c r="K288" s="94"/>
      <c r="L288" s="94"/>
      <c r="M288" s="115" t="b">
        <v>0</v>
      </c>
      <c r="N288" s="115" t="b">
        <v>0</v>
      </c>
    </row>
    <row r="289"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141"/>
      <c r="I289" s="11"/>
      <c r="J289" s="94"/>
      <c r="K289" s="94"/>
      <c r="L289" s="94"/>
      <c r="M289" s="115" t="b">
        <v>0</v>
      </c>
      <c r="N289" s="115" t="b">
        <v>0</v>
      </c>
    </row>
    <row r="290"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141"/>
      <c r="I290" s="11"/>
      <c r="J290" s="94"/>
      <c r="K290" s="94"/>
      <c r="L290" s="94"/>
      <c r="M290" s="115" t="b">
        <v>0</v>
      </c>
      <c r="N290" s="115" t="b">
        <v>0</v>
      </c>
    </row>
    <row r="291"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141"/>
      <c r="I291" s="11"/>
      <c r="J291" s="94"/>
      <c r="K291" s="94"/>
      <c r="L291" s="94"/>
      <c r="M291" s="115" t="b">
        <v>0</v>
      </c>
      <c r="N291" s="115" t="b">
        <v>0</v>
      </c>
    </row>
    <row r="292"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141"/>
      <c r="I292" s="11"/>
      <c r="J292" s="94"/>
      <c r="K292" s="94"/>
      <c r="L292" s="94"/>
      <c r="M292" s="115" t="b">
        <v>0</v>
      </c>
      <c r="N292" s="115" t="b">
        <v>0</v>
      </c>
    </row>
    <row r="293"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141"/>
      <c r="I293" s="11"/>
      <c r="J293" s="94"/>
      <c r="K293" s="94"/>
      <c r="L293" s="94"/>
      <c r="M293" s="115" t="b">
        <v>0</v>
      </c>
      <c r="N293" s="115" t="b">
        <v>0</v>
      </c>
    </row>
    <row r="294"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141"/>
      <c r="I294" s="11"/>
      <c r="J294" s="94"/>
      <c r="K294" s="94"/>
      <c r="L294" s="94"/>
      <c r="M294" s="115" t="b">
        <v>0</v>
      </c>
      <c r="N294" s="115" t="b">
        <v>0</v>
      </c>
    </row>
    <row r="295"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141"/>
      <c r="I295" s="11"/>
      <c r="J295" s="94"/>
      <c r="K295" s="94"/>
      <c r="L295" s="94"/>
      <c r="M295" s="115" t="b">
        <v>0</v>
      </c>
      <c r="N295" s="115" t="b">
        <v>0</v>
      </c>
    </row>
    <row r="296"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141"/>
      <c r="I296" s="11"/>
      <c r="J296" s="94"/>
      <c r="K296" s="94"/>
      <c r="L296" s="94"/>
      <c r="M296" s="115" t="b">
        <v>0</v>
      </c>
      <c r="N296" s="115" t="b">
        <v>0</v>
      </c>
    </row>
    <row r="297"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141"/>
      <c r="I297" s="11"/>
      <c r="J297" s="94"/>
      <c r="K297" s="94"/>
      <c r="L297" s="94"/>
      <c r="M297" s="115" t="b">
        <v>0</v>
      </c>
      <c r="N297" s="115" t="b">
        <v>0</v>
      </c>
    </row>
    <row r="298"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141"/>
      <c r="I298" s="11"/>
      <c r="J298" s="94"/>
      <c r="K298" s="94"/>
      <c r="L298" s="94"/>
      <c r="M298" s="115" t="b">
        <v>0</v>
      </c>
      <c r="N298" s="115" t="b">
        <v>0</v>
      </c>
    </row>
    <row r="299"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94"/>
      <c r="H299" s="141"/>
      <c r="I299" s="11"/>
      <c r="J299" s="94"/>
      <c r="K299" s="94"/>
      <c r="L299" s="94"/>
      <c r="M299" s="115" t="b">
        <v>0</v>
      </c>
      <c r="N299" s="115" t="b">
        <v>0</v>
      </c>
    </row>
    <row r="300"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94"/>
      <c r="H300" s="141"/>
      <c r="I300" s="11"/>
      <c r="J300" s="94"/>
      <c r="K300" s="94"/>
      <c r="L300" s="94"/>
      <c r="M300" s="115" t="b">
        <v>0</v>
      </c>
      <c r="N300" s="115" t="b">
        <v>0</v>
      </c>
    </row>
    <row r="301"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94"/>
      <c r="H301" s="141"/>
      <c r="I301" s="11"/>
      <c r="J301" s="94"/>
      <c r="K301" s="94"/>
      <c r="L301" s="94"/>
      <c r="M301" s="115" t="b">
        <v>0</v>
      </c>
      <c r="N301" s="115" t="b">
        <v>0</v>
      </c>
    </row>
    <row r="302"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94"/>
      <c r="H302" s="141"/>
      <c r="I302" s="11"/>
      <c r="J302" s="94"/>
      <c r="K302" s="94"/>
      <c r="L302" s="94"/>
      <c r="M302" s="115" t="b">
        <v>0</v>
      </c>
      <c r="N302" s="115" t="b">
        <v>0</v>
      </c>
    </row>
    <row r="303"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94"/>
      <c r="H303" s="141"/>
      <c r="I303" s="11"/>
      <c r="J303" s="94"/>
      <c r="K303" s="94"/>
      <c r="L303" s="94"/>
      <c r="M303" s="115" t="b">
        <v>0</v>
      </c>
      <c r="N303" s="115" t="b">
        <v>0</v>
      </c>
    </row>
    <row r="304"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94"/>
      <c r="H304" s="141"/>
      <c r="I304" s="11"/>
      <c r="J304" s="94"/>
      <c r="K304" s="94"/>
      <c r="L304" s="94"/>
      <c r="M304" s="115" t="b">
        <v>0</v>
      </c>
      <c r="N304" s="115" t="b">
        <v>0</v>
      </c>
    </row>
    <row r="305"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94"/>
      <c r="H305" s="141"/>
      <c r="I305" s="11"/>
      <c r="J305" s="94"/>
      <c r="K305" s="94"/>
      <c r="L305" s="94"/>
      <c r="M305" s="115" t="b">
        <v>0</v>
      </c>
      <c r="N305" s="115" t="b">
        <v>0</v>
      </c>
    </row>
    <row r="306"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94"/>
      <c r="H306" s="141"/>
      <c r="I306" s="11"/>
      <c r="J306" s="94"/>
      <c r="K306" s="94"/>
      <c r="L306" s="94"/>
      <c r="M306" s="115" t="b">
        <v>0</v>
      </c>
      <c r="N306" s="115" t="b">
        <v>0</v>
      </c>
    </row>
    <row r="307"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G307" s="94"/>
      <c r="H307" s="141"/>
      <c r="I307" s="11"/>
      <c r="J307" s="94"/>
      <c r="K307" s="94"/>
      <c r="L307" s="94"/>
      <c r="M307" s="115" t="b">
        <v>0</v>
      </c>
      <c r="N307" s="115" t="b">
        <v>0</v>
      </c>
    </row>
    <row r="308">
      <c r="G308" s="94"/>
      <c r="I308" s="94"/>
      <c r="J308" s="94"/>
      <c r="K308" s="94"/>
      <c r="L308" s="94"/>
      <c r="M308" s="94"/>
      <c r="N308" s="94"/>
    </row>
    <row r="309">
      <c r="G309" s="94"/>
      <c r="I309" s="94"/>
      <c r="J309" s="94"/>
      <c r="K309" s="94"/>
      <c r="L309" s="94"/>
      <c r="M309" s="94"/>
      <c r="N309" s="94"/>
    </row>
    <row r="310">
      <c r="G310" s="94"/>
      <c r="I310" s="94"/>
      <c r="J310" s="94"/>
      <c r="K310" s="94"/>
      <c r="L310" s="94"/>
      <c r="M310" s="94"/>
      <c r="N310" s="94"/>
    </row>
    <row r="311">
      <c r="G311" s="94"/>
      <c r="I311" s="94"/>
      <c r="J311" s="94"/>
      <c r="K311" s="94"/>
      <c r="L311" s="94"/>
      <c r="M311" s="94"/>
      <c r="N311" s="94"/>
    </row>
    <row r="312">
      <c r="G312" s="94"/>
      <c r="I312" s="94"/>
      <c r="J312" s="94"/>
      <c r="K312" s="94"/>
      <c r="L312" s="94"/>
      <c r="M312" s="94"/>
      <c r="N312" s="94"/>
    </row>
    <row r="313">
      <c r="G313" s="94"/>
      <c r="I313" s="94"/>
      <c r="J313" s="94"/>
      <c r="K313" s="94"/>
      <c r="L313" s="94"/>
      <c r="M313" s="94"/>
      <c r="N313" s="94"/>
    </row>
    <row r="314">
      <c r="G314" s="94"/>
      <c r="I314" s="94"/>
      <c r="J314" s="94"/>
      <c r="K314" s="94"/>
      <c r="L314" s="94"/>
      <c r="M314" s="94"/>
      <c r="N314" s="94"/>
    </row>
    <row r="315">
      <c r="G315" s="94"/>
      <c r="I315" s="94"/>
      <c r="J315" s="94"/>
      <c r="K315" s="94"/>
      <c r="L315" s="94"/>
      <c r="M315" s="94"/>
      <c r="N315" s="94"/>
    </row>
    <row r="316">
      <c r="G316" s="94"/>
      <c r="I316" s="94"/>
      <c r="J316" s="94"/>
      <c r="K316" s="94"/>
      <c r="L316" s="94"/>
      <c r="M316" s="94"/>
      <c r="N316" s="94"/>
    </row>
    <row r="317">
      <c r="G317" s="94"/>
      <c r="I317" s="94"/>
      <c r="J317" s="94"/>
      <c r="K317" s="94"/>
      <c r="L317" s="94"/>
      <c r="M317" s="94"/>
      <c r="N317" s="94"/>
    </row>
    <row r="318">
      <c r="G318" s="94"/>
      <c r="I318" s="94"/>
      <c r="J318" s="94"/>
      <c r="K318" s="94"/>
      <c r="L318" s="94"/>
      <c r="M318" s="94"/>
      <c r="N318" s="94"/>
    </row>
    <row r="319">
      <c r="G319" s="94"/>
      <c r="I319" s="94"/>
      <c r="J319" s="94"/>
      <c r="K319" s="94"/>
      <c r="L319" s="94"/>
      <c r="M319" s="94"/>
      <c r="N319" s="94"/>
    </row>
    <row r="320">
      <c r="G320" s="94"/>
      <c r="I320" s="94"/>
      <c r="J320" s="94"/>
      <c r="K320" s="94"/>
      <c r="L320" s="94"/>
      <c r="M320" s="94"/>
      <c r="N320" s="94"/>
    </row>
    <row r="321">
      <c r="G321" s="94"/>
      <c r="I321" s="94"/>
      <c r="J321" s="94"/>
      <c r="K321" s="94"/>
      <c r="L321" s="94"/>
      <c r="M321" s="94"/>
      <c r="N321" s="94"/>
    </row>
    <row r="322">
      <c r="G322" s="94"/>
      <c r="I322" s="94"/>
      <c r="J322" s="94"/>
      <c r="K322" s="94"/>
      <c r="L322" s="94"/>
      <c r="M322" s="94"/>
      <c r="N322" s="94"/>
    </row>
    <row r="323">
      <c r="G323" s="94"/>
      <c r="I323" s="94"/>
      <c r="J323" s="94"/>
      <c r="K323" s="94"/>
      <c r="L323" s="94"/>
      <c r="M323" s="94"/>
      <c r="N323" s="94"/>
    </row>
    <row r="324">
      <c r="G324" s="94"/>
      <c r="I324" s="94"/>
      <c r="J324" s="94"/>
      <c r="K324" s="94"/>
      <c r="L324" s="94"/>
      <c r="M324" s="94"/>
      <c r="N324" s="94"/>
    </row>
    <row r="325">
      <c r="G325" s="94"/>
      <c r="I325" s="94"/>
      <c r="J325" s="94"/>
      <c r="K325" s="94"/>
      <c r="L325" s="94"/>
      <c r="M325" s="94"/>
      <c r="N325" s="94"/>
    </row>
    <row r="326">
      <c r="G326" s="94"/>
      <c r="I326" s="94"/>
      <c r="J326" s="94"/>
      <c r="K326" s="94"/>
      <c r="L326" s="94"/>
      <c r="M326" s="94"/>
      <c r="N326" s="94"/>
    </row>
    <row r="327">
      <c r="G327" s="94"/>
      <c r="I327" s="94"/>
      <c r="J327" s="94"/>
      <c r="K327" s="94"/>
      <c r="L327" s="94"/>
      <c r="M327" s="94"/>
      <c r="N327" s="94"/>
    </row>
    <row r="328">
      <c r="G328" s="94"/>
      <c r="I328" s="94"/>
      <c r="J328" s="94"/>
      <c r="K328" s="94"/>
      <c r="L328" s="94"/>
      <c r="M328" s="94"/>
      <c r="N328" s="94"/>
    </row>
    <row r="329">
      <c r="G329" s="94"/>
      <c r="I329" s="94"/>
      <c r="J329" s="94"/>
      <c r="K329" s="94"/>
      <c r="L329" s="94"/>
      <c r="M329" s="94"/>
      <c r="N329" s="94"/>
    </row>
    <row r="330">
      <c r="G330" s="94"/>
      <c r="I330" s="94"/>
      <c r="J330" s="94"/>
      <c r="K330" s="94"/>
      <c r="L330" s="94"/>
      <c r="M330" s="94"/>
      <c r="N330" s="94"/>
    </row>
    <row r="331">
      <c r="G331" s="94"/>
      <c r="I331" s="94"/>
      <c r="J331" s="94"/>
      <c r="K331" s="94"/>
      <c r="L331" s="94"/>
      <c r="M331" s="94"/>
      <c r="N331" s="94"/>
    </row>
    <row r="332">
      <c r="G332" s="94"/>
      <c r="I332" s="94"/>
      <c r="J332" s="94"/>
      <c r="K332" s="94"/>
      <c r="L332" s="94"/>
      <c r="M332" s="94"/>
      <c r="N332" s="94"/>
    </row>
    <row r="333">
      <c r="G333" s="94"/>
      <c r="I333" s="94"/>
      <c r="J333" s="94"/>
      <c r="K333" s="94"/>
      <c r="L333" s="94"/>
      <c r="M333" s="94"/>
      <c r="N333" s="94"/>
    </row>
    <row r="334">
      <c r="G334" s="94"/>
      <c r="I334" s="94"/>
      <c r="J334" s="94"/>
      <c r="K334" s="94"/>
      <c r="L334" s="94"/>
      <c r="M334" s="94"/>
      <c r="N334" s="94"/>
    </row>
    <row r="335">
      <c r="G335" s="94"/>
      <c r="I335" s="94"/>
      <c r="J335" s="94"/>
      <c r="K335" s="94"/>
      <c r="L335" s="94"/>
      <c r="M335" s="94"/>
      <c r="N335" s="94"/>
    </row>
    <row r="336">
      <c r="G336" s="94"/>
      <c r="I336" s="94"/>
      <c r="J336" s="94"/>
      <c r="K336" s="94"/>
      <c r="L336" s="94"/>
      <c r="M336" s="94"/>
      <c r="N336" s="94"/>
    </row>
    <row r="337">
      <c r="G337" s="94"/>
      <c r="I337" s="94"/>
      <c r="J337" s="94"/>
      <c r="K337" s="94"/>
      <c r="L337" s="94"/>
      <c r="M337" s="94"/>
      <c r="N337" s="94"/>
    </row>
    <row r="338">
      <c r="G338" s="94"/>
      <c r="I338" s="94"/>
      <c r="J338" s="94"/>
      <c r="K338" s="94"/>
      <c r="L338" s="94"/>
      <c r="M338" s="94"/>
      <c r="N338" s="94"/>
    </row>
    <row r="339">
      <c r="G339" s="94"/>
      <c r="I339" s="94"/>
      <c r="J339" s="94"/>
      <c r="K339" s="94"/>
      <c r="L339" s="94"/>
      <c r="M339" s="94"/>
      <c r="N339" s="94"/>
    </row>
    <row r="340">
      <c r="G340" s="94"/>
      <c r="I340" s="94"/>
      <c r="J340" s="94"/>
      <c r="K340" s="94"/>
      <c r="L340" s="94"/>
      <c r="M340" s="94"/>
      <c r="N340" s="94"/>
    </row>
    <row r="341">
      <c r="G341" s="94"/>
      <c r="I341" s="94"/>
      <c r="J341" s="94"/>
      <c r="K341" s="94"/>
      <c r="L341" s="94"/>
      <c r="M341" s="94"/>
      <c r="N341" s="94"/>
    </row>
    <row r="342">
      <c r="G342" s="94"/>
      <c r="I342" s="94"/>
      <c r="J342" s="94"/>
      <c r="K342" s="94"/>
      <c r="L342" s="94"/>
      <c r="M342" s="94"/>
      <c r="N342" s="94"/>
    </row>
    <row r="343">
      <c r="G343" s="94"/>
      <c r="I343" s="94"/>
      <c r="J343" s="94"/>
      <c r="K343" s="94"/>
      <c r="L343" s="94"/>
      <c r="M343" s="94"/>
      <c r="N343" s="94"/>
    </row>
    <row r="344">
      <c r="G344" s="94"/>
      <c r="I344" s="94"/>
      <c r="J344" s="94"/>
      <c r="K344" s="94"/>
      <c r="L344" s="94"/>
      <c r="M344" s="94"/>
      <c r="N344" s="94"/>
    </row>
    <row r="345">
      <c r="G345" s="94"/>
      <c r="I345" s="94"/>
      <c r="J345" s="94"/>
      <c r="K345" s="94"/>
      <c r="L345" s="94"/>
      <c r="M345" s="94"/>
      <c r="N345" s="94"/>
    </row>
    <row r="346">
      <c r="G346" s="94"/>
      <c r="I346" s="94"/>
      <c r="J346" s="94"/>
      <c r="K346" s="94"/>
      <c r="L346" s="94"/>
      <c r="M346" s="94"/>
      <c r="N346" s="94"/>
    </row>
    <row r="347">
      <c r="G347" s="94"/>
      <c r="I347" s="94"/>
      <c r="J347" s="94"/>
      <c r="K347" s="94"/>
      <c r="L347" s="94"/>
      <c r="M347" s="94"/>
      <c r="N347" s="94"/>
    </row>
    <row r="348">
      <c r="G348" s="94"/>
      <c r="I348" s="94"/>
      <c r="J348" s="94"/>
      <c r="K348" s="94"/>
      <c r="L348" s="94"/>
      <c r="M348" s="94"/>
      <c r="N348" s="94"/>
    </row>
    <row r="349">
      <c r="G349" s="94"/>
      <c r="I349" s="94"/>
      <c r="J349" s="94"/>
      <c r="K349" s="94"/>
      <c r="L349" s="94"/>
      <c r="M349" s="94"/>
      <c r="N349" s="94"/>
    </row>
    <row r="350">
      <c r="G350" s="94"/>
      <c r="I350" s="94"/>
      <c r="J350" s="94"/>
      <c r="K350" s="94"/>
      <c r="L350" s="94"/>
      <c r="M350" s="94"/>
      <c r="N350" s="94"/>
    </row>
    <row r="351">
      <c r="G351" s="94"/>
      <c r="I351" s="94"/>
      <c r="J351" s="94"/>
      <c r="K351" s="94"/>
      <c r="L351" s="94"/>
      <c r="M351" s="94"/>
      <c r="N351" s="94"/>
    </row>
    <row r="352">
      <c r="G352" s="94"/>
      <c r="I352" s="94"/>
      <c r="J352" s="94"/>
      <c r="K352" s="94"/>
      <c r="L352" s="94"/>
      <c r="M352" s="94"/>
      <c r="N352" s="94"/>
    </row>
    <row r="353">
      <c r="G353" s="94"/>
      <c r="I353" s="94"/>
      <c r="J353" s="94"/>
      <c r="K353" s="94"/>
      <c r="L353" s="94"/>
      <c r="M353" s="94"/>
      <c r="N353" s="94"/>
    </row>
    <row r="354">
      <c r="G354" s="94"/>
      <c r="I354" s="94"/>
      <c r="J354" s="94"/>
      <c r="K354" s="94"/>
      <c r="L354" s="94"/>
      <c r="M354" s="94"/>
      <c r="N354" s="94"/>
    </row>
    <row r="355">
      <c r="G355" s="94"/>
      <c r="I355" s="94"/>
      <c r="J355" s="94"/>
      <c r="K355" s="94"/>
      <c r="L355" s="94"/>
      <c r="M355" s="94"/>
      <c r="N355" s="94"/>
    </row>
    <row r="356">
      <c r="G356" s="94"/>
      <c r="I356" s="94"/>
      <c r="J356" s="94"/>
      <c r="K356" s="94"/>
      <c r="L356" s="94"/>
      <c r="M356" s="94"/>
      <c r="N356" s="94"/>
    </row>
    <row r="357">
      <c r="G357" s="94"/>
      <c r="I357" s="94"/>
      <c r="J357" s="94"/>
      <c r="K357" s="94"/>
      <c r="L357" s="94"/>
      <c r="M357" s="94"/>
      <c r="N357" s="94"/>
    </row>
    <row r="358">
      <c r="G358" s="94"/>
      <c r="I358" s="94"/>
      <c r="J358" s="94"/>
      <c r="K358" s="94"/>
      <c r="L358" s="94"/>
      <c r="M358" s="94"/>
      <c r="N358" s="94"/>
    </row>
    <row r="359">
      <c r="G359" s="94"/>
      <c r="I359" s="94"/>
      <c r="J359" s="94"/>
      <c r="K359" s="94"/>
      <c r="L359" s="94"/>
      <c r="M359" s="94"/>
      <c r="N359" s="94"/>
    </row>
    <row r="360">
      <c r="G360" s="94"/>
      <c r="I360" s="94"/>
      <c r="J360" s="94"/>
      <c r="K360" s="94"/>
      <c r="L360" s="94"/>
      <c r="M360" s="94"/>
      <c r="N360" s="94"/>
    </row>
    <row r="361">
      <c r="G361" s="94"/>
      <c r="I361" s="94"/>
      <c r="J361" s="94"/>
      <c r="K361" s="94"/>
      <c r="L361" s="94"/>
      <c r="M361" s="94"/>
      <c r="N361" s="94"/>
    </row>
    <row r="362">
      <c r="G362" s="94"/>
      <c r="I362" s="94"/>
      <c r="J362" s="94"/>
      <c r="K362" s="94"/>
      <c r="L362" s="94"/>
      <c r="M362" s="94"/>
      <c r="N362" s="94"/>
    </row>
    <row r="363">
      <c r="G363" s="94"/>
      <c r="I363" s="94"/>
      <c r="J363" s="94"/>
      <c r="K363" s="94"/>
      <c r="L363" s="94"/>
      <c r="M363" s="94"/>
      <c r="N363" s="94"/>
    </row>
    <row r="364">
      <c r="G364" s="94"/>
      <c r="I364" s="94"/>
      <c r="J364" s="94"/>
      <c r="K364" s="94"/>
      <c r="L364" s="94"/>
      <c r="M364" s="94"/>
      <c r="N364" s="94"/>
    </row>
    <row r="365">
      <c r="G365" s="94"/>
      <c r="I365" s="94"/>
      <c r="J365" s="94"/>
      <c r="K365" s="94"/>
      <c r="L365" s="94"/>
      <c r="M365" s="94"/>
      <c r="N365" s="94"/>
    </row>
    <row r="366">
      <c r="G366" s="94"/>
      <c r="I366" s="94"/>
      <c r="J366" s="94"/>
      <c r="K366" s="94"/>
      <c r="L366" s="94"/>
      <c r="M366" s="94"/>
      <c r="N366" s="94"/>
    </row>
    <row r="367">
      <c r="G367" s="94"/>
      <c r="I367" s="94"/>
      <c r="J367" s="94"/>
      <c r="K367" s="94"/>
      <c r="L367" s="94"/>
      <c r="M367" s="94"/>
      <c r="N367" s="94"/>
    </row>
    <row r="368">
      <c r="G368" s="94"/>
      <c r="I368" s="94"/>
      <c r="J368" s="94"/>
      <c r="K368" s="94"/>
      <c r="L368" s="94"/>
      <c r="M368" s="94"/>
      <c r="N368" s="94"/>
    </row>
    <row r="369">
      <c r="G369" s="94"/>
      <c r="I369" s="94"/>
      <c r="J369" s="94"/>
      <c r="K369" s="94"/>
      <c r="L369" s="94"/>
      <c r="M369" s="94"/>
      <c r="N369" s="94"/>
    </row>
    <row r="370">
      <c r="G370" s="94"/>
      <c r="I370" s="94"/>
      <c r="J370" s="94"/>
      <c r="K370" s="94"/>
      <c r="L370" s="94"/>
      <c r="M370" s="94"/>
      <c r="N370" s="94"/>
    </row>
    <row r="371">
      <c r="G371" s="94"/>
      <c r="I371" s="94"/>
      <c r="J371" s="94"/>
      <c r="K371" s="94"/>
      <c r="L371" s="94"/>
      <c r="M371" s="94"/>
      <c r="N371" s="94"/>
    </row>
    <row r="372">
      <c r="G372" s="94"/>
      <c r="I372" s="94"/>
      <c r="J372" s="94"/>
      <c r="K372" s="94"/>
      <c r="L372" s="94"/>
      <c r="M372" s="94"/>
      <c r="N372" s="94"/>
    </row>
    <row r="373">
      <c r="G373" s="94"/>
      <c r="I373" s="94"/>
      <c r="J373" s="94"/>
      <c r="K373" s="94"/>
      <c r="L373" s="94"/>
      <c r="M373" s="94"/>
      <c r="N373" s="94"/>
    </row>
    <row r="374">
      <c r="G374" s="94"/>
      <c r="I374" s="94"/>
      <c r="J374" s="94"/>
      <c r="K374" s="94"/>
      <c r="L374" s="94"/>
      <c r="M374" s="94"/>
      <c r="N374" s="94"/>
    </row>
    <row r="375">
      <c r="G375" s="94"/>
      <c r="I375" s="94"/>
      <c r="J375" s="94"/>
      <c r="K375" s="94"/>
      <c r="L375" s="94"/>
      <c r="M375" s="94"/>
      <c r="N375" s="94"/>
    </row>
    <row r="376">
      <c r="G376" s="94"/>
      <c r="I376" s="94"/>
      <c r="J376" s="94"/>
      <c r="K376" s="94"/>
      <c r="L376" s="94"/>
      <c r="M376" s="94"/>
      <c r="N376" s="94"/>
    </row>
    <row r="377">
      <c r="G377" s="94"/>
      <c r="I377" s="94"/>
      <c r="J377" s="94"/>
      <c r="K377" s="94"/>
      <c r="L377" s="94"/>
      <c r="M377" s="94"/>
      <c r="N377" s="94"/>
    </row>
    <row r="378">
      <c r="G378" s="94"/>
      <c r="I378" s="94"/>
      <c r="J378" s="94"/>
      <c r="K378" s="94"/>
      <c r="L378" s="94"/>
      <c r="M378" s="94"/>
      <c r="N378" s="94"/>
    </row>
    <row r="379">
      <c r="G379" s="94"/>
      <c r="I379" s="94"/>
      <c r="J379" s="94"/>
      <c r="K379" s="94"/>
      <c r="L379" s="94"/>
      <c r="M379" s="94"/>
      <c r="N379" s="94"/>
    </row>
    <row r="380">
      <c r="G380" s="94"/>
      <c r="I380" s="94"/>
      <c r="J380" s="94"/>
      <c r="K380" s="94"/>
      <c r="L380" s="94"/>
      <c r="M380" s="94"/>
      <c r="N380" s="94"/>
    </row>
    <row r="381">
      <c r="G381" s="94"/>
      <c r="I381" s="94"/>
      <c r="J381" s="94"/>
      <c r="K381" s="94"/>
      <c r="L381" s="94"/>
      <c r="M381" s="94"/>
      <c r="N381" s="94"/>
    </row>
    <row r="382">
      <c r="G382" s="94"/>
      <c r="I382" s="94"/>
      <c r="J382" s="94"/>
      <c r="K382" s="94"/>
      <c r="L382" s="94"/>
      <c r="M382" s="94"/>
      <c r="N382" s="94"/>
    </row>
    <row r="383">
      <c r="G383" s="94"/>
      <c r="I383" s="94"/>
      <c r="J383" s="94"/>
      <c r="K383" s="94"/>
      <c r="L383" s="94"/>
      <c r="M383" s="94"/>
      <c r="N383" s="94"/>
    </row>
    <row r="384">
      <c r="G384" s="94"/>
      <c r="I384" s="94"/>
      <c r="J384" s="94"/>
      <c r="K384" s="94"/>
      <c r="L384" s="94"/>
      <c r="M384" s="94"/>
      <c r="N384" s="94"/>
    </row>
    <row r="385">
      <c r="G385" s="94"/>
      <c r="I385" s="94"/>
      <c r="J385" s="94"/>
      <c r="K385" s="94"/>
      <c r="L385" s="94"/>
      <c r="M385" s="94"/>
      <c r="N385" s="94"/>
    </row>
    <row r="386">
      <c r="G386" s="94"/>
      <c r="I386" s="94"/>
      <c r="J386" s="94"/>
      <c r="K386" s="94"/>
      <c r="L386" s="94"/>
      <c r="M386" s="94"/>
      <c r="N386" s="94"/>
    </row>
    <row r="387">
      <c r="G387" s="94"/>
      <c r="I387" s="94"/>
      <c r="J387" s="94"/>
      <c r="K387" s="94"/>
      <c r="L387" s="94"/>
      <c r="M387" s="94"/>
      <c r="N387" s="94"/>
    </row>
    <row r="388">
      <c r="G388" s="94"/>
      <c r="I388" s="94"/>
      <c r="J388" s="94"/>
      <c r="K388" s="94"/>
      <c r="L388" s="94"/>
      <c r="M388" s="94"/>
      <c r="N388" s="94"/>
    </row>
    <row r="389">
      <c r="G389" s="94"/>
      <c r="I389" s="94"/>
      <c r="J389" s="94"/>
      <c r="K389" s="94"/>
      <c r="L389" s="94"/>
      <c r="M389" s="94"/>
      <c r="N389" s="94"/>
    </row>
    <row r="390">
      <c r="G390" s="94"/>
      <c r="I390" s="94"/>
      <c r="J390" s="94"/>
      <c r="K390" s="94"/>
      <c r="L390" s="94"/>
      <c r="M390" s="94"/>
      <c r="N390" s="94"/>
    </row>
    <row r="391">
      <c r="G391" s="94"/>
      <c r="I391" s="94"/>
      <c r="J391" s="94"/>
      <c r="K391" s="94"/>
      <c r="L391" s="94"/>
      <c r="M391" s="94"/>
      <c r="N391" s="94"/>
    </row>
    <row r="392">
      <c r="G392" s="94"/>
      <c r="I392" s="94"/>
      <c r="J392" s="94"/>
      <c r="K392" s="94"/>
      <c r="L392" s="94"/>
      <c r="M392" s="94"/>
      <c r="N392" s="94"/>
    </row>
    <row r="393">
      <c r="G393" s="94"/>
      <c r="I393" s="94"/>
      <c r="J393" s="94"/>
      <c r="K393" s="94"/>
      <c r="L393" s="94"/>
      <c r="M393" s="94"/>
      <c r="N393" s="94"/>
    </row>
    <row r="394">
      <c r="G394" s="94"/>
      <c r="I394" s="94"/>
      <c r="J394" s="94"/>
      <c r="K394" s="94"/>
      <c r="L394" s="94"/>
      <c r="M394" s="94"/>
      <c r="N394" s="94"/>
    </row>
    <row r="395">
      <c r="G395" s="94"/>
      <c r="I395" s="94"/>
      <c r="J395" s="94"/>
      <c r="K395" s="94"/>
      <c r="L395" s="94"/>
      <c r="M395" s="94"/>
      <c r="N395" s="94"/>
    </row>
    <row r="396">
      <c r="G396" s="94"/>
      <c r="I396" s="94"/>
      <c r="J396" s="94"/>
      <c r="K396" s="94"/>
      <c r="L396" s="94"/>
      <c r="M396" s="94"/>
      <c r="N396" s="94"/>
    </row>
    <row r="397">
      <c r="G397" s="94"/>
      <c r="I397" s="94"/>
      <c r="J397" s="94"/>
      <c r="K397" s="94"/>
      <c r="L397" s="94"/>
      <c r="M397" s="94"/>
      <c r="N397" s="94"/>
    </row>
    <row r="398">
      <c r="G398" s="94"/>
      <c r="I398" s="94"/>
      <c r="J398" s="94"/>
      <c r="K398" s="94"/>
      <c r="L398" s="94"/>
      <c r="M398" s="94"/>
      <c r="N398" s="94"/>
    </row>
    <row r="399">
      <c r="G399" s="94"/>
      <c r="I399" s="94"/>
      <c r="J399" s="94"/>
      <c r="K399" s="94"/>
      <c r="L399" s="94"/>
      <c r="M399" s="94"/>
      <c r="N399" s="94"/>
    </row>
    <row r="400">
      <c r="G400" s="94"/>
      <c r="I400" s="94"/>
      <c r="J400" s="94"/>
      <c r="K400" s="94"/>
      <c r="L400" s="94"/>
      <c r="M400" s="94"/>
      <c r="N400" s="94"/>
    </row>
    <row r="401">
      <c r="G401" s="94"/>
      <c r="I401" s="94"/>
      <c r="J401" s="94"/>
      <c r="K401" s="94"/>
      <c r="L401" s="94"/>
      <c r="M401" s="94"/>
      <c r="N401" s="94"/>
    </row>
    <row r="402">
      <c r="G402" s="94"/>
      <c r="I402" s="94"/>
      <c r="J402" s="94"/>
      <c r="K402" s="94"/>
      <c r="L402" s="94"/>
      <c r="M402" s="94"/>
      <c r="N402" s="94"/>
    </row>
    <row r="403">
      <c r="G403" s="94"/>
      <c r="I403" s="94"/>
      <c r="J403" s="94"/>
      <c r="K403" s="94"/>
      <c r="L403" s="94"/>
      <c r="M403" s="94"/>
      <c r="N403" s="94"/>
    </row>
    <row r="404">
      <c r="G404" s="94"/>
      <c r="I404" s="94"/>
      <c r="J404" s="94"/>
      <c r="K404" s="94"/>
      <c r="L404" s="94"/>
      <c r="M404" s="94"/>
      <c r="N404" s="94"/>
    </row>
    <row r="405">
      <c r="G405" s="94"/>
      <c r="I405" s="94"/>
      <c r="J405" s="94"/>
      <c r="K405" s="94"/>
      <c r="L405" s="94"/>
      <c r="M405" s="94"/>
      <c r="N405" s="94"/>
    </row>
    <row r="406">
      <c r="G406" s="94"/>
      <c r="I406" s="94"/>
      <c r="J406" s="94"/>
      <c r="K406" s="94"/>
      <c r="L406" s="94"/>
      <c r="M406" s="94"/>
      <c r="N406" s="94"/>
    </row>
    <row r="407">
      <c r="G407" s="94"/>
      <c r="I407" s="94"/>
      <c r="J407" s="94"/>
      <c r="K407" s="94"/>
      <c r="L407" s="94"/>
      <c r="M407" s="94"/>
      <c r="N407" s="94"/>
    </row>
    <row r="408">
      <c r="G408" s="94"/>
      <c r="I408" s="94"/>
      <c r="J408" s="94"/>
      <c r="K408" s="94"/>
      <c r="L408" s="94"/>
      <c r="M408" s="94"/>
      <c r="N408" s="94"/>
    </row>
    <row r="409">
      <c r="G409" s="94"/>
      <c r="I409" s="94"/>
      <c r="J409" s="94"/>
      <c r="K409" s="94"/>
      <c r="L409" s="94"/>
      <c r="M409" s="94"/>
      <c r="N409" s="94"/>
    </row>
    <row r="410">
      <c r="G410" s="94"/>
      <c r="I410" s="94"/>
      <c r="J410" s="94"/>
      <c r="K410" s="94"/>
      <c r="L410" s="94"/>
      <c r="M410" s="94"/>
      <c r="N410" s="94"/>
    </row>
    <row r="411">
      <c r="G411" s="94"/>
      <c r="I411" s="94"/>
      <c r="J411" s="94"/>
      <c r="K411" s="94"/>
      <c r="L411" s="94"/>
      <c r="M411" s="94"/>
      <c r="N411" s="94"/>
    </row>
    <row r="412">
      <c r="G412" s="94"/>
      <c r="I412" s="94"/>
      <c r="J412" s="94"/>
      <c r="K412" s="94"/>
      <c r="L412" s="94"/>
      <c r="M412" s="94"/>
      <c r="N412" s="94"/>
    </row>
    <row r="413">
      <c r="G413" s="94"/>
      <c r="I413" s="94"/>
      <c r="J413" s="94"/>
      <c r="K413" s="94"/>
      <c r="L413" s="94"/>
      <c r="M413" s="94"/>
      <c r="N413" s="94"/>
    </row>
    <row r="414">
      <c r="G414" s="94"/>
      <c r="I414" s="94"/>
      <c r="J414" s="94"/>
      <c r="K414" s="94"/>
      <c r="L414" s="94"/>
      <c r="M414" s="94"/>
      <c r="N414" s="94"/>
    </row>
    <row r="415">
      <c r="G415" s="94"/>
      <c r="I415" s="94"/>
      <c r="J415" s="94"/>
      <c r="K415" s="94"/>
      <c r="L415" s="94"/>
      <c r="M415" s="94"/>
      <c r="N415" s="94"/>
    </row>
    <row r="416">
      <c r="G416" s="94"/>
      <c r="I416" s="94"/>
      <c r="J416" s="94"/>
      <c r="K416" s="94"/>
      <c r="L416" s="94"/>
      <c r="M416" s="94"/>
      <c r="N416" s="94"/>
    </row>
    <row r="417">
      <c r="G417" s="94"/>
      <c r="I417" s="94"/>
      <c r="J417" s="94"/>
      <c r="K417" s="94"/>
      <c r="L417" s="94"/>
      <c r="M417" s="94"/>
      <c r="N417" s="94"/>
    </row>
    <row r="418">
      <c r="G418" s="94"/>
      <c r="I418" s="94"/>
      <c r="J418" s="94"/>
      <c r="K418" s="94"/>
      <c r="L418" s="94"/>
      <c r="M418" s="94"/>
      <c r="N418" s="94"/>
    </row>
    <row r="419">
      <c r="G419" s="94"/>
      <c r="I419" s="94"/>
      <c r="J419" s="94"/>
      <c r="K419" s="94"/>
      <c r="L419" s="94"/>
      <c r="M419" s="94"/>
      <c r="N419" s="94"/>
    </row>
    <row r="420">
      <c r="G420" s="94"/>
      <c r="I420" s="94"/>
      <c r="J420" s="94"/>
      <c r="K420" s="94"/>
      <c r="L420" s="94"/>
      <c r="M420" s="94"/>
      <c r="N420" s="94"/>
    </row>
    <row r="421">
      <c r="G421" s="94"/>
      <c r="I421" s="94"/>
      <c r="J421" s="94"/>
      <c r="K421" s="94"/>
      <c r="L421" s="94"/>
      <c r="M421" s="94"/>
      <c r="N421" s="94"/>
    </row>
    <row r="422">
      <c r="G422" s="94"/>
      <c r="I422" s="94"/>
      <c r="J422" s="94"/>
      <c r="K422" s="94"/>
      <c r="L422" s="94"/>
      <c r="M422" s="94"/>
      <c r="N422" s="94"/>
    </row>
    <row r="423">
      <c r="G423" s="94"/>
      <c r="I423" s="94"/>
      <c r="J423" s="94"/>
      <c r="K423" s="94"/>
      <c r="L423" s="94"/>
      <c r="M423" s="94"/>
      <c r="N423" s="94"/>
    </row>
    <row r="424">
      <c r="G424" s="94"/>
      <c r="I424" s="94"/>
      <c r="J424" s="94"/>
      <c r="K424" s="94"/>
      <c r="L424" s="94"/>
      <c r="M424" s="94"/>
      <c r="N424" s="94"/>
    </row>
    <row r="425">
      <c r="G425" s="94"/>
      <c r="I425" s="94"/>
      <c r="J425" s="94"/>
      <c r="K425" s="94"/>
      <c r="L425" s="94"/>
      <c r="M425" s="94"/>
      <c r="N425" s="94"/>
    </row>
    <row r="426">
      <c r="G426" s="94"/>
      <c r="I426" s="94"/>
      <c r="J426" s="94"/>
      <c r="K426" s="94"/>
      <c r="L426" s="94"/>
      <c r="M426" s="94"/>
      <c r="N426" s="94"/>
    </row>
    <row r="427">
      <c r="G427" s="94"/>
      <c r="I427" s="94"/>
      <c r="J427" s="94"/>
      <c r="K427" s="94"/>
      <c r="L427" s="94"/>
      <c r="M427" s="94"/>
      <c r="N427" s="94"/>
    </row>
    <row r="428">
      <c r="G428" s="94"/>
      <c r="I428" s="94"/>
      <c r="J428" s="94"/>
      <c r="K428" s="94"/>
      <c r="L428" s="94"/>
      <c r="M428" s="94"/>
      <c r="N428" s="94"/>
    </row>
    <row r="429">
      <c r="G429" s="94"/>
      <c r="I429" s="94"/>
      <c r="J429" s="94"/>
      <c r="K429" s="94"/>
      <c r="L429" s="94"/>
      <c r="M429" s="94"/>
      <c r="N429" s="94"/>
    </row>
    <row r="430">
      <c r="G430" s="94"/>
      <c r="I430" s="94"/>
      <c r="J430" s="94"/>
      <c r="K430" s="94"/>
      <c r="L430" s="94"/>
      <c r="M430" s="94"/>
      <c r="N430" s="94"/>
    </row>
    <row r="431">
      <c r="G431" s="94"/>
      <c r="I431" s="94"/>
      <c r="J431" s="94"/>
      <c r="K431" s="94"/>
      <c r="L431" s="94"/>
      <c r="M431" s="94"/>
      <c r="N431" s="94"/>
    </row>
    <row r="432">
      <c r="G432" s="94"/>
      <c r="I432" s="94"/>
      <c r="J432" s="94"/>
      <c r="K432" s="94"/>
      <c r="L432" s="94"/>
      <c r="M432" s="94"/>
      <c r="N432" s="94"/>
    </row>
    <row r="433">
      <c r="G433" s="94"/>
      <c r="I433" s="94"/>
      <c r="J433" s="94"/>
      <c r="K433" s="94"/>
      <c r="L433" s="94"/>
      <c r="M433" s="94"/>
      <c r="N433" s="94"/>
    </row>
    <row r="434">
      <c r="G434" s="94"/>
      <c r="I434" s="94"/>
      <c r="J434" s="94"/>
      <c r="K434" s="94"/>
      <c r="L434" s="94"/>
      <c r="M434" s="94"/>
      <c r="N434" s="94"/>
    </row>
    <row r="435">
      <c r="G435" s="94"/>
      <c r="I435" s="94"/>
      <c r="J435" s="94"/>
      <c r="K435" s="94"/>
      <c r="L435" s="94"/>
      <c r="M435" s="94"/>
      <c r="N435" s="94"/>
    </row>
    <row r="436">
      <c r="G436" s="94"/>
      <c r="I436" s="94"/>
      <c r="J436" s="94"/>
      <c r="K436" s="94"/>
      <c r="L436" s="94"/>
      <c r="M436" s="94"/>
      <c r="N436" s="94"/>
    </row>
    <row r="437">
      <c r="G437" s="94"/>
      <c r="I437" s="94"/>
      <c r="J437" s="94"/>
      <c r="K437" s="94"/>
      <c r="L437" s="94"/>
      <c r="M437" s="94"/>
      <c r="N437" s="94"/>
    </row>
    <row r="438">
      <c r="G438" s="94"/>
      <c r="I438" s="94"/>
      <c r="J438" s="94"/>
      <c r="K438" s="94"/>
      <c r="L438" s="94"/>
      <c r="M438" s="94"/>
      <c r="N438" s="94"/>
    </row>
    <row r="439">
      <c r="G439" s="94"/>
      <c r="I439" s="94"/>
      <c r="J439" s="94"/>
      <c r="K439" s="94"/>
      <c r="L439" s="94"/>
      <c r="M439" s="94"/>
      <c r="N439" s="94"/>
    </row>
    <row r="440">
      <c r="G440" s="94"/>
      <c r="I440" s="94"/>
      <c r="J440" s="94"/>
      <c r="K440" s="94"/>
      <c r="L440" s="94"/>
      <c r="M440" s="94"/>
      <c r="N440" s="94"/>
    </row>
    <row r="441">
      <c r="G441" s="94"/>
      <c r="I441" s="94"/>
      <c r="J441" s="94"/>
      <c r="K441" s="94"/>
      <c r="L441" s="94"/>
      <c r="M441" s="94"/>
      <c r="N441" s="94"/>
    </row>
    <row r="442">
      <c r="G442" s="94"/>
      <c r="I442" s="94"/>
      <c r="J442" s="94"/>
      <c r="K442" s="94"/>
      <c r="L442" s="94"/>
      <c r="M442" s="94"/>
      <c r="N442" s="94"/>
    </row>
    <row r="443">
      <c r="G443" s="94"/>
      <c r="I443" s="94"/>
      <c r="J443" s="94"/>
      <c r="K443" s="94"/>
      <c r="L443" s="94"/>
      <c r="M443" s="94"/>
      <c r="N443" s="94"/>
    </row>
    <row r="444">
      <c r="G444" s="94"/>
      <c r="I444" s="94"/>
      <c r="J444" s="94"/>
      <c r="K444" s="94"/>
      <c r="L444" s="94"/>
      <c r="M444" s="94"/>
      <c r="N444" s="94"/>
    </row>
    <row r="445">
      <c r="G445" s="94"/>
      <c r="I445" s="94"/>
      <c r="J445" s="94"/>
      <c r="K445" s="94"/>
      <c r="L445" s="94"/>
      <c r="M445" s="94"/>
      <c r="N445" s="94"/>
    </row>
    <row r="446">
      <c r="G446" s="94"/>
      <c r="I446" s="94"/>
      <c r="J446" s="94"/>
      <c r="K446" s="94"/>
      <c r="L446" s="94"/>
      <c r="M446" s="94"/>
      <c r="N446" s="94"/>
    </row>
    <row r="447">
      <c r="G447" s="94"/>
      <c r="I447" s="94"/>
      <c r="J447" s="94"/>
      <c r="K447" s="94"/>
      <c r="L447" s="94"/>
      <c r="M447" s="94"/>
      <c r="N447" s="94"/>
    </row>
    <row r="448">
      <c r="G448" s="94"/>
      <c r="I448" s="94"/>
      <c r="J448" s="94"/>
      <c r="K448" s="94"/>
      <c r="L448" s="94"/>
      <c r="M448" s="94"/>
      <c r="N448" s="94"/>
    </row>
    <row r="449">
      <c r="G449" s="94"/>
      <c r="I449" s="94"/>
      <c r="J449" s="94"/>
      <c r="K449" s="94"/>
      <c r="L449" s="94"/>
      <c r="M449" s="94"/>
      <c r="N449" s="94"/>
    </row>
    <row r="450">
      <c r="G450" s="94"/>
      <c r="I450" s="94"/>
      <c r="J450" s="94"/>
      <c r="K450" s="94"/>
      <c r="L450" s="94"/>
      <c r="M450" s="94"/>
      <c r="N450" s="94"/>
    </row>
    <row r="451">
      <c r="G451" s="94"/>
      <c r="I451" s="94"/>
      <c r="J451" s="94"/>
      <c r="K451" s="94"/>
      <c r="L451" s="94"/>
      <c r="M451" s="94"/>
      <c r="N451" s="94"/>
    </row>
    <row r="452">
      <c r="G452" s="94"/>
      <c r="I452" s="94"/>
      <c r="J452" s="94"/>
      <c r="K452" s="94"/>
      <c r="L452" s="94"/>
      <c r="M452" s="94"/>
      <c r="N452" s="94"/>
    </row>
    <row r="453">
      <c r="G453" s="94"/>
      <c r="I453" s="94"/>
      <c r="J453" s="94"/>
      <c r="K453" s="94"/>
      <c r="L453" s="94"/>
      <c r="M453" s="94"/>
      <c r="N453" s="94"/>
    </row>
    <row r="454">
      <c r="G454" s="94"/>
      <c r="I454" s="94"/>
      <c r="J454" s="94"/>
      <c r="K454" s="94"/>
      <c r="L454" s="94"/>
      <c r="M454" s="94"/>
      <c r="N454" s="94"/>
    </row>
    <row r="455">
      <c r="G455" s="94"/>
      <c r="I455" s="94"/>
      <c r="J455" s="94"/>
      <c r="K455" s="94"/>
      <c r="L455" s="94"/>
      <c r="M455" s="94"/>
      <c r="N455" s="94"/>
    </row>
    <row r="456">
      <c r="G456" s="94"/>
      <c r="I456" s="94"/>
      <c r="J456" s="94"/>
      <c r="K456" s="94"/>
      <c r="L456" s="94"/>
      <c r="M456" s="94"/>
      <c r="N456" s="94"/>
    </row>
    <row r="457">
      <c r="G457" s="94"/>
      <c r="I457" s="94"/>
      <c r="J457" s="94"/>
      <c r="K457" s="94"/>
      <c r="L457" s="94"/>
      <c r="M457" s="94"/>
      <c r="N457" s="94"/>
    </row>
    <row r="458">
      <c r="G458" s="94"/>
      <c r="I458" s="94"/>
      <c r="J458" s="94"/>
      <c r="K458" s="94"/>
      <c r="L458" s="94"/>
      <c r="M458" s="94"/>
      <c r="N458" s="94"/>
    </row>
    <row r="459">
      <c r="G459" s="94"/>
      <c r="I459" s="94"/>
      <c r="J459" s="94"/>
      <c r="K459" s="94"/>
      <c r="L459" s="94"/>
      <c r="M459" s="94"/>
      <c r="N459" s="94"/>
    </row>
    <row r="460">
      <c r="G460" s="94"/>
      <c r="I460" s="94"/>
      <c r="J460" s="94"/>
      <c r="K460" s="94"/>
      <c r="L460" s="94"/>
      <c r="M460" s="94"/>
      <c r="N460" s="94"/>
    </row>
    <row r="461">
      <c r="G461" s="94"/>
      <c r="I461" s="94"/>
      <c r="J461" s="94"/>
      <c r="K461" s="94"/>
      <c r="L461" s="94"/>
      <c r="M461" s="94"/>
      <c r="N461" s="94"/>
    </row>
    <row r="462">
      <c r="G462" s="94"/>
      <c r="I462" s="94"/>
      <c r="J462" s="94"/>
      <c r="K462" s="94"/>
      <c r="L462" s="94"/>
      <c r="M462" s="94"/>
      <c r="N462" s="94"/>
    </row>
    <row r="463">
      <c r="G463" s="94"/>
      <c r="I463" s="94"/>
      <c r="J463" s="94"/>
      <c r="K463" s="94"/>
      <c r="L463" s="94"/>
      <c r="M463" s="94"/>
      <c r="N463" s="94"/>
    </row>
    <row r="464">
      <c r="G464" s="94"/>
      <c r="I464" s="94"/>
      <c r="J464" s="94"/>
      <c r="K464" s="94"/>
      <c r="L464" s="94"/>
      <c r="M464" s="94"/>
      <c r="N464" s="94"/>
    </row>
    <row r="465">
      <c r="G465" s="94"/>
      <c r="I465" s="94"/>
      <c r="J465" s="94"/>
      <c r="K465" s="94"/>
      <c r="L465" s="94"/>
      <c r="M465" s="94"/>
      <c r="N465" s="94"/>
    </row>
    <row r="466">
      <c r="G466" s="94"/>
      <c r="I466" s="94"/>
      <c r="J466" s="94"/>
      <c r="K466" s="94"/>
      <c r="L466" s="94"/>
      <c r="M466" s="94"/>
      <c r="N466" s="94"/>
    </row>
    <row r="467">
      <c r="G467" s="94"/>
      <c r="I467" s="94"/>
      <c r="J467" s="94"/>
      <c r="K467" s="94"/>
      <c r="L467" s="94"/>
      <c r="M467" s="94"/>
      <c r="N467" s="94"/>
    </row>
    <row r="468">
      <c r="G468" s="94"/>
      <c r="I468" s="94"/>
      <c r="J468" s="94"/>
      <c r="K468" s="94"/>
      <c r="L468" s="94"/>
      <c r="M468" s="94"/>
      <c r="N468" s="94"/>
    </row>
    <row r="469">
      <c r="G469" s="94"/>
      <c r="I469" s="94"/>
      <c r="J469" s="94"/>
      <c r="K469" s="94"/>
      <c r="L469" s="94"/>
      <c r="M469" s="94"/>
      <c r="N469" s="94"/>
    </row>
    <row r="470">
      <c r="G470" s="94"/>
      <c r="I470" s="94"/>
      <c r="J470" s="94"/>
      <c r="K470" s="94"/>
      <c r="L470" s="94"/>
      <c r="M470" s="94"/>
      <c r="N470" s="94"/>
    </row>
    <row r="471">
      <c r="G471" s="94"/>
      <c r="I471" s="94"/>
      <c r="J471" s="94"/>
      <c r="K471" s="94"/>
      <c r="L471" s="94"/>
      <c r="M471" s="94"/>
      <c r="N471" s="94"/>
    </row>
    <row r="472">
      <c r="G472" s="94"/>
      <c r="I472" s="94"/>
      <c r="J472" s="94"/>
      <c r="K472" s="94"/>
      <c r="L472" s="94"/>
      <c r="M472" s="94"/>
      <c r="N472" s="94"/>
    </row>
    <row r="473">
      <c r="G473" s="94"/>
      <c r="I473" s="94"/>
      <c r="J473" s="94"/>
      <c r="K473" s="94"/>
      <c r="L473" s="94"/>
      <c r="M473" s="94"/>
      <c r="N473" s="94"/>
    </row>
    <row r="474">
      <c r="G474" s="94"/>
      <c r="I474" s="94"/>
      <c r="J474" s="94"/>
      <c r="K474" s="94"/>
      <c r="L474" s="94"/>
      <c r="M474" s="94"/>
      <c r="N474" s="94"/>
    </row>
    <row r="475">
      <c r="G475" s="94"/>
      <c r="I475" s="94"/>
      <c r="J475" s="94"/>
      <c r="K475" s="94"/>
      <c r="L475" s="94"/>
      <c r="M475" s="94"/>
      <c r="N475" s="94"/>
    </row>
    <row r="476">
      <c r="G476" s="94"/>
      <c r="I476" s="94"/>
      <c r="J476" s="94"/>
      <c r="K476" s="94"/>
      <c r="L476" s="94"/>
      <c r="M476" s="94"/>
      <c r="N476" s="94"/>
    </row>
    <row r="477">
      <c r="G477" s="94"/>
      <c r="I477" s="94"/>
      <c r="J477" s="94"/>
      <c r="K477" s="94"/>
      <c r="L477" s="94"/>
      <c r="M477" s="94"/>
      <c r="N477" s="94"/>
    </row>
    <row r="478">
      <c r="G478" s="94"/>
      <c r="I478" s="94"/>
      <c r="J478" s="94"/>
      <c r="K478" s="94"/>
      <c r="L478" s="94"/>
      <c r="M478" s="94"/>
      <c r="N478" s="94"/>
    </row>
    <row r="479">
      <c r="G479" s="94"/>
      <c r="I479" s="94"/>
      <c r="J479" s="94"/>
      <c r="K479" s="94"/>
      <c r="L479" s="94"/>
      <c r="M479" s="94"/>
      <c r="N479" s="94"/>
    </row>
    <row r="480">
      <c r="G480" s="94"/>
      <c r="I480" s="94"/>
      <c r="J480" s="94"/>
      <c r="K480" s="94"/>
      <c r="L480" s="94"/>
      <c r="M480" s="94"/>
      <c r="N480" s="94"/>
    </row>
    <row r="481">
      <c r="G481" s="94"/>
      <c r="I481" s="94"/>
      <c r="J481" s="94"/>
      <c r="K481" s="94"/>
      <c r="L481" s="94"/>
      <c r="M481" s="94"/>
      <c r="N481" s="94"/>
    </row>
    <row r="482">
      <c r="G482" s="94"/>
      <c r="I482" s="94"/>
      <c r="J482" s="94"/>
      <c r="K482" s="94"/>
      <c r="L482" s="94"/>
      <c r="M482" s="94"/>
      <c r="N482" s="94"/>
    </row>
    <row r="483">
      <c r="G483" s="94"/>
      <c r="I483" s="94"/>
      <c r="J483" s="94"/>
      <c r="K483" s="94"/>
      <c r="L483" s="94"/>
      <c r="M483" s="94"/>
      <c r="N483" s="94"/>
    </row>
    <row r="484">
      <c r="G484" s="94"/>
      <c r="I484" s="94"/>
      <c r="J484" s="94"/>
      <c r="K484" s="94"/>
      <c r="L484" s="94"/>
      <c r="M484" s="94"/>
      <c r="N484" s="94"/>
    </row>
    <row r="485">
      <c r="G485" s="94"/>
      <c r="I485" s="94"/>
      <c r="J485" s="94"/>
      <c r="K485" s="94"/>
      <c r="L485" s="94"/>
      <c r="M485" s="94"/>
      <c r="N485" s="94"/>
    </row>
    <row r="486">
      <c r="G486" s="94"/>
      <c r="I486" s="94"/>
      <c r="J486" s="94"/>
      <c r="K486" s="94"/>
      <c r="L486" s="94"/>
      <c r="M486" s="94"/>
      <c r="N486" s="94"/>
    </row>
    <row r="487">
      <c r="G487" s="94"/>
      <c r="I487" s="94"/>
      <c r="J487" s="94"/>
      <c r="K487" s="94"/>
      <c r="L487" s="94"/>
      <c r="M487" s="94"/>
      <c r="N487" s="94"/>
    </row>
    <row r="488">
      <c r="G488" s="94"/>
      <c r="I488" s="94"/>
      <c r="J488" s="94"/>
      <c r="K488" s="94"/>
      <c r="L488" s="94"/>
      <c r="M488" s="94"/>
      <c r="N488" s="94"/>
    </row>
    <row r="489">
      <c r="G489" s="94"/>
      <c r="I489" s="94"/>
      <c r="J489" s="94"/>
      <c r="K489" s="94"/>
      <c r="L489" s="94"/>
      <c r="M489" s="94"/>
      <c r="N489" s="94"/>
    </row>
    <row r="490">
      <c r="G490" s="94"/>
      <c r="I490" s="94"/>
      <c r="J490" s="94"/>
      <c r="K490" s="94"/>
      <c r="L490" s="94"/>
      <c r="M490" s="94"/>
      <c r="N490" s="94"/>
    </row>
    <row r="491">
      <c r="G491" s="94"/>
      <c r="I491" s="94"/>
      <c r="J491" s="94"/>
      <c r="K491" s="94"/>
      <c r="L491" s="94"/>
      <c r="M491" s="94"/>
      <c r="N491" s="94"/>
    </row>
    <row r="492">
      <c r="G492" s="94"/>
      <c r="I492" s="94"/>
      <c r="J492" s="94"/>
      <c r="K492" s="94"/>
      <c r="L492" s="94"/>
      <c r="M492" s="94"/>
      <c r="N492" s="94"/>
    </row>
    <row r="493">
      <c r="G493" s="94"/>
      <c r="I493" s="94"/>
      <c r="J493" s="94"/>
      <c r="K493" s="94"/>
      <c r="L493" s="94"/>
      <c r="M493" s="94"/>
      <c r="N493" s="94"/>
    </row>
    <row r="494">
      <c r="G494" s="94"/>
      <c r="I494" s="94"/>
      <c r="J494" s="94"/>
      <c r="K494" s="94"/>
      <c r="L494" s="94"/>
      <c r="M494" s="94"/>
      <c r="N494" s="94"/>
    </row>
    <row r="495">
      <c r="G495" s="94"/>
      <c r="I495" s="94"/>
      <c r="J495" s="94"/>
      <c r="K495" s="94"/>
      <c r="L495" s="94"/>
      <c r="M495" s="94"/>
      <c r="N495" s="94"/>
    </row>
    <row r="496">
      <c r="G496" s="94"/>
      <c r="I496" s="94"/>
      <c r="J496" s="94"/>
      <c r="K496" s="94"/>
      <c r="L496" s="94"/>
      <c r="M496" s="94"/>
      <c r="N496" s="94"/>
    </row>
    <row r="497">
      <c r="G497" s="94"/>
      <c r="I497" s="94"/>
      <c r="J497" s="94"/>
      <c r="K497" s="94"/>
      <c r="L497" s="94"/>
      <c r="M497" s="94"/>
      <c r="N497" s="94"/>
    </row>
    <row r="498">
      <c r="G498" s="94"/>
      <c r="I498" s="94"/>
      <c r="J498" s="94"/>
      <c r="K498" s="94"/>
      <c r="L498" s="94"/>
      <c r="M498" s="94"/>
      <c r="N498" s="94"/>
    </row>
    <row r="499">
      <c r="G499" s="94"/>
      <c r="I499" s="94"/>
      <c r="J499" s="94"/>
      <c r="K499" s="94"/>
      <c r="L499" s="94"/>
      <c r="M499" s="94"/>
      <c r="N499" s="94"/>
    </row>
    <row r="500">
      <c r="G500" s="94"/>
      <c r="I500" s="94"/>
      <c r="J500" s="94"/>
      <c r="K500" s="94"/>
      <c r="L500" s="94"/>
      <c r="M500" s="94"/>
      <c r="N500" s="94"/>
    </row>
    <row r="501">
      <c r="G501" s="94"/>
      <c r="I501" s="94"/>
      <c r="J501" s="94"/>
      <c r="K501" s="94"/>
      <c r="L501" s="94"/>
      <c r="M501" s="94"/>
      <c r="N501" s="94"/>
    </row>
    <row r="502">
      <c r="G502" s="94"/>
      <c r="I502" s="94"/>
      <c r="J502" s="94"/>
      <c r="K502" s="94"/>
      <c r="L502" s="94"/>
      <c r="M502" s="94"/>
      <c r="N502" s="94"/>
    </row>
    <row r="503">
      <c r="G503" s="94"/>
      <c r="I503" s="94"/>
      <c r="J503" s="94"/>
      <c r="K503" s="94"/>
      <c r="L503" s="94"/>
      <c r="M503" s="94"/>
      <c r="N503" s="94"/>
    </row>
    <row r="504">
      <c r="G504" s="94"/>
      <c r="I504" s="94"/>
      <c r="J504" s="94"/>
      <c r="K504" s="94"/>
      <c r="L504" s="94"/>
      <c r="M504" s="94"/>
      <c r="N504" s="94"/>
    </row>
    <row r="505">
      <c r="G505" s="94"/>
      <c r="I505" s="94"/>
      <c r="J505" s="94"/>
      <c r="K505" s="94"/>
      <c r="L505" s="94"/>
      <c r="M505" s="94"/>
      <c r="N505" s="94"/>
    </row>
    <row r="506">
      <c r="G506" s="94"/>
      <c r="I506" s="94"/>
      <c r="J506" s="94"/>
      <c r="K506" s="94"/>
      <c r="L506" s="94"/>
      <c r="M506" s="94"/>
      <c r="N506" s="94"/>
    </row>
    <row r="507">
      <c r="G507" s="94"/>
      <c r="I507" s="94"/>
      <c r="J507" s="94"/>
      <c r="K507" s="94"/>
      <c r="L507" s="94"/>
      <c r="M507" s="94"/>
      <c r="N507" s="94"/>
    </row>
    <row r="508">
      <c r="G508" s="94"/>
      <c r="I508" s="94"/>
      <c r="J508" s="94"/>
      <c r="K508" s="94"/>
      <c r="L508" s="94"/>
      <c r="M508" s="94"/>
      <c r="N508" s="94"/>
    </row>
    <row r="509">
      <c r="G509" s="94"/>
      <c r="I509" s="94"/>
      <c r="J509" s="94"/>
      <c r="K509" s="94"/>
      <c r="L509" s="94"/>
      <c r="M509" s="94"/>
      <c r="N509" s="94"/>
    </row>
    <row r="510">
      <c r="G510" s="94"/>
      <c r="I510" s="94"/>
      <c r="J510" s="94"/>
      <c r="K510" s="94"/>
      <c r="L510" s="94"/>
      <c r="M510" s="94"/>
      <c r="N510" s="94"/>
    </row>
    <row r="511">
      <c r="G511" s="94"/>
      <c r="I511" s="94"/>
      <c r="J511" s="94"/>
      <c r="K511" s="94"/>
      <c r="L511" s="94"/>
      <c r="M511" s="94"/>
      <c r="N511" s="94"/>
    </row>
    <row r="512">
      <c r="G512" s="94"/>
      <c r="I512" s="94"/>
      <c r="J512" s="94"/>
      <c r="K512" s="94"/>
      <c r="L512" s="94"/>
      <c r="M512" s="94"/>
      <c r="N512" s="94"/>
    </row>
    <row r="513">
      <c r="G513" s="94"/>
      <c r="I513" s="94"/>
      <c r="J513" s="94"/>
      <c r="K513" s="94"/>
      <c r="L513" s="94"/>
      <c r="M513" s="94"/>
      <c r="N513" s="94"/>
    </row>
    <row r="514">
      <c r="G514" s="94"/>
      <c r="I514" s="94"/>
      <c r="J514" s="94"/>
      <c r="K514" s="94"/>
      <c r="L514" s="94"/>
      <c r="M514" s="94"/>
      <c r="N514" s="94"/>
    </row>
    <row r="515">
      <c r="G515" s="94"/>
      <c r="I515" s="94"/>
      <c r="J515" s="94"/>
      <c r="K515" s="94"/>
      <c r="L515" s="94"/>
      <c r="M515" s="94"/>
      <c r="N515" s="94"/>
    </row>
    <row r="516">
      <c r="G516" s="94"/>
      <c r="I516" s="94"/>
      <c r="J516" s="94"/>
      <c r="K516" s="94"/>
      <c r="L516" s="94"/>
      <c r="M516" s="94"/>
      <c r="N516" s="94"/>
    </row>
    <row r="517">
      <c r="G517" s="94"/>
      <c r="I517" s="94"/>
      <c r="J517" s="94"/>
      <c r="K517" s="94"/>
      <c r="L517" s="94"/>
      <c r="M517" s="94"/>
      <c r="N517" s="94"/>
    </row>
    <row r="518">
      <c r="G518" s="94"/>
      <c r="I518" s="94"/>
      <c r="J518" s="94"/>
      <c r="K518" s="94"/>
      <c r="L518" s="94"/>
      <c r="M518" s="94"/>
      <c r="N518" s="94"/>
    </row>
    <row r="519">
      <c r="G519" s="94"/>
      <c r="I519" s="94"/>
      <c r="J519" s="94"/>
      <c r="K519" s="94"/>
      <c r="L519" s="94"/>
      <c r="M519" s="94"/>
      <c r="N519" s="94"/>
    </row>
    <row r="520">
      <c r="G520" s="94"/>
      <c r="I520" s="94"/>
      <c r="J520" s="94"/>
      <c r="K520" s="94"/>
      <c r="L520" s="94"/>
      <c r="M520" s="94"/>
      <c r="N520" s="94"/>
    </row>
    <row r="521">
      <c r="G521" s="94"/>
      <c r="I521" s="94"/>
      <c r="J521" s="94"/>
      <c r="K521" s="94"/>
      <c r="L521" s="94"/>
      <c r="M521" s="94"/>
      <c r="N521" s="94"/>
    </row>
    <row r="522">
      <c r="G522" s="94"/>
      <c r="I522" s="94"/>
      <c r="J522" s="94"/>
      <c r="K522" s="94"/>
      <c r="L522" s="94"/>
      <c r="M522" s="94"/>
      <c r="N522" s="94"/>
    </row>
    <row r="523">
      <c r="G523" s="94"/>
      <c r="I523" s="94"/>
      <c r="J523" s="94"/>
      <c r="K523" s="94"/>
      <c r="L523" s="94"/>
      <c r="M523" s="94"/>
      <c r="N523" s="94"/>
    </row>
    <row r="524">
      <c r="G524" s="94"/>
      <c r="I524" s="94"/>
      <c r="J524" s="94"/>
      <c r="K524" s="94"/>
      <c r="L524" s="94"/>
      <c r="M524" s="94"/>
      <c r="N524" s="94"/>
    </row>
    <row r="525">
      <c r="G525" s="94"/>
      <c r="I525" s="94"/>
      <c r="J525" s="94"/>
      <c r="K525" s="94"/>
      <c r="L525" s="94"/>
      <c r="M525" s="94"/>
      <c r="N525" s="94"/>
    </row>
    <row r="526">
      <c r="G526" s="94"/>
      <c r="I526" s="94"/>
      <c r="J526" s="94"/>
      <c r="K526" s="94"/>
      <c r="L526" s="94"/>
      <c r="M526" s="94"/>
      <c r="N526" s="94"/>
    </row>
    <row r="527">
      <c r="G527" s="94"/>
      <c r="I527" s="94"/>
      <c r="J527" s="94"/>
      <c r="K527" s="94"/>
      <c r="L527" s="94"/>
      <c r="M527" s="94"/>
      <c r="N527" s="94"/>
    </row>
    <row r="528">
      <c r="G528" s="94"/>
      <c r="I528" s="94"/>
      <c r="J528" s="94"/>
      <c r="K528" s="94"/>
      <c r="L528" s="94"/>
      <c r="M528" s="94"/>
      <c r="N528" s="94"/>
    </row>
    <row r="529">
      <c r="G529" s="94"/>
      <c r="I529" s="94"/>
      <c r="J529" s="94"/>
      <c r="K529" s="94"/>
      <c r="L529" s="94"/>
      <c r="M529" s="94"/>
      <c r="N529" s="94"/>
    </row>
    <row r="530">
      <c r="G530" s="94"/>
      <c r="I530" s="94"/>
      <c r="J530" s="94"/>
      <c r="K530" s="94"/>
      <c r="L530" s="94"/>
      <c r="M530" s="94"/>
      <c r="N530" s="94"/>
    </row>
    <row r="531">
      <c r="G531" s="94"/>
      <c r="I531" s="94"/>
      <c r="J531" s="94"/>
      <c r="K531" s="94"/>
      <c r="L531" s="94"/>
      <c r="M531" s="94"/>
      <c r="N531" s="94"/>
    </row>
    <row r="532">
      <c r="G532" s="94"/>
      <c r="I532" s="94"/>
      <c r="J532" s="94"/>
      <c r="K532" s="94"/>
      <c r="L532" s="94"/>
      <c r="M532" s="94"/>
      <c r="N532" s="94"/>
    </row>
    <row r="533">
      <c r="G533" s="94"/>
      <c r="I533" s="94"/>
      <c r="J533" s="94"/>
      <c r="K533" s="94"/>
      <c r="L533" s="94"/>
      <c r="M533" s="94"/>
      <c r="N533" s="94"/>
    </row>
    <row r="534">
      <c r="G534" s="94"/>
      <c r="I534" s="94"/>
      <c r="J534" s="94"/>
      <c r="K534" s="94"/>
      <c r="L534" s="94"/>
      <c r="M534" s="94"/>
      <c r="N534" s="94"/>
    </row>
    <row r="535">
      <c r="G535" s="94"/>
      <c r="I535" s="94"/>
      <c r="J535" s="94"/>
      <c r="K535" s="94"/>
      <c r="L535" s="94"/>
      <c r="M535" s="94"/>
      <c r="N535" s="94"/>
    </row>
    <row r="536">
      <c r="G536" s="94"/>
      <c r="I536" s="94"/>
      <c r="J536" s="94"/>
      <c r="K536" s="94"/>
      <c r="L536" s="94"/>
      <c r="M536" s="94"/>
      <c r="N536" s="94"/>
    </row>
    <row r="537">
      <c r="G537" s="94"/>
      <c r="I537" s="94"/>
      <c r="J537" s="94"/>
      <c r="K537" s="94"/>
      <c r="L537" s="94"/>
      <c r="M537" s="94"/>
      <c r="N537" s="94"/>
    </row>
    <row r="538">
      <c r="G538" s="94"/>
      <c r="I538" s="94"/>
      <c r="J538" s="94"/>
      <c r="K538" s="94"/>
      <c r="L538" s="94"/>
      <c r="M538" s="94"/>
      <c r="N538" s="94"/>
    </row>
    <row r="539">
      <c r="G539" s="94"/>
      <c r="I539" s="94"/>
      <c r="J539" s="94"/>
      <c r="K539" s="94"/>
      <c r="L539" s="94"/>
      <c r="M539" s="94"/>
      <c r="N539" s="94"/>
    </row>
    <row r="540">
      <c r="G540" s="94"/>
      <c r="I540" s="94"/>
      <c r="J540" s="94"/>
      <c r="K540" s="94"/>
      <c r="L540" s="94"/>
      <c r="M540" s="94"/>
      <c r="N540" s="94"/>
    </row>
    <row r="541">
      <c r="G541" s="94"/>
      <c r="I541" s="94"/>
      <c r="J541" s="94"/>
      <c r="K541" s="94"/>
      <c r="L541" s="94"/>
      <c r="M541" s="94"/>
      <c r="N541" s="94"/>
    </row>
    <row r="542">
      <c r="G542" s="94"/>
      <c r="I542" s="94"/>
      <c r="J542" s="94"/>
      <c r="K542" s="94"/>
      <c r="L542" s="94"/>
      <c r="M542" s="94"/>
      <c r="N542" s="94"/>
    </row>
    <row r="543">
      <c r="G543" s="94"/>
      <c r="I543" s="94"/>
      <c r="J543" s="94"/>
      <c r="K543" s="94"/>
      <c r="L543" s="94"/>
      <c r="M543" s="94"/>
      <c r="N543" s="94"/>
    </row>
    <row r="544">
      <c r="G544" s="94"/>
      <c r="I544" s="94"/>
      <c r="J544" s="94"/>
      <c r="K544" s="94"/>
      <c r="L544" s="94"/>
      <c r="M544" s="94"/>
      <c r="N544" s="94"/>
    </row>
    <row r="545">
      <c r="G545" s="94"/>
      <c r="I545" s="94"/>
      <c r="J545" s="94"/>
      <c r="K545" s="94"/>
      <c r="L545" s="94"/>
      <c r="M545" s="94"/>
      <c r="N545" s="94"/>
    </row>
    <row r="546">
      <c r="G546" s="94"/>
      <c r="I546" s="94"/>
      <c r="J546" s="94"/>
      <c r="K546" s="94"/>
      <c r="L546" s="94"/>
      <c r="M546" s="94"/>
      <c r="N546" s="94"/>
    </row>
    <row r="547">
      <c r="G547" s="94"/>
      <c r="I547" s="94"/>
      <c r="J547" s="94"/>
      <c r="K547" s="94"/>
      <c r="L547" s="94"/>
      <c r="M547" s="94"/>
      <c r="N547" s="94"/>
    </row>
    <row r="548">
      <c r="G548" s="94"/>
      <c r="I548" s="94"/>
      <c r="J548" s="94"/>
      <c r="K548" s="94"/>
      <c r="L548" s="94"/>
      <c r="M548" s="94"/>
      <c r="N548" s="94"/>
    </row>
    <row r="549">
      <c r="G549" s="94"/>
      <c r="I549" s="94"/>
      <c r="J549" s="94"/>
      <c r="K549" s="94"/>
      <c r="L549" s="94"/>
      <c r="M549" s="94"/>
      <c r="N549" s="94"/>
    </row>
    <row r="550">
      <c r="G550" s="94"/>
      <c r="I550" s="94"/>
      <c r="J550" s="94"/>
      <c r="K550" s="94"/>
      <c r="L550" s="94"/>
      <c r="M550" s="94"/>
      <c r="N550" s="94"/>
    </row>
    <row r="551">
      <c r="G551" s="94"/>
      <c r="I551" s="94"/>
      <c r="J551" s="94"/>
      <c r="K551" s="94"/>
      <c r="L551" s="94"/>
      <c r="M551" s="94"/>
      <c r="N551" s="94"/>
    </row>
    <row r="552">
      <c r="G552" s="94"/>
      <c r="I552" s="94"/>
      <c r="J552" s="94"/>
      <c r="K552" s="94"/>
      <c r="L552" s="94"/>
      <c r="M552" s="94"/>
      <c r="N552" s="94"/>
    </row>
    <row r="553">
      <c r="G553" s="94"/>
      <c r="I553" s="94"/>
      <c r="J553" s="94"/>
      <c r="K553" s="94"/>
      <c r="L553" s="94"/>
      <c r="M553" s="94"/>
      <c r="N553" s="94"/>
    </row>
    <row r="554">
      <c r="G554" s="94"/>
      <c r="I554" s="94"/>
      <c r="J554" s="94"/>
      <c r="K554" s="94"/>
      <c r="L554" s="94"/>
      <c r="M554" s="94"/>
      <c r="N554" s="94"/>
    </row>
    <row r="555">
      <c r="G555" s="94"/>
      <c r="I555" s="94"/>
      <c r="J555" s="94"/>
      <c r="K555" s="94"/>
      <c r="L555" s="94"/>
      <c r="M555" s="94"/>
      <c r="N555" s="94"/>
    </row>
    <row r="556">
      <c r="G556" s="94"/>
      <c r="I556" s="94"/>
      <c r="J556" s="94"/>
      <c r="K556" s="94"/>
      <c r="L556" s="94"/>
      <c r="M556" s="94"/>
      <c r="N556" s="94"/>
    </row>
    <row r="557">
      <c r="G557" s="94"/>
      <c r="I557" s="94"/>
      <c r="J557" s="94"/>
      <c r="K557" s="94"/>
      <c r="L557" s="94"/>
      <c r="M557" s="94"/>
      <c r="N557" s="94"/>
    </row>
    <row r="558">
      <c r="G558" s="94"/>
      <c r="I558" s="94"/>
      <c r="J558" s="94"/>
      <c r="K558" s="94"/>
      <c r="L558" s="94"/>
      <c r="M558" s="94"/>
      <c r="N558" s="94"/>
    </row>
    <row r="559">
      <c r="G559" s="94"/>
      <c r="I559" s="94"/>
      <c r="J559" s="94"/>
      <c r="K559" s="94"/>
      <c r="L559" s="94"/>
      <c r="M559" s="94"/>
      <c r="N559" s="94"/>
    </row>
    <row r="560">
      <c r="G560" s="94"/>
      <c r="I560" s="94"/>
      <c r="J560" s="94"/>
      <c r="K560" s="94"/>
      <c r="L560" s="94"/>
      <c r="M560" s="94"/>
      <c r="N560" s="94"/>
    </row>
    <row r="561">
      <c r="G561" s="94"/>
      <c r="I561" s="94"/>
      <c r="J561" s="94"/>
      <c r="K561" s="94"/>
      <c r="L561" s="94"/>
      <c r="M561" s="94"/>
      <c r="N561" s="94"/>
    </row>
    <row r="562">
      <c r="G562" s="94"/>
      <c r="I562" s="94"/>
      <c r="J562" s="94"/>
      <c r="K562" s="94"/>
      <c r="L562" s="94"/>
      <c r="M562" s="94"/>
      <c r="N562" s="94"/>
    </row>
    <row r="563">
      <c r="G563" s="94"/>
      <c r="I563" s="94"/>
      <c r="J563" s="94"/>
      <c r="K563" s="94"/>
      <c r="L563" s="94"/>
      <c r="M563" s="94"/>
      <c r="N563" s="94"/>
    </row>
    <row r="564">
      <c r="G564" s="94"/>
      <c r="I564" s="94"/>
      <c r="J564" s="94"/>
      <c r="K564" s="94"/>
      <c r="L564" s="94"/>
      <c r="M564" s="94"/>
      <c r="N564" s="94"/>
    </row>
    <row r="565">
      <c r="G565" s="94"/>
      <c r="I565" s="94"/>
      <c r="J565" s="94"/>
      <c r="K565" s="94"/>
      <c r="L565" s="94"/>
      <c r="M565" s="94"/>
      <c r="N565" s="94"/>
    </row>
    <row r="566">
      <c r="G566" s="94"/>
      <c r="I566" s="94"/>
      <c r="J566" s="94"/>
      <c r="K566" s="94"/>
      <c r="L566" s="94"/>
      <c r="M566" s="94"/>
      <c r="N566" s="94"/>
    </row>
    <row r="567">
      <c r="G567" s="94"/>
      <c r="I567" s="94"/>
      <c r="J567" s="94"/>
      <c r="K567" s="94"/>
      <c r="L567" s="94"/>
      <c r="M567" s="94"/>
      <c r="N567" s="94"/>
    </row>
    <row r="568">
      <c r="G568" s="94"/>
      <c r="I568" s="94"/>
      <c r="J568" s="94"/>
      <c r="K568" s="94"/>
      <c r="L568" s="94"/>
      <c r="M568" s="94"/>
      <c r="N568" s="94"/>
    </row>
    <row r="569">
      <c r="G569" s="94"/>
      <c r="I569" s="94"/>
      <c r="J569" s="94"/>
      <c r="K569" s="94"/>
      <c r="L569" s="94"/>
      <c r="M569" s="94"/>
      <c r="N569" s="94"/>
    </row>
    <row r="570">
      <c r="G570" s="94"/>
      <c r="I570" s="94"/>
      <c r="J570" s="94"/>
      <c r="K570" s="94"/>
      <c r="L570" s="94"/>
      <c r="M570" s="94"/>
      <c r="N570" s="94"/>
    </row>
    <row r="571">
      <c r="G571" s="94"/>
      <c r="I571" s="94"/>
      <c r="J571" s="94"/>
      <c r="K571" s="94"/>
      <c r="L571" s="94"/>
      <c r="M571" s="94"/>
      <c r="N571" s="94"/>
    </row>
    <row r="572">
      <c r="G572" s="94"/>
      <c r="I572" s="94"/>
      <c r="J572" s="94"/>
      <c r="K572" s="94"/>
      <c r="L572" s="94"/>
      <c r="M572" s="94"/>
      <c r="N572" s="94"/>
    </row>
    <row r="573">
      <c r="G573" s="94"/>
      <c r="I573" s="94"/>
      <c r="J573" s="94"/>
      <c r="K573" s="94"/>
      <c r="L573" s="94"/>
      <c r="M573" s="94"/>
      <c r="N573" s="94"/>
    </row>
    <row r="574">
      <c r="G574" s="94"/>
      <c r="I574" s="94"/>
      <c r="J574" s="94"/>
      <c r="K574" s="94"/>
      <c r="L574" s="94"/>
      <c r="M574" s="94"/>
      <c r="N574" s="94"/>
    </row>
    <row r="575">
      <c r="G575" s="94"/>
      <c r="I575" s="94"/>
      <c r="J575" s="94"/>
      <c r="K575" s="94"/>
      <c r="L575" s="94"/>
      <c r="M575" s="94"/>
      <c r="N575" s="94"/>
    </row>
    <row r="576">
      <c r="G576" s="94"/>
      <c r="I576" s="94"/>
      <c r="J576" s="94"/>
      <c r="K576" s="94"/>
      <c r="L576" s="94"/>
      <c r="M576" s="94"/>
      <c r="N576" s="94"/>
    </row>
    <row r="577">
      <c r="G577" s="94"/>
      <c r="I577" s="94"/>
      <c r="J577" s="94"/>
      <c r="K577" s="94"/>
      <c r="L577" s="94"/>
      <c r="M577" s="94"/>
      <c r="N577" s="94"/>
    </row>
    <row r="578">
      <c r="G578" s="94"/>
      <c r="I578" s="94"/>
      <c r="J578" s="94"/>
      <c r="K578" s="94"/>
      <c r="L578" s="94"/>
      <c r="M578" s="94"/>
      <c r="N578" s="94"/>
    </row>
    <row r="579">
      <c r="G579" s="94"/>
      <c r="I579" s="94"/>
      <c r="J579" s="94"/>
      <c r="K579" s="94"/>
      <c r="L579" s="94"/>
      <c r="M579" s="94"/>
      <c r="N579" s="94"/>
    </row>
    <row r="580">
      <c r="G580" s="94"/>
      <c r="I580" s="94"/>
      <c r="J580" s="94"/>
      <c r="K580" s="94"/>
      <c r="L580" s="94"/>
      <c r="M580" s="94"/>
      <c r="N580" s="94"/>
    </row>
    <row r="581">
      <c r="G581" s="94"/>
      <c r="I581" s="94"/>
      <c r="J581" s="94"/>
      <c r="K581" s="94"/>
      <c r="L581" s="94"/>
      <c r="M581" s="94"/>
      <c r="N581" s="94"/>
    </row>
    <row r="582">
      <c r="G582" s="94"/>
      <c r="I582" s="94"/>
      <c r="J582" s="94"/>
      <c r="K582" s="94"/>
      <c r="L582" s="94"/>
      <c r="M582" s="94"/>
      <c r="N582" s="94"/>
    </row>
    <row r="583">
      <c r="G583" s="94"/>
      <c r="I583" s="94"/>
      <c r="J583" s="94"/>
      <c r="K583" s="94"/>
      <c r="L583" s="94"/>
      <c r="M583" s="94"/>
      <c r="N583" s="94"/>
    </row>
    <row r="584">
      <c r="G584" s="94"/>
      <c r="I584" s="94"/>
      <c r="J584" s="94"/>
      <c r="K584" s="94"/>
      <c r="L584" s="94"/>
      <c r="M584" s="94"/>
      <c r="N584" s="94"/>
    </row>
    <row r="585">
      <c r="G585" s="94"/>
      <c r="I585" s="94"/>
      <c r="J585" s="94"/>
      <c r="K585" s="94"/>
      <c r="L585" s="94"/>
      <c r="M585" s="94"/>
      <c r="N585" s="94"/>
    </row>
    <row r="586">
      <c r="G586" s="94"/>
      <c r="I586" s="94"/>
      <c r="J586" s="94"/>
      <c r="K586" s="94"/>
      <c r="L586" s="94"/>
      <c r="M586" s="94"/>
      <c r="N586" s="94"/>
    </row>
    <row r="587">
      <c r="G587" s="94"/>
      <c r="I587" s="94"/>
      <c r="J587" s="94"/>
      <c r="K587" s="94"/>
      <c r="L587" s="94"/>
      <c r="M587" s="94"/>
      <c r="N587" s="94"/>
    </row>
    <row r="588">
      <c r="G588" s="94"/>
      <c r="I588" s="94"/>
      <c r="J588" s="94"/>
      <c r="K588" s="94"/>
      <c r="L588" s="94"/>
      <c r="M588" s="94"/>
      <c r="N588" s="94"/>
    </row>
    <row r="589">
      <c r="G589" s="94"/>
      <c r="I589" s="94"/>
      <c r="J589" s="94"/>
      <c r="K589" s="94"/>
      <c r="L589" s="94"/>
      <c r="M589" s="94"/>
      <c r="N589" s="94"/>
    </row>
    <row r="590">
      <c r="G590" s="94"/>
      <c r="I590" s="94"/>
      <c r="J590" s="94"/>
      <c r="K590" s="94"/>
      <c r="L590" s="94"/>
      <c r="M590" s="94"/>
      <c r="N590" s="94"/>
    </row>
    <row r="591">
      <c r="G591" s="94"/>
      <c r="I591" s="94"/>
      <c r="J591" s="94"/>
      <c r="K591" s="94"/>
      <c r="L591" s="94"/>
      <c r="M591" s="94"/>
      <c r="N591" s="94"/>
    </row>
    <row r="592">
      <c r="G592" s="94"/>
      <c r="I592" s="94"/>
      <c r="J592" s="94"/>
      <c r="K592" s="94"/>
      <c r="L592" s="94"/>
      <c r="M592" s="94"/>
      <c r="N592" s="94"/>
    </row>
    <row r="593">
      <c r="G593" s="94"/>
      <c r="I593" s="94"/>
      <c r="J593" s="94"/>
      <c r="K593" s="94"/>
      <c r="L593" s="94"/>
      <c r="M593" s="94"/>
      <c r="N593" s="94"/>
    </row>
    <row r="594">
      <c r="G594" s="94"/>
      <c r="I594" s="94"/>
      <c r="J594" s="94"/>
      <c r="K594" s="94"/>
      <c r="L594" s="94"/>
      <c r="M594" s="94"/>
      <c r="N594" s="94"/>
    </row>
    <row r="595">
      <c r="G595" s="94"/>
      <c r="I595" s="94"/>
      <c r="J595" s="94"/>
      <c r="K595" s="94"/>
      <c r="L595" s="94"/>
      <c r="M595" s="94"/>
      <c r="N595" s="94"/>
    </row>
    <row r="596">
      <c r="G596" s="94"/>
      <c r="I596" s="94"/>
      <c r="J596" s="94"/>
      <c r="K596" s="94"/>
      <c r="L596" s="94"/>
      <c r="M596" s="94"/>
      <c r="N596" s="94"/>
    </row>
    <row r="597">
      <c r="G597" s="94"/>
      <c r="I597" s="94"/>
      <c r="J597" s="94"/>
      <c r="K597" s="94"/>
      <c r="L597" s="94"/>
      <c r="M597" s="94"/>
      <c r="N597" s="94"/>
    </row>
    <row r="598">
      <c r="G598" s="94"/>
      <c r="I598" s="94"/>
      <c r="J598" s="94"/>
      <c r="K598" s="94"/>
      <c r="L598" s="94"/>
      <c r="M598" s="94"/>
      <c r="N598" s="94"/>
    </row>
    <row r="599">
      <c r="G599" s="94"/>
      <c r="I599" s="94"/>
      <c r="J599" s="94"/>
      <c r="K599" s="94"/>
      <c r="L599" s="94"/>
      <c r="M599" s="94"/>
      <c r="N599" s="94"/>
    </row>
    <row r="600">
      <c r="G600" s="94"/>
      <c r="I600" s="94"/>
      <c r="J600" s="94"/>
      <c r="K600" s="94"/>
      <c r="L600" s="94"/>
      <c r="M600" s="94"/>
      <c r="N600" s="94"/>
    </row>
    <row r="601">
      <c r="G601" s="94"/>
      <c r="I601" s="94"/>
      <c r="J601" s="94"/>
      <c r="K601" s="94"/>
      <c r="L601" s="94"/>
      <c r="M601" s="94"/>
      <c r="N601" s="94"/>
    </row>
    <row r="602">
      <c r="G602" s="94"/>
      <c r="I602" s="94"/>
      <c r="J602" s="94"/>
      <c r="K602" s="94"/>
      <c r="L602" s="94"/>
      <c r="M602" s="94"/>
      <c r="N602" s="94"/>
    </row>
    <row r="603">
      <c r="G603" s="94"/>
      <c r="I603" s="94"/>
      <c r="J603" s="94"/>
      <c r="K603" s="94"/>
      <c r="L603" s="94"/>
      <c r="M603" s="94"/>
      <c r="N603" s="94"/>
    </row>
    <row r="604">
      <c r="G604" s="94"/>
      <c r="I604" s="94"/>
      <c r="J604" s="94"/>
      <c r="K604" s="94"/>
      <c r="L604" s="94"/>
      <c r="M604" s="94"/>
      <c r="N604" s="94"/>
    </row>
    <row r="605">
      <c r="G605" s="94"/>
      <c r="I605" s="94"/>
      <c r="J605" s="94"/>
      <c r="K605" s="94"/>
      <c r="L605" s="94"/>
      <c r="M605" s="94"/>
      <c r="N605" s="94"/>
    </row>
    <row r="606">
      <c r="G606" s="94"/>
      <c r="I606" s="94"/>
      <c r="J606" s="94"/>
      <c r="K606" s="94"/>
      <c r="L606" s="94"/>
      <c r="M606" s="94"/>
      <c r="N606" s="94"/>
    </row>
    <row r="607">
      <c r="G607" s="94"/>
      <c r="I607" s="94"/>
      <c r="J607" s="94"/>
      <c r="K607" s="94"/>
      <c r="L607" s="94"/>
      <c r="M607" s="94"/>
      <c r="N607" s="94"/>
    </row>
    <row r="608">
      <c r="G608" s="94"/>
      <c r="I608" s="94"/>
      <c r="J608" s="94"/>
      <c r="K608" s="94"/>
      <c r="L608" s="94"/>
      <c r="M608" s="94"/>
      <c r="N608" s="94"/>
    </row>
    <row r="609">
      <c r="G609" s="94"/>
      <c r="I609" s="94"/>
      <c r="J609" s="94"/>
      <c r="K609" s="94"/>
      <c r="L609" s="94"/>
      <c r="M609" s="94"/>
      <c r="N609" s="94"/>
    </row>
    <row r="610">
      <c r="G610" s="94"/>
      <c r="I610" s="94"/>
      <c r="J610" s="94"/>
      <c r="K610" s="94"/>
      <c r="L610" s="94"/>
      <c r="M610" s="94"/>
      <c r="N610" s="94"/>
    </row>
    <row r="611">
      <c r="G611" s="94"/>
      <c r="I611" s="94"/>
      <c r="J611" s="94"/>
      <c r="K611" s="94"/>
      <c r="L611" s="94"/>
      <c r="M611" s="94"/>
      <c r="N611" s="94"/>
    </row>
    <row r="612">
      <c r="G612" s="94"/>
      <c r="I612" s="94"/>
      <c r="J612" s="94"/>
      <c r="K612" s="94"/>
      <c r="L612" s="94"/>
      <c r="M612" s="94"/>
      <c r="N612" s="94"/>
    </row>
    <row r="613">
      <c r="G613" s="94"/>
      <c r="I613" s="94"/>
      <c r="J613" s="94"/>
      <c r="K613" s="94"/>
      <c r="L613" s="94"/>
      <c r="M613" s="94"/>
      <c r="N613" s="94"/>
    </row>
    <row r="614">
      <c r="G614" s="94"/>
      <c r="I614" s="94"/>
      <c r="J614" s="94"/>
      <c r="K614" s="94"/>
      <c r="L614" s="94"/>
      <c r="M614" s="94"/>
      <c r="N614" s="94"/>
    </row>
    <row r="615">
      <c r="G615" s="94"/>
      <c r="I615" s="94"/>
      <c r="J615" s="94"/>
      <c r="K615" s="94"/>
      <c r="L615" s="94"/>
      <c r="M615" s="94"/>
      <c r="N615" s="94"/>
    </row>
    <row r="616">
      <c r="G616" s="94"/>
      <c r="I616" s="94"/>
      <c r="J616" s="94"/>
      <c r="K616" s="94"/>
      <c r="L616" s="94"/>
      <c r="M616" s="94"/>
      <c r="N616" s="94"/>
    </row>
    <row r="617">
      <c r="G617" s="94"/>
      <c r="I617" s="94"/>
      <c r="J617" s="94"/>
      <c r="K617" s="94"/>
      <c r="L617" s="94"/>
      <c r="M617" s="94"/>
      <c r="N617" s="94"/>
    </row>
    <row r="618">
      <c r="G618" s="94"/>
      <c r="I618" s="94"/>
      <c r="J618" s="94"/>
      <c r="K618" s="94"/>
      <c r="L618" s="94"/>
      <c r="M618" s="94"/>
      <c r="N618" s="94"/>
    </row>
    <row r="619">
      <c r="G619" s="94"/>
      <c r="I619" s="94"/>
      <c r="J619" s="94"/>
      <c r="K619" s="94"/>
      <c r="L619" s="94"/>
      <c r="M619" s="94"/>
      <c r="N619" s="94"/>
    </row>
    <row r="620">
      <c r="G620" s="94"/>
      <c r="I620" s="94"/>
      <c r="J620" s="94"/>
      <c r="K620" s="94"/>
      <c r="L620" s="94"/>
      <c r="M620" s="94"/>
      <c r="N620" s="94"/>
    </row>
    <row r="621">
      <c r="G621" s="94"/>
      <c r="I621" s="94"/>
      <c r="J621" s="94"/>
      <c r="K621" s="94"/>
      <c r="L621" s="94"/>
      <c r="M621" s="94"/>
      <c r="N621" s="94"/>
    </row>
    <row r="622">
      <c r="G622" s="94"/>
      <c r="I622" s="94"/>
      <c r="J622" s="94"/>
      <c r="K622" s="94"/>
      <c r="L622" s="94"/>
      <c r="M622" s="94"/>
      <c r="N622" s="94"/>
    </row>
    <row r="623">
      <c r="G623" s="94"/>
      <c r="I623" s="94"/>
      <c r="J623" s="94"/>
      <c r="K623" s="94"/>
      <c r="L623" s="94"/>
      <c r="M623" s="94"/>
      <c r="N623" s="94"/>
    </row>
    <row r="624">
      <c r="G624" s="94"/>
      <c r="I624" s="94"/>
      <c r="J624" s="94"/>
      <c r="K624" s="94"/>
      <c r="L624" s="94"/>
      <c r="M624" s="94"/>
      <c r="N624" s="94"/>
    </row>
    <row r="625">
      <c r="G625" s="94"/>
      <c r="I625" s="94"/>
      <c r="J625" s="94"/>
      <c r="K625" s="94"/>
      <c r="L625" s="94"/>
      <c r="M625" s="94"/>
      <c r="N625" s="94"/>
    </row>
    <row r="626">
      <c r="G626" s="94"/>
      <c r="I626" s="94"/>
      <c r="J626" s="94"/>
      <c r="K626" s="94"/>
      <c r="L626" s="94"/>
      <c r="M626" s="94"/>
      <c r="N626" s="94"/>
    </row>
    <row r="627">
      <c r="G627" s="94"/>
      <c r="I627" s="94"/>
      <c r="J627" s="94"/>
      <c r="K627" s="94"/>
      <c r="L627" s="94"/>
      <c r="M627" s="94"/>
      <c r="N627" s="94"/>
    </row>
    <row r="628">
      <c r="G628" s="94"/>
      <c r="I628" s="94"/>
      <c r="J628" s="94"/>
      <c r="K628" s="94"/>
      <c r="L628" s="94"/>
      <c r="M628" s="94"/>
      <c r="N628" s="94"/>
    </row>
    <row r="629">
      <c r="G629" s="94"/>
      <c r="I629" s="94"/>
      <c r="J629" s="94"/>
      <c r="K629" s="94"/>
      <c r="L629" s="94"/>
      <c r="M629" s="94"/>
      <c r="N629" s="94"/>
    </row>
    <row r="630">
      <c r="G630" s="94"/>
      <c r="I630" s="94"/>
      <c r="J630" s="94"/>
      <c r="K630" s="94"/>
      <c r="L630" s="94"/>
      <c r="M630" s="94"/>
      <c r="N630" s="94"/>
    </row>
    <row r="631">
      <c r="G631" s="94"/>
      <c r="I631" s="94"/>
      <c r="J631" s="94"/>
      <c r="K631" s="94"/>
      <c r="L631" s="94"/>
      <c r="M631" s="94"/>
      <c r="N631" s="94"/>
    </row>
    <row r="632">
      <c r="G632" s="94"/>
      <c r="I632" s="94"/>
      <c r="J632" s="94"/>
      <c r="K632" s="94"/>
      <c r="L632" s="94"/>
      <c r="M632" s="94"/>
      <c r="N632" s="94"/>
    </row>
    <row r="633">
      <c r="G633" s="94"/>
      <c r="I633" s="94"/>
      <c r="J633" s="94"/>
      <c r="K633" s="94"/>
      <c r="L633" s="94"/>
      <c r="M633" s="94"/>
      <c r="N633" s="94"/>
    </row>
    <row r="634">
      <c r="G634" s="94"/>
      <c r="I634" s="94"/>
      <c r="J634" s="94"/>
      <c r="K634" s="94"/>
      <c r="L634" s="94"/>
      <c r="M634" s="94"/>
      <c r="N634" s="94"/>
    </row>
    <row r="635">
      <c r="G635" s="94"/>
      <c r="I635" s="94"/>
      <c r="J635" s="94"/>
      <c r="K635" s="94"/>
      <c r="L635" s="94"/>
      <c r="M635" s="94"/>
      <c r="N635" s="94"/>
    </row>
    <row r="636">
      <c r="G636" s="94"/>
      <c r="I636" s="94"/>
      <c r="J636" s="94"/>
      <c r="K636" s="94"/>
      <c r="L636" s="94"/>
      <c r="M636" s="94"/>
      <c r="N636" s="94"/>
    </row>
    <row r="637">
      <c r="G637" s="94"/>
      <c r="I637" s="94"/>
      <c r="J637" s="94"/>
      <c r="K637" s="94"/>
      <c r="L637" s="94"/>
      <c r="M637" s="94"/>
      <c r="N637" s="94"/>
    </row>
    <row r="638">
      <c r="G638" s="94"/>
      <c r="I638" s="94"/>
      <c r="J638" s="94"/>
      <c r="K638" s="94"/>
      <c r="L638" s="94"/>
      <c r="M638" s="94"/>
      <c r="N638" s="94"/>
    </row>
    <row r="639">
      <c r="G639" s="94"/>
      <c r="I639" s="94"/>
      <c r="J639" s="94"/>
      <c r="K639" s="94"/>
      <c r="L639" s="94"/>
      <c r="M639" s="94"/>
      <c r="N639" s="94"/>
    </row>
    <row r="640">
      <c r="G640" s="94"/>
      <c r="I640" s="94"/>
      <c r="J640" s="94"/>
      <c r="K640" s="94"/>
      <c r="L640" s="94"/>
      <c r="M640" s="94"/>
      <c r="N640" s="94"/>
    </row>
    <row r="641">
      <c r="G641" s="94"/>
      <c r="I641" s="94"/>
      <c r="J641" s="94"/>
      <c r="K641" s="94"/>
      <c r="L641" s="94"/>
      <c r="M641" s="94"/>
      <c r="N641" s="94"/>
    </row>
    <row r="642">
      <c r="G642" s="94"/>
      <c r="I642" s="94"/>
      <c r="J642" s="94"/>
      <c r="K642" s="94"/>
      <c r="L642" s="94"/>
      <c r="M642" s="94"/>
      <c r="N642" s="94"/>
    </row>
    <row r="643">
      <c r="G643" s="94"/>
      <c r="I643" s="94"/>
      <c r="J643" s="94"/>
      <c r="K643" s="94"/>
      <c r="L643" s="94"/>
      <c r="M643" s="94"/>
      <c r="N643" s="94"/>
    </row>
    <row r="644">
      <c r="G644" s="94"/>
      <c r="I644" s="94"/>
      <c r="J644" s="94"/>
      <c r="K644" s="94"/>
      <c r="L644" s="94"/>
      <c r="M644" s="94"/>
      <c r="N644" s="94"/>
    </row>
    <row r="645">
      <c r="G645" s="94"/>
      <c r="I645" s="94"/>
      <c r="J645" s="94"/>
      <c r="K645" s="94"/>
      <c r="L645" s="94"/>
      <c r="M645" s="94"/>
      <c r="N645" s="94"/>
    </row>
    <row r="646">
      <c r="G646" s="94"/>
      <c r="I646" s="94"/>
      <c r="J646" s="94"/>
      <c r="K646" s="94"/>
      <c r="L646" s="94"/>
      <c r="M646" s="94"/>
      <c r="N646" s="94"/>
    </row>
    <row r="647">
      <c r="G647" s="94"/>
      <c r="I647" s="94"/>
      <c r="J647" s="94"/>
      <c r="K647" s="94"/>
      <c r="L647" s="94"/>
      <c r="M647" s="94"/>
      <c r="N647" s="94"/>
    </row>
    <row r="648">
      <c r="G648" s="94"/>
      <c r="I648" s="94"/>
      <c r="J648" s="94"/>
      <c r="K648" s="94"/>
      <c r="L648" s="94"/>
      <c r="M648" s="94"/>
      <c r="N648" s="94"/>
    </row>
    <row r="649">
      <c r="G649" s="94"/>
      <c r="I649" s="94"/>
      <c r="J649" s="94"/>
      <c r="K649" s="94"/>
      <c r="L649" s="94"/>
      <c r="M649" s="94"/>
      <c r="N649" s="94"/>
    </row>
    <row r="650">
      <c r="G650" s="94"/>
      <c r="I650" s="94"/>
      <c r="J650" s="94"/>
      <c r="K650" s="94"/>
      <c r="L650" s="94"/>
      <c r="M650" s="94"/>
      <c r="N650" s="94"/>
    </row>
    <row r="651">
      <c r="G651" s="94"/>
      <c r="I651" s="94"/>
      <c r="J651" s="94"/>
      <c r="K651" s="94"/>
      <c r="L651" s="94"/>
      <c r="M651" s="94"/>
      <c r="N651" s="94"/>
    </row>
    <row r="652">
      <c r="G652" s="94"/>
      <c r="I652" s="94"/>
      <c r="J652" s="94"/>
      <c r="K652" s="94"/>
      <c r="L652" s="94"/>
      <c r="M652" s="94"/>
      <c r="N652" s="94"/>
    </row>
    <row r="653">
      <c r="G653" s="94"/>
      <c r="I653" s="94"/>
      <c r="J653" s="94"/>
      <c r="K653" s="94"/>
      <c r="L653" s="94"/>
      <c r="M653" s="94"/>
      <c r="N653" s="94"/>
    </row>
    <row r="654">
      <c r="G654" s="94"/>
      <c r="I654" s="94"/>
      <c r="J654" s="94"/>
      <c r="K654" s="94"/>
      <c r="L654" s="94"/>
      <c r="M654" s="94"/>
      <c r="N654" s="94"/>
    </row>
    <row r="655">
      <c r="G655" s="94"/>
      <c r="I655" s="94"/>
      <c r="J655" s="94"/>
      <c r="K655" s="94"/>
      <c r="L655" s="94"/>
      <c r="M655" s="94"/>
      <c r="N655" s="94"/>
    </row>
    <row r="656">
      <c r="G656" s="94"/>
      <c r="I656" s="94"/>
      <c r="J656" s="94"/>
      <c r="K656" s="94"/>
      <c r="L656" s="94"/>
      <c r="M656" s="94"/>
      <c r="N656" s="94"/>
    </row>
    <row r="657">
      <c r="G657" s="94"/>
      <c r="I657" s="94"/>
      <c r="J657" s="94"/>
      <c r="K657" s="94"/>
      <c r="L657" s="94"/>
      <c r="M657" s="94"/>
      <c r="N657" s="94"/>
    </row>
    <row r="658">
      <c r="G658" s="94"/>
      <c r="I658" s="94"/>
      <c r="J658" s="94"/>
      <c r="K658" s="94"/>
      <c r="L658" s="94"/>
      <c r="M658" s="94"/>
      <c r="N658" s="94"/>
    </row>
    <row r="659">
      <c r="G659" s="94"/>
      <c r="I659" s="94"/>
      <c r="J659" s="94"/>
      <c r="K659" s="94"/>
      <c r="L659" s="94"/>
      <c r="M659" s="94"/>
      <c r="N659" s="94"/>
    </row>
    <row r="660">
      <c r="G660" s="94"/>
      <c r="I660" s="94"/>
      <c r="J660" s="94"/>
      <c r="K660" s="94"/>
      <c r="L660" s="94"/>
      <c r="M660" s="94"/>
      <c r="N660" s="94"/>
    </row>
    <row r="661">
      <c r="G661" s="94"/>
      <c r="I661" s="94"/>
      <c r="J661" s="94"/>
      <c r="K661" s="94"/>
      <c r="L661" s="94"/>
      <c r="M661" s="94"/>
      <c r="N661" s="94"/>
    </row>
    <row r="662">
      <c r="G662" s="94"/>
      <c r="I662" s="94"/>
      <c r="J662" s="94"/>
      <c r="K662" s="94"/>
      <c r="L662" s="94"/>
      <c r="M662" s="94"/>
      <c r="N662" s="94"/>
    </row>
    <row r="663">
      <c r="G663" s="94"/>
      <c r="I663" s="94"/>
      <c r="J663" s="94"/>
      <c r="K663" s="94"/>
      <c r="L663" s="94"/>
      <c r="M663" s="94"/>
      <c r="N663" s="94"/>
    </row>
    <row r="664">
      <c r="G664" s="94"/>
      <c r="I664" s="94"/>
      <c r="J664" s="94"/>
      <c r="K664" s="94"/>
      <c r="L664" s="94"/>
      <c r="M664" s="94"/>
      <c r="N664" s="94"/>
    </row>
    <row r="665">
      <c r="G665" s="94"/>
      <c r="I665" s="94"/>
      <c r="J665" s="94"/>
      <c r="K665" s="94"/>
      <c r="L665" s="94"/>
      <c r="M665" s="94"/>
      <c r="N665" s="94"/>
    </row>
    <row r="666">
      <c r="G666" s="94"/>
      <c r="I666" s="94"/>
      <c r="J666" s="94"/>
      <c r="K666" s="94"/>
      <c r="L666" s="94"/>
      <c r="M666" s="94"/>
      <c r="N666" s="94"/>
    </row>
    <row r="667">
      <c r="G667" s="94"/>
      <c r="I667" s="94"/>
      <c r="J667" s="94"/>
      <c r="K667" s="94"/>
      <c r="L667" s="94"/>
      <c r="M667" s="94"/>
      <c r="N667" s="94"/>
    </row>
    <row r="668">
      <c r="G668" s="94"/>
      <c r="I668" s="94"/>
      <c r="J668" s="94"/>
      <c r="K668" s="94"/>
      <c r="L668" s="94"/>
      <c r="M668" s="94"/>
      <c r="N668" s="94"/>
    </row>
    <row r="669">
      <c r="G669" s="94"/>
      <c r="I669" s="94"/>
      <c r="J669" s="94"/>
      <c r="K669" s="94"/>
      <c r="L669" s="94"/>
      <c r="M669" s="94"/>
      <c r="N669" s="94"/>
    </row>
    <row r="670">
      <c r="G670" s="94"/>
      <c r="I670" s="94"/>
      <c r="J670" s="94"/>
      <c r="K670" s="94"/>
      <c r="L670" s="94"/>
      <c r="M670" s="94"/>
      <c r="N670" s="94"/>
    </row>
    <row r="671">
      <c r="G671" s="94"/>
      <c r="I671" s="94"/>
      <c r="J671" s="94"/>
      <c r="K671" s="94"/>
      <c r="L671" s="94"/>
      <c r="M671" s="94"/>
      <c r="N671" s="94"/>
    </row>
    <row r="672">
      <c r="G672" s="94"/>
      <c r="I672" s="94"/>
      <c r="J672" s="94"/>
      <c r="K672" s="94"/>
      <c r="L672" s="94"/>
      <c r="M672" s="94"/>
      <c r="N672" s="94"/>
    </row>
    <row r="673">
      <c r="G673" s="94"/>
      <c r="I673" s="94"/>
      <c r="J673" s="94"/>
      <c r="K673" s="94"/>
      <c r="L673" s="94"/>
      <c r="M673" s="94"/>
      <c r="N673" s="94"/>
    </row>
    <row r="674">
      <c r="G674" s="94"/>
      <c r="I674" s="94"/>
      <c r="J674" s="94"/>
      <c r="K674" s="94"/>
      <c r="L674" s="94"/>
      <c r="M674" s="94"/>
      <c r="N674" s="94"/>
    </row>
    <row r="675">
      <c r="G675" s="94"/>
      <c r="I675" s="94"/>
      <c r="J675" s="94"/>
      <c r="K675" s="94"/>
      <c r="L675" s="94"/>
      <c r="M675" s="94"/>
      <c r="N675" s="94"/>
    </row>
    <row r="676">
      <c r="G676" s="94"/>
      <c r="I676" s="94"/>
      <c r="J676" s="94"/>
      <c r="K676" s="94"/>
      <c r="L676" s="94"/>
      <c r="M676" s="94"/>
      <c r="N676" s="94"/>
    </row>
    <row r="677">
      <c r="G677" s="94"/>
      <c r="I677" s="94"/>
      <c r="J677" s="94"/>
      <c r="K677" s="94"/>
      <c r="L677" s="94"/>
      <c r="M677" s="94"/>
      <c r="N677" s="94"/>
    </row>
    <row r="678">
      <c r="G678" s="94"/>
      <c r="I678" s="94"/>
      <c r="J678" s="94"/>
      <c r="K678" s="94"/>
      <c r="L678" s="94"/>
      <c r="M678" s="94"/>
      <c r="N678" s="94"/>
    </row>
    <row r="679">
      <c r="G679" s="94"/>
      <c r="I679" s="94"/>
      <c r="J679" s="94"/>
      <c r="K679" s="94"/>
      <c r="L679" s="94"/>
      <c r="M679" s="94"/>
      <c r="N679" s="94"/>
    </row>
    <row r="680">
      <c r="G680" s="94"/>
      <c r="I680" s="94"/>
      <c r="J680" s="94"/>
      <c r="K680" s="94"/>
      <c r="L680" s="94"/>
      <c r="M680" s="94"/>
      <c r="N680" s="94"/>
    </row>
    <row r="681">
      <c r="G681" s="94"/>
      <c r="I681" s="94"/>
      <c r="J681" s="94"/>
      <c r="K681" s="94"/>
      <c r="L681" s="94"/>
      <c r="M681" s="94"/>
      <c r="N681" s="94"/>
    </row>
    <row r="682">
      <c r="G682" s="94"/>
      <c r="I682" s="94"/>
      <c r="J682" s="94"/>
      <c r="K682" s="94"/>
      <c r="L682" s="94"/>
      <c r="M682" s="94"/>
      <c r="N682" s="94"/>
    </row>
    <row r="683">
      <c r="G683" s="94"/>
      <c r="I683" s="94"/>
      <c r="J683" s="94"/>
      <c r="K683" s="94"/>
      <c r="L683" s="94"/>
      <c r="M683" s="94"/>
      <c r="N683" s="94"/>
    </row>
    <row r="684">
      <c r="G684" s="94"/>
      <c r="I684" s="94"/>
      <c r="J684" s="94"/>
      <c r="K684" s="94"/>
      <c r="L684" s="94"/>
      <c r="M684" s="94"/>
      <c r="N684" s="94"/>
    </row>
    <row r="685">
      <c r="G685" s="94"/>
      <c r="I685" s="94"/>
      <c r="J685" s="94"/>
      <c r="K685" s="94"/>
      <c r="L685" s="94"/>
      <c r="M685" s="94"/>
      <c r="N685" s="94"/>
    </row>
    <row r="686">
      <c r="G686" s="94"/>
      <c r="I686" s="94"/>
      <c r="J686" s="94"/>
      <c r="K686" s="94"/>
      <c r="L686" s="94"/>
      <c r="M686" s="94"/>
      <c r="N686" s="94"/>
    </row>
    <row r="687">
      <c r="G687" s="94"/>
      <c r="I687" s="94"/>
      <c r="J687" s="94"/>
      <c r="K687" s="94"/>
      <c r="L687" s="94"/>
      <c r="M687" s="94"/>
      <c r="N687" s="94"/>
    </row>
    <row r="688">
      <c r="G688" s="94"/>
      <c r="I688" s="94"/>
      <c r="J688" s="94"/>
      <c r="K688" s="94"/>
      <c r="L688" s="94"/>
      <c r="M688" s="94"/>
      <c r="N688" s="94"/>
    </row>
    <row r="689">
      <c r="G689" s="94"/>
      <c r="I689" s="94"/>
      <c r="J689" s="94"/>
      <c r="K689" s="94"/>
      <c r="L689" s="94"/>
      <c r="M689" s="94"/>
      <c r="N689" s="94"/>
    </row>
    <row r="690">
      <c r="G690" s="94"/>
      <c r="I690" s="94"/>
      <c r="J690" s="94"/>
      <c r="K690" s="94"/>
      <c r="L690" s="94"/>
      <c r="M690" s="94"/>
      <c r="N690" s="94"/>
    </row>
    <row r="691">
      <c r="G691" s="94"/>
      <c r="I691" s="94"/>
      <c r="J691" s="94"/>
      <c r="K691" s="94"/>
      <c r="L691" s="94"/>
      <c r="M691" s="94"/>
      <c r="N691" s="94"/>
    </row>
    <row r="692">
      <c r="G692" s="94"/>
      <c r="I692" s="94"/>
      <c r="J692" s="94"/>
      <c r="K692" s="94"/>
      <c r="L692" s="94"/>
      <c r="M692" s="94"/>
      <c r="N692" s="94"/>
    </row>
    <row r="693">
      <c r="G693" s="94"/>
      <c r="I693" s="94"/>
      <c r="J693" s="94"/>
      <c r="K693" s="94"/>
      <c r="L693" s="94"/>
      <c r="M693" s="94"/>
      <c r="N693" s="94"/>
    </row>
    <row r="694">
      <c r="G694" s="94"/>
      <c r="I694" s="94"/>
      <c r="J694" s="94"/>
      <c r="K694" s="94"/>
      <c r="L694" s="94"/>
      <c r="M694" s="94"/>
      <c r="N694" s="94"/>
    </row>
    <row r="695">
      <c r="G695" s="94"/>
      <c r="I695" s="94"/>
      <c r="J695" s="94"/>
      <c r="K695" s="94"/>
      <c r="L695" s="94"/>
      <c r="M695" s="94"/>
      <c r="N695" s="94"/>
    </row>
    <row r="696">
      <c r="G696" s="94"/>
      <c r="I696" s="94"/>
      <c r="J696" s="94"/>
      <c r="K696" s="94"/>
      <c r="L696" s="94"/>
      <c r="M696" s="94"/>
      <c r="N696" s="94"/>
    </row>
    <row r="697">
      <c r="G697" s="94"/>
      <c r="I697" s="94"/>
      <c r="J697" s="94"/>
      <c r="K697" s="94"/>
      <c r="L697" s="94"/>
      <c r="M697" s="94"/>
      <c r="N697" s="94"/>
    </row>
    <row r="698">
      <c r="G698" s="94"/>
      <c r="I698" s="94"/>
      <c r="J698" s="94"/>
      <c r="K698" s="94"/>
      <c r="L698" s="94"/>
      <c r="M698" s="94"/>
      <c r="N698" s="94"/>
    </row>
    <row r="699">
      <c r="G699" s="94"/>
      <c r="I699" s="94"/>
      <c r="J699" s="94"/>
      <c r="K699" s="94"/>
      <c r="L699" s="94"/>
      <c r="M699" s="94"/>
      <c r="N699" s="94"/>
    </row>
    <row r="700">
      <c r="G700" s="94"/>
      <c r="I700" s="94"/>
      <c r="J700" s="94"/>
      <c r="K700" s="94"/>
      <c r="L700" s="94"/>
      <c r="M700" s="94"/>
      <c r="N700" s="94"/>
    </row>
    <row r="701">
      <c r="G701" s="94"/>
      <c r="I701" s="94"/>
      <c r="J701" s="94"/>
      <c r="K701" s="94"/>
      <c r="L701" s="94"/>
      <c r="M701" s="94"/>
      <c r="N701" s="94"/>
    </row>
    <row r="702">
      <c r="G702" s="94"/>
      <c r="I702" s="94"/>
      <c r="J702" s="94"/>
      <c r="K702" s="94"/>
      <c r="L702" s="94"/>
      <c r="M702" s="94"/>
      <c r="N702" s="94"/>
    </row>
    <row r="703">
      <c r="G703" s="94"/>
      <c r="I703" s="94"/>
      <c r="J703" s="94"/>
      <c r="K703" s="94"/>
      <c r="L703" s="94"/>
      <c r="M703" s="94"/>
      <c r="N703" s="94"/>
    </row>
    <row r="704">
      <c r="G704" s="94"/>
      <c r="I704" s="94"/>
      <c r="J704" s="94"/>
      <c r="K704" s="94"/>
      <c r="L704" s="94"/>
      <c r="M704" s="94"/>
      <c r="N704" s="94"/>
    </row>
    <row r="705">
      <c r="G705" s="94"/>
      <c r="I705" s="94"/>
      <c r="J705" s="94"/>
      <c r="K705" s="94"/>
      <c r="L705" s="94"/>
      <c r="M705" s="94"/>
      <c r="N705" s="94"/>
    </row>
    <row r="706">
      <c r="G706" s="94"/>
      <c r="I706" s="94"/>
      <c r="J706" s="94"/>
      <c r="K706" s="94"/>
      <c r="L706" s="94"/>
      <c r="M706" s="94"/>
      <c r="N706" s="94"/>
    </row>
    <row r="707">
      <c r="G707" s="94"/>
      <c r="I707" s="94"/>
      <c r="J707" s="94"/>
      <c r="K707" s="94"/>
      <c r="L707" s="94"/>
      <c r="M707" s="94"/>
      <c r="N707" s="94"/>
    </row>
    <row r="708">
      <c r="G708" s="94"/>
      <c r="I708" s="94"/>
      <c r="J708" s="94"/>
      <c r="K708" s="94"/>
      <c r="L708" s="94"/>
      <c r="M708" s="94"/>
      <c r="N708" s="94"/>
    </row>
    <row r="709">
      <c r="G709" s="94"/>
      <c r="I709" s="94"/>
      <c r="J709" s="94"/>
      <c r="K709" s="94"/>
      <c r="L709" s="94"/>
      <c r="M709" s="94"/>
      <c r="N709" s="94"/>
    </row>
    <row r="710">
      <c r="G710" s="94"/>
      <c r="I710" s="94"/>
      <c r="J710" s="94"/>
      <c r="K710" s="94"/>
      <c r="L710" s="94"/>
      <c r="M710" s="94"/>
      <c r="N710" s="94"/>
    </row>
    <row r="711">
      <c r="G711" s="94"/>
      <c r="I711" s="94"/>
      <c r="J711" s="94"/>
      <c r="K711" s="94"/>
      <c r="L711" s="94"/>
      <c r="M711" s="94"/>
      <c r="N711" s="94"/>
    </row>
    <row r="712">
      <c r="G712" s="94"/>
      <c r="I712" s="94"/>
      <c r="J712" s="94"/>
      <c r="K712" s="94"/>
      <c r="L712" s="94"/>
      <c r="M712" s="94"/>
      <c r="N712" s="94"/>
    </row>
    <row r="713">
      <c r="G713" s="94"/>
      <c r="I713" s="94"/>
      <c r="J713" s="94"/>
      <c r="K713" s="94"/>
      <c r="L713" s="94"/>
      <c r="M713" s="94"/>
      <c r="N713" s="94"/>
    </row>
    <row r="714">
      <c r="G714" s="94"/>
      <c r="I714" s="94"/>
      <c r="J714" s="94"/>
      <c r="K714" s="94"/>
      <c r="L714" s="94"/>
      <c r="M714" s="94"/>
      <c r="N714" s="94"/>
    </row>
    <row r="715">
      <c r="G715" s="94"/>
      <c r="I715" s="94"/>
      <c r="J715" s="94"/>
      <c r="K715" s="94"/>
      <c r="L715" s="94"/>
      <c r="M715" s="94"/>
      <c r="N715" s="94"/>
    </row>
    <row r="716">
      <c r="G716" s="94"/>
      <c r="I716" s="94"/>
      <c r="J716" s="94"/>
      <c r="K716" s="94"/>
      <c r="L716" s="94"/>
      <c r="M716" s="94"/>
      <c r="N716" s="94"/>
    </row>
    <row r="717">
      <c r="G717" s="94"/>
      <c r="I717" s="94"/>
      <c r="J717" s="94"/>
      <c r="K717" s="94"/>
      <c r="L717" s="94"/>
      <c r="M717" s="94"/>
      <c r="N717" s="94"/>
    </row>
    <row r="718">
      <c r="G718" s="94"/>
      <c r="I718" s="94"/>
      <c r="J718" s="94"/>
      <c r="K718" s="94"/>
      <c r="L718" s="94"/>
      <c r="M718" s="94"/>
      <c r="N718" s="94"/>
    </row>
    <row r="719">
      <c r="G719" s="94"/>
      <c r="I719" s="94"/>
      <c r="J719" s="94"/>
      <c r="K719" s="94"/>
      <c r="L719" s="94"/>
      <c r="M719" s="94"/>
      <c r="N719" s="94"/>
    </row>
    <row r="720">
      <c r="G720" s="94"/>
      <c r="I720" s="94"/>
      <c r="J720" s="94"/>
      <c r="K720" s="94"/>
      <c r="L720" s="94"/>
      <c r="M720" s="94"/>
      <c r="N720" s="94"/>
    </row>
    <row r="721">
      <c r="G721" s="94"/>
      <c r="I721" s="94"/>
      <c r="J721" s="94"/>
      <c r="K721" s="94"/>
      <c r="L721" s="94"/>
      <c r="M721" s="94"/>
      <c r="N721" s="94"/>
    </row>
    <row r="722">
      <c r="G722" s="94"/>
      <c r="I722" s="94"/>
      <c r="J722" s="94"/>
      <c r="K722" s="94"/>
      <c r="L722" s="94"/>
      <c r="M722" s="94"/>
      <c r="N722" s="94"/>
    </row>
    <row r="723">
      <c r="G723" s="94"/>
      <c r="I723" s="94"/>
      <c r="J723" s="94"/>
      <c r="K723" s="94"/>
      <c r="L723" s="94"/>
      <c r="M723" s="94"/>
      <c r="N723" s="94"/>
    </row>
    <row r="724">
      <c r="G724" s="94"/>
      <c r="I724" s="94"/>
      <c r="J724" s="94"/>
      <c r="K724" s="94"/>
      <c r="L724" s="94"/>
      <c r="M724" s="94"/>
      <c r="N724" s="94"/>
    </row>
    <row r="725">
      <c r="G725" s="94"/>
      <c r="I725" s="94"/>
      <c r="J725" s="94"/>
      <c r="K725" s="94"/>
      <c r="L725" s="94"/>
      <c r="M725" s="94"/>
      <c r="N725" s="94"/>
    </row>
    <row r="726">
      <c r="G726" s="94"/>
      <c r="I726" s="94"/>
      <c r="J726" s="94"/>
      <c r="K726" s="94"/>
      <c r="L726" s="94"/>
      <c r="M726" s="94"/>
      <c r="N726" s="94"/>
    </row>
    <row r="727">
      <c r="G727" s="94"/>
      <c r="I727" s="94"/>
      <c r="J727" s="94"/>
      <c r="K727" s="94"/>
      <c r="L727" s="94"/>
      <c r="M727" s="94"/>
      <c r="N727" s="94"/>
    </row>
    <row r="728">
      <c r="G728" s="94"/>
      <c r="I728" s="94"/>
      <c r="J728" s="94"/>
      <c r="K728" s="94"/>
      <c r="L728" s="94"/>
      <c r="M728" s="94"/>
      <c r="N728" s="94"/>
    </row>
    <row r="729">
      <c r="G729" s="94"/>
      <c r="I729" s="94"/>
      <c r="J729" s="94"/>
      <c r="K729" s="94"/>
      <c r="L729" s="94"/>
      <c r="M729" s="94"/>
      <c r="N729" s="94"/>
    </row>
    <row r="730">
      <c r="G730" s="94"/>
      <c r="I730" s="94"/>
      <c r="J730" s="94"/>
      <c r="K730" s="94"/>
      <c r="L730" s="94"/>
      <c r="M730" s="94"/>
      <c r="N730" s="94"/>
    </row>
    <row r="731">
      <c r="G731" s="94"/>
      <c r="I731" s="94"/>
      <c r="J731" s="94"/>
      <c r="K731" s="94"/>
      <c r="L731" s="94"/>
      <c r="M731" s="94"/>
      <c r="N731" s="94"/>
    </row>
    <row r="732">
      <c r="G732" s="94"/>
      <c r="I732" s="94"/>
      <c r="J732" s="94"/>
      <c r="K732" s="94"/>
      <c r="L732" s="94"/>
      <c r="M732" s="94"/>
      <c r="N732" s="94"/>
    </row>
    <row r="733">
      <c r="G733" s="94"/>
      <c r="I733" s="94"/>
      <c r="J733" s="94"/>
      <c r="K733" s="94"/>
      <c r="L733" s="94"/>
      <c r="M733" s="94"/>
      <c r="N733" s="94"/>
    </row>
    <row r="734">
      <c r="G734" s="94"/>
      <c r="I734" s="94"/>
      <c r="J734" s="94"/>
      <c r="K734" s="94"/>
      <c r="L734" s="94"/>
      <c r="M734" s="94"/>
      <c r="N734" s="94"/>
    </row>
    <row r="735">
      <c r="G735" s="94"/>
      <c r="I735" s="94"/>
      <c r="J735" s="94"/>
      <c r="K735" s="94"/>
      <c r="L735" s="94"/>
      <c r="M735" s="94"/>
      <c r="N735" s="94"/>
    </row>
    <row r="736">
      <c r="G736" s="94"/>
      <c r="I736" s="94"/>
      <c r="J736" s="94"/>
      <c r="K736" s="94"/>
      <c r="L736" s="94"/>
      <c r="M736" s="94"/>
      <c r="N736" s="94"/>
    </row>
    <row r="737">
      <c r="G737" s="94"/>
      <c r="I737" s="94"/>
      <c r="J737" s="94"/>
      <c r="K737" s="94"/>
      <c r="L737" s="94"/>
      <c r="M737" s="94"/>
      <c r="N737" s="94"/>
    </row>
    <row r="738">
      <c r="G738" s="94"/>
      <c r="I738" s="94"/>
      <c r="J738" s="94"/>
      <c r="K738" s="94"/>
      <c r="L738" s="94"/>
      <c r="M738" s="94"/>
      <c r="N738" s="94"/>
    </row>
    <row r="739">
      <c r="G739" s="94"/>
      <c r="I739" s="94"/>
      <c r="J739" s="94"/>
      <c r="K739" s="94"/>
      <c r="L739" s="94"/>
      <c r="M739" s="94"/>
      <c r="N739" s="94"/>
    </row>
    <row r="740">
      <c r="G740" s="94"/>
      <c r="I740" s="94"/>
      <c r="J740" s="94"/>
      <c r="K740" s="94"/>
      <c r="L740" s="94"/>
      <c r="M740" s="94"/>
      <c r="N740" s="94"/>
    </row>
    <row r="741">
      <c r="G741" s="94"/>
      <c r="I741" s="94"/>
      <c r="J741" s="94"/>
      <c r="K741" s="94"/>
      <c r="L741" s="94"/>
      <c r="M741" s="94"/>
      <c r="N741" s="94"/>
    </row>
    <row r="742">
      <c r="G742" s="94"/>
      <c r="I742" s="94"/>
      <c r="J742" s="94"/>
      <c r="K742" s="94"/>
      <c r="L742" s="94"/>
      <c r="M742" s="94"/>
      <c r="N742" s="94"/>
    </row>
    <row r="743">
      <c r="G743" s="94"/>
      <c r="I743" s="94"/>
      <c r="J743" s="94"/>
      <c r="K743" s="94"/>
      <c r="L743" s="94"/>
      <c r="M743" s="94"/>
      <c r="N743" s="94"/>
    </row>
    <row r="744">
      <c r="G744" s="94"/>
      <c r="I744" s="94"/>
      <c r="J744" s="94"/>
      <c r="K744" s="94"/>
      <c r="L744" s="94"/>
      <c r="M744" s="94"/>
      <c r="N744" s="94"/>
    </row>
    <row r="745">
      <c r="G745" s="94"/>
      <c r="I745" s="94"/>
      <c r="J745" s="94"/>
      <c r="K745" s="94"/>
      <c r="L745" s="94"/>
      <c r="M745" s="94"/>
      <c r="N745" s="94"/>
    </row>
    <row r="746">
      <c r="G746" s="94"/>
      <c r="I746" s="94"/>
      <c r="J746" s="94"/>
      <c r="K746" s="94"/>
      <c r="L746" s="94"/>
      <c r="M746" s="94"/>
      <c r="N746" s="94"/>
    </row>
    <row r="747">
      <c r="G747" s="94"/>
      <c r="I747" s="94"/>
      <c r="J747" s="94"/>
      <c r="K747" s="94"/>
      <c r="L747" s="94"/>
      <c r="M747" s="94"/>
      <c r="N747" s="94"/>
    </row>
    <row r="748">
      <c r="G748" s="94"/>
      <c r="I748" s="94"/>
      <c r="J748" s="94"/>
      <c r="K748" s="94"/>
      <c r="L748" s="94"/>
      <c r="M748" s="94"/>
      <c r="N748" s="94"/>
    </row>
    <row r="749">
      <c r="G749" s="94"/>
      <c r="I749" s="94"/>
      <c r="J749" s="94"/>
      <c r="K749" s="94"/>
      <c r="L749" s="94"/>
      <c r="M749" s="94"/>
      <c r="N749" s="94"/>
    </row>
    <row r="750">
      <c r="G750" s="94"/>
      <c r="I750" s="94"/>
      <c r="J750" s="94"/>
      <c r="K750" s="94"/>
      <c r="L750" s="94"/>
      <c r="M750" s="94"/>
      <c r="N750" s="94"/>
    </row>
    <row r="751">
      <c r="G751" s="94"/>
      <c r="I751" s="94"/>
      <c r="J751" s="94"/>
      <c r="K751" s="94"/>
      <c r="L751" s="94"/>
      <c r="M751" s="94"/>
      <c r="N751" s="94"/>
    </row>
    <row r="752">
      <c r="G752" s="94"/>
      <c r="I752" s="94"/>
      <c r="J752" s="94"/>
      <c r="K752" s="94"/>
      <c r="L752" s="94"/>
      <c r="M752" s="94"/>
      <c r="N752" s="94"/>
    </row>
    <row r="753">
      <c r="G753" s="94"/>
      <c r="I753" s="94"/>
      <c r="J753" s="94"/>
      <c r="K753" s="94"/>
      <c r="L753" s="94"/>
      <c r="M753" s="94"/>
      <c r="N753" s="94"/>
    </row>
    <row r="754">
      <c r="G754" s="94"/>
      <c r="I754" s="94"/>
      <c r="J754" s="94"/>
      <c r="K754" s="94"/>
      <c r="L754" s="94"/>
      <c r="M754" s="94"/>
      <c r="N754" s="94"/>
    </row>
    <row r="755">
      <c r="G755" s="94"/>
      <c r="I755" s="94"/>
      <c r="J755" s="94"/>
      <c r="K755" s="94"/>
      <c r="L755" s="94"/>
      <c r="M755" s="94"/>
      <c r="N755" s="94"/>
    </row>
    <row r="756">
      <c r="G756" s="94"/>
      <c r="I756" s="94"/>
      <c r="J756" s="94"/>
      <c r="K756" s="94"/>
      <c r="L756" s="94"/>
      <c r="M756" s="94"/>
      <c r="N756" s="94"/>
    </row>
    <row r="757">
      <c r="G757" s="94"/>
      <c r="I757" s="94"/>
      <c r="J757" s="94"/>
      <c r="K757" s="94"/>
      <c r="L757" s="94"/>
      <c r="M757" s="94"/>
      <c r="N757" s="94"/>
    </row>
    <row r="758">
      <c r="G758" s="94"/>
      <c r="I758" s="94"/>
      <c r="J758" s="94"/>
      <c r="K758" s="94"/>
      <c r="L758" s="94"/>
      <c r="M758" s="94"/>
      <c r="N758" s="94"/>
    </row>
    <row r="759">
      <c r="G759" s="94"/>
      <c r="I759" s="94"/>
      <c r="J759" s="94"/>
      <c r="K759" s="94"/>
      <c r="L759" s="94"/>
      <c r="M759" s="94"/>
      <c r="N759" s="94"/>
    </row>
    <row r="760">
      <c r="G760" s="94"/>
      <c r="I760" s="94"/>
      <c r="J760" s="94"/>
      <c r="K760" s="94"/>
      <c r="L760" s="94"/>
      <c r="M760" s="94"/>
      <c r="N760" s="94"/>
    </row>
    <row r="761">
      <c r="G761" s="94"/>
      <c r="I761" s="94"/>
      <c r="J761" s="94"/>
      <c r="K761" s="94"/>
      <c r="L761" s="94"/>
      <c r="M761" s="94"/>
      <c r="N761" s="94"/>
    </row>
    <row r="762">
      <c r="G762" s="94"/>
      <c r="I762" s="94"/>
      <c r="J762" s="94"/>
      <c r="K762" s="94"/>
      <c r="L762" s="94"/>
      <c r="M762" s="94"/>
      <c r="N762" s="94"/>
    </row>
    <row r="763">
      <c r="G763" s="94"/>
      <c r="I763" s="94"/>
      <c r="J763" s="94"/>
      <c r="K763" s="94"/>
      <c r="L763" s="94"/>
      <c r="M763" s="94"/>
      <c r="N763" s="94"/>
    </row>
    <row r="764">
      <c r="G764" s="94"/>
      <c r="I764" s="94"/>
      <c r="J764" s="94"/>
      <c r="K764" s="94"/>
      <c r="L764" s="94"/>
      <c r="M764" s="94"/>
      <c r="N764" s="94"/>
    </row>
    <row r="765">
      <c r="G765" s="94"/>
      <c r="I765" s="94"/>
      <c r="J765" s="94"/>
      <c r="K765" s="94"/>
      <c r="L765" s="94"/>
      <c r="M765" s="94"/>
      <c r="N765" s="94"/>
    </row>
    <row r="766">
      <c r="G766" s="94"/>
      <c r="I766" s="94"/>
      <c r="J766" s="94"/>
      <c r="K766" s="94"/>
      <c r="L766" s="94"/>
      <c r="M766" s="94"/>
      <c r="N766" s="94"/>
    </row>
    <row r="767">
      <c r="G767" s="94"/>
      <c r="I767" s="94"/>
      <c r="J767" s="94"/>
      <c r="K767" s="94"/>
      <c r="L767" s="94"/>
      <c r="M767" s="94"/>
      <c r="N767" s="94"/>
    </row>
    <row r="768">
      <c r="G768" s="94"/>
      <c r="I768" s="94"/>
      <c r="J768" s="94"/>
      <c r="K768" s="94"/>
      <c r="L768" s="94"/>
      <c r="M768" s="94"/>
      <c r="N768" s="94"/>
    </row>
    <row r="769">
      <c r="G769" s="94"/>
      <c r="I769" s="94"/>
      <c r="J769" s="94"/>
      <c r="K769" s="94"/>
      <c r="L769" s="94"/>
      <c r="M769" s="94"/>
      <c r="N769" s="94"/>
    </row>
    <row r="770">
      <c r="G770" s="94"/>
      <c r="I770" s="94"/>
      <c r="J770" s="94"/>
      <c r="K770" s="94"/>
      <c r="L770" s="94"/>
      <c r="M770" s="94"/>
      <c r="N770" s="94"/>
    </row>
    <row r="771">
      <c r="G771" s="94"/>
      <c r="I771" s="94"/>
      <c r="J771" s="94"/>
      <c r="K771" s="94"/>
      <c r="L771" s="94"/>
      <c r="M771" s="94"/>
      <c r="N771" s="94"/>
    </row>
    <row r="772">
      <c r="G772" s="94"/>
      <c r="I772" s="94"/>
      <c r="J772" s="94"/>
      <c r="K772" s="94"/>
      <c r="L772" s="94"/>
      <c r="M772" s="94"/>
      <c r="N772" s="94"/>
    </row>
    <row r="773">
      <c r="G773" s="94"/>
      <c r="I773" s="94"/>
      <c r="J773" s="94"/>
      <c r="K773" s="94"/>
      <c r="L773" s="94"/>
      <c r="M773" s="94"/>
      <c r="N773" s="94"/>
    </row>
    <row r="774">
      <c r="G774" s="94"/>
      <c r="I774" s="94"/>
      <c r="J774" s="94"/>
      <c r="K774" s="94"/>
      <c r="L774" s="94"/>
      <c r="M774" s="94"/>
      <c r="N774" s="94"/>
    </row>
    <row r="775">
      <c r="G775" s="94"/>
      <c r="I775" s="94"/>
      <c r="J775" s="94"/>
      <c r="K775" s="94"/>
      <c r="L775" s="94"/>
      <c r="M775" s="94"/>
      <c r="N775" s="94"/>
    </row>
    <row r="776">
      <c r="G776" s="94"/>
      <c r="I776" s="94"/>
      <c r="J776" s="94"/>
      <c r="K776" s="94"/>
      <c r="L776" s="94"/>
      <c r="M776" s="94"/>
      <c r="N776" s="94"/>
    </row>
    <row r="777">
      <c r="G777" s="94"/>
      <c r="I777" s="94"/>
      <c r="J777" s="94"/>
      <c r="K777" s="94"/>
      <c r="L777" s="94"/>
      <c r="M777" s="94"/>
      <c r="N777" s="94"/>
    </row>
    <row r="778">
      <c r="G778" s="94"/>
      <c r="I778" s="94"/>
      <c r="J778" s="94"/>
      <c r="K778" s="94"/>
      <c r="L778" s="94"/>
      <c r="M778" s="94"/>
      <c r="N778" s="94"/>
    </row>
    <row r="779">
      <c r="G779" s="94"/>
      <c r="I779" s="94"/>
      <c r="J779" s="94"/>
      <c r="K779" s="94"/>
      <c r="L779" s="94"/>
      <c r="M779" s="94"/>
      <c r="N779" s="94"/>
    </row>
    <row r="780">
      <c r="G780" s="94"/>
      <c r="I780" s="94"/>
      <c r="J780" s="94"/>
      <c r="K780" s="94"/>
      <c r="L780" s="94"/>
      <c r="M780" s="94"/>
      <c r="N780" s="94"/>
    </row>
    <row r="781">
      <c r="G781" s="94"/>
      <c r="I781" s="94"/>
      <c r="J781" s="94"/>
      <c r="K781" s="94"/>
      <c r="L781" s="94"/>
      <c r="M781" s="94"/>
      <c r="N781" s="94"/>
    </row>
    <row r="782">
      <c r="G782" s="94"/>
      <c r="I782" s="94"/>
      <c r="J782" s="94"/>
      <c r="K782" s="94"/>
      <c r="L782" s="94"/>
      <c r="M782" s="94"/>
      <c r="N782" s="94"/>
    </row>
    <row r="783">
      <c r="G783" s="94"/>
      <c r="I783" s="94"/>
      <c r="J783" s="94"/>
      <c r="K783" s="94"/>
      <c r="L783" s="94"/>
      <c r="M783" s="94"/>
      <c r="N783" s="94"/>
    </row>
    <row r="784">
      <c r="G784" s="94"/>
      <c r="I784" s="94"/>
      <c r="J784" s="94"/>
      <c r="K784" s="94"/>
      <c r="L784" s="94"/>
      <c r="M784" s="94"/>
      <c r="N784" s="94"/>
    </row>
    <row r="785">
      <c r="G785" s="94"/>
      <c r="I785" s="94"/>
      <c r="J785" s="94"/>
      <c r="K785" s="94"/>
      <c r="L785" s="94"/>
      <c r="M785" s="94"/>
      <c r="N785" s="94"/>
    </row>
    <row r="786">
      <c r="G786" s="94"/>
      <c r="I786" s="94"/>
      <c r="J786" s="94"/>
      <c r="K786" s="94"/>
      <c r="L786" s="94"/>
      <c r="M786" s="94"/>
      <c r="N786" s="94"/>
    </row>
    <row r="787">
      <c r="G787" s="94"/>
      <c r="I787" s="94"/>
      <c r="J787" s="94"/>
      <c r="K787" s="94"/>
      <c r="L787" s="94"/>
      <c r="M787" s="94"/>
      <c r="N787" s="94"/>
    </row>
    <row r="788">
      <c r="G788" s="94"/>
      <c r="I788" s="94"/>
      <c r="J788" s="94"/>
      <c r="K788" s="94"/>
      <c r="L788" s="94"/>
      <c r="M788" s="94"/>
      <c r="N788" s="94"/>
    </row>
    <row r="789">
      <c r="G789" s="94"/>
      <c r="I789" s="94"/>
      <c r="J789" s="94"/>
      <c r="K789" s="94"/>
      <c r="L789" s="94"/>
      <c r="M789" s="94"/>
      <c r="N789" s="94"/>
    </row>
    <row r="790">
      <c r="G790" s="94"/>
      <c r="I790" s="94"/>
      <c r="J790" s="94"/>
      <c r="K790" s="94"/>
      <c r="L790" s="94"/>
      <c r="M790" s="94"/>
      <c r="N790" s="94"/>
    </row>
    <row r="791">
      <c r="G791" s="94"/>
      <c r="I791" s="94"/>
      <c r="J791" s="94"/>
      <c r="K791" s="94"/>
      <c r="L791" s="94"/>
      <c r="M791" s="94"/>
      <c r="N791" s="94"/>
    </row>
    <row r="792">
      <c r="G792" s="94"/>
      <c r="I792" s="94"/>
      <c r="J792" s="94"/>
      <c r="K792" s="94"/>
      <c r="L792" s="94"/>
      <c r="M792" s="94"/>
      <c r="N792" s="94"/>
    </row>
    <row r="793">
      <c r="G793" s="94"/>
      <c r="I793" s="94"/>
      <c r="J793" s="94"/>
      <c r="K793" s="94"/>
      <c r="L793" s="94"/>
      <c r="M793" s="94"/>
      <c r="N793" s="94"/>
    </row>
    <row r="794">
      <c r="G794" s="94"/>
      <c r="I794" s="94"/>
      <c r="J794" s="94"/>
      <c r="K794" s="94"/>
      <c r="L794" s="94"/>
      <c r="M794" s="94"/>
      <c r="N794" s="94"/>
    </row>
    <row r="795">
      <c r="G795" s="94"/>
      <c r="I795" s="94"/>
      <c r="J795" s="94"/>
      <c r="K795" s="94"/>
      <c r="L795" s="94"/>
      <c r="M795" s="94"/>
      <c r="N795" s="94"/>
    </row>
    <row r="796">
      <c r="G796" s="94"/>
      <c r="I796" s="94"/>
      <c r="J796" s="94"/>
      <c r="K796" s="94"/>
      <c r="L796" s="94"/>
      <c r="M796" s="94"/>
      <c r="N796" s="94"/>
    </row>
    <row r="797">
      <c r="G797" s="94"/>
      <c r="I797" s="94"/>
      <c r="J797" s="94"/>
      <c r="K797" s="94"/>
      <c r="L797" s="94"/>
      <c r="M797" s="94"/>
      <c r="N797" s="94"/>
    </row>
    <row r="798">
      <c r="G798" s="94"/>
      <c r="I798" s="94"/>
      <c r="J798" s="94"/>
      <c r="K798" s="94"/>
      <c r="L798" s="94"/>
      <c r="M798" s="94"/>
      <c r="N798" s="94"/>
    </row>
    <row r="799">
      <c r="G799" s="94"/>
      <c r="I799" s="94"/>
      <c r="J799" s="94"/>
      <c r="K799" s="94"/>
      <c r="L799" s="94"/>
      <c r="M799" s="94"/>
      <c r="N799" s="94"/>
    </row>
    <row r="800">
      <c r="G800" s="94"/>
      <c r="I800" s="94"/>
      <c r="J800" s="94"/>
      <c r="K800" s="94"/>
      <c r="L800" s="94"/>
      <c r="M800" s="94"/>
      <c r="N800" s="94"/>
    </row>
    <row r="801">
      <c r="G801" s="94"/>
      <c r="I801" s="94"/>
      <c r="J801" s="94"/>
      <c r="K801" s="94"/>
      <c r="L801" s="94"/>
      <c r="M801" s="94"/>
      <c r="N801" s="94"/>
    </row>
    <row r="802">
      <c r="G802" s="94"/>
      <c r="I802" s="94"/>
      <c r="J802" s="94"/>
      <c r="K802" s="94"/>
      <c r="L802" s="94"/>
      <c r="M802" s="94"/>
      <c r="N802" s="94"/>
    </row>
    <row r="803">
      <c r="G803" s="94"/>
      <c r="I803" s="94"/>
      <c r="J803" s="94"/>
      <c r="K803" s="94"/>
      <c r="L803" s="94"/>
      <c r="M803" s="94"/>
      <c r="N803" s="94"/>
    </row>
    <row r="804">
      <c r="G804" s="94"/>
      <c r="I804" s="94"/>
      <c r="J804" s="94"/>
      <c r="K804" s="94"/>
      <c r="L804" s="94"/>
      <c r="M804" s="94"/>
      <c r="N804" s="94"/>
    </row>
    <row r="805">
      <c r="G805" s="94"/>
      <c r="I805" s="94"/>
      <c r="J805" s="94"/>
      <c r="K805" s="94"/>
      <c r="L805" s="94"/>
      <c r="M805" s="94"/>
      <c r="N805" s="94"/>
    </row>
    <row r="806">
      <c r="G806" s="94"/>
      <c r="I806" s="94"/>
      <c r="J806" s="94"/>
      <c r="K806" s="94"/>
      <c r="L806" s="94"/>
      <c r="M806" s="94"/>
      <c r="N806" s="94"/>
    </row>
    <row r="807">
      <c r="G807" s="94"/>
      <c r="I807" s="94"/>
      <c r="J807" s="94"/>
      <c r="K807" s="94"/>
      <c r="L807" s="94"/>
      <c r="M807" s="94"/>
      <c r="N807" s="94"/>
    </row>
    <row r="808">
      <c r="G808" s="94"/>
      <c r="I808" s="94"/>
      <c r="J808" s="94"/>
      <c r="K808" s="94"/>
      <c r="L808" s="94"/>
      <c r="M808" s="94"/>
      <c r="N808" s="94"/>
    </row>
    <row r="809">
      <c r="G809" s="94"/>
      <c r="I809" s="94"/>
      <c r="J809" s="94"/>
      <c r="K809" s="94"/>
      <c r="L809" s="94"/>
      <c r="M809" s="94"/>
      <c r="N809" s="94"/>
    </row>
    <row r="810">
      <c r="G810" s="94"/>
      <c r="I810" s="94"/>
      <c r="J810" s="94"/>
      <c r="K810" s="94"/>
      <c r="L810" s="94"/>
      <c r="M810" s="94"/>
      <c r="N810" s="94"/>
    </row>
    <row r="811">
      <c r="G811" s="94"/>
      <c r="I811" s="94"/>
      <c r="J811" s="94"/>
      <c r="K811" s="94"/>
      <c r="L811" s="94"/>
      <c r="M811" s="94"/>
      <c r="N811" s="94"/>
    </row>
    <row r="812">
      <c r="G812" s="94"/>
      <c r="I812" s="94"/>
      <c r="J812" s="94"/>
      <c r="K812" s="94"/>
      <c r="L812" s="94"/>
      <c r="M812" s="94"/>
      <c r="N812" s="94"/>
    </row>
    <row r="813">
      <c r="G813" s="94"/>
      <c r="I813" s="94"/>
      <c r="J813" s="94"/>
      <c r="K813" s="94"/>
      <c r="L813" s="94"/>
      <c r="M813" s="94"/>
      <c r="N813" s="94"/>
    </row>
    <row r="814">
      <c r="G814" s="94"/>
      <c r="I814" s="94"/>
      <c r="J814" s="94"/>
      <c r="K814" s="94"/>
      <c r="L814" s="94"/>
      <c r="M814" s="94"/>
      <c r="N814" s="94"/>
    </row>
    <row r="815">
      <c r="G815" s="94"/>
      <c r="I815" s="94"/>
      <c r="J815" s="94"/>
      <c r="K815" s="94"/>
      <c r="L815" s="94"/>
      <c r="M815" s="94"/>
      <c r="N815" s="94"/>
    </row>
    <row r="816">
      <c r="G816" s="94"/>
      <c r="I816" s="94"/>
      <c r="J816" s="94"/>
      <c r="K816" s="94"/>
      <c r="L816" s="94"/>
      <c r="M816" s="94"/>
      <c r="N816" s="94"/>
    </row>
    <row r="817">
      <c r="G817" s="94"/>
      <c r="I817" s="94"/>
      <c r="J817" s="94"/>
      <c r="K817" s="94"/>
      <c r="L817" s="94"/>
      <c r="M817" s="94"/>
      <c r="N817" s="94"/>
    </row>
    <row r="818">
      <c r="G818" s="94"/>
      <c r="I818" s="94"/>
      <c r="J818" s="94"/>
      <c r="K818" s="94"/>
      <c r="L818" s="94"/>
      <c r="M818" s="94"/>
      <c r="N818" s="94"/>
    </row>
    <row r="819">
      <c r="G819" s="94"/>
      <c r="I819" s="94"/>
      <c r="J819" s="94"/>
      <c r="K819" s="94"/>
      <c r="L819" s="94"/>
      <c r="M819" s="94"/>
      <c r="N819" s="94"/>
    </row>
    <row r="820">
      <c r="G820" s="94"/>
      <c r="I820" s="94"/>
      <c r="J820" s="94"/>
      <c r="K820" s="94"/>
      <c r="L820" s="94"/>
      <c r="M820" s="94"/>
      <c r="N820" s="94"/>
    </row>
    <row r="821">
      <c r="G821" s="94"/>
      <c r="I821" s="94"/>
      <c r="J821" s="94"/>
      <c r="K821" s="94"/>
      <c r="L821" s="94"/>
      <c r="M821" s="94"/>
      <c r="N821" s="94"/>
    </row>
    <row r="822">
      <c r="G822" s="94"/>
      <c r="I822" s="94"/>
      <c r="J822" s="94"/>
      <c r="K822" s="94"/>
      <c r="L822" s="94"/>
      <c r="M822" s="94"/>
      <c r="N822" s="94"/>
    </row>
    <row r="823">
      <c r="G823" s="94"/>
      <c r="I823" s="94"/>
      <c r="J823" s="94"/>
      <c r="K823" s="94"/>
      <c r="L823" s="94"/>
      <c r="M823" s="94"/>
      <c r="N823" s="94"/>
    </row>
    <row r="824">
      <c r="G824" s="94"/>
      <c r="I824" s="94"/>
      <c r="J824" s="94"/>
      <c r="K824" s="94"/>
      <c r="L824" s="94"/>
      <c r="M824" s="94"/>
      <c r="N824" s="94"/>
    </row>
    <row r="825">
      <c r="G825" s="94"/>
      <c r="I825" s="94"/>
      <c r="J825" s="94"/>
      <c r="K825" s="94"/>
      <c r="L825" s="94"/>
      <c r="M825" s="94"/>
      <c r="N825" s="94"/>
    </row>
    <row r="826">
      <c r="G826" s="94"/>
      <c r="I826" s="94"/>
      <c r="J826" s="94"/>
      <c r="K826" s="94"/>
      <c r="L826" s="94"/>
      <c r="M826" s="94"/>
      <c r="N826" s="94"/>
    </row>
    <row r="827">
      <c r="G827" s="94"/>
      <c r="I827" s="94"/>
      <c r="J827" s="94"/>
      <c r="K827" s="94"/>
      <c r="L827" s="94"/>
      <c r="M827" s="94"/>
      <c r="N827" s="94"/>
    </row>
    <row r="828">
      <c r="G828" s="94"/>
      <c r="I828" s="94"/>
      <c r="J828" s="94"/>
      <c r="K828" s="94"/>
      <c r="L828" s="94"/>
      <c r="M828" s="94"/>
      <c r="N828" s="94"/>
    </row>
    <row r="829">
      <c r="G829" s="94"/>
      <c r="I829" s="94"/>
      <c r="J829" s="94"/>
      <c r="K829" s="94"/>
      <c r="L829" s="94"/>
      <c r="M829" s="94"/>
      <c r="N829" s="94"/>
    </row>
    <row r="830">
      <c r="G830" s="94"/>
      <c r="I830" s="94"/>
      <c r="J830" s="94"/>
      <c r="K830" s="94"/>
      <c r="L830" s="94"/>
      <c r="M830" s="94"/>
      <c r="N830" s="94"/>
    </row>
    <row r="831">
      <c r="G831" s="94"/>
      <c r="I831" s="94"/>
      <c r="J831" s="94"/>
      <c r="K831" s="94"/>
      <c r="L831" s="94"/>
      <c r="M831" s="94"/>
      <c r="N831" s="94"/>
    </row>
    <row r="832">
      <c r="G832" s="94"/>
      <c r="I832" s="94"/>
      <c r="J832" s="94"/>
      <c r="K832" s="94"/>
      <c r="L832" s="94"/>
      <c r="M832" s="94"/>
      <c r="N832" s="94"/>
    </row>
    <row r="833">
      <c r="G833" s="94"/>
      <c r="I833" s="94"/>
      <c r="J833" s="94"/>
      <c r="K833" s="94"/>
      <c r="L833" s="94"/>
      <c r="M833" s="94"/>
      <c r="N833" s="94"/>
    </row>
    <row r="834">
      <c r="G834" s="94"/>
      <c r="I834" s="94"/>
      <c r="J834" s="94"/>
      <c r="K834" s="94"/>
      <c r="L834" s="94"/>
      <c r="M834" s="94"/>
      <c r="N834" s="94"/>
    </row>
    <row r="835">
      <c r="G835" s="94"/>
      <c r="I835" s="94"/>
      <c r="J835" s="94"/>
      <c r="K835" s="94"/>
      <c r="L835" s="94"/>
      <c r="M835" s="94"/>
      <c r="N835" s="94"/>
    </row>
    <row r="836">
      <c r="G836" s="94"/>
      <c r="I836" s="94"/>
      <c r="J836" s="94"/>
      <c r="K836" s="94"/>
      <c r="L836" s="94"/>
      <c r="M836" s="94"/>
      <c r="N836" s="94"/>
    </row>
    <row r="837">
      <c r="G837" s="94"/>
      <c r="I837" s="94"/>
      <c r="J837" s="94"/>
      <c r="K837" s="94"/>
      <c r="L837" s="94"/>
      <c r="M837" s="94"/>
      <c r="N837" s="94"/>
    </row>
    <row r="838">
      <c r="G838" s="94"/>
      <c r="I838" s="94"/>
      <c r="J838" s="94"/>
      <c r="K838" s="94"/>
      <c r="L838" s="94"/>
      <c r="M838" s="94"/>
      <c r="N838" s="94"/>
    </row>
    <row r="839">
      <c r="G839" s="94"/>
      <c r="I839" s="94"/>
      <c r="J839" s="94"/>
      <c r="K839" s="94"/>
      <c r="L839" s="94"/>
      <c r="M839" s="94"/>
      <c r="N839" s="94"/>
    </row>
    <row r="840">
      <c r="G840" s="94"/>
      <c r="I840" s="94"/>
      <c r="J840" s="94"/>
      <c r="K840" s="94"/>
      <c r="L840" s="94"/>
      <c r="M840" s="94"/>
      <c r="N840" s="94"/>
    </row>
    <row r="841">
      <c r="G841" s="94"/>
      <c r="I841" s="94"/>
      <c r="J841" s="94"/>
      <c r="K841" s="94"/>
      <c r="L841" s="94"/>
      <c r="M841" s="94"/>
      <c r="N841" s="94"/>
    </row>
    <row r="842">
      <c r="G842" s="94"/>
      <c r="I842" s="94"/>
      <c r="J842" s="94"/>
      <c r="K842" s="94"/>
      <c r="L842" s="94"/>
      <c r="M842" s="94"/>
      <c r="N842" s="94"/>
    </row>
    <row r="843">
      <c r="G843" s="94"/>
      <c r="I843" s="94"/>
      <c r="J843" s="94"/>
      <c r="K843" s="94"/>
      <c r="L843" s="94"/>
      <c r="M843" s="94"/>
      <c r="N843" s="94"/>
    </row>
    <row r="844">
      <c r="G844" s="94"/>
      <c r="I844" s="94"/>
      <c r="J844" s="94"/>
      <c r="K844" s="94"/>
      <c r="L844" s="94"/>
      <c r="M844" s="94"/>
      <c r="N844" s="94"/>
    </row>
    <row r="845">
      <c r="G845" s="94"/>
      <c r="I845" s="94"/>
      <c r="J845" s="94"/>
      <c r="K845" s="94"/>
      <c r="L845" s="94"/>
      <c r="M845" s="94"/>
      <c r="N845" s="94"/>
    </row>
    <row r="846">
      <c r="G846" s="94"/>
      <c r="I846" s="94"/>
      <c r="J846" s="94"/>
      <c r="K846" s="94"/>
      <c r="L846" s="94"/>
      <c r="M846" s="94"/>
      <c r="N846" s="94"/>
    </row>
    <row r="847">
      <c r="G847" s="94"/>
      <c r="I847" s="94"/>
      <c r="J847" s="94"/>
      <c r="K847" s="94"/>
      <c r="L847" s="94"/>
      <c r="M847" s="94"/>
      <c r="N847" s="94"/>
    </row>
    <row r="848">
      <c r="G848" s="94"/>
      <c r="I848" s="94"/>
      <c r="J848" s="94"/>
      <c r="K848" s="94"/>
      <c r="L848" s="94"/>
      <c r="M848" s="94"/>
      <c r="N848" s="94"/>
    </row>
    <row r="849">
      <c r="G849" s="94"/>
      <c r="I849" s="94"/>
      <c r="J849" s="94"/>
      <c r="K849" s="94"/>
      <c r="L849" s="94"/>
      <c r="M849" s="94"/>
      <c r="N849" s="94"/>
    </row>
    <row r="850">
      <c r="G850" s="94"/>
      <c r="I850" s="94"/>
      <c r="J850" s="94"/>
      <c r="K850" s="94"/>
      <c r="L850" s="94"/>
      <c r="M850" s="94"/>
      <c r="N850" s="94"/>
    </row>
    <row r="851">
      <c r="G851" s="94"/>
      <c r="I851" s="94"/>
      <c r="J851" s="94"/>
      <c r="K851" s="94"/>
      <c r="L851" s="94"/>
      <c r="M851" s="94"/>
      <c r="N851" s="94"/>
    </row>
    <row r="852">
      <c r="G852" s="94"/>
      <c r="I852" s="94"/>
      <c r="J852" s="94"/>
      <c r="K852" s="94"/>
      <c r="L852" s="94"/>
      <c r="M852" s="94"/>
      <c r="N852" s="94"/>
    </row>
    <row r="853">
      <c r="G853" s="94"/>
      <c r="I853" s="94"/>
      <c r="J853" s="94"/>
      <c r="K853" s="94"/>
      <c r="L853" s="94"/>
      <c r="M853" s="94"/>
      <c r="N853" s="94"/>
    </row>
    <row r="854">
      <c r="G854" s="94"/>
      <c r="I854" s="94"/>
      <c r="J854" s="94"/>
      <c r="K854" s="94"/>
      <c r="L854" s="94"/>
      <c r="M854" s="94"/>
      <c r="N854" s="94"/>
    </row>
    <row r="855">
      <c r="G855" s="94"/>
      <c r="I855" s="94"/>
      <c r="J855" s="94"/>
      <c r="K855" s="94"/>
      <c r="L855" s="94"/>
      <c r="M855" s="94"/>
      <c r="N855" s="94"/>
    </row>
    <row r="856">
      <c r="G856" s="94"/>
      <c r="I856" s="94"/>
      <c r="J856" s="94"/>
      <c r="K856" s="94"/>
      <c r="L856" s="94"/>
      <c r="M856" s="94"/>
      <c r="N856" s="94"/>
    </row>
    <row r="857">
      <c r="G857" s="94"/>
      <c r="I857" s="94"/>
      <c r="J857" s="94"/>
      <c r="K857" s="94"/>
      <c r="L857" s="94"/>
      <c r="M857" s="94"/>
      <c r="N857" s="94"/>
    </row>
    <row r="858">
      <c r="G858" s="94"/>
      <c r="I858" s="94"/>
      <c r="J858" s="94"/>
      <c r="K858" s="94"/>
      <c r="L858" s="94"/>
      <c r="M858" s="94"/>
      <c r="N858" s="94"/>
    </row>
    <row r="859">
      <c r="G859" s="94"/>
      <c r="I859" s="94"/>
      <c r="J859" s="94"/>
      <c r="K859" s="94"/>
      <c r="L859" s="94"/>
      <c r="M859" s="94"/>
      <c r="N859" s="94"/>
    </row>
    <row r="860">
      <c r="G860" s="94"/>
      <c r="I860" s="94"/>
      <c r="J860" s="94"/>
      <c r="K860" s="94"/>
      <c r="L860" s="94"/>
      <c r="M860" s="94"/>
      <c r="N860" s="94"/>
    </row>
    <row r="861">
      <c r="G861" s="94"/>
      <c r="I861" s="94"/>
      <c r="J861" s="94"/>
      <c r="K861" s="94"/>
      <c r="L861" s="94"/>
      <c r="M861" s="94"/>
      <c r="N861" s="94"/>
    </row>
    <row r="862">
      <c r="G862" s="94"/>
      <c r="I862" s="94"/>
      <c r="J862" s="94"/>
      <c r="K862" s="94"/>
      <c r="L862" s="94"/>
      <c r="M862" s="94"/>
      <c r="N862" s="94"/>
    </row>
    <row r="863">
      <c r="G863" s="94"/>
      <c r="I863" s="94"/>
      <c r="J863" s="94"/>
      <c r="K863" s="94"/>
      <c r="L863" s="94"/>
      <c r="M863" s="94"/>
      <c r="N863" s="94"/>
    </row>
    <row r="864">
      <c r="G864" s="94"/>
      <c r="I864" s="94"/>
      <c r="J864" s="94"/>
      <c r="K864" s="94"/>
      <c r="L864" s="94"/>
      <c r="M864" s="94"/>
      <c r="N864" s="94"/>
    </row>
    <row r="865">
      <c r="G865" s="94"/>
      <c r="I865" s="94"/>
      <c r="J865" s="94"/>
      <c r="K865" s="94"/>
      <c r="L865" s="94"/>
      <c r="M865" s="94"/>
      <c r="N865" s="94"/>
    </row>
    <row r="866">
      <c r="G866" s="94"/>
      <c r="I866" s="94"/>
      <c r="J866" s="94"/>
      <c r="K866" s="94"/>
      <c r="L866" s="94"/>
      <c r="M866" s="94"/>
      <c r="N866" s="94"/>
    </row>
    <row r="867">
      <c r="G867" s="94"/>
      <c r="I867" s="94"/>
      <c r="J867" s="94"/>
      <c r="K867" s="94"/>
      <c r="L867" s="94"/>
      <c r="M867" s="94"/>
      <c r="N867" s="94"/>
    </row>
    <row r="868">
      <c r="G868" s="94"/>
      <c r="I868" s="94"/>
      <c r="J868" s="94"/>
      <c r="K868" s="94"/>
      <c r="L868" s="94"/>
      <c r="M868" s="94"/>
      <c r="N868" s="94"/>
    </row>
    <row r="869">
      <c r="G869" s="94"/>
      <c r="I869" s="94"/>
      <c r="J869" s="94"/>
      <c r="K869" s="94"/>
      <c r="L869" s="94"/>
      <c r="M869" s="94"/>
      <c r="N869" s="94"/>
    </row>
    <row r="870">
      <c r="G870" s="94"/>
      <c r="I870" s="94"/>
      <c r="J870" s="94"/>
      <c r="K870" s="94"/>
      <c r="L870" s="94"/>
      <c r="M870" s="94"/>
      <c r="N870" s="94"/>
    </row>
    <row r="871">
      <c r="G871" s="94"/>
      <c r="I871" s="94"/>
      <c r="J871" s="94"/>
      <c r="K871" s="94"/>
      <c r="L871" s="94"/>
      <c r="M871" s="94"/>
      <c r="N871" s="94"/>
    </row>
    <row r="872">
      <c r="G872" s="94"/>
      <c r="I872" s="94"/>
      <c r="J872" s="94"/>
      <c r="K872" s="94"/>
      <c r="L872" s="94"/>
      <c r="M872" s="94"/>
      <c r="N872" s="94"/>
    </row>
    <row r="873">
      <c r="G873" s="94"/>
      <c r="I873" s="94"/>
      <c r="J873" s="94"/>
      <c r="K873" s="94"/>
      <c r="L873" s="94"/>
      <c r="M873" s="94"/>
      <c r="N873" s="94"/>
    </row>
    <row r="874">
      <c r="G874" s="94"/>
      <c r="I874" s="94"/>
      <c r="J874" s="94"/>
      <c r="K874" s="94"/>
      <c r="L874" s="94"/>
      <c r="M874" s="94"/>
      <c r="N874" s="94"/>
    </row>
    <row r="875">
      <c r="G875" s="94"/>
      <c r="I875" s="94"/>
      <c r="J875" s="94"/>
      <c r="K875" s="94"/>
      <c r="L875" s="94"/>
      <c r="M875" s="94"/>
      <c r="N875" s="94"/>
    </row>
    <row r="876">
      <c r="G876" s="94"/>
      <c r="I876" s="94"/>
      <c r="J876" s="94"/>
      <c r="K876" s="94"/>
      <c r="L876" s="94"/>
      <c r="M876" s="94"/>
      <c r="N876" s="94"/>
    </row>
    <row r="877">
      <c r="G877" s="94"/>
      <c r="I877" s="94"/>
      <c r="J877" s="94"/>
      <c r="K877" s="94"/>
      <c r="L877" s="94"/>
      <c r="M877" s="94"/>
      <c r="N877" s="94"/>
    </row>
    <row r="878">
      <c r="G878" s="94"/>
      <c r="I878" s="94"/>
      <c r="J878" s="94"/>
      <c r="K878" s="94"/>
      <c r="L878" s="94"/>
      <c r="M878" s="94"/>
      <c r="N878" s="94"/>
    </row>
    <row r="879">
      <c r="G879" s="94"/>
      <c r="I879" s="94"/>
      <c r="J879" s="94"/>
      <c r="K879" s="94"/>
      <c r="L879" s="94"/>
      <c r="M879" s="94"/>
      <c r="N879" s="94"/>
    </row>
    <row r="880">
      <c r="G880" s="94"/>
      <c r="I880" s="94"/>
      <c r="J880" s="94"/>
      <c r="K880" s="94"/>
      <c r="L880" s="94"/>
      <c r="M880" s="94"/>
      <c r="N880" s="94"/>
    </row>
    <row r="881">
      <c r="G881" s="94"/>
      <c r="I881" s="94"/>
      <c r="J881" s="94"/>
      <c r="K881" s="94"/>
      <c r="L881" s="94"/>
      <c r="M881" s="94"/>
      <c r="N881" s="94"/>
    </row>
    <row r="882">
      <c r="G882" s="94"/>
      <c r="I882" s="94"/>
      <c r="J882" s="94"/>
      <c r="K882" s="94"/>
      <c r="L882" s="94"/>
      <c r="M882" s="94"/>
      <c r="N882" s="94"/>
    </row>
    <row r="883">
      <c r="G883" s="94"/>
      <c r="I883" s="94"/>
      <c r="J883" s="94"/>
      <c r="K883" s="94"/>
      <c r="L883" s="94"/>
      <c r="M883" s="94"/>
      <c r="N883" s="94"/>
    </row>
    <row r="884">
      <c r="G884" s="94"/>
      <c r="I884" s="94"/>
      <c r="J884" s="94"/>
      <c r="K884" s="94"/>
      <c r="L884" s="94"/>
      <c r="M884" s="94"/>
      <c r="N884" s="94"/>
    </row>
    <row r="885">
      <c r="G885" s="94"/>
      <c r="I885" s="94"/>
      <c r="J885" s="94"/>
      <c r="K885" s="94"/>
      <c r="L885" s="94"/>
      <c r="M885" s="94"/>
      <c r="N885" s="94"/>
    </row>
    <row r="886">
      <c r="G886" s="94"/>
      <c r="I886" s="94"/>
      <c r="J886" s="94"/>
      <c r="K886" s="94"/>
      <c r="L886" s="94"/>
      <c r="M886" s="94"/>
      <c r="N886" s="94"/>
    </row>
    <row r="887">
      <c r="G887" s="94"/>
      <c r="I887" s="94"/>
      <c r="J887" s="94"/>
      <c r="K887" s="94"/>
      <c r="L887" s="94"/>
      <c r="M887" s="94"/>
      <c r="N887" s="94"/>
    </row>
    <row r="888">
      <c r="G888" s="94"/>
      <c r="I888" s="94"/>
      <c r="J888" s="94"/>
      <c r="K888" s="94"/>
      <c r="L888" s="94"/>
      <c r="M888" s="94"/>
      <c r="N888" s="94"/>
    </row>
    <row r="889">
      <c r="G889" s="94"/>
      <c r="I889" s="94"/>
      <c r="J889" s="94"/>
      <c r="K889" s="94"/>
      <c r="L889" s="94"/>
      <c r="M889" s="94"/>
      <c r="N889" s="94"/>
    </row>
    <row r="890">
      <c r="G890" s="94"/>
      <c r="I890" s="94"/>
      <c r="J890" s="94"/>
      <c r="K890" s="94"/>
      <c r="L890" s="94"/>
      <c r="M890" s="94"/>
      <c r="N890" s="94"/>
    </row>
    <row r="891">
      <c r="G891" s="94"/>
      <c r="I891" s="94"/>
      <c r="J891" s="94"/>
      <c r="K891" s="94"/>
      <c r="L891" s="94"/>
      <c r="M891" s="94"/>
      <c r="N891" s="94"/>
    </row>
    <row r="892">
      <c r="G892" s="94"/>
      <c r="I892" s="94"/>
      <c r="J892" s="94"/>
      <c r="K892" s="94"/>
      <c r="L892" s="94"/>
      <c r="M892" s="94"/>
      <c r="N892" s="94"/>
    </row>
    <row r="893">
      <c r="G893" s="94"/>
      <c r="I893" s="94"/>
      <c r="J893" s="94"/>
      <c r="K893" s="94"/>
      <c r="L893" s="94"/>
      <c r="M893" s="94"/>
      <c r="N893" s="94"/>
    </row>
    <row r="894">
      <c r="G894" s="94"/>
      <c r="I894" s="94"/>
      <c r="J894" s="94"/>
      <c r="K894" s="94"/>
      <c r="L894" s="94"/>
      <c r="M894" s="94"/>
      <c r="N894" s="94"/>
    </row>
    <row r="895">
      <c r="G895" s="94"/>
      <c r="I895" s="94"/>
      <c r="J895" s="94"/>
      <c r="K895" s="94"/>
      <c r="L895" s="94"/>
      <c r="M895" s="94"/>
      <c r="N895" s="94"/>
    </row>
    <row r="896">
      <c r="G896" s="94"/>
      <c r="I896" s="94"/>
      <c r="J896" s="94"/>
      <c r="K896" s="94"/>
      <c r="L896" s="94"/>
      <c r="M896" s="94"/>
      <c r="N896" s="94"/>
    </row>
    <row r="897">
      <c r="G897" s="94"/>
      <c r="I897" s="94"/>
      <c r="J897" s="94"/>
      <c r="K897" s="94"/>
      <c r="L897" s="94"/>
      <c r="M897" s="94"/>
      <c r="N897" s="94"/>
    </row>
    <row r="898">
      <c r="G898" s="94"/>
      <c r="I898" s="94"/>
      <c r="J898" s="94"/>
      <c r="K898" s="94"/>
      <c r="L898" s="94"/>
      <c r="M898" s="94"/>
      <c r="N898" s="94"/>
    </row>
    <row r="899">
      <c r="G899" s="94"/>
      <c r="I899" s="94"/>
      <c r="J899" s="94"/>
      <c r="K899" s="94"/>
      <c r="L899" s="94"/>
      <c r="M899" s="94"/>
      <c r="N899" s="94"/>
    </row>
    <row r="900">
      <c r="G900" s="94"/>
      <c r="I900" s="94"/>
      <c r="J900" s="94"/>
      <c r="K900" s="94"/>
      <c r="L900" s="94"/>
      <c r="M900" s="94"/>
      <c r="N900" s="94"/>
    </row>
    <row r="901">
      <c r="G901" s="94"/>
      <c r="I901" s="94"/>
      <c r="J901" s="94"/>
      <c r="K901" s="94"/>
      <c r="L901" s="94"/>
      <c r="M901" s="94"/>
      <c r="N901" s="94"/>
    </row>
    <row r="902">
      <c r="G902" s="94"/>
      <c r="I902" s="94"/>
      <c r="J902" s="94"/>
      <c r="K902" s="94"/>
      <c r="L902" s="94"/>
      <c r="M902" s="94"/>
      <c r="N902" s="94"/>
    </row>
    <row r="903">
      <c r="G903" s="94"/>
      <c r="I903" s="94"/>
      <c r="J903" s="94"/>
      <c r="K903" s="94"/>
      <c r="L903" s="94"/>
      <c r="M903" s="94"/>
      <c r="N903" s="94"/>
    </row>
    <row r="904">
      <c r="G904" s="94"/>
      <c r="I904" s="94"/>
      <c r="J904" s="94"/>
      <c r="K904" s="94"/>
      <c r="L904" s="94"/>
      <c r="M904" s="94"/>
      <c r="N904" s="94"/>
    </row>
    <row r="905">
      <c r="G905" s="94"/>
      <c r="I905" s="94"/>
      <c r="J905" s="94"/>
      <c r="K905" s="94"/>
      <c r="L905" s="94"/>
      <c r="M905" s="94"/>
      <c r="N905" s="94"/>
    </row>
    <row r="906">
      <c r="G906" s="94"/>
      <c r="I906" s="94"/>
      <c r="J906" s="94"/>
      <c r="K906" s="94"/>
      <c r="L906" s="94"/>
      <c r="M906" s="94"/>
      <c r="N906" s="94"/>
    </row>
    <row r="907">
      <c r="G907" s="94"/>
      <c r="I907" s="94"/>
      <c r="J907" s="94"/>
      <c r="K907" s="94"/>
      <c r="L907" s="94"/>
      <c r="M907" s="94"/>
      <c r="N907" s="94"/>
    </row>
    <row r="908">
      <c r="G908" s="94"/>
      <c r="I908" s="94"/>
      <c r="J908" s="94"/>
      <c r="K908" s="94"/>
      <c r="L908" s="94"/>
      <c r="M908" s="94"/>
      <c r="N908" s="94"/>
    </row>
    <row r="909">
      <c r="G909" s="94"/>
      <c r="I909" s="94"/>
      <c r="J909" s="94"/>
      <c r="K909" s="94"/>
      <c r="L909" s="94"/>
      <c r="M909" s="94"/>
      <c r="N909" s="94"/>
    </row>
    <row r="910">
      <c r="G910" s="94"/>
      <c r="I910" s="94"/>
      <c r="J910" s="94"/>
      <c r="K910" s="94"/>
      <c r="L910" s="94"/>
      <c r="M910" s="94"/>
      <c r="N910" s="94"/>
    </row>
    <row r="911">
      <c r="G911" s="94"/>
      <c r="I911" s="94"/>
      <c r="J911" s="94"/>
      <c r="K911" s="94"/>
      <c r="L911" s="94"/>
      <c r="M911" s="94"/>
      <c r="N911" s="94"/>
    </row>
    <row r="912">
      <c r="G912" s="94"/>
      <c r="I912" s="94"/>
      <c r="J912" s="94"/>
      <c r="K912" s="94"/>
      <c r="L912" s="94"/>
      <c r="M912" s="94"/>
      <c r="N912" s="94"/>
    </row>
    <row r="913">
      <c r="G913" s="94"/>
      <c r="I913" s="94"/>
      <c r="J913" s="94"/>
      <c r="K913" s="94"/>
      <c r="L913" s="94"/>
      <c r="M913" s="94"/>
      <c r="N913" s="94"/>
    </row>
    <row r="914">
      <c r="G914" s="94"/>
      <c r="I914" s="94"/>
      <c r="J914" s="94"/>
      <c r="K914" s="94"/>
      <c r="L914" s="94"/>
      <c r="M914" s="94"/>
      <c r="N914" s="94"/>
    </row>
    <row r="915">
      <c r="G915" s="94"/>
      <c r="I915" s="94"/>
      <c r="J915" s="94"/>
      <c r="K915" s="94"/>
      <c r="L915" s="94"/>
      <c r="M915" s="94"/>
      <c r="N915" s="94"/>
    </row>
    <row r="916">
      <c r="G916" s="94"/>
      <c r="I916" s="94"/>
      <c r="J916" s="94"/>
      <c r="K916" s="94"/>
      <c r="L916" s="94"/>
      <c r="M916" s="94"/>
      <c r="N916" s="94"/>
    </row>
    <row r="917">
      <c r="G917" s="94"/>
      <c r="I917" s="94"/>
      <c r="J917" s="94"/>
      <c r="K917" s="94"/>
      <c r="L917" s="94"/>
      <c r="M917" s="94"/>
      <c r="N917" s="94"/>
    </row>
    <row r="918">
      <c r="G918" s="94"/>
      <c r="I918" s="94"/>
      <c r="J918" s="94"/>
      <c r="K918" s="94"/>
      <c r="L918" s="94"/>
      <c r="M918" s="94"/>
      <c r="N918" s="94"/>
    </row>
    <row r="919">
      <c r="G919" s="94"/>
      <c r="I919" s="94"/>
      <c r="J919" s="94"/>
      <c r="K919" s="94"/>
      <c r="L919" s="94"/>
      <c r="M919" s="94"/>
      <c r="N919" s="94"/>
    </row>
    <row r="920">
      <c r="G920" s="94"/>
      <c r="I920" s="94"/>
      <c r="J920" s="94"/>
      <c r="K920" s="94"/>
      <c r="L920" s="94"/>
      <c r="M920" s="94"/>
      <c r="N920" s="94"/>
    </row>
    <row r="921">
      <c r="G921" s="94"/>
      <c r="I921" s="94"/>
      <c r="J921" s="94"/>
      <c r="K921" s="94"/>
      <c r="L921" s="94"/>
      <c r="M921" s="94"/>
      <c r="N921" s="94"/>
    </row>
    <row r="922">
      <c r="G922" s="94"/>
      <c r="I922" s="94"/>
      <c r="J922" s="94"/>
      <c r="K922" s="94"/>
      <c r="L922" s="94"/>
      <c r="M922" s="94"/>
      <c r="N922" s="94"/>
    </row>
    <row r="923">
      <c r="G923" s="94"/>
      <c r="I923" s="94"/>
      <c r="J923" s="94"/>
      <c r="K923" s="94"/>
      <c r="L923" s="94"/>
      <c r="M923" s="94"/>
      <c r="N923" s="94"/>
    </row>
    <row r="924">
      <c r="G924" s="94"/>
      <c r="I924" s="94"/>
      <c r="J924" s="94"/>
      <c r="K924" s="94"/>
      <c r="L924" s="94"/>
      <c r="M924" s="94"/>
      <c r="N924" s="94"/>
    </row>
    <row r="925">
      <c r="G925" s="94"/>
      <c r="I925" s="94"/>
      <c r="J925" s="94"/>
      <c r="K925" s="94"/>
      <c r="L925" s="94"/>
      <c r="M925" s="94"/>
      <c r="N925" s="94"/>
    </row>
    <row r="926">
      <c r="G926" s="94"/>
      <c r="I926" s="94"/>
      <c r="J926" s="94"/>
      <c r="K926" s="94"/>
      <c r="L926" s="94"/>
      <c r="M926" s="94"/>
      <c r="N926" s="94"/>
    </row>
    <row r="927">
      <c r="G927" s="94"/>
      <c r="I927" s="94"/>
      <c r="J927" s="94"/>
      <c r="K927" s="94"/>
      <c r="L927" s="94"/>
      <c r="M927" s="94"/>
      <c r="N927" s="94"/>
    </row>
    <row r="928">
      <c r="G928" s="94"/>
      <c r="I928" s="94"/>
      <c r="J928" s="94"/>
      <c r="K928" s="94"/>
      <c r="L928" s="94"/>
      <c r="M928" s="94"/>
      <c r="N928" s="94"/>
    </row>
    <row r="929">
      <c r="G929" s="94"/>
      <c r="I929" s="94"/>
      <c r="J929" s="94"/>
      <c r="K929" s="94"/>
      <c r="L929" s="94"/>
      <c r="M929" s="94"/>
      <c r="N929" s="94"/>
    </row>
    <row r="930">
      <c r="G930" s="94"/>
      <c r="I930" s="94"/>
      <c r="J930" s="94"/>
      <c r="K930" s="94"/>
      <c r="L930" s="94"/>
      <c r="M930" s="94"/>
      <c r="N930" s="94"/>
    </row>
    <row r="931">
      <c r="G931" s="94"/>
      <c r="I931" s="94"/>
      <c r="J931" s="94"/>
      <c r="K931" s="94"/>
      <c r="L931" s="94"/>
      <c r="M931" s="94"/>
      <c r="N931" s="94"/>
    </row>
    <row r="932">
      <c r="G932" s="94"/>
      <c r="I932" s="94"/>
      <c r="J932" s="94"/>
      <c r="K932" s="94"/>
      <c r="L932" s="94"/>
      <c r="M932" s="94"/>
      <c r="N932" s="94"/>
    </row>
    <row r="933">
      <c r="G933" s="94"/>
      <c r="I933" s="94"/>
      <c r="J933" s="94"/>
      <c r="K933" s="94"/>
      <c r="L933" s="94"/>
      <c r="M933" s="94"/>
      <c r="N933" s="94"/>
    </row>
    <row r="934">
      <c r="G934" s="94"/>
      <c r="I934" s="94"/>
      <c r="J934" s="94"/>
      <c r="K934" s="94"/>
      <c r="L934" s="94"/>
      <c r="M934" s="94"/>
      <c r="N934" s="94"/>
    </row>
    <row r="935">
      <c r="G935" s="94"/>
      <c r="I935" s="94"/>
      <c r="J935" s="94"/>
      <c r="K935" s="94"/>
      <c r="L935" s="94"/>
      <c r="M935" s="94"/>
      <c r="N935" s="94"/>
    </row>
    <row r="936">
      <c r="G936" s="94"/>
      <c r="I936" s="94"/>
      <c r="J936" s="94"/>
      <c r="K936" s="94"/>
      <c r="L936" s="94"/>
      <c r="M936" s="94"/>
      <c r="N936" s="94"/>
    </row>
    <row r="937">
      <c r="G937" s="94"/>
      <c r="I937" s="94"/>
      <c r="J937" s="94"/>
      <c r="K937" s="94"/>
      <c r="L937" s="94"/>
      <c r="M937" s="94"/>
      <c r="N937" s="94"/>
    </row>
    <row r="938">
      <c r="G938" s="94"/>
      <c r="I938" s="94"/>
      <c r="J938" s="94"/>
      <c r="K938" s="94"/>
      <c r="L938" s="94"/>
      <c r="M938" s="94"/>
      <c r="N938" s="94"/>
    </row>
    <row r="939">
      <c r="G939" s="94"/>
      <c r="I939" s="94"/>
      <c r="J939" s="94"/>
      <c r="K939" s="94"/>
      <c r="L939" s="94"/>
      <c r="M939" s="94"/>
      <c r="N939" s="94"/>
    </row>
    <row r="940">
      <c r="G940" s="94"/>
      <c r="I940" s="94"/>
      <c r="J940" s="94"/>
      <c r="K940" s="94"/>
      <c r="L940" s="94"/>
      <c r="M940" s="94"/>
      <c r="N940" s="94"/>
    </row>
    <row r="941">
      <c r="G941" s="94"/>
      <c r="I941" s="94"/>
      <c r="J941" s="94"/>
      <c r="K941" s="94"/>
      <c r="L941" s="94"/>
      <c r="M941" s="94"/>
      <c r="N941" s="94"/>
    </row>
    <row r="942">
      <c r="G942" s="94"/>
      <c r="I942" s="94"/>
      <c r="J942" s="94"/>
      <c r="K942" s="94"/>
      <c r="L942" s="94"/>
      <c r="M942" s="94"/>
      <c r="N942" s="94"/>
    </row>
    <row r="943">
      <c r="G943" s="94"/>
      <c r="I943" s="94"/>
      <c r="J943" s="94"/>
      <c r="K943" s="94"/>
      <c r="L943" s="94"/>
      <c r="M943" s="94"/>
      <c r="N943" s="94"/>
    </row>
    <row r="944">
      <c r="G944" s="94"/>
      <c r="I944" s="94"/>
      <c r="J944" s="94"/>
      <c r="K944" s="94"/>
      <c r="L944" s="94"/>
      <c r="M944" s="94"/>
      <c r="N944" s="94"/>
    </row>
    <row r="945">
      <c r="G945" s="94"/>
      <c r="I945" s="94"/>
      <c r="J945" s="94"/>
      <c r="K945" s="94"/>
      <c r="L945" s="94"/>
      <c r="M945" s="94"/>
      <c r="N945" s="94"/>
    </row>
    <row r="946">
      <c r="G946" s="94"/>
      <c r="I946" s="94"/>
      <c r="J946" s="94"/>
      <c r="K946" s="94"/>
      <c r="L946" s="94"/>
      <c r="M946" s="94"/>
      <c r="N946" s="94"/>
    </row>
    <row r="947">
      <c r="G947" s="94"/>
      <c r="I947" s="94"/>
      <c r="J947" s="94"/>
      <c r="K947" s="94"/>
      <c r="L947" s="94"/>
      <c r="M947" s="94"/>
      <c r="N947" s="94"/>
    </row>
    <row r="948">
      <c r="G948" s="94"/>
      <c r="I948" s="94"/>
      <c r="J948" s="94"/>
      <c r="K948" s="94"/>
      <c r="L948" s="94"/>
      <c r="M948" s="94"/>
      <c r="N948" s="94"/>
    </row>
    <row r="949">
      <c r="G949" s="94"/>
      <c r="I949" s="94"/>
      <c r="J949" s="94"/>
      <c r="K949" s="94"/>
      <c r="L949" s="94"/>
      <c r="M949" s="94"/>
      <c r="N949" s="94"/>
    </row>
    <row r="950">
      <c r="G950" s="94"/>
      <c r="I950" s="94"/>
      <c r="J950" s="94"/>
      <c r="K950" s="94"/>
      <c r="L950" s="94"/>
      <c r="M950" s="94"/>
      <c r="N950" s="94"/>
    </row>
    <row r="951">
      <c r="G951" s="94"/>
      <c r="I951" s="94"/>
      <c r="J951" s="94"/>
      <c r="K951" s="94"/>
      <c r="L951" s="94"/>
      <c r="M951" s="94"/>
      <c r="N951" s="94"/>
    </row>
    <row r="952">
      <c r="G952" s="94"/>
      <c r="I952" s="94"/>
      <c r="J952" s="94"/>
      <c r="K952" s="94"/>
      <c r="L952" s="94"/>
      <c r="M952" s="94"/>
      <c r="N952" s="94"/>
    </row>
    <row r="953">
      <c r="G953" s="94"/>
      <c r="I953" s="94"/>
      <c r="J953" s="94"/>
      <c r="K953" s="94"/>
      <c r="L953" s="94"/>
      <c r="M953" s="94"/>
      <c r="N953" s="94"/>
    </row>
    <row r="954">
      <c r="G954" s="94"/>
      <c r="I954" s="94"/>
      <c r="J954" s="94"/>
      <c r="K954" s="94"/>
      <c r="L954" s="94"/>
      <c r="M954" s="94"/>
      <c r="N954" s="94"/>
    </row>
    <row r="955">
      <c r="G955" s="94"/>
      <c r="I955" s="94"/>
      <c r="J955" s="94"/>
      <c r="K955" s="94"/>
      <c r="L955" s="94"/>
      <c r="M955" s="94"/>
      <c r="N955" s="94"/>
    </row>
    <row r="956">
      <c r="G956" s="94"/>
      <c r="I956" s="94"/>
      <c r="J956" s="94"/>
      <c r="K956" s="94"/>
      <c r="L956" s="94"/>
      <c r="M956" s="94"/>
      <c r="N956" s="94"/>
    </row>
    <row r="957">
      <c r="G957" s="94"/>
      <c r="I957" s="94"/>
      <c r="J957" s="94"/>
      <c r="K957" s="94"/>
      <c r="L957" s="94"/>
      <c r="M957" s="94"/>
      <c r="N957" s="94"/>
    </row>
    <row r="958">
      <c r="G958" s="94"/>
      <c r="I958" s="94"/>
      <c r="J958" s="94"/>
      <c r="K958" s="94"/>
      <c r="L958" s="94"/>
      <c r="M958" s="94"/>
      <c r="N958" s="94"/>
    </row>
    <row r="959">
      <c r="G959" s="94"/>
      <c r="I959" s="94"/>
      <c r="J959" s="94"/>
      <c r="K959" s="94"/>
      <c r="L959" s="94"/>
      <c r="M959" s="94"/>
      <c r="N959" s="94"/>
    </row>
    <row r="960">
      <c r="G960" s="94"/>
      <c r="I960" s="94"/>
      <c r="J960" s="94"/>
      <c r="K960" s="94"/>
      <c r="L960" s="94"/>
      <c r="M960" s="94"/>
      <c r="N960" s="94"/>
    </row>
    <row r="961">
      <c r="G961" s="94"/>
      <c r="I961" s="94"/>
      <c r="J961" s="94"/>
      <c r="K961" s="94"/>
      <c r="L961" s="94"/>
      <c r="M961" s="94"/>
      <c r="N961" s="94"/>
    </row>
    <row r="962">
      <c r="G962" s="94"/>
      <c r="I962" s="94"/>
      <c r="J962" s="94"/>
      <c r="K962" s="94"/>
      <c r="L962" s="94"/>
      <c r="M962" s="94"/>
      <c r="N962" s="94"/>
    </row>
    <row r="963">
      <c r="G963" s="94"/>
      <c r="I963" s="94"/>
      <c r="J963" s="94"/>
      <c r="K963" s="94"/>
      <c r="L963" s="94"/>
      <c r="M963" s="94"/>
      <c r="N963" s="94"/>
    </row>
    <row r="964">
      <c r="G964" s="94"/>
      <c r="I964" s="94"/>
      <c r="J964" s="94"/>
      <c r="K964" s="94"/>
      <c r="L964" s="94"/>
      <c r="M964" s="94"/>
      <c r="N964" s="94"/>
    </row>
    <row r="965">
      <c r="G965" s="94"/>
      <c r="I965" s="94"/>
      <c r="J965" s="94"/>
      <c r="K965" s="94"/>
      <c r="L965" s="94"/>
      <c r="M965" s="94"/>
      <c r="N965" s="94"/>
    </row>
    <row r="966">
      <c r="G966" s="94"/>
      <c r="I966" s="94"/>
      <c r="J966" s="94"/>
      <c r="K966" s="94"/>
      <c r="L966" s="94"/>
      <c r="M966" s="94"/>
      <c r="N966" s="94"/>
    </row>
    <row r="967">
      <c r="G967" s="94"/>
      <c r="I967" s="94"/>
      <c r="J967" s="94"/>
      <c r="K967" s="94"/>
      <c r="L967" s="94"/>
      <c r="M967" s="94"/>
      <c r="N967" s="94"/>
    </row>
    <row r="968">
      <c r="G968" s="94"/>
      <c r="I968" s="94"/>
      <c r="J968" s="94"/>
      <c r="K968" s="94"/>
      <c r="L968" s="94"/>
      <c r="M968" s="94"/>
      <c r="N968" s="94"/>
    </row>
    <row r="969">
      <c r="G969" s="94"/>
      <c r="I969" s="94"/>
      <c r="J969" s="94"/>
      <c r="K969" s="94"/>
      <c r="L969" s="94"/>
      <c r="M969" s="94"/>
      <c r="N969" s="94"/>
    </row>
    <row r="970">
      <c r="G970" s="94"/>
      <c r="I970" s="94"/>
      <c r="J970" s="94"/>
      <c r="K970" s="94"/>
      <c r="L970" s="94"/>
      <c r="M970" s="94"/>
      <c r="N970" s="94"/>
    </row>
    <row r="971">
      <c r="G971" s="94"/>
      <c r="I971" s="94"/>
      <c r="J971" s="94"/>
      <c r="K971" s="94"/>
      <c r="L971" s="94"/>
      <c r="M971" s="94"/>
      <c r="N971" s="94"/>
    </row>
    <row r="972">
      <c r="G972" s="94"/>
      <c r="I972" s="94"/>
      <c r="J972" s="94"/>
      <c r="K972" s="94"/>
      <c r="L972" s="94"/>
      <c r="M972" s="94"/>
      <c r="N972" s="94"/>
    </row>
    <row r="973">
      <c r="G973" s="94"/>
      <c r="I973" s="94"/>
      <c r="J973" s="94"/>
      <c r="K973" s="94"/>
      <c r="L973" s="94"/>
      <c r="M973" s="94"/>
      <c r="N973" s="94"/>
    </row>
    <row r="974">
      <c r="G974" s="94"/>
      <c r="I974" s="94"/>
      <c r="J974" s="94"/>
      <c r="K974" s="94"/>
      <c r="L974" s="94"/>
      <c r="M974" s="94"/>
      <c r="N974" s="94"/>
    </row>
    <row r="975">
      <c r="G975" s="94"/>
      <c r="I975" s="94"/>
      <c r="J975" s="94"/>
      <c r="K975" s="94"/>
      <c r="L975" s="94"/>
      <c r="M975" s="94"/>
      <c r="N975" s="94"/>
    </row>
    <row r="976">
      <c r="G976" s="94"/>
      <c r="I976" s="94"/>
      <c r="J976" s="94"/>
      <c r="K976" s="94"/>
      <c r="L976" s="94"/>
      <c r="M976" s="94"/>
      <c r="N976" s="94"/>
    </row>
    <row r="977">
      <c r="G977" s="94"/>
      <c r="I977" s="94"/>
      <c r="J977" s="94"/>
      <c r="K977" s="94"/>
      <c r="L977" s="94"/>
      <c r="M977" s="94"/>
      <c r="N977" s="94"/>
    </row>
    <row r="978">
      <c r="G978" s="94"/>
      <c r="I978" s="94"/>
      <c r="J978" s="94"/>
      <c r="K978" s="94"/>
      <c r="L978" s="94"/>
      <c r="M978" s="94"/>
      <c r="N978" s="94"/>
    </row>
    <row r="979">
      <c r="G979" s="94"/>
      <c r="I979" s="94"/>
      <c r="J979" s="94"/>
      <c r="K979" s="94"/>
      <c r="L979" s="94"/>
      <c r="M979" s="94"/>
      <c r="N979" s="94"/>
    </row>
    <row r="980">
      <c r="G980" s="94"/>
      <c r="I980" s="94"/>
      <c r="J980" s="94"/>
      <c r="K980" s="94"/>
      <c r="L980" s="94"/>
      <c r="M980" s="94"/>
      <c r="N980" s="94"/>
    </row>
    <row r="981">
      <c r="G981" s="94"/>
      <c r="I981" s="94"/>
      <c r="J981" s="94"/>
      <c r="K981" s="94"/>
      <c r="L981" s="94"/>
      <c r="M981" s="94"/>
      <c r="N981" s="94"/>
    </row>
    <row r="982">
      <c r="G982" s="94"/>
      <c r="I982" s="94"/>
      <c r="J982" s="94"/>
      <c r="K982" s="94"/>
      <c r="L982" s="94"/>
      <c r="M982" s="94"/>
      <c r="N982" s="94"/>
    </row>
    <row r="983">
      <c r="G983" s="94"/>
      <c r="I983" s="94"/>
      <c r="J983" s="94"/>
      <c r="K983" s="94"/>
      <c r="L983" s="94"/>
      <c r="M983" s="94"/>
      <c r="N983" s="94"/>
    </row>
    <row r="984">
      <c r="G984" s="94"/>
      <c r="I984" s="94"/>
      <c r="J984" s="94"/>
      <c r="K984" s="94"/>
      <c r="L984" s="94"/>
      <c r="M984" s="94"/>
      <c r="N984" s="94"/>
    </row>
    <row r="985">
      <c r="G985" s="94"/>
      <c r="I985" s="94"/>
      <c r="J985" s="94"/>
      <c r="K985" s="94"/>
      <c r="L985" s="94"/>
      <c r="M985" s="94"/>
      <c r="N985" s="94"/>
    </row>
    <row r="986">
      <c r="G986" s="94"/>
      <c r="I986" s="94"/>
      <c r="J986" s="94"/>
      <c r="K986" s="94"/>
      <c r="L986" s="94"/>
      <c r="M986" s="94"/>
      <c r="N986" s="94"/>
    </row>
    <row r="987">
      <c r="G987" s="94"/>
      <c r="I987" s="94"/>
      <c r="J987" s="94"/>
      <c r="K987" s="94"/>
      <c r="L987" s="94"/>
      <c r="M987" s="94"/>
      <c r="N987" s="94"/>
    </row>
    <row r="988">
      <c r="G988" s="94"/>
      <c r="I988" s="94"/>
      <c r="J988" s="94"/>
      <c r="K988" s="94"/>
      <c r="L988" s="94"/>
      <c r="M988" s="94"/>
      <c r="N988" s="94"/>
    </row>
    <row r="989">
      <c r="G989" s="94"/>
      <c r="I989" s="94"/>
      <c r="J989" s="94"/>
      <c r="K989" s="94"/>
      <c r="L989" s="94"/>
      <c r="M989" s="94"/>
      <c r="N989" s="94"/>
    </row>
    <row r="990">
      <c r="G990" s="94"/>
      <c r="I990" s="94"/>
      <c r="J990" s="94"/>
      <c r="K990" s="94"/>
      <c r="L990" s="94"/>
      <c r="M990" s="94"/>
      <c r="N990" s="94"/>
    </row>
    <row r="991">
      <c r="G991" s="94"/>
      <c r="I991" s="94"/>
      <c r="J991" s="94"/>
      <c r="K991" s="94"/>
      <c r="L991" s="94"/>
      <c r="M991" s="94"/>
      <c r="N991" s="94"/>
    </row>
    <row r="992">
      <c r="G992" s="94"/>
      <c r="I992" s="94"/>
      <c r="J992" s="94"/>
      <c r="K992" s="94"/>
      <c r="L992" s="94"/>
      <c r="M992" s="94"/>
      <c r="N992" s="94"/>
    </row>
    <row r="993">
      <c r="G993" s="94"/>
      <c r="I993" s="94"/>
      <c r="J993" s="94"/>
      <c r="K993" s="94"/>
      <c r="L993" s="94"/>
      <c r="M993" s="94"/>
      <c r="N993" s="94"/>
    </row>
    <row r="994">
      <c r="G994" s="94"/>
      <c r="I994" s="94"/>
      <c r="J994" s="94"/>
      <c r="K994" s="94"/>
      <c r="L994" s="94"/>
      <c r="M994" s="94"/>
      <c r="N994" s="94"/>
    </row>
    <row r="995">
      <c r="G995" s="94"/>
      <c r="I995" s="94"/>
      <c r="J995" s="94"/>
      <c r="K995" s="94"/>
      <c r="L995" s="94"/>
      <c r="M995" s="94"/>
      <c r="N995" s="94"/>
    </row>
    <row r="996">
      <c r="G996" s="94"/>
      <c r="I996" s="94"/>
      <c r="J996" s="94"/>
      <c r="K996" s="94"/>
      <c r="L996" s="94"/>
      <c r="M996" s="94"/>
      <c r="N996" s="94"/>
    </row>
    <row r="997">
      <c r="G997" s="94"/>
      <c r="I997" s="94"/>
      <c r="J997" s="94"/>
      <c r="K997" s="94"/>
      <c r="L997" s="94"/>
      <c r="M997" s="94"/>
      <c r="N997" s="94"/>
    </row>
    <row r="998">
      <c r="G998" s="94"/>
      <c r="I998" s="94"/>
      <c r="J998" s="94"/>
      <c r="K998" s="94"/>
      <c r="L998" s="94"/>
      <c r="M998" s="94"/>
      <c r="N998" s="94"/>
    </row>
    <row r="999">
      <c r="G999" s="94"/>
      <c r="I999" s="94"/>
      <c r="J999" s="94"/>
      <c r="K999" s="94"/>
      <c r="L999" s="94"/>
      <c r="M999" s="94"/>
      <c r="N999" s="94"/>
    </row>
  </sheetData>
  <dataValidations>
    <dataValidation type="list" allowBlank="1" showErrorMessage="1" sqref="I2:I307">
      <formula1>'TENDINE SLIM'!$B$2:$B$32</formula1>
    </dataValidation>
    <dataValidation type="list" allowBlank="1" showErrorMessage="1" sqref="A2:A127 A129:A284">
      <formula1>ANAGRAFICA!$B$2:$B$506</formula1>
    </dataValidation>
    <dataValidation type="list" allowBlank="1" showErrorMessage="1" sqref="H2:H307">
      <formula1>"DRAINAGE,RETURN"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13"/>
    <col customWidth="1" min="7" max="7" width="8.0"/>
    <col customWidth="1" min="8" max="8" width="46.63"/>
    <col customWidth="1" min="9" max="9" width="12.13"/>
    <col customWidth="1" min="10" max="10" width="10.0"/>
    <col customWidth="1" min="11" max="11" width="15.13"/>
    <col customWidth="1" min="12" max="12" width="47.38"/>
  </cols>
  <sheetData>
    <row r="1">
      <c r="A1" s="143" t="s">
        <v>1</v>
      </c>
      <c r="B1" s="144" t="s">
        <v>2</v>
      </c>
      <c r="C1" s="143" t="s">
        <v>3</v>
      </c>
      <c r="D1" s="143" t="s">
        <v>4</v>
      </c>
      <c r="E1" s="143" t="s">
        <v>385</v>
      </c>
      <c r="F1" s="145" t="s">
        <v>6</v>
      </c>
      <c r="G1" s="143" t="s">
        <v>386</v>
      </c>
      <c r="H1" s="143" t="s">
        <v>599</v>
      </c>
      <c r="I1" s="146" t="s">
        <v>600</v>
      </c>
      <c r="J1" s="143" t="s">
        <v>601</v>
      </c>
      <c r="K1" s="145" t="s">
        <v>602</v>
      </c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</row>
    <row r="2">
      <c r="A2" s="3">
        <v>2.123023299E9</v>
      </c>
      <c r="B2" s="109" t="str">
        <f>VLOOKUP($A2,ANAGRAFICA!$B$1:$G$306,2,FALSE)</f>
        <v>BEATRICE</v>
      </c>
      <c r="C2" s="109" t="str">
        <f>VLOOKUP($A2,ANAGRAFICA!$B$1:$G$306,3,FALSE)</f>
        <v>GERARDINA</v>
      </c>
      <c r="D2" s="109" t="str">
        <f>VLOOKUP($A2,ANAGRAFICA!$B$1:$G$306,4,FALSE)</f>
        <v/>
      </c>
      <c r="E2" s="109">
        <f>VLOOKUP($A2,ANAGRAFICA!$B$1:$G$306,5,FALSE)</f>
        <v>3272024098</v>
      </c>
      <c r="F2" s="109">
        <f>VLOOKUP($A2,ANAGRAFICA!$B$1:$G$306,6,FALSE)</f>
        <v>2024</v>
      </c>
      <c r="G2" s="3">
        <v>1.0</v>
      </c>
      <c r="H2" s="3" t="s">
        <v>603</v>
      </c>
      <c r="I2" s="148">
        <v>45293.0</v>
      </c>
      <c r="J2" s="149" t="s">
        <v>64</v>
      </c>
      <c r="K2" s="11" t="b">
        <v>0</v>
      </c>
    </row>
    <row r="3">
      <c r="A3" s="3">
        <v>2.123023299E9</v>
      </c>
      <c r="B3" s="109" t="str">
        <f>VLOOKUP($A3,ANAGRAFICA!$B$1:$G$306,2,FALSE)</f>
        <v>BEATRICE</v>
      </c>
      <c r="C3" s="109" t="str">
        <f>VLOOKUP($A3,ANAGRAFICA!$B$1:$G$306,3,FALSE)</f>
        <v>GERARDINA</v>
      </c>
      <c r="D3" s="109" t="str">
        <f>VLOOKUP($A3,ANAGRAFICA!$B$1:$G$306,4,FALSE)</f>
        <v/>
      </c>
      <c r="E3" s="109">
        <f>VLOOKUP($A3,ANAGRAFICA!$B$1:$G$306,5,FALSE)</f>
        <v>3272024098</v>
      </c>
      <c r="F3" s="109">
        <f>VLOOKUP($A3,ANAGRAFICA!$B$1:$G$306,6,FALSE)</f>
        <v>2024</v>
      </c>
      <c r="G3" s="3">
        <v>1.0</v>
      </c>
      <c r="H3" s="3" t="s">
        <v>604</v>
      </c>
      <c r="I3" s="148">
        <v>45293.0</v>
      </c>
      <c r="J3" s="149" t="s">
        <v>64</v>
      </c>
      <c r="K3" s="11" t="b">
        <v>0</v>
      </c>
    </row>
    <row r="4">
      <c r="A4" s="3">
        <v>2.124000149E9</v>
      </c>
      <c r="B4" s="109" t="str">
        <f>VLOOKUP($A4,ANAGRAFICA!$B$1:$G$306,2,FALSE)</f>
        <v>MOTTA</v>
      </c>
      <c r="C4" s="109" t="str">
        <f>VLOOKUP($A4,ANAGRAFICA!$B$1:$G$306,3,FALSE)</f>
        <v>FABIO</v>
      </c>
      <c r="D4" s="109" t="str">
        <f>VLOOKUP($A4,ANAGRAFICA!$B$1:$G$306,4,FALSE)</f>
        <v/>
      </c>
      <c r="E4" s="109">
        <f>VLOOKUP($A4,ANAGRAFICA!$B$1:$G$306,5,FALSE)</f>
        <v>3272024051</v>
      </c>
      <c r="F4" s="109">
        <f>VLOOKUP($A4,ANAGRAFICA!$B$1:$G$306,6,FALSE)</f>
        <v>2024</v>
      </c>
      <c r="G4" s="3">
        <v>1.0</v>
      </c>
      <c r="H4" s="3" t="s">
        <v>605</v>
      </c>
      <c r="I4" s="148">
        <v>45296.0</v>
      </c>
      <c r="J4" s="3" t="s">
        <v>171</v>
      </c>
      <c r="K4" s="11" t="b">
        <v>1</v>
      </c>
    </row>
    <row r="5">
      <c r="A5" s="3">
        <v>2.124000149E9</v>
      </c>
      <c r="B5" s="109" t="str">
        <f>VLOOKUP($A5,ANAGRAFICA!$B$1:$G$306,2,FALSE)</f>
        <v>MOTTA</v>
      </c>
      <c r="C5" s="109" t="str">
        <f>VLOOKUP($A5,ANAGRAFICA!$B$1:$G$306,3,FALSE)</f>
        <v>FABIO</v>
      </c>
      <c r="D5" s="109" t="str">
        <f>VLOOKUP($A5,ANAGRAFICA!$B$1:$G$306,4,FALSE)</f>
        <v/>
      </c>
      <c r="E5" s="109">
        <f>VLOOKUP($A5,ANAGRAFICA!$B$1:$G$306,5,FALSE)</f>
        <v>3272024051</v>
      </c>
      <c r="F5" s="109">
        <f>VLOOKUP($A5,ANAGRAFICA!$B$1:$G$306,6,FALSE)</f>
        <v>2024</v>
      </c>
      <c r="G5" s="3">
        <v>1.0</v>
      </c>
      <c r="H5" s="3" t="s">
        <v>606</v>
      </c>
      <c r="I5" s="148">
        <v>45299.0</v>
      </c>
      <c r="J5" s="3" t="s">
        <v>457</v>
      </c>
      <c r="K5" s="11" t="b">
        <v>1</v>
      </c>
    </row>
    <row r="6">
      <c r="A6" s="3">
        <v>2.124000241E9</v>
      </c>
      <c r="B6" s="109" t="str">
        <f>VLOOKUP($A6,ANAGRAFICA!$B$1:$G$306,2,FALSE)</f>
        <v>ISELLA</v>
      </c>
      <c r="C6" s="109" t="str">
        <f>VLOOKUP($A6,ANAGRAFICA!$B$1:$G$306,3,FALSE)</f>
        <v>VINCENZO</v>
      </c>
      <c r="D6" s="109" t="str">
        <f>VLOOKUP($A6,ANAGRAFICA!$B$1:$G$306,4,FALSE)</f>
        <v/>
      </c>
      <c r="E6" s="109">
        <f>VLOOKUP($A6,ANAGRAFICA!$B$1:$G$306,5,FALSE)</f>
        <v>3272024052</v>
      </c>
      <c r="F6" s="109">
        <f>VLOOKUP($A6,ANAGRAFICA!$B$1:$G$306,6,FALSE)</f>
        <v>2024</v>
      </c>
      <c r="G6" s="3">
        <v>1.0</v>
      </c>
      <c r="H6" s="3" t="s">
        <v>603</v>
      </c>
      <c r="I6" s="148">
        <v>45296.0</v>
      </c>
      <c r="J6" s="3" t="s">
        <v>45</v>
      </c>
      <c r="K6" s="11" t="b">
        <v>1</v>
      </c>
    </row>
    <row r="7">
      <c r="A7" s="3">
        <v>2.124000241E9</v>
      </c>
      <c r="B7" s="109" t="str">
        <f>VLOOKUP($A7,ANAGRAFICA!$B$1:$G$306,2,FALSE)</f>
        <v>ISELLA</v>
      </c>
      <c r="C7" s="109" t="str">
        <f>VLOOKUP($A7,ANAGRAFICA!$B$1:$G$306,3,FALSE)</f>
        <v>VINCENZO</v>
      </c>
      <c r="D7" s="109" t="str">
        <f>VLOOKUP($A7,ANAGRAFICA!$B$1:$G$306,4,FALSE)</f>
        <v/>
      </c>
      <c r="E7" s="109">
        <f>VLOOKUP($A7,ANAGRAFICA!$B$1:$G$306,5,FALSE)</f>
        <v>3272024052</v>
      </c>
      <c r="F7" s="109">
        <f>VLOOKUP($A7,ANAGRAFICA!$B$1:$G$306,6,FALSE)</f>
        <v>2024</v>
      </c>
      <c r="G7" s="3">
        <v>1.0</v>
      </c>
      <c r="H7" s="3" t="s">
        <v>607</v>
      </c>
      <c r="I7" s="148">
        <v>45296.0</v>
      </c>
      <c r="J7" s="3" t="s">
        <v>608</v>
      </c>
      <c r="K7" s="11" t="b">
        <v>1</v>
      </c>
    </row>
    <row r="8">
      <c r="A8" s="3">
        <v>2.124000328E9</v>
      </c>
      <c r="B8" s="109" t="str">
        <f>VLOOKUP($A8,ANAGRAFICA!$B$1:$G$306,2,FALSE)</f>
        <v>LAVANGA</v>
      </c>
      <c r="C8" s="109" t="str">
        <f>VLOOKUP($A8,ANAGRAFICA!$B$1:$G$306,3,FALSE)</f>
        <v>DONATO</v>
      </c>
      <c r="D8" s="109" t="str">
        <f>VLOOKUP($A8,ANAGRAFICA!$B$1:$G$306,4,FALSE)</f>
        <v/>
      </c>
      <c r="E8" s="109">
        <f>VLOOKUP($A8,ANAGRAFICA!$B$1:$G$306,5,FALSE)</f>
        <v>3272024053</v>
      </c>
      <c r="F8" s="109">
        <f>VLOOKUP($A8,ANAGRAFICA!$B$1:$G$306,6,FALSE)</f>
        <v>2024</v>
      </c>
      <c r="G8" s="3">
        <v>1.0</v>
      </c>
      <c r="H8" s="3" t="s">
        <v>603</v>
      </c>
      <c r="I8" s="148">
        <v>45298.0</v>
      </c>
      <c r="J8" s="3" t="s">
        <v>50</v>
      </c>
      <c r="K8" s="11" t="b">
        <v>1</v>
      </c>
    </row>
    <row r="9">
      <c r="A9" s="3">
        <v>2.124000328E9</v>
      </c>
      <c r="B9" s="109" t="str">
        <f>VLOOKUP($A9,ANAGRAFICA!$B$1:$G$306,2,FALSE)</f>
        <v>LAVANGA</v>
      </c>
      <c r="C9" s="109" t="str">
        <f>VLOOKUP($A9,ANAGRAFICA!$B$1:$G$306,3,FALSE)</f>
        <v>DONATO</v>
      </c>
      <c r="D9" s="109" t="str">
        <f>VLOOKUP($A9,ANAGRAFICA!$B$1:$G$306,4,FALSE)</f>
        <v/>
      </c>
      <c r="E9" s="109">
        <f>VLOOKUP($A9,ANAGRAFICA!$B$1:$G$306,5,FALSE)</f>
        <v>3272024053</v>
      </c>
      <c r="F9" s="109">
        <f>VLOOKUP($A9,ANAGRAFICA!$B$1:$G$306,6,FALSE)</f>
        <v>2024</v>
      </c>
      <c r="G9" s="3">
        <v>1.0</v>
      </c>
      <c r="H9" s="3" t="s">
        <v>609</v>
      </c>
      <c r="I9" s="148">
        <v>45299.0</v>
      </c>
      <c r="J9" s="3" t="s">
        <v>405</v>
      </c>
      <c r="K9" s="11" t="b">
        <v>1</v>
      </c>
    </row>
    <row r="10">
      <c r="A10" s="3">
        <v>2.124000328E9</v>
      </c>
      <c r="B10" s="109" t="str">
        <f>VLOOKUP($A10,ANAGRAFICA!$B$1:$G$306,2,FALSE)</f>
        <v>LAVANGA</v>
      </c>
      <c r="C10" s="109" t="str">
        <f>VLOOKUP($A10,ANAGRAFICA!$B$1:$G$306,3,FALSE)</f>
        <v>DONATO</v>
      </c>
      <c r="D10" s="109" t="str">
        <f>VLOOKUP($A10,ANAGRAFICA!$B$1:$G$306,4,FALSE)</f>
        <v/>
      </c>
      <c r="E10" s="109">
        <f>VLOOKUP($A10,ANAGRAFICA!$B$1:$G$306,5,FALSE)</f>
        <v>3272024053</v>
      </c>
      <c r="F10" s="109">
        <f>VLOOKUP($A10,ANAGRAFICA!$B$1:$G$306,6,FALSE)</f>
        <v>2024</v>
      </c>
      <c r="G10" s="3">
        <v>1.0</v>
      </c>
      <c r="H10" s="3" t="s">
        <v>610</v>
      </c>
      <c r="I10" s="148">
        <v>45298.0</v>
      </c>
      <c r="J10" s="3" t="s">
        <v>611</v>
      </c>
      <c r="K10" s="11" t="b">
        <v>1</v>
      </c>
    </row>
    <row r="11">
      <c r="A11" s="3">
        <v>2.124000328E9</v>
      </c>
      <c r="B11" s="109" t="str">
        <f>VLOOKUP($A11,ANAGRAFICA!$B$1:$G$306,2,FALSE)</f>
        <v>LAVANGA</v>
      </c>
      <c r="C11" s="109" t="str">
        <f>VLOOKUP($A11,ANAGRAFICA!$B$1:$G$306,3,FALSE)</f>
        <v>DONATO</v>
      </c>
      <c r="D11" s="109" t="str">
        <f>VLOOKUP($A11,ANAGRAFICA!$B$1:$G$306,4,FALSE)</f>
        <v/>
      </c>
      <c r="E11" s="109">
        <f>VLOOKUP($A11,ANAGRAFICA!$B$1:$G$306,5,FALSE)</f>
        <v>3272024053</v>
      </c>
      <c r="F11" s="109">
        <f>VLOOKUP($A11,ANAGRAFICA!$B$1:$G$306,6,FALSE)</f>
        <v>2024</v>
      </c>
      <c r="G11" s="3">
        <v>1.0</v>
      </c>
      <c r="H11" s="3" t="s">
        <v>612</v>
      </c>
      <c r="I11" s="148">
        <v>45299.0</v>
      </c>
      <c r="K11" s="11" t="b">
        <v>0</v>
      </c>
    </row>
    <row r="12">
      <c r="A12" s="3">
        <v>2.124000328E9</v>
      </c>
      <c r="B12" s="109" t="str">
        <f>VLOOKUP($A12,ANAGRAFICA!$B$1:$G$306,2,FALSE)</f>
        <v>LAVANGA</v>
      </c>
      <c r="C12" s="109" t="str">
        <f>VLOOKUP($A12,ANAGRAFICA!$B$1:$G$306,3,FALSE)</f>
        <v>DONATO</v>
      </c>
      <c r="D12" s="109" t="str">
        <f>VLOOKUP($A12,ANAGRAFICA!$B$1:$G$306,4,FALSE)</f>
        <v/>
      </c>
      <c r="E12" s="109">
        <f>VLOOKUP($A12,ANAGRAFICA!$B$1:$G$306,5,FALSE)</f>
        <v>3272024053</v>
      </c>
      <c r="F12" s="109">
        <f>VLOOKUP($A12,ANAGRAFICA!$B$1:$G$306,6,FALSE)</f>
        <v>2024</v>
      </c>
      <c r="G12" s="3">
        <v>1.0</v>
      </c>
      <c r="H12" s="3" t="s">
        <v>613</v>
      </c>
      <c r="I12" s="148">
        <v>45300.0</v>
      </c>
      <c r="K12" s="11" t="b">
        <v>0</v>
      </c>
    </row>
    <row r="13">
      <c r="A13" s="3">
        <v>2.124000328E9</v>
      </c>
      <c r="B13" s="109" t="str">
        <f>VLOOKUP($A13,ANAGRAFICA!$B$1:$G$306,2,FALSE)</f>
        <v>LAVANGA</v>
      </c>
      <c r="C13" s="109" t="str">
        <f>VLOOKUP($A13,ANAGRAFICA!$B$1:$G$306,3,FALSE)</f>
        <v>DONATO</v>
      </c>
      <c r="D13" s="109" t="str">
        <f>VLOOKUP($A13,ANAGRAFICA!$B$1:$G$306,4,FALSE)</f>
        <v/>
      </c>
      <c r="E13" s="109">
        <f>VLOOKUP($A13,ANAGRAFICA!$B$1:$G$306,5,FALSE)</f>
        <v>3272024053</v>
      </c>
      <c r="F13" s="109">
        <f>VLOOKUP($A13,ANAGRAFICA!$B$1:$G$306,6,FALSE)</f>
        <v>2024</v>
      </c>
      <c r="G13" s="3">
        <v>1.0</v>
      </c>
      <c r="H13" s="3" t="s">
        <v>614</v>
      </c>
      <c r="I13" s="148">
        <v>45301.0</v>
      </c>
      <c r="K13" s="11" t="b">
        <v>0</v>
      </c>
    </row>
    <row r="14">
      <c r="A14" s="3">
        <v>2.124001121E9</v>
      </c>
      <c r="B14" s="109" t="str">
        <f>VLOOKUP($A14,ANAGRAFICA!$B$1:$G$306,2,FALSE)</f>
        <v>TIEGHI</v>
      </c>
      <c r="C14" s="109" t="str">
        <f>VLOOKUP($A14,ANAGRAFICA!$B$1:$G$306,3,FALSE)</f>
        <v>MASSIMO</v>
      </c>
      <c r="D14" s="109" t="str">
        <f>VLOOKUP($A14,ANAGRAFICA!$B$1:$G$306,4,FALSE)</f>
        <v/>
      </c>
      <c r="E14" s="109">
        <f>VLOOKUP($A14,ANAGRAFICA!$B$1:$G$306,5,FALSE)</f>
        <v>3272024054</v>
      </c>
      <c r="F14" s="109">
        <f>VLOOKUP($A14,ANAGRAFICA!$B$1:$G$306,6,FALSE)</f>
        <v>2024</v>
      </c>
      <c r="G14" s="3">
        <v>1.0</v>
      </c>
      <c r="H14" s="3" t="s">
        <v>603</v>
      </c>
      <c r="I14" s="148">
        <v>45309.0</v>
      </c>
      <c r="J14" s="3" t="s">
        <v>28</v>
      </c>
      <c r="K14" s="11" t="b">
        <v>1</v>
      </c>
    </row>
    <row r="15">
      <c r="A15" s="3">
        <v>2.124001121E9</v>
      </c>
      <c r="B15" s="109" t="str">
        <f>VLOOKUP($A15,ANAGRAFICA!$B$1:$G$306,2,FALSE)</f>
        <v>TIEGHI</v>
      </c>
      <c r="C15" s="109" t="str">
        <f>VLOOKUP($A15,ANAGRAFICA!$B$1:$G$306,3,FALSE)</f>
        <v>MASSIMO</v>
      </c>
      <c r="D15" s="109" t="str">
        <f>VLOOKUP($A15,ANAGRAFICA!$B$1:$G$306,4,FALSE)</f>
        <v/>
      </c>
      <c r="E15" s="109">
        <f>VLOOKUP($A15,ANAGRAFICA!$B$1:$G$306,5,FALSE)</f>
        <v>3272024054</v>
      </c>
      <c r="F15" s="109">
        <f>VLOOKUP($A15,ANAGRAFICA!$B$1:$G$306,6,FALSE)</f>
        <v>2024</v>
      </c>
      <c r="G15" s="3">
        <v>1.0</v>
      </c>
      <c r="H15" s="3" t="s">
        <v>609</v>
      </c>
      <c r="I15" s="148">
        <v>45309.0</v>
      </c>
      <c r="J15" s="3" t="s">
        <v>324</v>
      </c>
      <c r="K15" s="11" t="b">
        <v>1</v>
      </c>
    </row>
    <row r="16">
      <c r="A16" s="3">
        <v>2.124001121E9</v>
      </c>
      <c r="B16" s="109" t="str">
        <f>VLOOKUP($A16,ANAGRAFICA!$B$1:$G$306,2,FALSE)</f>
        <v>TIEGHI</v>
      </c>
      <c r="C16" s="109" t="str">
        <f>VLOOKUP($A16,ANAGRAFICA!$B$1:$G$306,3,FALSE)</f>
        <v>MASSIMO</v>
      </c>
      <c r="D16" s="109" t="str">
        <f>VLOOKUP($A16,ANAGRAFICA!$B$1:$G$306,4,FALSE)</f>
        <v/>
      </c>
      <c r="E16" s="109">
        <f>VLOOKUP($A16,ANAGRAFICA!$B$1:$G$306,5,FALSE)</f>
        <v>3272024054</v>
      </c>
      <c r="F16" s="109">
        <f>VLOOKUP($A16,ANAGRAFICA!$B$1:$G$306,6,FALSE)</f>
        <v>2024</v>
      </c>
      <c r="G16" s="3">
        <v>1.0</v>
      </c>
      <c r="H16" s="3" t="s">
        <v>612</v>
      </c>
      <c r="I16" s="148">
        <v>45309.0</v>
      </c>
      <c r="J16" s="3" t="s">
        <v>324</v>
      </c>
      <c r="K16" s="11" t="b">
        <v>1</v>
      </c>
    </row>
    <row r="17">
      <c r="A17" s="3">
        <v>2.124001121E9</v>
      </c>
      <c r="B17" s="109" t="str">
        <f>VLOOKUP($A17,ANAGRAFICA!$B$1:$G$306,2,FALSE)</f>
        <v>TIEGHI</v>
      </c>
      <c r="C17" s="109" t="str">
        <f>VLOOKUP($A17,ANAGRAFICA!$B$1:$G$306,3,FALSE)</f>
        <v>MASSIMO</v>
      </c>
      <c r="D17" s="109" t="str">
        <f>VLOOKUP($A17,ANAGRAFICA!$B$1:$G$306,4,FALSE)</f>
        <v/>
      </c>
      <c r="E17" s="109">
        <f>VLOOKUP($A17,ANAGRAFICA!$B$1:$G$306,5,FALSE)</f>
        <v>3272024054</v>
      </c>
      <c r="F17" s="109">
        <f>VLOOKUP($A17,ANAGRAFICA!$B$1:$G$306,6,FALSE)</f>
        <v>2024</v>
      </c>
      <c r="G17" s="3">
        <v>1.0</v>
      </c>
      <c r="H17" s="3" t="s">
        <v>613</v>
      </c>
      <c r="I17" s="148">
        <v>45309.0</v>
      </c>
      <c r="J17" s="3" t="s">
        <v>324</v>
      </c>
      <c r="K17" s="11" t="b">
        <v>1</v>
      </c>
    </row>
    <row r="18">
      <c r="A18" s="3">
        <v>2.124001121E9</v>
      </c>
      <c r="B18" s="109" t="str">
        <f>VLOOKUP($A18,ANAGRAFICA!$B$1:$G$306,2,FALSE)</f>
        <v>TIEGHI</v>
      </c>
      <c r="C18" s="109" t="str">
        <f>VLOOKUP($A18,ANAGRAFICA!$B$1:$G$306,3,FALSE)</f>
        <v>MASSIMO</v>
      </c>
      <c r="D18" s="109" t="str">
        <f>VLOOKUP($A18,ANAGRAFICA!$B$1:$G$306,4,FALSE)</f>
        <v/>
      </c>
      <c r="E18" s="109">
        <f>VLOOKUP($A18,ANAGRAFICA!$B$1:$G$306,5,FALSE)</f>
        <v>3272024054</v>
      </c>
      <c r="F18" s="109">
        <f>VLOOKUP($A18,ANAGRAFICA!$B$1:$G$306,6,FALSE)</f>
        <v>2024</v>
      </c>
      <c r="G18" s="3">
        <v>1.0</v>
      </c>
      <c r="H18" s="3" t="s">
        <v>614</v>
      </c>
      <c r="I18" s="148">
        <v>45309.0</v>
      </c>
      <c r="J18" s="3" t="s">
        <v>324</v>
      </c>
      <c r="K18" s="11" t="b">
        <v>1</v>
      </c>
    </row>
    <row r="19">
      <c r="A19" s="3">
        <v>2.124001121E9</v>
      </c>
      <c r="B19" s="109" t="str">
        <f>VLOOKUP($A19,ANAGRAFICA!$B$1:$G$306,2,FALSE)</f>
        <v>TIEGHI</v>
      </c>
      <c r="C19" s="109" t="str">
        <f>VLOOKUP($A19,ANAGRAFICA!$B$1:$G$306,3,FALSE)</f>
        <v>MASSIMO</v>
      </c>
      <c r="D19" s="109" t="str">
        <f>VLOOKUP($A19,ANAGRAFICA!$B$1:$G$306,4,FALSE)</f>
        <v/>
      </c>
      <c r="E19" s="109">
        <f>VLOOKUP($A19,ANAGRAFICA!$B$1:$G$306,5,FALSE)</f>
        <v>3272024054</v>
      </c>
      <c r="F19" s="109">
        <f>VLOOKUP($A19,ANAGRAFICA!$B$1:$G$306,6,FALSE)</f>
        <v>2024</v>
      </c>
      <c r="G19" s="3">
        <v>1.0</v>
      </c>
      <c r="H19" s="3" t="s">
        <v>615</v>
      </c>
      <c r="I19" s="148">
        <v>45310.0</v>
      </c>
      <c r="J19" s="3" t="s">
        <v>446</v>
      </c>
      <c r="K19" s="11" t="b">
        <v>1</v>
      </c>
    </row>
    <row r="20">
      <c r="A20" s="3">
        <v>2.124001121E9</v>
      </c>
      <c r="B20" s="109" t="str">
        <f>VLOOKUP($A20,ANAGRAFICA!$B$1:$G$306,2,FALSE)</f>
        <v>TIEGHI</v>
      </c>
      <c r="C20" s="109" t="str">
        <f>VLOOKUP($A20,ANAGRAFICA!$B$1:$G$306,3,FALSE)</f>
        <v>MASSIMO</v>
      </c>
      <c r="D20" s="109" t="str">
        <f>VLOOKUP($A20,ANAGRAFICA!$B$1:$G$306,4,FALSE)</f>
        <v/>
      </c>
      <c r="E20" s="109">
        <f>VLOOKUP($A20,ANAGRAFICA!$B$1:$G$306,5,FALSE)</f>
        <v>3272024054</v>
      </c>
      <c r="F20" s="109">
        <f>VLOOKUP($A20,ANAGRAFICA!$B$1:$G$306,6,FALSE)</f>
        <v>2024</v>
      </c>
      <c r="G20" s="3">
        <v>1.0</v>
      </c>
      <c r="H20" s="3" t="s">
        <v>610</v>
      </c>
      <c r="I20" s="148">
        <v>45309.0</v>
      </c>
      <c r="J20" s="3" t="s">
        <v>616</v>
      </c>
      <c r="K20" s="11" t="b">
        <v>1</v>
      </c>
    </row>
    <row r="21">
      <c r="A21" s="3">
        <v>2.124016781E9</v>
      </c>
      <c r="B21" s="109" t="str">
        <f>VLOOKUP($A21,ANAGRAFICA!$B$1:$G$306,2,FALSE)</f>
        <v>TURNO ARTHEMALLE</v>
      </c>
      <c r="C21" s="109" t="str">
        <f>VLOOKUP($A21,ANAGRAFICA!$B$1:$G$306,3,FALSE)</f>
        <v>ALICE</v>
      </c>
      <c r="D21" s="109" t="str">
        <f>VLOOKUP($A21,ANAGRAFICA!$B$1:$G$306,4,FALSE)</f>
        <v>758-12</v>
      </c>
      <c r="E21" s="109">
        <f>VLOOKUP($A21,ANAGRAFICA!$B$1:$G$306,5,FALSE)</f>
        <v>3272024078</v>
      </c>
      <c r="F21" s="109">
        <f>VLOOKUP($A21,ANAGRAFICA!$B$1:$G$306,6,FALSE)</f>
        <v>2024</v>
      </c>
      <c r="G21" s="3">
        <v>2.0</v>
      </c>
      <c r="H21" s="3" t="s">
        <v>617</v>
      </c>
      <c r="I21" s="148">
        <v>45562.0</v>
      </c>
      <c r="J21" s="3" t="s">
        <v>353</v>
      </c>
      <c r="K21" s="11" t="b">
        <v>0</v>
      </c>
    </row>
    <row r="22">
      <c r="A22" s="3">
        <v>2.124002215E9</v>
      </c>
      <c r="B22" s="109" t="str">
        <f>VLOOKUP($A22,ANAGRAFICA!$B$1:$G$306,2,FALSE)</f>
        <v>SCHIFANO</v>
      </c>
      <c r="C22" s="109" t="str">
        <f>VLOOKUP($A22,ANAGRAFICA!$B$1:$G$306,3,FALSE)</f>
        <v>FRANCESCO</v>
      </c>
      <c r="D22" s="109" t="str">
        <f>VLOOKUP($A22,ANAGRAFICA!$B$1:$G$306,4,FALSE)</f>
        <v/>
      </c>
      <c r="E22" s="109">
        <f>VLOOKUP($A22,ANAGRAFICA!$B$1:$G$306,5,FALSE)</f>
        <v>3272024055</v>
      </c>
      <c r="F22" s="109">
        <f>VLOOKUP($A22,ANAGRAFICA!$B$1:$G$306,6,FALSE)</f>
        <v>2024</v>
      </c>
      <c r="G22" s="3">
        <v>1.0</v>
      </c>
      <c r="H22" s="3" t="s">
        <v>618</v>
      </c>
      <c r="I22" s="148">
        <v>45325.0</v>
      </c>
      <c r="J22" s="3" t="s">
        <v>68</v>
      </c>
      <c r="K22" s="11" t="b">
        <v>1</v>
      </c>
    </row>
    <row r="23">
      <c r="A23" s="3">
        <v>2.124002215E9</v>
      </c>
      <c r="B23" s="109" t="str">
        <f>VLOOKUP($A23,ANAGRAFICA!$B$1:$G$306,2,FALSE)</f>
        <v>SCHIFANO</v>
      </c>
      <c r="C23" s="109" t="str">
        <f>VLOOKUP($A23,ANAGRAFICA!$B$1:$G$306,3,FALSE)</f>
        <v>FRANCESCO</v>
      </c>
      <c r="D23" s="109" t="str">
        <f>VLOOKUP($A23,ANAGRAFICA!$B$1:$G$306,4,FALSE)</f>
        <v/>
      </c>
      <c r="E23" s="109">
        <f>VLOOKUP($A23,ANAGRAFICA!$B$1:$G$306,5,FALSE)</f>
        <v>3272024055</v>
      </c>
      <c r="F23" s="109">
        <f>VLOOKUP($A23,ANAGRAFICA!$B$1:$G$306,6,FALSE)</f>
        <v>2024</v>
      </c>
      <c r="G23" s="3">
        <v>1.0</v>
      </c>
      <c r="H23" s="3" t="s">
        <v>603</v>
      </c>
      <c r="I23" s="148">
        <v>45325.0</v>
      </c>
      <c r="J23" s="3" t="s">
        <v>203</v>
      </c>
      <c r="K23" s="11" t="b">
        <v>1</v>
      </c>
    </row>
    <row r="24">
      <c r="A24" s="3">
        <v>2.124002215E9</v>
      </c>
      <c r="B24" s="109" t="str">
        <f>VLOOKUP($A24,ANAGRAFICA!$B$1:$G$306,2,FALSE)</f>
        <v>SCHIFANO</v>
      </c>
      <c r="C24" s="109" t="str">
        <f>VLOOKUP($A24,ANAGRAFICA!$B$1:$G$306,3,FALSE)</f>
        <v>FRANCESCO</v>
      </c>
      <c r="D24" s="109" t="str">
        <f>VLOOKUP($A24,ANAGRAFICA!$B$1:$G$306,4,FALSE)</f>
        <v/>
      </c>
      <c r="E24" s="109">
        <f>VLOOKUP($A24,ANAGRAFICA!$B$1:$G$306,5,FALSE)</f>
        <v>3272024055</v>
      </c>
      <c r="F24" s="109">
        <f>VLOOKUP($A24,ANAGRAFICA!$B$1:$G$306,6,FALSE)</f>
        <v>2024</v>
      </c>
      <c r="G24" s="3">
        <v>1.0</v>
      </c>
      <c r="H24" s="3" t="s">
        <v>615</v>
      </c>
      <c r="I24" s="148">
        <v>45329.0</v>
      </c>
      <c r="J24" s="3" t="s">
        <v>59</v>
      </c>
      <c r="K24" s="11" t="b">
        <v>1</v>
      </c>
    </row>
    <row r="25">
      <c r="A25" s="3">
        <v>2.124002215E9</v>
      </c>
      <c r="B25" s="109" t="str">
        <f>VLOOKUP($A25,ANAGRAFICA!$B$1:$G$306,2,FALSE)</f>
        <v>SCHIFANO</v>
      </c>
      <c r="C25" s="109" t="str">
        <f>VLOOKUP($A25,ANAGRAFICA!$B$1:$G$306,3,FALSE)</f>
        <v>FRANCESCO</v>
      </c>
      <c r="D25" s="109" t="str">
        <f>VLOOKUP($A25,ANAGRAFICA!$B$1:$G$306,4,FALSE)</f>
        <v/>
      </c>
      <c r="E25" s="109">
        <f>VLOOKUP($A25,ANAGRAFICA!$B$1:$G$306,5,FALSE)</f>
        <v>3272024055</v>
      </c>
      <c r="F25" s="109">
        <f>VLOOKUP($A25,ANAGRAFICA!$B$1:$G$306,6,FALSE)</f>
        <v>2024</v>
      </c>
      <c r="G25" s="3">
        <v>1.0</v>
      </c>
      <c r="H25" s="3" t="s">
        <v>609</v>
      </c>
      <c r="I25" s="148">
        <v>45326.0</v>
      </c>
      <c r="J25" s="3" t="s">
        <v>28</v>
      </c>
      <c r="K25" s="11" t="b">
        <v>1</v>
      </c>
    </row>
    <row r="26">
      <c r="A26" s="3">
        <v>2.124002215E9</v>
      </c>
      <c r="B26" s="109" t="str">
        <f>VLOOKUP($A26,ANAGRAFICA!$B$1:$G$306,2,FALSE)</f>
        <v>SCHIFANO</v>
      </c>
      <c r="C26" s="109" t="str">
        <f>VLOOKUP($A26,ANAGRAFICA!$B$1:$G$306,3,FALSE)</f>
        <v>FRANCESCO</v>
      </c>
      <c r="D26" s="109" t="str">
        <f>VLOOKUP($A26,ANAGRAFICA!$B$1:$G$306,4,FALSE)</f>
        <v/>
      </c>
      <c r="E26" s="109">
        <f>VLOOKUP($A26,ANAGRAFICA!$B$1:$G$306,5,FALSE)</f>
        <v>3272024055</v>
      </c>
      <c r="F26" s="109">
        <f>VLOOKUP($A26,ANAGRAFICA!$B$1:$G$306,6,FALSE)</f>
        <v>2024</v>
      </c>
      <c r="G26" s="3">
        <v>1.0</v>
      </c>
      <c r="H26" s="3" t="s">
        <v>609</v>
      </c>
      <c r="I26" s="148">
        <v>45327.0</v>
      </c>
      <c r="J26" s="3" t="s">
        <v>28</v>
      </c>
      <c r="K26" s="11" t="b">
        <v>1</v>
      </c>
    </row>
    <row r="27">
      <c r="A27" s="3">
        <v>2.124002215E9</v>
      </c>
      <c r="B27" s="109" t="str">
        <f>VLOOKUP($A27,ANAGRAFICA!$B$1:$G$306,2,FALSE)</f>
        <v>SCHIFANO</v>
      </c>
      <c r="C27" s="109" t="str">
        <f>VLOOKUP($A27,ANAGRAFICA!$B$1:$G$306,3,FALSE)</f>
        <v>FRANCESCO</v>
      </c>
      <c r="D27" s="109" t="str">
        <f>VLOOKUP($A27,ANAGRAFICA!$B$1:$G$306,4,FALSE)</f>
        <v/>
      </c>
      <c r="E27" s="109">
        <f>VLOOKUP($A27,ANAGRAFICA!$B$1:$G$306,5,FALSE)</f>
        <v>3272024055</v>
      </c>
      <c r="F27" s="109">
        <f>VLOOKUP($A27,ANAGRAFICA!$B$1:$G$306,6,FALSE)</f>
        <v>2024</v>
      </c>
      <c r="G27" s="3">
        <v>1.0</v>
      </c>
      <c r="H27" s="3" t="s">
        <v>609</v>
      </c>
      <c r="I27" s="148">
        <v>45329.0</v>
      </c>
      <c r="J27" s="3" t="s">
        <v>28</v>
      </c>
      <c r="K27" s="11" t="b">
        <v>1</v>
      </c>
    </row>
    <row r="28">
      <c r="A28" s="3">
        <v>2.124202869E9</v>
      </c>
      <c r="B28" s="109" t="str">
        <f>VLOOKUP($A28,ANAGRAFICA!$B$1:$G$306,2,FALSE)</f>
        <v>VALSECCHI</v>
      </c>
      <c r="C28" s="109" t="str">
        <f>VLOOKUP($A28,ANAGRAFICA!$B$1:$G$306,3,FALSE)</f>
        <v>ANDREA</v>
      </c>
      <c r="D28" s="109" t="str">
        <f>VLOOKUP($A28,ANAGRAFICA!$B$1:$G$306,4,FALSE)</f>
        <v/>
      </c>
      <c r="E28" s="109">
        <f>VLOOKUP($A28,ANAGRAFICA!$B$1:$G$306,5,FALSE)</f>
        <v>3272024056</v>
      </c>
      <c r="F28" s="109">
        <f>VLOOKUP($A28,ANAGRAFICA!$B$1:$G$306,6,FALSE)</f>
        <v>2024</v>
      </c>
      <c r="G28" s="3">
        <v>1.0</v>
      </c>
      <c r="H28" s="3" t="s">
        <v>603</v>
      </c>
      <c r="I28" s="148">
        <v>45336.0</v>
      </c>
      <c r="J28" s="3" t="s">
        <v>292</v>
      </c>
      <c r="K28" s="11" t="b">
        <v>1</v>
      </c>
    </row>
    <row r="29">
      <c r="A29" s="3">
        <v>2.124202869E9</v>
      </c>
      <c r="B29" s="109" t="str">
        <f>VLOOKUP($A29,ANAGRAFICA!$B$1:$G$306,2,FALSE)</f>
        <v>VALSECCHI</v>
      </c>
      <c r="C29" s="109" t="str">
        <f>VLOOKUP($A29,ANAGRAFICA!$B$1:$G$306,3,FALSE)</f>
        <v>ANDREA</v>
      </c>
      <c r="D29" s="109" t="str">
        <f>VLOOKUP($A29,ANAGRAFICA!$B$1:$G$306,4,FALSE)</f>
        <v/>
      </c>
      <c r="E29" s="109">
        <f>VLOOKUP($A29,ANAGRAFICA!$B$1:$G$306,5,FALSE)</f>
        <v>3272024056</v>
      </c>
      <c r="F29" s="109">
        <f>VLOOKUP($A29,ANAGRAFICA!$B$1:$G$306,6,FALSE)</f>
        <v>2024</v>
      </c>
      <c r="G29" s="3">
        <v>1.0</v>
      </c>
      <c r="H29" s="3" t="s">
        <v>604</v>
      </c>
      <c r="I29" s="148">
        <v>45337.0</v>
      </c>
      <c r="J29" s="3" t="s">
        <v>45</v>
      </c>
      <c r="K29" s="11" t="b">
        <v>1</v>
      </c>
    </row>
    <row r="30">
      <c r="A30" s="3">
        <v>2.124202869E9</v>
      </c>
      <c r="B30" s="109" t="str">
        <f>VLOOKUP($A30,ANAGRAFICA!$B$1:$G$306,2,FALSE)</f>
        <v>VALSECCHI</v>
      </c>
      <c r="C30" s="109" t="str">
        <f>VLOOKUP($A30,ANAGRAFICA!$B$1:$G$306,3,FALSE)</f>
        <v>ANDREA</v>
      </c>
      <c r="D30" s="109" t="str">
        <f>VLOOKUP($A30,ANAGRAFICA!$B$1:$G$306,4,FALSE)</f>
        <v/>
      </c>
      <c r="E30" s="109">
        <f>VLOOKUP($A30,ANAGRAFICA!$B$1:$G$306,5,FALSE)</f>
        <v>3272024056</v>
      </c>
      <c r="F30" s="109">
        <f>VLOOKUP($A30,ANAGRAFICA!$B$1:$G$306,6,FALSE)</f>
        <v>2024</v>
      </c>
      <c r="G30" s="3">
        <v>1.0</v>
      </c>
      <c r="H30" s="3" t="s">
        <v>609</v>
      </c>
      <c r="I30" s="148">
        <v>45337.0</v>
      </c>
      <c r="K30" s="11" t="b">
        <v>0</v>
      </c>
    </row>
    <row r="31">
      <c r="A31" s="3">
        <v>2.124202869E9</v>
      </c>
      <c r="B31" s="109" t="str">
        <f>VLOOKUP($A31,ANAGRAFICA!$B$1:$G$306,2,FALSE)</f>
        <v>VALSECCHI</v>
      </c>
      <c r="C31" s="109" t="str">
        <f>VLOOKUP($A31,ANAGRAFICA!$B$1:$G$306,3,FALSE)</f>
        <v>ANDREA</v>
      </c>
      <c r="D31" s="109" t="str">
        <f>VLOOKUP($A31,ANAGRAFICA!$B$1:$G$306,4,FALSE)</f>
        <v/>
      </c>
      <c r="E31" s="109">
        <f>VLOOKUP($A31,ANAGRAFICA!$B$1:$G$306,5,FALSE)</f>
        <v>3272024056</v>
      </c>
      <c r="F31" s="109">
        <f>VLOOKUP($A31,ANAGRAFICA!$B$1:$G$306,6,FALSE)</f>
        <v>2024</v>
      </c>
      <c r="G31" s="3">
        <v>1.0</v>
      </c>
      <c r="H31" s="3" t="s">
        <v>615</v>
      </c>
      <c r="I31" s="148">
        <v>45342.0</v>
      </c>
      <c r="J31" s="3" t="s">
        <v>28</v>
      </c>
      <c r="K31" s="11" t="b">
        <v>1</v>
      </c>
    </row>
    <row r="32">
      <c r="A32" s="3">
        <v>2.124202869E9</v>
      </c>
      <c r="B32" s="109" t="str">
        <f>VLOOKUP($A32,ANAGRAFICA!$B$1:$G$306,2,FALSE)</f>
        <v>VALSECCHI</v>
      </c>
      <c r="C32" s="109" t="str">
        <f>VLOOKUP($A32,ANAGRAFICA!$B$1:$G$306,3,FALSE)</f>
        <v>ANDREA</v>
      </c>
      <c r="D32" s="109" t="str">
        <f>VLOOKUP($A32,ANAGRAFICA!$B$1:$G$306,4,FALSE)</f>
        <v/>
      </c>
      <c r="E32" s="109">
        <f>VLOOKUP($A32,ANAGRAFICA!$B$1:$G$306,5,FALSE)</f>
        <v>3272024056</v>
      </c>
      <c r="F32" s="109">
        <f>VLOOKUP($A32,ANAGRAFICA!$B$1:$G$306,6,FALSE)</f>
        <v>2024</v>
      </c>
      <c r="G32" s="3">
        <v>1.0</v>
      </c>
      <c r="H32" s="3" t="s">
        <v>619</v>
      </c>
      <c r="I32" s="148">
        <v>45337.0</v>
      </c>
      <c r="J32" s="3" t="s">
        <v>28</v>
      </c>
      <c r="K32" s="11" t="b">
        <v>1</v>
      </c>
    </row>
    <row r="33">
      <c r="A33" s="3">
        <v>2.124003531E9</v>
      </c>
      <c r="B33" s="109" t="str">
        <f>VLOOKUP($A33,ANAGRAFICA!$B$1:$G$306,2,FALSE)</f>
        <v>RASPANTI</v>
      </c>
      <c r="C33" s="109" t="str">
        <f>VLOOKUP($A33,ANAGRAFICA!$B$1:$G$306,3,FALSE)</f>
        <v>ANDREA</v>
      </c>
      <c r="D33" s="109" t="str">
        <f>VLOOKUP($A33,ANAGRAFICA!$B$1:$G$306,4,FALSE)</f>
        <v/>
      </c>
      <c r="E33" s="109">
        <f>VLOOKUP($A33,ANAGRAFICA!$B$1:$G$306,5,FALSE)</f>
        <v>3272024057</v>
      </c>
      <c r="F33" s="109">
        <f>VLOOKUP($A33,ANAGRAFICA!$B$1:$G$306,6,FALSE)</f>
        <v>2024</v>
      </c>
      <c r="G33" s="3">
        <v>1.0</v>
      </c>
      <c r="H33" s="3" t="s">
        <v>604</v>
      </c>
      <c r="I33" s="148">
        <v>45344.0</v>
      </c>
      <c r="J33" s="3" t="s">
        <v>45</v>
      </c>
      <c r="K33" s="11" t="b">
        <v>1</v>
      </c>
    </row>
    <row r="34">
      <c r="A34" s="3">
        <v>2.124003531E9</v>
      </c>
      <c r="B34" s="109" t="str">
        <f>VLOOKUP($A34,ANAGRAFICA!$B$1:$G$306,2,FALSE)</f>
        <v>RASPANTI</v>
      </c>
      <c r="C34" s="109" t="str">
        <f>VLOOKUP($A34,ANAGRAFICA!$B$1:$G$306,3,FALSE)</f>
        <v>ANDREA</v>
      </c>
      <c r="D34" s="109" t="str">
        <f>VLOOKUP($A34,ANAGRAFICA!$B$1:$G$306,4,FALSE)</f>
        <v/>
      </c>
      <c r="E34" s="109">
        <f>VLOOKUP($A34,ANAGRAFICA!$B$1:$G$306,5,FALSE)</f>
        <v>3272024057</v>
      </c>
      <c r="F34" s="109">
        <f>VLOOKUP($A34,ANAGRAFICA!$B$1:$G$306,6,FALSE)</f>
        <v>2024</v>
      </c>
      <c r="G34" s="3">
        <v>1.0</v>
      </c>
      <c r="H34" s="3" t="s">
        <v>615</v>
      </c>
      <c r="I34" s="148">
        <v>45351.0</v>
      </c>
      <c r="J34" s="3" t="s">
        <v>45</v>
      </c>
      <c r="K34" s="11" t="b">
        <v>1</v>
      </c>
    </row>
    <row r="35">
      <c r="A35" s="3">
        <v>2.124003531E9</v>
      </c>
      <c r="B35" s="109" t="str">
        <f>VLOOKUP($A35,ANAGRAFICA!$B$1:$G$306,2,FALSE)</f>
        <v>RASPANTI</v>
      </c>
      <c r="C35" s="109" t="str">
        <f>VLOOKUP($A35,ANAGRAFICA!$B$1:$G$306,3,FALSE)</f>
        <v>ANDREA</v>
      </c>
      <c r="D35" s="109" t="str">
        <f>VLOOKUP($A35,ANAGRAFICA!$B$1:$G$306,4,FALSE)</f>
        <v/>
      </c>
      <c r="E35" s="109">
        <f>VLOOKUP($A35,ANAGRAFICA!$B$1:$G$306,5,FALSE)</f>
        <v>3272024057</v>
      </c>
      <c r="F35" s="109">
        <f>VLOOKUP($A35,ANAGRAFICA!$B$1:$G$306,6,FALSE)</f>
        <v>2024</v>
      </c>
      <c r="G35" s="3">
        <v>1.0</v>
      </c>
      <c r="H35" s="3" t="s">
        <v>620</v>
      </c>
      <c r="I35" s="148">
        <v>45344.0</v>
      </c>
      <c r="J35" s="3" t="s">
        <v>621</v>
      </c>
      <c r="K35" s="11" t="b">
        <v>1</v>
      </c>
    </row>
    <row r="36">
      <c r="A36" s="3">
        <v>2.124003531E9</v>
      </c>
      <c r="B36" s="109" t="str">
        <f>VLOOKUP($A36,ANAGRAFICA!$B$1:$G$306,2,FALSE)</f>
        <v>RASPANTI</v>
      </c>
      <c r="C36" s="109" t="str">
        <f>VLOOKUP($A36,ANAGRAFICA!$B$1:$G$306,3,FALSE)</f>
        <v>ANDREA</v>
      </c>
      <c r="D36" s="109" t="str">
        <f>VLOOKUP($A36,ANAGRAFICA!$B$1:$G$306,4,FALSE)</f>
        <v/>
      </c>
      <c r="E36" s="109">
        <f>VLOOKUP($A36,ANAGRAFICA!$B$1:$G$306,5,FALSE)</f>
        <v>3272024057</v>
      </c>
      <c r="F36" s="109">
        <f>VLOOKUP($A36,ANAGRAFICA!$B$1:$G$306,6,FALSE)</f>
        <v>2024</v>
      </c>
      <c r="G36" s="3">
        <v>1.0</v>
      </c>
      <c r="H36" s="3" t="s">
        <v>612</v>
      </c>
      <c r="I36" s="148">
        <v>45345.0</v>
      </c>
      <c r="J36" s="3" t="s">
        <v>446</v>
      </c>
      <c r="K36" s="11" t="s">
        <v>622</v>
      </c>
    </row>
    <row r="37">
      <c r="A37" s="3">
        <v>2.124003531E9</v>
      </c>
      <c r="B37" s="109" t="str">
        <f>VLOOKUP($A37,ANAGRAFICA!$B$1:$G$306,2,FALSE)</f>
        <v>RASPANTI</v>
      </c>
      <c r="C37" s="109" t="str">
        <f>VLOOKUP($A37,ANAGRAFICA!$B$1:$G$306,3,FALSE)</f>
        <v>ANDREA</v>
      </c>
      <c r="D37" s="109" t="str">
        <f>VLOOKUP($A37,ANAGRAFICA!$B$1:$G$306,4,FALSE)</f>
        <v/>
      </c>
      <c r="E37" s="109">
        <f>VLOOKUP($A37,ANAGRAFICA!$B$1:$G$306,5,FALSE)</f>
        <v>3272024057</v>
      </c>
      <c r="F37" s="109">
        <f>VLOOKUP($A37,ANAGRAFICA!$B$1:$G$306,6,FALSE)</f>
        <v>2024</v>
      </c>
      <c r="G37" s="3">
        <v>1.0</v>
      </c>
      <c r="H37" s="3" t="s">
        <v>623</v>
      </c>
      <c r="I37" s="148">
        <v>45345.0</v>
      </c>
      <c r="J37" s="3" t="s">
        <v>446</v>
      </c>
      <c r="K37" s="11" t="b">
        <v>1</v>
      </c>
    </row>
    <row r="38">
      <c r="A38" s="3">
        <v>2.124003531E9</v>
      </c>
      <c r="B38" s="109" t="str">
        <f>VLOOKUP($A38,ANAGRAFICA!$B$1:$G$306,2,FALSE)</f>
        <v>RASPANTI</v>
      </c>
      <c r="C38" s="109" t="str">
        <f>VLOOKUP($A38,ANAGRAFICA!$B$1:$G$306,3,FALSE)</f>
        <v>ANDREA</v>
      </c>
      <c r="D38" s="109" t="str">
        <f>VLOOKUP($A38,ANAGRAFICA!$B$1:$G$306,4,FALSE)</f>
        <v/>
      </c>
      <c r="E38" s="109">
        <f>VLOOKUP($A38,ANAGRAFICA!$B$1:$G$306,5,FALSE)</f>
        <v>3272024057</v>
      </c>
      <c r="F38" s="109">
        <f>VLOOKUP($A38,ANAGRAFICA!$B$1:$G$306,6,FALSE)</f>
        <v>2024</v>
      </c>
      <c r="G38" s="3">
        <v>1.0</v>
      </c>
      <c r="H38" s="3" t="s">
        <v>613</v>
      </c>
      <c r="I38" s="148">
        <v>45345.0</v>
      </c>
      <c r="J38" s="3" t="s">
        <v>446</v>
      </c>
      <c r="K38" s="11" t="b">
        <v>1</v>
      </c>
    </row>
    <row r="39">
      <c r="A39" s="3">
        <v>2.124003531E9</v>
      </c>
      <c r="B39" s="109" t="str">
        <f>VLOOKUP($A39,ANAGRAFICA!$B$1:$G$306,2,FALSE)</f>
        <v>RASPANTI</v>
      </c>
      <c r="C39" s="109" t="str">
        <f>VLOOKUP($A39,ANAGRAFICA!$B$1:$G$306,3,FALSE)</f>
        <v>ANDREA</v>
      </c>
      <c r="D39" s="109" t="str">
        <f>VLOOKUP($A39,ANAGRAFICA!$B$1:$G$306,4,FALSE)</f>
        <v/>
      </c>
      <c r="E39" s="109">
        <f>VLOOKUP($A39,ANAGRAFICA!$B$1:$G$306,5,FALSE)</f>
        <v>3272024057</v>
      </c>
      <c r="F39" s="109">
        <f>VLOOKUP($A39,ANAGRAFICA!$B$1:$G$306,6,FALSE)</f>
        <v>2024</v>
      </c>
      <c r="G39" s="3">
        <v>1.0</v>
      </c>
      <c r="H39" s="3" t="s">
        <v>624</v>
      </c>
      <c r="I39" s="148">
        <v>45347.0</v>
      </c>
      <c r="J39" s="3" t="s">
        <v>28</v>
      </c>
      <c r="K39" s="11" t="b">
        <v>1</v>
      </c>
    </row>
    <row r="40">
      <c r="A40" s="3">
        <v>2.124003531E9</v>
      </c>
      <c r="B40" s="109" t="str">
        <f>VLOOKUP($A40,ANAGRAFICA!$B$1:$G$306,2,FALSE)</f>
        <v>RASPANTI</v>
      </c>
      <c r="C40" s="109" t="str">
        <f>VLOOKUP($A40,ANAGRAFICA!$B$1:$G$306,3,FALSE)</f>
        <v>ANDREA</v>
      </c>
      <c r="D40" s="109" t="str">
        <f>VLOOKUP($A40,ANAGRAFICA!$B$1:$G$306,4,FALSE)</f>
        <v/>
      </c>
      <c r="E40" s="109">
        <f>VLOOKUP($A40,ANAGRAFICA!$B$1:$G$306,5,FALSE)</f>
        <v>3272024057</v>
      </c>
      <c r="F40" s="109">
        <f>VLOOKUP($A40,ANAGRAFICA!$B$1:$G$306,6,FALSE)</f>
        <v>2024</v>
      </c>
      <c r="G40" s="3">
        <v>1.0</v>
      </c>
      <c r="H40" s="3" t="s">
        <v>620</v>
      </c>
      <c r="I40" s="148">
        <v>45346.0</v>
      </c>
      <c r="J40" s="3" t="s">
        <v>621</v>
      </c>
      <c r="K40" s="11" t="b">
        <v>1</v>
      </c>
    </row>
    <row r="41">
      <c r="A41" s="3">
        <v>2.124003531E9</v>
      </c>
      <c r="B41" s="109" t="str">
        <f>VLOOKUP($A41,ANAGRAFICA!$B$1:$G$306,2,FALSE)</f>
        <v>RASPANTI</v>
      </c>
      <c r="C41" s="109" t="str">
        <f>VLOOKUP($A41,ANAGRAFICA!$B$1:$G$306,3,FALSE)</f>
        <v>ANDREA</v>
      </c>
      <c r="D41" s="109" t="str">
        <f>VLOOKUP($A41,ANAGRAFICA!$B$1:$G$306,4,FALSE)</f>
        <v/>
      </c>
      <c r="E41" s="109">
        <f>VLOOKUP($A41,ANAGRAFICA!$B$1:$G$306,5,FALSE)</f>
        <v>3272024057</v>
      </c>
      <c r="F41" s="109">
        <f>VLOOKUP($A41,ANAGRAFICA!$B$1:$G$306,6,FALSE)</f>
        <v>2024</v>
      </c>
      <c r="G41" s="3">
        <v>1.0</v>
      </c>
      <c r="H41" s="3" t="s">
        <v>625</v>
      </c>
      <c r="I41" s="148">
        <v>45352.0</v>
      </c>
      <c r="J41" s="3" t="s">
        <v>28</v>
      </c>
      <c r="K41" s="11" t="b">
        <v>0</v>
      </c>
    </row>
    <row r="42">
      <c r="A42" s="140">
        <v>2.124203781E9</v>
      </c>
      <c r="B42" s="109" t="str">
        <f>VLOOKUP($A42,ANAGRAFICA!$B$1:$G$306,2,FALSE)</f>
        <v>CONCA</v>
      </c>
      <c r="C42" s="109" t="str">
        <f>VLOOKUP($A42,ANAGRAFICA!$B$1:$G$306,3,FALSE)</f>
        <v>CAMILLA</v>
      </c>
      <c r="D42" s="109" t="str">
        <f>VLOOKUP($A42,ANAGRAFICA!$B$1:$G$306,4,FALSE)</f>
        <v/>
      </c>
      <c r="E42" s="109">
        <f>VLOOKUP($A42,ANAGRAFICA!$B$1:$G$306,5,FALSE)</f>
        <v>3272024058</v>
      </c>
      <c r="F42" s="109">
        <f>VLOOKUP($A42,ANAGRAFICA!$B$1:$G$306,6,FALSE)</f>
        <v>2024</v>
      </c>
      <c r="G42" s="3">
        <v>1.0</v>
      </c>
      <c r="H42" s="3" t="s">
        <v>604</v>
      </c>
      <c r="I42" s="148">
        <v>45351.0</v>
      </c>
      <c r="J42" s="3" t="s">
        <v>39</v>
      </c>
      <c r="K42" s="11" t="b">
        <v>1</v>
      </c>
    </row>
    <row r="43" ht="19.5" customHeight="1">
      <c r="A43" s="3">
        <v>2.124203781E9</v>
      </c>
      <c r="B43" s="109" t="str">
        <f>VLOOKUP($A43,ANAGRAFICA!$B$1:$G$306,2,FALSE)</f>
        <v>CONCA</v>
      </c>
      <c r="C43" s="109" t="str">
        <f>VLOOKUP($A43,ANAGRAFICA!$B$1:$G$306,3,FALSE)</f>
        <v>CAMILLA</v>
      </c>
      <c r="D43" s="109" t="str">
        <f>VLOOKUP($A43,ANAGRAFICA!$B$1:$G$306,4,FALSE)</f>
        <v/>
      </c>
      <c r="E43" s="109">
        <f>VLOOKUP($A43,ANAGRAFICA!$B$1:$G$306,5,FALSE)</f>
        <v>3272024058</v>
      </c>
      <c r="F43" s="109">
        <f>VLOOKUP($A43,ANAGRAFICA!$B$1:$G$306,6,FALSE)</f>
        <v>2024</v>
      </c>
      <c r="G43" s="3">
        <v>1.0</v>
      </c>
      <c r="H43" s="3" t="s">
        <v>619</v>
      </c>
      <c r="I43" s="148">
        <v>45352.0</v>
      </c>
      <c r="J43" s="3" t="s">
        <v>45</v>
      </c>
      <c r="K43" s="11" t="b">
        <v>1</v>
      </c>
    </row>
    <row r="44">
      <c r="A44" s="3">
        <v>2.124019725E9</v>
      </c>
      <c r="B44" s="109" t="str">
        <f>VLOOKUP($A44,ANAGRAFICA!$B$1:$G$306,2,FALSE)</f>
        <v>AMIWO</v>
      </c>
      <c r="C44" s="109" t="str">
        <f>VLOOKUP($A44,ANAGRAFICA!$B$1:$G$306,3,FALSE)</f>
        <v>REX STEVE</v>
      </c>
      <c r="D44" s="109" t="str">
        <f>VLOOKUP($A44,ANAGRAFICA!$B$1:$G$306,4,FALSE)</f>
        <v>758-18</v>
      </c>
      <c r="E44" s="109">
        <f>VLOOKUP($A44,ANAGRAFICA!$B$1:$G$306,5,FALSE)</f>
        <v>3272024084</v>
      </c>
      <c r="F44" s="109">
        <f>VLOOKUP($A44,ANAGRAFICA!$B$1:$G$306,6,FALSE)</f>
        <v>2024</v>
      </c>
      <c r="G44" s="3">
        <v>1.0</v>
      </c>
      <c r="H44" s="3" t="s">
        <v>612</v>
      </c>
      <c r="I44" s="148">
        <v>45601.0</v>
      </c>
      <c r="J44" s="3" t="s">
        <v>626</v>
      </c>
      <c r="K44" s="11" t="b">
        <v>0</v>
      </c>
    </row>
    <row r="45">
      <c r="A45" s="3">
        <v>2.124019725E9</v>
      </c>
      <c r="B45" s="109" t="str">
        <f>VLOOKUP($A45,ANAGRAFICA!$B$1:$G$306,2,FALSE)</f>
        <v>AMIWO</v>
      </c>
      <c r="C45" s="109" t="str">
        <f>VLOOKUP($A45,ANAGRAFICA!$B$1:$G$306,3,FALSE)</f>
        <v>REX STEVE</v>
      </c>
      <c r="D45" s="109" t="str">
        <f>VLOOKUP($A45,ANAGRAFICA!$B$1:$G$306,4,FALSE)</f>
        <v>758-18</v>
      </c>
      <c r="E45" s="109">
        <f>VLOOKUP($A45,ANAGRAFICA!$B$1:$G$306,5,FALSE)</f>
        <v>3272024084</v>
      </c>
      <c r="F45" s="109">
        <f>VLOOKUP($A45,ANAGRAFICA!$B$1:$G$306,6,FALSE)</f>
        <v>2024</v>
      </c>
      <c r="G45" s="3">
        <v>1.0</v>
      </c>
      <c r="H45" s="3" t="s">
        <v>613</v>
      </c>
      <c r="I45" s="148">
        <v>45601.0</v>
      </c>
      <c r="J45" s="3" t="s">
        <v>626</v>
      </c>
      <c r="K45" s="11" t="b">
        <v>0</v>
      </c>
    </row>
    <row r="46">
      <c r="A46" s="3">
        <v>2.124019725E9</v>
      </c>
      <c r="B46" s="109" t="str">
        <f>VLOOKUP($A46,ANAGRAFICA!$B$1:$G$306,2,FALSE)</f>
        <v>AMIWO</v>
      </c>
      <c r="C46" s="109" t="str">
        <f>VLOOKUP($A46,ANAGRAFICA!$B$1:$G$306,3,FALSE)</f>
        <v>REX STEVE</v>
      </c>
      <c r="D46" s="109" t="str">
        <f>VLOOKUP($A46,ANAGRAFICA!$B$1:$G$306,4,FALSE)</f>
        <v>758-18</v>
      </c>
      <c r="E46" s="109">
        <f>VLOOKUP($A46,ANAGRAFICA!$B$1:$G$306,5,FALSE)</f>
        <v>3272024084</v>
      </c>
      <c r="F46" s="109">
        <f>VLOOKUP($A46,ANAGRAFICA!$B$1:$G$306,6,FALSE)</f>
        <v>2024</v>
      </c>
      <c r="G46" s="3">
        <v>1.0</v>
      </c>
      <c r="H46" s="3" t="s">
        <v>614</v>
      </c>
      <c r="I46" s="148">
        <v>45601.0</v>
      </c>
      <c r="J46" s="3" t="s">
        <v>626</v>
      </c>
      <c r="K46" s="11" t="b">
        <v>0</v>
      </c>
    </row>
    <row r="47">
      <c r="A47" s="3">
        <v>2.124019725E9</v>
      </c>
      <c r="B47" s="109" t="str">
        <f>VLOOKUP($A47,ANAGRAFICA!$B$1:$G$306,2,FALSE)</f>
        <v>AMIWO</v>
      </c>
      <c r="C47" s="109" t="str">
        <f>VLOOKUP($A47,ANAGRAFICA!$B$1:$G$306,3,FALSE)</f>
        <v>REX STEVE</v>
      </c>
      <c r="D47" s="109" t="str">
        <f>VLOOKUP($A47,ANAGRAFICA!$B$1:$G$306,4,FALSE)</f>
        <v>758-18</v>
      </c>
      <c r="E47" s="109">
        <f>VLOOKUP($A47,ANAGRAFICA!$B$1:$G$306,5,FALSE)</f>
        <v>3272024084</v>
      </c>
      <c r="F47" s="109">
        <f>VLOOKUP($A47,ANAGRAFICA!$B$1:$G$306,6,FALSE)</f>
        <v>2024</v>
      </c>
      <c r="G47" s="3">
        <v>1.0</v>
      </c>
      <c r="H47" s="3" t="s">
        <v>603</v>
      </c>
      <c r="I47" s="148">
        <v>45601.0</v>
      </c>
      <c r="J47" s="3" t="s">
        <v>324</v>
      </c>
      <c r="K47" s="11" t="b">
        <v>0</v>
      </c>
    </row>
    <row r="48">
      <c r="A48" s="3">
        <v>2.12401869E9</v>
      </c>
      <c r="B48" s="109" t="str">
        <f>VLOOKUP($A48,ANAGRAFICA!$B$1:$G$306,2,FALSE)</f>
        <v>AVENIDO</v>
      </c>
      <c r="C48" s="109" t="str">
        <f>VLOOKUP($A48,ANAGRAFICA!$B$1:$G$306,3,FALSE)</f>
        <v>DELFIN</v>
      </c>
      <c r="D48" s="109" t="str">
        <f>VLOOKUP($A48,ANAGRAFICA!$B$1:$G$306,4,FALSE)</f>
        <v>758-16</v>
      </c>
      <c r="E48" s="109">
        <f>VLOOKUP($A48,ANAGRAFICA!$B$1:$G$306,5,FALSE)</f>
        <v>3272024082</v>
      </c>
      <c r="F48" s="109">
        <f>VLOOKUP($A48,ANAGRAFICA!$B$1:$G$306,6,FALSE)</f>
        <v>2024</v>
      </c>
      <c r="G48" s="3">
        <v>1.0</v>
      </c>
      <c r="H48" s="3" t="s">
        <v>610</v>
      </c>
      <c r="I48" s="148">
        <v>45585.0</v>
      </c>
      <c r="J48" s="3" t="s">
        <v>627</v>
      </c>
      <c r="K48" s="11" t="b">
        <v>1</v>
      </c>
    </row>
    <row r="49">
      <c r="A49" s="3">
        <v>2.12401869E9</v>
      </c>
      <c r="B49" s="109" t="str">
        <f>VLOOKUP($A49,ANAGRAFICA!$B$1:$G$306,2,FALSE)</f>
        <v>AVENIDO</v>
      </c>
      <c r="C49" s="109" t="str">
        <f>VLOOKUP($A49,ANAGRAFICA!$B$1:$G$306,3,FALSE)</f>
        <v>DELFIN</v>
      </c>
      <c r="D49" s="109" t="str">
        <f>VLOOKUP($A49,ANAGRAFICA!$B$1:$G$306,4,FALSE)</f>
        <v>758-16</v>
      </c>
      <c r="E49" s="109">
        <f>VLOOKUP($A49,ANAGRAFICA!$B$1:$G$306,5,FALSE)</f>
        <v>3272024082</v>
      </c>
      <c r="F49" s="109">
        <f>VLOOKUP($A49,ANAGRAFICA!$B$1:$G$306,6,FALSE)</f>
        <v>2024</v>
      </c>
      <c r="G49" s="3">
        <v>1.0</v>
      </c>
      <c r="H49" s="3" t="s">
        <v>612</v>
      </c>
      <c r="I49" s="148">
        <v>45587.0</v>
      </c>
      <c r="J49" s="3" t="s">
        <v>628</v>
      </c>
      <c r="K49" s="11" t="b">
        <v>1</v>
      </c>
    </row>
    <row r="50">
      <c r="A50" s="3">
        <v>2.12401869E9</v>
      </c>
      <c r="B50" s="109" t="str">
        <f>VLOOKUP($A50,ANAGRAFICA!$B$1:$G$306,2,FALSE)</f>
        <v>AVENIDO</v>
      </c>
      <c r="C50" s="109" t="str">
        <f>VLOOKUP($A50,ANAGRAFICA!$B$1:$G$306,3,FALSE)</f>
        <v>DELFIN</v>
      </c>
      <c r="D50" s="109" t="str">
        <f>VLOOKUP($A50,ANAGRAFICA!$B$1:$G$306,4,FALSE)</f>
        <v>758-16</v>
      </c>
      <c r="E50" s="109">
        <f>VLOOKUP($A50,ANAGRAFICA!$B$1:$G$306,5,FALSE)</f>
        <v>3272024082</v>
      </c>
      <c r="F50" s="109">
        <f>VLOOKUP($A50,ANAGRAFICA!$B$1:$G$306,6,FALSE)</f>
        <v>2024</v>
      </c>
      <c r="G50" s="3">
        <v>1.0</v>
      </c>
      <c r="H50" s="3" t="s">
        <v>612</v>
      </c>
      <c r="I50" s="148">
        <v>45589.0</v>
      </c>
      <c r="J50" s="3" t="s">
        <v>629</v>
      </c>
      <c r="K50" s="11" t="b">
        <v>1</v>
      </c>
    </row>
    <row r="51">
      <c r="A51" s="3">
        <v>2.12401869E9</v>
      </c>
      <c r="B51" s="109" t="str">
        <f>VLOOKUP($A51,ANAGRAFICA!$B$1:$G$306,2,FALSE)</f>
        <v>AVENIDO</v>
      </c>
      <c r="C51" s="109" t="str">
        <f>VLOOKUP($A51,ANAGRAFICA!$B$1:$G$306,3,FALSE)</f>
        <v>DELFIN</v>
      </c>
      <c r="D51" s="109" t="str">
        <f>VLOOKUP($A51,ANAGRAFICA!$B$1:$G$306,4,FALSE)</f>
        <v>758-16</v>
      </c>
      <c r="E51" s="109">
        <f>VLOOKUP($A51,ANAGRAFICA!$B$1:$G$306,5,FALSE)</f>
        <v>3272024082</v>
      </c>
      <c r="F51" s="109">
        <f>VLOOKUP($A51,ANAGRAFICA!$B$1:$G$306,6,FALSE)</f>
        <v>2024</v>
      </c>
      <c r="G51" s="3">
        <v>1.0</v>
      </c>
      <c r="H51" s="3" t="s">
        <v>614</v>
      </c>
      <c r="I51" s="148">
        <v>45589.0</v>
      </c>
      <c r="J51" s="3" t="s">
        <v>630</v>
      </c>
      <c r="K51" s="11" t="b">
        <v>1</v>
      </c>
    </row>
    <row r="52">
      <c r="A52" s="3">
        <v>2.12401869E9</v>
      </c>
      <c r="B52" s="109" t="str">
        <f>VLOOKUP($A52,ANAGRAFICA!$B$1:$G$306,2,FALSE)</f>
        <v>AVENIDO</v>
      </c>
      <c r="C52" s="109" t="str">
        <f>VLOOKUP($A52,ANAGRAFICA!$B$1:$G$306,3,FALSE)</f>
        <v>DELFIN</v>
      </c>
      <c r="D52" s="109" t="str">
        <f>VLOOKUP($A52,ANAGRAFICA!$B$1:$G$306,4,FALSE)</f>
        <v>758-16</v>
      </c>
      <c r="E52" s="109">
        <f>VLOOKUP($A52,ANAGRAFICA!$B$1:$G$306,5,FALSE)</f>
        <v>3272024082</v>
      </c>
      <c r="F52" s="109">
        <f>VLOOKUP($A52,ANAGRAFICA!$B$1:$G$306,6,FALSE)</f>
        <v>2024</v>
      </c>
      <c r="G52" s="3">
        <v>1.0</v>
      </c>
      <c r="H52" s="3" t="s">
        <v>613</v>
      </c>
      <c r="I52" s="148">
        <v>45589.0</v>
      </c>
      <c r="J52" s="3" t="s">
        <v>630</v>
      </c>
      <c r="K52" s="11" t="b">
        <v>1</v>
      </c>
    </row>
    <row r="53">
      <c r="A53" s="3">
        <v>2.12401869E9</v>
      </c>
      <c r="B53" s="109" t="str">
        <f>VLOOKUP($A53,ANAGRAFICA!$B$1:$G$306,2,FALSE)</f>
        <v>AVENIDO</v>
      </c>
      <c r="C53" s="109" t="str">
        <f>VLOOKUP($A53,ANAGRAFICA!$B$1:$G$306,3,FALSE)</f>
        <v>DELFIN</v>
      </c>
      <c r="D53" s="109" t="str">
        <f>VLOOKUP($A53,ANAGRAFICA!$B$1:$G$306,4,FALSE)</f>
        <v>758-16</v>
      </c>
      <c r="E53" s="109">
        <f>VLOOKUP($A53,ANAGRAFICA!$B$1:$G$306,5,FALSE)</f>
        <v>3272024082</v>
      </c>
      <c r="F53" s="109">
        <f>VLOOKUP($A53,ANAGRAFICA!$B$1:$G$306,6,FALSE)</f>
        <v>2024</v>
      </c>
      <c r="G53" s="3">
        <v>1.0</v>
      </c>
      <c r="H53" s="3" t="s">
        <v>609</v>
      </c>
      <c r="I53" s="148">
        <v>45586.0</v>
      </c>
      <c r="J53" s="3" t="s">
        <v>631</v>
      </c>
      <c r="K53" s="11" t="b">
        <v>0</v>
      </c>
    </row>
    <row r="54">
      <c r="A54" s="3">
        <v>2.124018637E9</v>
      </c>
      <c r="B54" s="109" t="str">
        <f>VLOOKUP($A54,ANAGRAFICA!$B$1:$G$306,2,FALSE)</f>
        <v>CARIBONI</v>
      </c>
      <c r="C54" s="109" t="str">
        <f>VLOOKUP($A54,ANAGRAFICA!$B$1:$G$306,3,FALSE)</f>
        <v>LORENZA</v>
      </c>
      <c r="D54" s="109" t="str">
        <f>VLOOKUP($A54,ANAGRAFICA!$B$1:$G$306,4,FALSE)</f>
        <v>758-15</v>
      </c>
      <c r="E54" s="109">
        <f>VLOOKUP($A54,ANAGRAFICA!$B$1:$G$306,5,FALSE)</f>
        <v>3272024081</v>
      </c>
      <c r="F54" s="109">
        <f>VLOOKUP($A54,ANAGRAFICA!$B$1:$G$306,6,FALSE)</f>
        <v>2024</v>
      </c>
      <c r="G54" s="3">
        <v>1.0</v>
      </c>
      <c r="H54" s="3" t="s">
        <v>610</v>
      </c>
      <c r="I54" s="148">
        <v>45584.0</v>
      </c>
      <c r="J54" s="3" t="s">
        <v>632</v>
      </c>
      <c r="K54" s="11" t="b">
        <v>1</v>
      </c>
    </row>
    <row r="55">
      <c r="A55" s="3">
        <v>2.124018637E9</v>
      </c>
      <c r="B55" s="109" t="str">
        <f>VLOOKUP($A55,ANAGRAFICA!$B$1:$G$306,2,FALSE)</f>
        <v>CARIBONI</v>
      </c>
      <c r="C55" s="109" t="str">
        <f>VLOOKUP($A55,ANAGRAFICA!$B$1:$G$306,3,FALSE)</f>
        <v>LORENZA</v>
      </c>
      <c r="D55" s="109" t="str">
        <f>VLOOKUP($A55,ANAGRAFICA!$B$1:$G$306,4,FALSE)</f>
        <v>758-15</v>
      </c>
      <c r="E55" s="109">
        <f>VLOOKUP($A55,ANAGRAFICA!$B$1:$G$306,5,FALSE)</f>
        <v>3272024081</v>
      </c>
      <c r="F55" s="109">
        <f>VLOOKUP($A55,ANAGRAFICA!$B$1:$G$306,6,FALSE)</f>
        <v>2024</v>
      </c>
      <c r="G55" s="3">
        <v>1.0</v>
      </c>
      <c r="H55" s="3" t="s">
        <v>618</v>
      </c>
      <c r="I55" s="148">
        <v>45584.0</v>
      </c>
      <c r="J55" s="3" t="s">
        <v>632</v>
      </c>
      <c r="K55" s="11" t="b">
        <v>0</v>
      </c>
    </row>
    <row r="56">
      <c r="A56" s="3">
        <v>2.124019184E9</v>
      </c>
      <c r="B56" s="109" t="str">
        <f>VLOOKUP($A56,ANAGRAFICA!$B$1:$G$306,2,FALSE)</f>
        <v>SERVIDIO</v>
      </c>
      <c r="C56" s="109" t="str">
        <f>VLOOKUP($A56,ANAGRAFICA!$B$1:$G$306,3,FALSE)</f>
        <v>GIOVANNI</v>
      </c>
      <c r="D56" s="109" t="str">
        <f>VLOOKUP($A56,ANAGRAFICA!$B$1:$G$306,4,FALSE)</f>
        <v>758-17</v>
      </c>
      <c r="E56" s="109">
        <f>VLOOKUP($A56,ANAGRAFICA!$B$1:$G$306,5,FALSE)</f>
        <v>3272024083</v>
      </c>
      <c r="F56" s="109">
        <f>VLOOKUP($A56,ANAGRAFICA!$B$1:$G$306,6,FALSE)</f>
        <v>2024</v>
      </c>
      <c r="G56" s="3">
        <v>1.0</v>
      </c>
      <c r="H56" s="3" t="s">
        <v>633</v>
      </c>
      <c r="I56" s="148">
        <v>45603.0</v>
      </c>
      <c r="J56" s="3" t="s">
        <v>516</v>
      </c>
      <c r="K56" s="11" t="b">
        <v>0</v>
      </c>
    </row>
    <row r="57">
      <c r="A57" s="3">
        <v>2.124019184E9</v>
      </c>
      <c r="B57" s="109" t="str">
        <f>VLOOKUP($A57,ANAGRAFICA!$B$1:$G$306,2,FALSE)</f>
        <v>SERVIDIO</v>
      </c>
      <c r="C57" s="109" t="str">
        <f>VLOOKUP($A57,ANAGRAFICA!$B$1:$G$306,3,FALSE)</f>
        <v>GIOVANNI</v>
      </c>
      <c r="D57" s="109" t="str">
        <f>VLOOKUP($A57,ANAGRAFICA!$B$1:$G$306,4,FALSE)</f>
        <v>758-17</v>
      </c>
      <c r="E57" s="109">
        <f>VLOOKUP($A57,ANAGRAFICA!$B$1:$G$306,5,FALSE)</f>
        <v>3272024083</v>
      </c>
      <c r="F57" s="109">
        <f>VLOOKUP($A57,ANAGRAFICA!$B$1:$G$306,6,FALSE)</f>
        <v>2024</v>
      </c>
      <c r="G57" s="3">
        <v>1.0</v>
      </c>
      <c r="H57" s="3" t="s">
        <v>634</v>
      </c>
      <c r="I57" s="148">
        <v>45598.0</v>
      </c>
      <c r="J57" s="3" t="s">
        <v>45</v>
      </c>
      <c r="K57" s="11" t="b">
        <v>0</v>
      </c>
    </row>
    <row r="58">
      <c r="A58" s="3">
        <v>2.124019184E9</v>
      </c>
      <c r="B58" s="109" t="str">
        <f>VLOOKUP($A58,ANAGRAFICA!$B$1:$G$306,2,FALSE)</f>
        <v>SERVIDIO</v>
      </c>
      <c r="C58" s="109" t="str">
        <f>VLOOKUP($A58,ANAGRAFICA!$B$1:$G$306,3,FALSE)</f>
        <v>GIOVANNI</v>
      </c>
      <c r="D58" s="109" t="str">
        <f>VLOOKUP($A58,ANAGRAFICA!$B$1:$G$306,4,FALSE)</f>
        <v>758-17</v>
      </c>
      <c r="E58" s="109">
        <f>VLOOKUP($A58,ANAGRAFICA!$B$1:$G$306,5,FALSE)</f>
        <v>3272024083</v>
      </c>
      <c r="F58" s="109">
        <f>VLOOKUP($A58,ANAGRAFICA!$B$1:$G$306,6,FALSE)</f>
        <v>2024</v>
      </c>
      <c r="G58" s="3">
        <v>1.0</v>
      </c>
      <c r="H58" s="3" t="s">
        <v>623</v>
      </c>
      <c r="I58" s="148">
        <v>45607.0</v>
      </c>
      <c r="J58" s="3" t="s">
        <v>221</v>
      </c>
      <c r="K58" s="11" t="b">
        <v>1</v>
      </c>
    </row>
    <row r="59">
      <c r="A59" s="3">
        <v>2.124019184E9</v>
      </c>
      <c r="B59" s="109" t="str">
        <f>VLOOKUP($A59,ANAGRAFICA!$B$1:$G$306,2,FALSE)</f>
        <v>SERVIDIO</v>
      </c>
      <c r="C59" s="109" t="str">
        <f>VLOOKUP($A59,ANAGRAFICA!$B$1:$G$306,3,FALSE)</f>
        <v>GIOVANNI</v>
      </c>
      <c r="D59" s="109" t="str">
        <f>VLOOKUP($A59,ANAGRAFICA!$B$1:$G$306,4,FALSE)</f>
        <v>758-17</v>
      </c>
      <c r="E59" s="109">
        <f>VLOOKUP($A59,ANAGRAFICA!$B$1:$G$306,5,FALSE)</f>
        <v>3272024083</v>
      </c>
      <c r="F59" s="109">
        <f>VLOOKUP($A59,ANAGRAFICA!$B$1:$G$306,6,FALSE)</f>
        <v>2024</v>
      </c>
      <c r="G59" s="3">
        <v>1.0</v>
      </c>
      <c r="H59" s="3" t="s">
        <v>635</v>
      </c>
      <c r="I59" s="148">
        <v>45607.0</v>
      </c>
      <c r="J59" s="3" t="s">
        <v>636</v>
      </c>
      <c r="K59" s="11" t="b">
        <v>1</v>
      </c>
    </row>
    <row r="60">
      <c r="A60" s="3">
        <v>2.124019184E9</v>
      </c>
      <c r="B60" s="109" t="str">
        <f>VLOOKUP($A60,ANAGRAFICA!$B$1:$G$306,2,FALSE)</f>
        <v>SERVIDIO</v>
      </c>
      <c r="C60" s="109" t="str">
        <f>VLOOKUP($A60,ANAGRAFICA!$B$1:$G$306,3,FALSE)</f>
        <v>GIOVANNI</v>
      </c>
      <c r="D60" s="109" t="str">
        <f>VLOOKUP($A60,ANAGRAFICA!$B$1:$G$306,4,FALSE)</f>
        <v>758-17</v>
      </c>
      <c r="E60" s="109">
        <f>VLOOKUP($A60,ANAGRAFICA!$B$1:$G$306,5,FALSE)</f>
        <v>3272024083</v>
      </c>
      <c r="F60" s="109">
        <f>VLOOKUP($A60,ANAGRAFICA!$B$1:$G$306,6,FALSE)</f>
        <v>2024</v>
      </c>
      <c r="G60" s="3">
        <v>1.0</v>
      </c>
      <c r="H60" s="3" t="s">
        <v>613</v>
      </c>
      <c r="I60" s="148">
        <v>45607.0</v>
      </c>
      <c r="J60" s="3" t="s">
        <v>221</v>
      </c>
      <c r="K60" s="11" t="b">
        <v>1</v>
      </c>
    </row>
    <row r="61">
      <c r="A61" s="3">
        <v>2.124019184E9</v>
      </c>
      <c r="B61" s="109" t="str">
        <f>VLOOKUP($A61,ANAGRAFICA!$B$1:$G$306,2,FALSE)</f>
        <v>SERVIDIO</v>
      </c>
      <c r="C61" s="109" t="str">
        <f>VLOOKUP($A61,ANAGRAFICA!$B$1:$G$306,3,FALSE)</f>
        <v>GIOVANNI</v>
      </c>
      <c r="D61" s="109" t="str">
        <f>VLOOKUP($A61,ANAGRAFICA!$B$1:$G$306,4,FALSE)</f>
        <v>758-17</v>
      </c>
      <c r="E61" s="109">
        <f>VLOOKUP($A61,ANAGRAFICA!$B$1:$G$306,5,FALSE)</f>
        <v>3272024083</v>
      </c>
      <c r="F61" s="109">
        <f>VLOOKUP($A61,ANAGRAFICA!$B$1:$G$306,6,FALSE)</f>
        <v>2024</v>
      </c>
      <c r="G61" s="3">
        <v>1.0</v>
      </c>
      <c r="H61" s="3" t="s">
        <v>619</v>
      </c>
      <c r="I61" s="148">
        <v>45607.0</v>
      </c>
      <c r="J61" s="3" t="s">
        <v>176</v>
      </c>
      <c r="K61" s="11" t="b">
        <v>0</v>
      </c>
    </row>
    <row r="62">
      <c r="A62" s="3">
        <v>2.124017757E9</v>
      </c>
      <c r="B62" s="109" t="str">
        <f>VLOOKUP($A62,ANAGRAFICA!$B$1:$G$306,2,FALSE)</f>
        <v>SALA</v>
      </c>
      <c r="C62" s="109" t="str">
        <f>VLOOKUP($A62,ANAGRAFICA!$B$1:$G$306,3,FALSE)</f>
        <v>FELICE</v>
      </c>
      <c r="D62" s="109" t="str">
        <f>VLOOKUP($A62,ANAGRAFICA!$B$1:$G$306,4,FALSE)</f>
        <v>758-14</v>
      </c>
      <c r="E62" s="109">
        <f>VLOOKUP($A62,ANAGRAFICA!$B$1:$G$306,5,FALSE)</f>
        <v>3272024080</v>
      </c>
      <c r="F62" s="109">
        <f>VLOOKUP($A62,ANAGRAFICA!$B$1:$G$306,6,FALSE)</f>
        <v>2024</v>
      </c>
      <c r="G62" s="3">
        <v>1.0</v>
      </c>
      <c r="H62" s="3" t="s">
        <v>610</v>
      </c>
      <c r="I62" s="148">
        <v>45572.0</v>
      </c>
      <c r="J62" s="3" t="s">
        <v>637</v>
      </c>
      <c r="K62" s="11" t="b">
        <v>1</v>
      </c>
    </row>
    <row r="63">
      <c r="A63" s="3">
        <v>2.124017757E9</v>
      </c>
      <c r="B63" s="109" t="str">
        <f>VLOOKUP($A63,ANAGRAFICA!$B$1:$G$306,2,FALSE)</f>
        <v>SALA</v>
      </c>
      <c r="C63" s="109" t="str">
        <f>VLOOKUP($A63,ANAGRAFICA!$B$1:$G$306,3,FALSE)</f>
        <v>FELICE</v>
      </c>
      <c r="D63" s="109" t="str">
        <f>VLOOKUP($A63,ANAGRAFICA!$B$1:$G$306,4,FALSE)</f>
        <v>758-14</v>
      </c>
      <c r="E63" s="109">
        <f>VLOOKUP($A63,ANAGRAFICA!$B$1:$G$306,5,FALSE)</f>
        <v>3272024080</v>
      </c>
      <c r="F63" s="109">
        <f>VLOOKUP($A63,ANAGRAFICA!$B$1:$G$306,6,FALSE)</f>
        <v>2024</v>
      </c>
      <c r="G63" s="3">
        <v>1.0</v>
      </c>
      <c r="H63" s="3" t="s">
        <v>638</v>
      </c>
      <c r="I63" s="148">
        <v>45572.0</v>
      </c>
      <c r="J63" s="3" t="s">
        <v>516</v>
      </c>
      <c r="K63" s="11" t="b">
        <v>0</v>
      </c>
    </row>
    <row r="64">
      <c r="A64" s="3">
        <v>2.124211722E9</v>
      </c>
      <c r="B64" s="109" t="str">
        <f>VLOOKUP($A64,ANAGRAFICA!$B$1:$G$306,2,FALSE)</f>
        <v>CORIO</v>
      </c>
      <c r="C64" s="109" t="str">
        <f>VLOOKUP($A64,ANAGRAFICA!$B$1:$G$306,3,FALSE)</f>
        <v>GIOVANNI</v>
      </c>
      <c r="D64" s="109" t="str">
        <f>VLOOKUP($A64,ANAGRAFICA!$B$1:$G$306,4,FALSE)</f>
        <v>758-13</v>
      </c>
      <c r="E64" s="109">
        <f>VLOOKUP($A64,ANAGRAFICA!$B$1:$G$306,5,FALSE)</f>
        <v>3272024079</v>
      </c>
      <c r="F64" s="109">
        <f>VLOOKUP($A64,ANAGRAFICA!$B$1:$G$306,6,FALSE)</f>
        <v>2024</v>
      </c>
      <c r="G64" s="3">
        <v>1.0</v>
      </c>
      <c r="H64" s="3" t="s">
        <v>610</v>
      </c>
      <c r="I64" s="148">
        <v>45602.0</v>
      </c>
      <c r="J64" s="3" t="s">
        <v>639</v>
      </c>
      <c r="K64" s="11" t="b">
        <v>0</v>
      </c>
    </row>
    <row r="65">
      <c r="A65" s="3">
        <v>2.124211722E9</v>
      </c>
      <c r="B65" s="109" t="str">
        <f>VLOOKUP($A65,ANAGRAFICA!$B$1:$G$306,2,FALSE)</f>
        <v>CORIO</v>
      </c>
      <c r="C65" s="109" t="str">
        <f>VLOOKUP($A65,ANAGRAFICA!$B$1:$G$306,3,FALSE)</f>
        <v>GIOVANNI</v>
      </c>
      <c r="D65" s="109" t="str">
        <f>VLOOKUP($A65,ANAGRAFICA!$B$1:$G$306,4,FALSE)</f>
        <v>758-13</v>
      </c>
      <c r="E65" s="109">
        <f>VLOOKUP($A65,ANAGRAFICA!$B$1:$G$306,5,FALSE)</f>
        <v>3272024079</v>
      </c>
      <c r="F65" s="109">
        <f>VLOOKUP($A65,ANAGRAFICA!$B$1:$G$306,6,FALSE)</f>
        <v>2024</v>
      </c>
      <c r="G65" s="3">
        <v>1.0</v>
      </c>
      <c r="H65" s="3" t="s">
        <v>640</v>
      </c>
      <c r="I65" s="148">
        <v>45602.0</v>
      </c>
      <c r="J65" s="3" t="s">
        <v>292</v>
      </c>
      <c r="K65" s="11" t="b">
        <v>0</v>
      </c>
    </row>
    <row r="66">
      <c r="A66" s="3">
        <v>2.124211722E9</v>
      </c>
      <c r="B66" s="109" t="str">
        <f>VLOOKUP($A66,ANAGRAFICA!$B$1:$G$306,2,FALSE)</f>
        <v>CORIO</v>
      </c>
      <c r="C66" s="109" t="str">
        <f>VLOOKUP($A66,ANAGRAFICA!$B$1:$G$306,3,FALSE)</f>
        <v>GIOVANNI</v>
      </c>
      <c r="D66" s="109" t="str">
        <f>VLOOKUP($A66,ANAGRAFICA!$B$1:$G$306,4,FALSE)</f>
        <v>758-13</v>
      </c>
      <c r="E66" s="109">
        <f>VLOOKUP($A66,ANAGRAFICA!$B$1:$G$306,5,FALSE)</f>
        <v>3272024079</v>
      </c>
      <c r="F66" s="109">
        <f>VLOOKUP($A66,ANAGRAFICA!$B$1:$G$306,6,FALSE)</f>
        <v>2024</v>
      </c>
      <c r="G66" s="3">
        <v>1.0</v>
      </c>
      <c r="H66" s="3" t="s">
        <v>640</v>
      </c>
      <c r="I66" s="148">
        <v>45576.0</v>
      </c>
      <c r="J66" s="3" t="s">
        <v>176</v>
      </c>
      <c r="K66" s="11" t="b">
        <v>0</v>
      </c>
    </row>
    <row r="67">
      <c r="A67" s="3">
        <v>2.124211722E9</v>
      </c>
      <c r="B67" s="109" t="str">
        <f>VLOOKUP($A67,ANAGRAFICA!$B$1:$G$306,2,FALSE)</f>
        <v>CORIO</v>
      </c>
      <c r="C67" s="109" t="str">
        <f>VLOOKUP($A67,ANAGRAFICA!$B$1:$G$306,3,FALSE)</f>
        <v>GIOVANNI</v>
      </c>
      <c r="D67" s="109" t="str">
        <f>VLOOKUP($A67,ANAGRAFICA!$B$1:$G$306,4,FALSE)</f>
        <v>758-13</v>
      </c>
      <c r="E67" s="109">
        <f>VLOOKUP($A67,ANAGRAFICA!$B$1:$G$306,5,FALSE)</f>
        <v>3272024079</v>
      </c>
      <c r="F67" s="109">
        <f>VLOOKUP($A67,ANAGRAFICA!$B$1:$G$306,6,FALSE)</f>
        <v>2024</v>
      </c>
      <c r="G67" s="3">
        <v>1.0</v>
      </c>
      <c r="H67" s="3" t="s">
        <v>619</v>
      </c>
      <c r="I67" s="148">
        <v>45574.0</v>
      </c>
      <c r="J67" s="3" t="s">
        <v>324</v>
      </c>
      <c r="K67" s="11" t="b">
        <v>0</v>
      </c>
    </row>
    <row r="68">
      <c r="A68" s="3">
        <v>2.124211722E9</v>
      </c>
      <c r="B68" s="109" t="str">
        <f>VLOOKUP($A68,ANAGRAFICA!$B$1:$G$306,2,FALSE)</f>
        <v>CORIO</v>
      </c>
      <c r="C68" s="109" t="str">
        <f>VLOOKUP($A68,ANAGRAFICA!$B$1:$G$306,3,FALSE)</f>
        <v>GIOVANNI</v>
      </c>
      <c r="D68" s="109" t="str">
        <f>VLOOKUP($A68,ANAGRAFICA!$B$1:$G$306,4,FALSE)</f>
        <v>758-13</v>
      </c>
      <c r="E68" s="109">
        <f>VLOOKUP($A68,ANAGRAFICA!$B$1:$G$306,5,FALSE)</f>
        <v>3272024079</v>
      </c>
      <c r="F68" s="109">
        <f>VLOOKUP($A68,ANAGRAFICA!$B$1:$G$306,6,FALSE)</f>
        <v>2024</v>
      </c>
      <c r="G68" s="3">
        <v>1.0</v>
      </c>
      <c r="H68" s="3" t="s">
        <v>619</v>
      </c>
      <c r="I68" s="148">
        <v>45575.0</v>
      </c>
      <c r="J68" s="3" t="s">
        <v>353</v>
      </c>
      <c r="K68" s="11" t="b">
        <v>0</v>
      </c>
    </row>
    <row r="69">
      <c r="A69" s="3">
        <v>2.124211722E9</v>
      </c>
      <c r="B69" s="109" t="str">
        <f>VLOOKUP($A69,ANAGRAFICA!$B$1:$G$306,2,FALSE)</f>
        <v>CORIO</v>
      </c>
      <c r="C69" s="109" t="str">
        <f>VLOOKUP($A69,ANAGRAFICA!$B$1:$G$306,3,FALSE)</f>
        <v>GIOVANNI</v>
      </c>
      <c r="D69" s="109" t="str">
        <f>VLOOKUP($A69,ANAGRAFICA!$B$1:$G$306,4,FALSE)</f>
        <v>758-13</v>
      </c>
      <c r="E69" s="109">
        <f>VLOOKUP($A69,ANAGRAFICA!$B$1:$G$306,5,FALSE)</f>
        <v>3272024079</v>
      </c>
      <c r="F69" s="109">
        <f>VLOOKUP($A69,ANAGRAFICA!$B$1:$G$306,6,FALSE)</f>
        <v>2024</v>
      </c>
      <c r="G69" s="3">
        <v>1.0</v>
      </c>
      <c r="H69" s="3" t="s">
        <v>618</v>
      </c>
      <c r="I69" s="148">
        <v>45602.0</v>
      </c>
      <c r="J69" s="3" t="s">
        <v>292</v>
      </c>
      <c r="K69" s="11" t="b">
        <v>0</v>
      </c>
    </row>
    <row r="70">
      <c r="A70" s="3">
        <v>2.124014334E9</v>
      </c>
      <c r="B70" s="109" t="str">
        <f>VLOOKUP($A70,ANAGRAFICA!$B$1:$G$306,2,FALSE)</f>
        <v>PONTIGGIA</v>
      </c>
      <c r="C70" s="109" t="str">
        <f>VLOOKUP($A70,ANAGRAFICA!$B$1:$G$306,3,FALSE)</f>
        <v>FLAVIO</v>
      </c>
      <c r="D70" s="109" t="str">
        <f>VLOOKUP($A70,ANAGRAFICA!$B$1:$G$306,4,FALSE)</f>
        <v>758-9</v>
      </c>
      <c r="E70" s="109">
        <f>VLOOKUP($A70,ANAGRAFICA!$B$1:$G$306,5,FALSE)</f>
        <v>3272024075</v>
      </c>
      <c r="F70" s="109">
        <f>VLOOKUP($A70,ANAGRAFICA!$B$1:$G$306,6,FALSE)</f>
        <v>2024</v>
      </c>
      <c r="G70" s="3">
        <v>1.0</v>
      </c>
      <c r="H70" s="3" t="s">
        <v>610</v>
      </c>
      <c r="I70" s="148">
        <v>45512.0</v>
      </c>
      <c r="J70" s="3" t="s">
        <v>641</v>
      </c>
      <c r="K70" s="11" t="b">
        <v>1</v>
      </c>
    </row>
    <row r="71">
      <c r="A71" s="3">
        <v>2.124014334E9</v>
      </c>
      <c r="B71" s="109" t="str">
        <f>VLOOKUP($A71,ANAGRAFICA!$B$1:$G$306,2,FALSE)</f>
        <v>PONTIGGIA</v>
      </c>
      <c r="C71" s="109" t="str">
        <f>VLOOKUP($A71,ANAGRAFICA!$B$1:$G$306,3,FALSE)</f>
        <v>FLAVIO</v>
      </c>
      <c r="D71" s="109" t="str">
        <f>VLOOKUP($A71,ANAGRAFICA!$B$1:$G$306,4,FALSE)</f>
        <v>758-9</v>
      </c>
      <c r="E71" s="109">
        <f>VLOOKUP($A71,ANAGRAFICA!$B$1:$G$306,5,FALSE)</f>
        <v>3272024075</v>
      </c>
      <c r="F71" s="109">
        <f>VLOOKUP($A71,ANAGRAFICA!$B$1:$G$306,6,FALSE)</f>
        <v>2024</v>
      </c>
      <c r="G71" s="3">
        <v>1.0</v>
      </c>
      <c r="H71" s="3" t="s">
        <v>603</v>
      </c>
      <c r="I71" s="148">
        <v>45512.0</v>
      </c>
      <c r="J71" s="3" t="s">
        <v>28</v>
      </c>
      <c r="K71" s="11" t="b">
        <v>0</v>
      </c>
    </row>
    <row r="72">
      <c r="A72" s="3">
        <v>2.124014334E9</v>
      </c>
      <c r="B72" s="109" t="str">
        <f>VLOOKUP($A72,ANAGRAFICA!$B$1:$G$306,2,FALSE)</f>
        <v>PONTIGGIA</v>
      </c>
      <c r="C72" s="109" t="str">
        <f>VLOOKUP($A72,ANAGRAFICA!$B$1:$G$306,3,FALSE)</f>
        <v>FLAVIO</v>
      </c>
      <c r="D72" s="109" t="str">
        <f>VLOOKUP($A72,ANAGRAFICA!$B$1:$G$306,4,FALSE)</f>
        <v>758-9</v>
      </c>
      <c r="E72" s="109">
        <f>VLOOKUP($A72,ANAGRAFICA!$B$1:$G$306,5,FALSE)</f>
        <v>3272024075</v>
      </c>
      <c r="F72" s="109">
        <f>VLOOKUP($A72,ANAGRAFICA!$B$1:$G$306,6,FALSE)</f>
        <v>2024</v>
      </c>
      <c r="G72" s="3">
        <v>1.0</v>
      </c>
      <c r="H72" s="3" t="s">
        <v>609</v>
      </c>
      <c r="I72" s="148">
        <v>45512.0</v>
      </c>
      <c r="J72" s="3" t="s">
        <v>516</v>
      </c>
      <c r="K72" s="11" t="b">
        <v>0</v>
      </c>
    </row>
    <row r="73">
      <c r="A73" s="3">
        <v>2.124014334E9</v>
      </c>
      <c r="B73" s="109" t="str">
        <f>VLOOKUP($A73,ANAGRAFICA!$B$1:$G$306,2,FALSE)</f>
        <v>PONTIGGIA</v>
      </c>
      <c r="C73" s="109" t="str">
        <f>VLOOKUP($A73,ANAGRAFICA!$B$1:$G$306,3,FALSE)</f>
        <v>FLAVIO</v>
      </c>
      <c r="D73" s="109" t="str">
        <f>VLOOKUP($A73,ANAGRAFICA!$B$1:$G$306,4,FALSE)</f>
        <v>758-9</v>
      </c>
      <c r="E73" s="109">
        <f>VLOOKUP($A73,ANAGRAFICA!$B$1:$G$306,5,FALSE)</f>
        <v>3272024075</v>
      </c>
      <c r="F73" s="109">
        <f>VLOOKUP($A73,ANAGRAFICA!$B$1:$G$306,6,FALSE)</f>
        <v>2024</v>
      </c>
      <c r="G73" s="3">
        <v>1.0</v>
      </c>
      <c r="H73" s="3" t="s">
        <v>615</v>
      </c>
      <c r="I73" s="148">
        <v>45513.0</v>
      </c>
      <c r="J73" s="3" t="s">
        <v>438</v>
      </c>
      <c r="K73" s="11" t="b">
        <v>1</v>
      </c>
    </row>
    <row r="74">
      <c r="A74" s="3">
        <v>2.124013801E9</v>
      </c>
      <c r="B74" s="109" t="str">
        <f>VLOOKUP($A74,ANAGRAFICA!$B$1:$G$306,2,FALSE)</f>
        <v>SGOBBA</v>
      </c>
      <c r="C74" s="109" t="str">
        <f>VLOOKUP($A74,ANAGRAFICA!$B$1:$G$306,3,FALSE)</f>
        <v>ANNA</v>
      </c>
      <c r="D74" s="109" t="str">
        <f>VLOOKUP($A74,ANAGRAFICA!$B$1:$G$306,4,FALSE)</f>
        <v>758-8</v>
      </c>
      <c r="E74" s="109">
        <f>VLOOKUP($A74,ANAGRAFICA!$B$1:$G$306,5,FALSE)</f>
        <v>3272024074</v>
      </c>
      <c r="F74" s="109">
        <f>VLOOKUP($A74,ANAGRAFICA!$B$1:$G$306,6,FALSE)</f>
        <v>2024</v>
      </c>
      <c r="G74" s="3">
        <v>1.0</v>
      </c>
      <c r="H74" s="3" t="s">
        <v>605</v>
      </c>
      <c r="I74" s="148">
        <v>45511.0</v>
      </c>
      <c r="J74" s="3" t="s">
        <v>642</v>
      </c>
      <c r="K74" s="11" t="b">
        <v>1</v>
      </c>
    </row>
    <row r="75">
      <c r="A75" s="3">
        <v>2.124013801E9</v>
      </c>
      <c r="B75" s="109" t="str">
        <f>VLOOKUP($A75,ANAGRAFICA!$B$1:$G$306,2,FALSE)</f>
        <v>SGOBBA</v>
      </c>
      <c r="C75" s="109" t="str">
        <f>VLOOKUP($A75,ANAGRAFICA!$B$1:$G$306,3,FALSE)</f>
        <v>ANNA</v>
      </c>
      <c r="D75" s="109" t="str">
        <f>VLOOKUP($A75,ANAGRAFICA!$B$1:$G$306,4,FALSE)</f>
        <v>758-8</v>
      </c>
      <c r="E75" s="109">
        <f>VLOOKUP($A75,ANAGRAFICA!$B$1:$G$306,5,FALSE)</f>
        <v>3272024074</v>
      </c>
      <c r="F75" s="109">
        <f>VLOOKUP($A75,ANAGRAFICA!$B$1:$G$306,6,FALSE)</f>
        <v>2024</v>
      </c>
      <c r="G75" s="3">
        <v>1.0</v>
      </c>
      <c r="H75" s="3" t="s">
        <v>607</v>
      </c>
      <c r="I75" s="148">
        <v>45511.0</v>
      </c>
      <c r="J75" s="3" t="s">
        <v>116</v>
      </c>
      <c r="K75" s="11" t="b">
        <v>1</v>
      </c>
    </row>
    <row r="76">
      <c r="A76" s="3">
        <v>2.124013801E9</v>
      </c>
      <c r="B76" s="109" t="str">
        <f>VLOOKUP($A76,ANAGRAFICA!$B$1:$G$306,2,FALSE)</f>
        <v>SGOBBA</v>
      </c>
      <c r="C76" s="109" t="str">
        <f>VLOOKUP($A76,ANAGRAFICA!$B$1:$G$306,3,FALSE)</f>
        <v>ANNA</v>
      </c>
      <c r="D76" s="109" t="str">
        <f>VLOOKUP($A76,ANAGRAFICA!$B$1:$G$306,4,FALSE)</f>
        <v>758-8</v>
      </c>
      <c r="E76" s="109">
        <f>VLOOKUP($A76,ANAGRAFICA!$B$1:$G$306,5,FALSE)</f>
        <v>3272024074</v>
      </c>
      <c r="F76" s="109">
        <f>VLOOKUP($A76,ANAGRAFICA!$B$1:$G$306,6,FALSE)</f>
        <v>2024</v>
      </c>
      <c r="G76" s="3">
        <v>1.0</v>
      </c>
      <c r="H76" s="3" t="s">
        <v>605</v>
      </c>
      <c r="I76" s="148">
        <v>45512.0</v>
      </c>
      <c r="J76" s="3" t="s">
        <v>538</v>
      </c>
      <c r="K76" s="11" t="b">
        <v>1</v>
      </c>
    </row>
    <row r="77">
      <c r="A77" s="3">
        <v>2.124012963E9</v>
      </c>
      <c r="B77" s="109" t="str">
        <f>VLOOKUP($A77,ANAGRAFICA!$B$1:$G$306,2,FALSE)</f>
        <v>TARENZI</v>
      </c>
      <c r="C77" s="109" t="str">
        <f>VLOOKUP($A77,ANAGRAFICA!$B$1:$G$306,3,FALSE)</f>
        <v>GIACOMO</v>
      </c>
      <c r="D77" s="109" t="str">
        <f>VLOOKUP($A77,ANAGRAFICA!$B$1:$G$306,4,FALSE)</f>
        <v>758-7</v>
      </c>
      <c r="E77" s="109">
        <f>VLOOKUP($A77,ANAGRAFICA!$B$1:$G$306,5,FALSE)</f>
        <v>3272024073</v>
      </c>
      <c r="F77" s="109">
        <f>VLOOKUP($A77,ANAGRAFICA!$B$1:$G$306,6,FALSE)</f>
        <v>2024</v>
      </c>
      <c r="G77" s="115">
        <v>1.0</v>
      </c>
      <c r="H77" s="3" t="s">
        <v>612</v>
      </c>
      <c r="I77" s="150">
        <v>45487.0</v>
      </c>
      <c r="J77" s="151" t="s">
        <v>643</v>
      </c>
      <c r="K77" s="11" t="b">
        <v>0</v>
      </c>
      <c r="L77" s="115"/>
    </row>
    <row r="78">
      <c r="A78" s="3">
        <v>2.124012963E9</v>
      </c>
      <c r="B78" s="109" t="str">
        <f>VLOOKUP($A78,ANAGRAFICA!$B$1:$G$306,2,FALSE)</f>
        <v>TARENZI</v>
      </c>
      <c r="C78" s="109" t="str">
        <f>VLOOKUP($A78,ANAGRAFICA!$B$1:$G$306,3,FALSE)</f>
        <v>GIACOMO</v>
      </c>
      <c r="D78" s="109" t="str">
        <f>VLOOKUP($A78,ANAGRAFICA!$B$1:$G$306,4,FALSE)</f>
        <v>758-7</v>
      </c>
      <c r="E78" s="109">
        <f>VLOOKUP($A78,ANAGRAFICA!$B$1:$G$306,5,FALSE)</f>
        <v>3272024073</v>
      </c>
      <c r="F78" s="109">
        <f>VLOOKUP($A78,ANAGRAFICA!$B$1:$G$306,6,FALSE)</f>
        <v>2024</v>
      </c>
      <c r="G78" s="115">
        <v>1.0</v>
      </c>
      <c r="H78" s="3" t="s">
        <v>623</v>
      </c>
      <c r="I78" s="150">
        <v>45487.0</v>
      </c>
      <c r="J78" s="151" t="s">
        <v>644</v>
      </c>
      <c r="K78" s="11" t="b">
        <v>0</v>
      </c>
      <c r="L78" s="115"/>
    </row>
    <row r="79">
      <c r="A79" s="3">
        <v>2.124012963E9</v>
      </c>
      <c r="B79" s="109" t="str">
        <f>VLOOKUP($A79,ANAGRAFICA!$B$1:$G$306,2,FALSE)</f>
        <v>TARENZI</v>
      </c>
      <c r="C79" s="109" t="str">
        <f>VLOOKUP($A79,ANAGRAFICA!$B$1:$G$306,3,FALSE)</f>
        <v>GIACOMO</v>
      </c>
      <c r="D79" s="109" t="str">
        <f>VLOOKUP($A79,ANAGRAFICA!$B$1:$G$306,4,FALSE)</f>
        <v>758-7</v>
      </c>
      <c r="E79" s="109">
        <f>VLOOKUP($A79,ANAGRAFICA!$B$1:$G$306,5,FALSE)</f>
        <v>3272024073</v>
      </c>
      <c r="F79" s="109">
        <f>VLOOKUP($A79,ANAGRAFICA!$B$1:$G$306,6,FALSE)</f>
        <v>2024</v>
      </c>
      <c r="G79" s="115">
        <v>1.0</v>
      </c>
      <c r="H79" s="3" t="s">
        <v>613</v>
      </c>
      <c r="I79" s="152">
        <v>45487.0</v>
      </c>
      <c r="J79" s="11" t="s">
        <v>643</v>
      </c>
      <c r="K79" s="11" t="b">
        <v>0</v>
      </c>
      <c r="L79" s="115"/>
    </row>
    <row r="80">
      <c r="A80" s="3">
        <v>2.124012963E9</v>
      </c>
      <c r="B80" s="109" t="str">
        <f>VLOOKUP($A80,ANAGRAFICA!$B$1:$G$306,2,FALSE)</f>
        <v>TARENZI</v>
      </c>
      <c r="C80" s="109" t="str">
        <f>VLOOKUP($A80,ANAGRAFICA!$B$1:$G$306,3,FALSE)</f>
        <v>GIACOMO</v>
      </c>
      <c r="D80" s="109" t="str">
        <f>VLOOKUP($A80,ANAGRAFICA!$B$1:$G$306,4,FALSE)</f>
        <v>758-7</v>
      </c>
      <c r="E80" s="109">
        <f>VLOOKUP($A80,ANAGRAFICA!$B$1:$G$306,5,FALSE)</f>
        <v>3272024073</v>
      </c>
      <c r="F80" s="109">
        <f>VLOOKUP($A80,ANAGRAFICA!$B$1:$G$306,6,FALSE)</f>
        <v>2024</v>
      </c>
      <c r="G80" s="115">
        <v>1.0</v>
      </c>
      <c r="H80" s="3" t="s">
        <v>609</v>
      </c>
      <c r="I80" s="150">
        <v>45488.0</v>
      </c>
      <c r="J80" s="151" t="s">
        <v>28</v>
      </c>
      <c r="K80" s="11" t="b">
        <v>1</v>
      </c>
      <c r="L80" s="115"/>
    </row>
    <row r="81">
      <c r="A81" s="3">
        <v>2.124012963E9</v>
      </c>
      <c r="B81" s="109" t="str">
        <f>VLOOKUP($A81,ANAGRAFICA!$B$1:$G$306,2,FALSE)</f>
        <v>TARENZI</v>
      </c>
      <c r="C81" s="109" t="str">
        <f>VLOOKUP($A81,ANAGRAFICA!$B$1:$G$306,3,FALSE)</f>
        <v>GIACOMO</v>
      </c>
      <c r="D81" s="109" t="str">
        <f>VLOOKUP($A81,ANAGRAFICA!$B$1:$G$306,4,FALSE)</f>
        <v>758-7</v>
      </c>
      <c r="E81" s="109">
        <f>VLOOKUP($A81,ANAGRAFICA!$B$1:$G$306,5,FALSE)</f>
        <v>3272024073</v>
      </c>
      <c r="F81" s="109">
        <f>VLOOKUP($A81,ANAGRAFICA!$B$1:$G$306,6,FALSE)</f>
        <v>2024</v>
      </c>
      <c r="G81" s="115">
        <v>1.0</v>
      </c>
      <c r="H81" s="3" t="s">
        <v>645</v>
      </c>
      <c r="I81" s="150">
        <v>45494.0</v>
      </c>
      <c r="J81" s="151" t="s">
        <v>28</v>
      </c>
      <c r="K81" s="11" t="b">
        <v>1</v>
      </c>
      <c r="L81" s="115"/>
    </row>
    <row r="82">
      <c r="A82" s="3">
        <v>2.124012963E9</v>
      </c>
      <c r="B82" s="109" t="str">
        <f>VLOOKUP($A82,ANAGRAFICA!$B$1:$G$306,2,FALSE)</f>
        <v>TARENZI</v>
      </c>
      <c r="C82" s="109" t="str">
        <f>VLOOKUP($A82,ANAGRAFICA!$B$1:$G$306,3,FALSE)</f>
        <v>GIACOMO</v>
      </c>
      <c r="D82" s="109" t="str">
        <f>VLOOKUP($A82,ANAGRAFICA!$B$1:$G$306,4,FALSE)</f>
        <v>758-7</v>
      </c>
      <c r="E82" s="109">
        <f>VLOOKUP($A82,ANAGRAFICA!$B$1:$G$306,5,FALSE)</f>
        <v>3272024073</v>
      </c>
      <c r="F82" s="109">
        <f>VLOOKUP($A82,ANAGRAFICA!$B$1:$G$306,6,FALSE)</f>
        <v>2024</v>
      </c>
      <c r="G82" s="115">
        <v>1.0</v>
      </c>
      <c r="H82" s="3" t="s">
        <v>609</v>
      </c>
      <c r="I82" s="150">
        <v>45489.0</v>
      </c>
      <c r="J82" s="151" t="s">
        <v>525</v>
      </c>
      <c r="K82" s="11" t="b">
        <v>1</v>
      </c>
      <c r="L82" s="115"/>
    </row>
    <row r="83">
      <c r="A83" s="3">
        <v>2.124012963E9</v>
      </c>
      <c r="B83" s="109" t="str">
        <f>VLOOKUP($A83,ANAGRAFICA!$B$1:$G$306,2,FALSE)</f>
        <v>TARENZI</v>
      </c>
      <c r="C83" s="109" t="str">
        <f>VLOOKUP($A83,ANAGRAFICA!$B$1:$G$306,3,FALSE)</f>
        <v>GIACOMO</v>
      </c>
      <c r="D83" s="109" t="str">
        <f>VLOOKUP($A83,ANAGRAFICA!$B$1:$G$306,4,FALSE)</f>
        <v>758-7</v>
      </c>
      <c r="E83" s="109">
        <f>VLOOKUP($A83,ANAGRAFICA!$B$1:$G$306,5,FALSE)</f>
        <v>3272024073</v>
      </c>
      <c r="F83" s="109">
        <f>VLOOKUP($A83,ANAGRAFICA!$B$1:$G$306,6,FALSE)</f>
        <v>2024</v>
      </c>
      <c r="G83" s="115">
        <v>1.0</v>
      </c>
      <c r="H83" s="3" t="s">
        <v>603</v>
      </c>
      <c r="I83" s="150">
        <v>45487.0</v>
      </c>
      <c r="J83" s="151" t="s">
        <v>324</v>
      </c>
      <c r="K83" s="11" t="b">
        <v>1</v>
      </c>
      <c r="L83" s="115"/>
    </row>
    <row r="84">
      <c r="A84" s="3">
        <v>2.124012963E9</v>
      </c>
      <c r="B84" s="109" t="str">
        <f>VLOOKUP($A84,ANAGRAFICA!$B$1:$G$306,2,FALSE)</f>
        <v>TARENZI</v>
      </c>
      <c r="C84" s="109" t="str">
        <f>VLOOKUP($A84,ANAGRAFICA!$B$1:$G$306,3,FALSE)</f>
        <v>GIACOMO</v>
      </c>
      <c r="D84" s="109" t="str">
        <f>VLOOKUP($A84,ANAGRAFICA!$B$1:$G$306,4,FALSE)</f>
        <v>758-7</v>
      </c>
      <c r="E84" s="109">
        <f>VLOOKUP($A84,ANAGRAFICA!$B$1:$G$306,5,FALSE)</f>
        <v>3272024073</v>
      </c>
      <c r="F84" s="109">
        <f>VLOOKUP($A84,ANAGRAFICA!$B$1:$G$306,6,FALSE)</f>
        <v>2024</v>
      </c>
      <c r="G84" s="115">
        <v>1.0</v>
      </c>
      <c r="H84" s="3" t="s">
        <v>646</v>
      </c>
      <c r="I84" s="150">
        <v>45495.0</v>
      </c>
      <c r="J84" s="151" t="s">
        <v>647</v>
      </c>
      <c r="K84" s="11" t="b">
        <v>1</v>
      </c>
      <c r="L84" s="115"/>
    </row>
    <row r="85">
      <c r="A85" s="3">
        <v>2.124012963E9</v>
      </c>
      <c r="B85" s="109" t="str">
        <f>VLOOKUP($A85,ANAGRAFICA!$B$1:$G$306,2,FALSE)</f>
        <v>TARENZI</v>
      </c>
      <c r="C85" s="109" t="str">
        <f>VLOOKUP($A85,ANAGRAFICA!$B$1:$G$306,3,FALSE)</f>
        <v>GIACOMO</v>
      </c>
      <c r="D85" s="109" t="str">
        <f>VLOOKUP($A85,ANAGRAFICA!$B$1:$G$306,4,FALSE)</f>
        <v>758-7</v>
      </c>
      <c r="E85" s="109">
        <f>VLOOKUP($A85,ANAGRAFICA!$B$1:$G$306,5,FALSE)</f>
        <v>3272024073</v>
      </c>
      <c r="F85" s="109">
        <f>VLOOKUP($A85,ANAGRAFICA!$B$1:$G$306,6,FALSE)</f>
        <v>2024</v>
      </c>
      <c r="G85" s="115">
        <v>1.0</v>
      </c>
      <c r="H85" s="3" t="s">
        <v>648</v>
      </c>
      <c r="I85" s="150">
        <v>45487.0</v>
      </c>
      <c r="J85" s="151" t="s">
        <v>649</v>
      </c>
      <c r="K85" s="11" t="b">
        <v>0</v>
      </c>
      <c r="L85" s="115"/>
    </row>
    <row r="86">
      <c r="A86" s="3">
        <v>2.124012963E9</v>
      </c>
      <c r="B86" s="109" t="str">
        <f>VLOOKUP($A86,ANAGRAFICA!$B$1:$G$306,2,FALSE)</f>
        <v>TARENZI</v>
      </c>
      <c r="C86" s="109" t="str">
        <f>VLOOKUP($A86,ANAGRAFICA!$B$1:$G$306,3,FALSE)</f>
        <v>GIACOMO</v>
      </c>
      <c r="D86" s="109" t="str">
        <f>VLOOKUP($A86,ANAGRAFICA!$B$1:$G$306,4,FALSE)</f>
        <v>758-7</v>
      </c>
      <c r="E86" s="109">
        <f>VLOOKUP($A86,ANAGRAFICA!$B$1:$G$306,5,FALSE)</f>
        <v>3272024073</v>
      </c>
      <c r="F86" s="109">
        <f>VLOOKUP($A86,ANAGRAFICA!$B$1:$G$306,6,FALSE)</f>
        <v>2024</v>
      </c>
      <c r="G86" s="3">
        <v>1.0</v>
      </c>
      <c r="H86" s="3" t="s">
        <v>614</v>
      </c>
      <c r="I86" s="148">
        <v>45494.0</v>
      </c>
      <c r="J86" s="57" t="s">
        <v>650</v>
      </c>
      <c r="K86" s="11" t="b">
        <v>1</v>
      </c>
    </row>
    <row r="87">
      <c r="A87" s="3">
        <v>2.124012963E9</v>
      </c>
      <c r="B87" s="109" t="str">
        <f>VLOOKUP($A87,ANAGRAFICA!$B$1:$G$306,2,FALSE)</f>
        <v>TARENZI</v>
      </c>
      <c r="C87" s="109" t="str">
        <f>VLOOKUP($A87,ANAGRAFICA!$B$1:$G$306,3,FALSE)</f>
        <v>GIACOMO</v>
      </c>
      <c r="D87" s="109" t="str">
        <f>VLOOKUP($A87,ANAGRAFICA!$B$1:$G$306,4,FALSE)</f>
        <v>758-7</v>
      </c>
      <c r="E87" s="109">
        <f>VLOOKUP($A87,ANAGRAFICA!$B$1:$G$306,5,FALSE)</f>
        <v>3272024073</v>
      </c>
      <c r="F87" s="109">
        <f>VLOOKUP($A87,ANAGRAFICA!$B$1:$G$306,6,FALSE)</f>
        <v>2024</v>
      </c>
      <c r="H87" s="3" t="s">
        <v>612</v>
      </c>
      <c r="I87" s="148">
        <v>45491.0</v>
      </c>
      <c r="J87" s="3" t="s">
        <v>651</v>
      </c>
      <c r="K87" s="11" t="b">
        <v>1</v>
      </c>
    </row>
    <row r="88">
      <c r="A88" s="3">
        <v>2.124012915E9</v>
      </c>
      <c r="B88" s="109" t="str">
        <f>VLOOKUP($A88,ANAGRAFICA!$B$1:$G$306,2,FALSE)</f>
        <v>GARGIONI</v>
      </c>
      <c r="C88" s="109" t="str">
        <f>VLOOKUP($A88,ANAGRAFICA!$B$1:$G$306,3,FALSE)</f>
        <v>GIULIO</v>
      </c>
      <c r="D88" s="109" t="str">
        <f>VLOOKUP($A88,ANAGRAFICA!$B$1:$G$306,4,FALSE)</f>
        <v>758-6</v>
      </c>
      <c r="E88" s="109">
        <f>VLOOKUP($A88,ANAGRAFICA!$B$1:$G$306,5,FALSE)</f>
        <v>3272024072</v>
      </c>
      <c r="F88" s="109">
        <f>VLOOKUP($A88,ANAGRAFICA!$B$1:$G$306,6,FALSE)</f>
        <v>2024</v>
      </c>
      <c r="G88" s="3">
        <v>1.0</v>
      </c>
      <c r="H88" s="3" t="s">
        <v>607</v>
      </c>
      <c r="I88" s="77">
        <v>45485.0</v>
      </c>
      <c r="J88" s="3" t="s">
        <v>325</v>
      </c>
      <c r="K88" s="11" t="b">
        <v>1</v>
      </c>
    </row>
    <row r="89">
      <c r="A89" s="3">
        <v>2.124012915E9</v>
      </c>
      <c r="B89" s="109" t="str">
        <f>VLOOKUP($A89,ANAGRAFICA!$B$1:$G$306,2,FALSE)</f>
        <v>GARGIONI</v>
      </c>
      <c r="C89" s="109" t="str">
        <f>VLOOKUP($A89,ANAGRAFICA!$B$1:$G$306,3,FALSE)</f>
        <v>GIULIO</v>
      </c>
      <c r="D89" s="109" t="str">
        <f>VLOOKUP($A89,ANAGRAFICA!$B$1:$G$306,4,FALSE)</f>
        <v>758-6</v>
      </c>
      <c r="E89" s="109">
        <f>VLOOKUP($A89,ANAGRAFICA!$B$1:$G$306,5,FALSE)</f>
        <v>3272024072</v>
      </c>
      <c r="F89" s="109">
        <f>VLOOKUP($A89,ANAGRAFICA!$B$1:$G$306,6,FALSE)</f>
        <v>2024</v>
      </c>
      <c r="G89" s="3">
        <v>1.0</v>
      </c>
      <c r="H89" s="3" t="s">
        <v>610</v>
      </c>
      <c r="I89" s="148">
        <v>45488.0</v>
      </c>
      <c r="J89" s="3" t="s">
        <v>652</v>
      </c>
      <c r="K89" s="11" t="b">
        <v>1</v>
      </c>
    </row>
    <row r="90">
      <c r="A90" s="3">
        <v>2.124012915E9</v>
      </c>
      <c r="B90" s="109" t="str">
        <f>VLOOKUP($A90,ANAGRAFICA!$B$1:$G$306,2,FALSE)</f>
        <v>GARGIONI</v>
      </c>
      <c r="C90" s="109" t="str">
        <f>VLOOKUP($A90,ANAGRAFICA!$B$1:$G$306,3,FALSE)</f>
        <v>GIULIO</v>
      </c>
      <c r="D90" s="109" t="str">
        <f>VLOOKUP($A90,ANAGRAFICA!$B$1:$G$306,4,FALSE)</f>
        <v>758-6</v>
      </c>
      <c r="E90" s="109">
        <f>VLOOKUP($A90,ANAGRAFICA!$B$1:$G$306,5,FALSE)</f>
        <v>3272024072</v>
      </c>
      <c r="F90" s="109">
        <f>VLOOKUP($A90,ANAGRAFICA!$B$1:$G$306,6,FALSE)</f>
        <v>2024</v>
      </c>
      <c r="G90" s="3">
        <v>1.0</v>
      </c>
      <c r="H90" s="3" t="s">
        <v>615</v>
      </c>
      <c r="I90" s="148">
        <v>45492.0</v>
      </c>
      <c r="J90" s="3" t="s">
        <v>203</v>
      </c>
      <c r="K90" s="11" t="b">
        <v>0</v>
      </c>
    </row>
    <row r="91">
      <c r="A91" s="3">
        <v>2.124208629E9</v>
      </c>
      <c r="B91" s="109" t="str">
        <f>VLOOKUP($A91,ANAGRAFICA!$B$1:$G$306,2,FALSE)</f>
        <v>D'ANDREA</v>
      </c>
      <c r="C91" s="109" t="str">
        <f>VLOOKUP($A91,ANAGRAFICA!$B$1:$G$306,3,FALSE)</f>
        <v>FERNANDO ANTONIO</v>
      </c>
      <c r="D91" s="109" t="str">
        <f>VLOOKUP($A91,ANAGRAFICA!$B$1:$G$306,4,FALSE)</f>
        <v>758-5</v>
      </c>
      <c r="E91" s="109">
        <f>VLOOKUP($A91,ANAGRAFICA!$B$1:$G$306,5,FALSE)</f>
        <v>3272024071</v>
      </c>
      <c r="F91" s="109">
        <f>VLOOKUP($A91,ANAGRAFICA!$B$1:$G$306,6,FALSE)</f>
        <v>2024</v>
      </c>
      <c r="G91" s="3">
        <v>1.0</v>
      </c>
      <c r="H91" s="3" t="s">
        <v>607</v>
      </c>
      <c r="I91" s="148">
        <v>45470.0</v>
      </c>
      <c r="J91" s="3" t="s">
        <v>96</v>
      </c>
      <c r="K91" s="11" t="b">
        <v>1</v>
      </c>
    </row>
    <row r="92">
      <c r="A92" s="3">
        <v>2.124208629E9</v>
      </c>
      <c r="B92" s="109" t="str">
        <f>VLOOKUP($A92,ANAGRAFICA!$B$1:$G$306,2,FALSE)</f>
        <v>D'ANDREA</v>
      </c>
      <c r="C92" s="109" t="str">
        <f>VLOOKUP($A92,ANAGRAFICA!$B$1:$G$306,3,FALSE)</f>
        <v>FERNANDO ANTONIO</v>
      </c>
      <c r="D92" s="109" t="str">
        <f>VLOOKUP($A92,ANAGRAFICA!$B$1:$G$306,4,FALSE)</f>
        <v>758-5</v>
      </c>
      <c r="E92" s="109">
        <f>VLOOKUP($A92,ANAGRAFICA!$B$1:$G$306,5,FALSE)</f>
        <v>3272024071</v>
      </c>
      <c r="F92" s="109">
        <f>VLOOKUP($A92,ANAGRAFICA!$B$1:$G$306,6,FALSE)</f>
        <v>2024</v>
      </c>
      <c r="G92" s="3">
        <v>1.0</v>
      </c>
      <c r="H92" s="3" t="s">
        <v>612</v>
      </c>
      <c r="I92" s="148">
        <v>45470.0</v>
      </c>
      <c r="J92" s="3" t="s">
        <v>653</v>
      </c>
      <c r="K92" s="11" t="b">
        <v>1</v>
      </c>
    </row>
    <row r="93">
      <c r="A93" s="3">
        <v>2.124208629E9</v>
      </c>
      <c r="B93" s="109" t="str">
        <f>VLOOKUP($A93,ANAGRAFICA!$B$1:$G$306,2,FALSE)</f>
        <v>D'ANDREA</v>
      </c>
      <c r="C93" s="109" t="str">
        <f>VLOOKUP($A93,ANAGRAFICA!$B$1:$G$306,3,FALSE)</f>
        <v>FERNANDO ANTONIO</v>
      </c>
      <c r="D93" s="109" t="str">
        <f>VLOOKUP($A93,ANAGRAFICA!$B$1:$G$306,4,FALSE)</f>
        <v>758-5</v>
      </c>
      <c r="E93" s="109">
        <f>VLOOKUP($A93,ANAGRAFICA!$B$1:$G$306,5,FALSE)</f>
        <v>3272024071</v>
      </c>
      <c r="F93" s="109">
        <f>VLOOKUP($A93,ANAGRAFICA!$B$1:$G$306,6,FALSE)</f>
        <v>2024</v>
      </c>
      <c r="G93" s="3">
        <v>1.0</v>
      </c>
      <c r="H93" s="3" t="s">
        <v>613</v>
      </c>
      <c r="I93" s="148">
        <v>45470.0</v>
      </c>
      <c r="J93" s="3" t="s">
        <v>653</v>
      </c>
      <c r="K93" s="11" t="b">
        <v>1</v>
      </c>
    </row>
    <row r="94">
      <c r="A94" s="3">
        <v>2.124208629E9</v>
      </c>
      <c r="B94" s="109" t="str">
        <f>VLOOKUP($A94,ANAGRAFICA!$B$1:$G$306,2,FALSE)</f>
        <v>D'ANDREA</v>
      </c>
      <c r="C94" s="109" t="str">
        <f>VLOOKUP($A94,ANAGRAFICA!$B$1:$G$306,3,FALSE)</f>
        <v>FERNANDO ANTONIO</v>
      </c>
      <c r="D94" s="109" t="str">
        <f>VLOOKUP($A94,ANAGRAFICA!$B$1:$G$306,4,FALSE)</f>
        <v>758-5</v>
      </c>
      <c r="E94" s="109">
        <f>VLOOKUP($A94,ANAGRAFICA!$B$1:$G$306,5,FALSE)</f>
        <v>3272024071</v>
      </c>
      <c r="F94" s="109">
        <f>VLOOKUP($A94,ANAGRAFICA!$B$1:$G$306,6,FALSE)</f>
        <v>2024</v>
      </c>
      <c r="G94" s="3">
        <v>1.0</v>
      </c>
      <c r="H94" s="3" t="s">
        <v>614</v>
      </c>
      <c r="I94" s="148">
        <v>45470.0</v>
      </c>
      <c r="J94" s="3" t="s">
        <v>653</v>
      </c>
      <c r="K94" s="11" t="b">
        <v>1</v>
      </c>
    </row>
    <row r="95">
      <c r="A95" s="3">
        <v>2.124208629E9</v>
      </c>
      <c r="B95" s="109" t="str">
        <f>VLOOKUP($A95,ANAGRAFICA!$B$1:$G$306,2,FALSE)</f>
        <v>D'ANDREA</v>
      </c>
      <c r="C95" s="109" t="str">
        <f>VLOOKUP($A95,ANAGRAFICA!$B$1:$G$306,3,FALSE)</f>
        <v>FERNANDO ANTONIO</v>
      </c>
      <c r="D95" s="109" t="str">
        <f>VLOOKUP($A95,ANAGRAFICA!$B$1:$G$306,4,FALSE)</f>
        <v>758-5</v>
      </c>
      <c r="E95" s="109">
        <f>VLOOKUP($A95,ANAGRAFICA!$B$1:$G$306,5,FALSE)</f>
        <v>3272024071</v>
      </c>
      <c r="F95" s="109">
        <f>VLOOKUP($A95,ANAGRAFICA!$B$1:$G$306,6,FALSE)</f>
        <v>2024</v>
      </c>
      <c r="G95" s="3">
        <v>1.0</v>
      </c>
      <c r="H95" s="3" t="s">
        <v>612</v>
      </c>
      <c r="I95" s="148">
        <v>45473.0</v>
      </c>
      <c r="J95" s="3" t="s">
        <v>654</v>
      </c>
      <c r="K95" s="11" t="b">
        <v>1</v>
      </c>
    </row>
    <row r="96">
      <c r="A96" s="3">
        <v>2.124011588E9</v>
      </c>
      <c r="B96" s="109" t="str">
        <f>VLOOKUP($A96,ANAGRAFICA!$B$1:$G$306,2,FALSE)</f>
        <v>FRATINO</v>
      </c>
      <c r="C96" s="109" t="str">
        <f>VLOOKUP($A96,ANAGRAFICA!$B$1:$G$306,3,FALSE)</f>
        <v>OLIVIERO</v>
      </c>
      <c r="D96" s="109" t="str">
        <f>VLOOKUP($A96,ANAGRAFICA!$B$1:$G$306,4,FALSE)</f>
        <v>758-4</v>
      </c>
      <c r="E96" s="109">
        <f>VLOOKUP($A96,ANAGRAFICA!$B$1:$G$306,5,FALSE)</f>
        <v>3272024070</v>
      </c>
      <c r="F96" s="109">
        <f>VLOOKUP($A96,ANAGRAFICA!$B$1:$G$306,6,FALSE)</f>
        <v>2024</v>
      </c>
      <c r="G96" s="3">
        <v>1.0</v>
      </c>
      <c r="H96" s="3" t="s">
        <v>607</v>
      </c>
      <c r="I96" s="148">
        <v>45464.0</v>
      </c>
      <c r="J96" s="3" t="s">
        <v>655</v>
      </c>
      <c r="K96" s="11" t="b">
        <v>0</v>
      </c>
    </row>
    <row r="97">
      <c r="A97" s="3">
        <v>2.124011588E9</v>
      </c>
      <c r="B97" s="109" t="str">
        <f>VLOOKUP($A97,ANAGRAFICA!$B$1:$G$306,2,FALSE)</f>
        <v>FRATINO</v>
      </c>
      <c r="C97" s="109" t="str">
        <f>VLOOKUP($A97,ANAGRAFICA!$B$1:$G$306,3,FALSE)</f>
        <v>OLIVIERO</v>
      </c>
      <c r="D97" s="109" t="str">
        <f>VLOOKUP($A97,ANAGRAFICA!$B$1:$G$306,4,FALSE)</f>
        <v>758-4</v>
      </c>
      <c r="E97" s="109">
        <f>VLOOKUP($A97,ANAGRAFICA!$B$1:$G$306,5,FALSE)</f>
        <v>3272024070</v>
      </c>
      <c r="F97" s="109">
        <f>VLOOKUP($A97,ANAGRAFICA!$B$1:$G$306,6,FALSE)</f>
        <v>2024</v>
      </c>
      <c r="G97" s="3">
        <v>1.0</v>
      </c>
      <c r="H97" s="3" t="s">
        <v>633</v>
      </c>
      <c r="I97" s="77">
        <v>45462.0</v>
      </c>
      <c r="J97" s="3" t="s">
        <v>131</v>
      </c>
      <c r="K97" s="11" t="b">
        <v>0</v>
      </c>
    </row>
    <row r="98">
      <c r="A98" s="3">
        <v>2.124011588E9</v>
      </c>
      <c r="B98" s="109" t="str">
        <f>VLOOKUP($A98,ANAGRAFICA!$B$1:$G$306,2,FALSE)</f>
        <v>FRATINO</v>
      </c>
      <c r="C98" s="109" t="str">
        <f>VLOOKUP($A98,ANAGRAFICA!$B$1:$G$306,3,FALSE)</f>
        <v>OLIVIERO</v>
      </c>
      <c r="D98" s="109" t="str">
        <f>VLOOKUP($A98,ANAGRAFICA!$B$1:$G$306,4,FALSE)</f>
        <v>758-4</v>
      </c>
      <c r="E98" s="109">
        <f>VLOOKUP($A98,ANAGRAFICA!$B$1:$G$306,5,FALSE)</f>
        <v>3272024070</v>
      </c>
      <c r="F98" s="109">
        <f>VLOOKUP($A98,ANAGRAFICA!$B$1:$G$306,6,FALSE)</f>
        <v>2024</v>
      </c>
      <c r="G98" s="3">
        <v>1.0</v>
      </c>
      <c r="H98" s="3" t="s">
        <v>605</v>
      </c>
      <c r="I98" s="148">
        <v>45463.0</v>
      </c>
      <c r="J98" s="3" t="s">
        <v>353</v>
      </c>
      <c r="K98" s="11" t="b">
        <v>0</v>
      </c>
    </row>
    <row r="99">
      <c r="A99" s="3">
        <v>2.124011588E9</v>
      </c>
      <c r="B99" s="109" t="str">
        <f>VLOOKUP($A99,ANAGRAFICA!$B$1:$G$306,2,FALSE)</f>
        <v>FRATINO</v>
      </c>
      <c r="C99" s="109" t="str">
        <f>VLOOKUP($A99,ANAGRAFICA!$B$1:$G$306,3,FALSE)</f>
        <v>OLIVIERO</v>
      </c>
      <c r="D99" s="109" t="str">
        <f>VLOOKUP($A99,ANAGRAFICA!$B$1:$G$306,4,FALSE)</f>
        <v>758-4</v>
      </c>
      <c r="E99" s="109">
        <f>VLOOKUP($A99,ANAGRAFICA!$B$1:$G$306,5,FALSE)</f>
        <v>3272024070</v>
      </c>
      <c r="F99" s="109">
        <f>VLOOKUP($A99,ANAGRAFICA!$B$1:$G$306,6,FALSE)</f>
        <v>2024</v>
      </c>
      <c r="G99" s="3">
        <v>1.0</v>
      </c>
      <c r="H99" s="3" t="s">
        <v>605</v>
      </c>
      <c r="I99" s="148">
        <v>45467.0</v>
      </c>
      <c r="J99" s="3" t="s">
        <v>87</v>
      </c>
      <c r="K99" s="11" t="b">
        <v>0</v>
      </c>
    </row>
    <row r="100">
      <c r="A100" s="3">
        <v>2.124011588E9</v>
      </c>
      <c r="B100" s="109" t="str">
        <f>VLOOKUP($A100,ANAGRAFICA!$B$1:$G$306,2,FALSE)</f>
        <v>FRATINO</v>
      </c>
      <c r="C100" s="109" t="str">
        <f>VLOOKUP($A100,ANAGRAFICA!$B$1:$G$306,3,FALSE)</f>
        <v>OLIVIERO</v>
      </c>
      <c r="D100" s="109" t="str">
        <f>VLOOKUP($A100,ANAGRAFICA!$B$1:$G$306,4,FALSE)</f>
        <v>758-4</v>
      </c>
      <c r="E100" s="109">
        <f>VLOOKUP($A100,ANAGRAFICA!$B$1:$G$306,5,FALSE)</f>
        <v>3272024070</v>
      </c>
      <c r="F100" s="109">
        <f>VLOOKUP($A100,ANAGRAFICA!$B$1:$G$306,6,FALSE)</f>
        <v>2024</v>
      </c>
      <c r="G100" s="3">
        <v>1.0</v>
      </c>
      <c r="H100" s="3" t="s">
        <v>656</v>
      </c>
      <c r="I100" s="148">
        <v>45463.0</v>
      </c>
      <c r="J100" s="3" t="s">
        <v>324</v>
      </c>
      <c r="K100" s="11" t="b">
        <v>0</v>
      </c>
    </row>
    <row r="101">
      <c r="A101" s="3">
        <v>2.124011236E9</v>
      </c>
      <c r="B101" s="109" t="str">
        <f>VLOOKUP($A101,ANAGRAFICA!$B$1:$G$306,2,FALSE)</f>
        <v>BERETTA</v>
      </c>
      <c r="C101" s="109" t="str">
        <f>VLOOKUP($A101,ANAGRAFICA!$B$1:$G$306,3,FALSE)</f>
        <v>ENZO LUCIANO</v>
      </c>
      <c r="D101" s="109" t="str">
        <f>VLOOKUP($A101,ANAGRAFICA!$B$1:$G$306,4,FALSE)</f>
        <v>758-3</v>
      </c>
      <c r="E101" s="109">
        <f>VLOOKUP($A101,ANAGRAFICA!$B$1:$G$306,5,FALSE)</f>
        <v>3272024069</v>
      </c>
      <c r="F101" s="109">
        <f>VLOOKUP($A101,ANAGRAFICA!$B$1:$G$306,6,FALSE)</f>
        <v>2024</v>
      </c>
      <c r="G101" s="3">
        <v>1.0</v>
      </c>
      <c r="H101" s="3" t="s">
        <v>612</v>
      </c>
      <c r="I101" s="148">
        <v>45461.0</v>
      </c>
      <c r="J101" s="3" t="s">
        <v>657</v>
      </c>
      <c r="K101" s="11" t="b">
        <v>1</v>
      </c>
    </row>
    <row r="102">
      <c r="A102" s="3">
        <v>2.124011236E9</v>
      </c>
      <c r="B102" s="109" t="str">
        <f>VLOOKUP($A102,ANAGRAFICA!$B$1:$G$306,2,FALSE)</f>
        <v>BERETTA</v>
      </c>
      <c r="C102" s="109" t="str">
        <f>VLOOKUP($A102,ANAGRAFICA!$B$1:$G$306,3,FALSE)</f>
        <v>ENZO LUCIANO</v>
      </c>
      <c r="D102" s="109" t="str">
        <f>VLOOKUP($A102,ANAGRAFICA!$B$1:$G$306,4,FALSE)</f>
        <v>758-3</v>
      </c>
      <c r="E102" s="109">
        <f>VLOOKUP($A102,ANAGRAFICA!$B$1:$G$306,5,FALSE)</f>
        <v>3272024069</v>
      </c>
      <c r="F102" s="109">
        <f>VLOOKUP($A102,ANAGRAFICA!$B$1:$G$306,6,FALSE)</f>
        <v>2024</v>
      </c>
      <c r="G102" s="3">
        <v>1.0</v>
      </c>
      <c r="H102" s="3" t="s">
        <v>613</v>
      </c>
      <c r="I102" s="148">
        <v>45461.0</v>
      </c>
      <c r="J102" s="3" t="s">
        <v>657</v>
      </c>
      <c r="K102" s="11" t="b">
        <v>1</v>
      </c>
    </row>
    <row r="103">
      <c r="A103" s="3">
        <v>2.124011236E9</v>
      </c>
      <c r="B103" s="109" t="str">
        <f>VLOOKUP($A103,ANAGRAFICA!$B$1:$G$306,2,FALSE)</f>
        <v>BERETTA</v>
      </c>
      <c r="C103" s="109" t="str">
        <f>VLOOKUP($A103,ANAGRAFICA!$B$1:$G$306,3,FALSE)</f>
        <v>ENZO LUCIANO</v>
      </c>
      <c r="D103" s="109" t="str">
        <f>VLOOKUP($A103,ANAGRAFICA!$B$1:$G$306,4,FALSE)</f>
        <v>758-3</v>
      </c>
      <c r="E103" s="109">
        <f>VLOOKUP($A103,ANAGRAFICA!$B$1:$G$306,5,FALSE)</f>
        <v>3272024069</v>
      </c>
      <c r="F103" s="109">
        <f>VLOOKUP($A103,ANAGRAFICA!$B$1:$G$306,6,FALSE)</f>
        <v>2024</v>
      </c>
      <c r="G103" s="3">
        <v>1.0</v>
      </c>
      <c r="H103" s="3" t="s">
        <v>623</v>
      </c>
      <c r="I103" s="148">
        <v>45461.0</v>
      </c>
      <c r="J103" s="3" t="s">
        <v>657</v>
      </c>
      <c r="K103" s="11" t="b">
        <v>1</v>
      </c>
    </row>
    <row r="104">
      <c r="A104" s="3">
        <v>2.124011236E9</v>
      </c>
      <c r="B104" s="109" t="str">
        <f>VLOOKUP($A104,ANAGRAFICA!$B$1:$G$306,2,FALSE)</f>
        <v>BERETTA</v>
      </c>
      <c r="C104" s="109" t="str">
        <f>VLOOKUP($A104,ANAGRAFICA!$B$1:$G$306,3,FALSE)</f>
        <v>ENZO LUCIANO</v>
      </c>
      <c r="D104" s="109" t="str">
        <f>VLOOKUP($A104,ANAGRAFICA!$B$1:$G$306,4,FALSE)</f>
        <v>758-3</v>
      </c>
      <c r="E104" s="109">
        <f>VLOOKUP($A104,ANAGRAFICA!$B$1:$G$306,5,FALSE)</f>
        <v>3272024069</v>
      </c>
      <c r="F104" s="109">
        <f>VLOOKUP($A104,ANAGRAFICA!$B$1:$G$306,6,FALSE)</f>
        <v>2024</v>
      </c>
      <c r="G104" s="3">
        <v>1.0</v>
      </c>
      <c r="H104" s="3" t="s">
        <v>610</v>
      </c>
      <c r="I104" s="148">
        <v>45463.0</v>
      </c>
      <c r="J104" s="3" t="s">
        <v>658</v>
      </c>
      <c r="K104" s="11" t="b">
        <v>1</v>
      </c>
    </row>
    <row r="105">
      <c r="A105" s="3">
        <v>2.124011236E9</v>
      </c>
      <c r="B105" s="109" t="str">
        <f>VLOOKUP($A105,ANAGRAFICA!$B$1:$G$306,2,FALSE)</f>
        <v>BERETTA</v>
      </c>
      <c r="C105" s="109" t="str">
        <f>VLOOKUP($A105,ANAGRAFICA!$B$1:$G$306,3,FALSE)</f>
        <v>ENZO LUCIANO</v>
      </c>
      <c r="D105" s="109" t="str">
        <f>VLOOKUP($A105,ANAGRAFICA!$B$1:$G$306,4,FALSE)</f>
        <v>758-3</v>
      </c>
      <c r="E105" s="109">
        <f>VLOOKUP($A105,ANAGRAFICA!$B$1:$G$306,5,FALSE)</f>
        <v>3272024069</v>
      </c>
      <c r="F105" s="109">
        <f>VLOOKUP($A105,ANAGRAFICA!$B$1:$G$306,6,FALSE)</f>
        <v>2024</v>
      </c>
      <c r="G105" s="3">
        <v>1.0</v>
      </c>
      <c r="H105" s="3" t="s">
        <v>612</v>
      </c>
      <c r="I105" s="148">
        <v>45463.0</v>
      </c>
      <c r="J105" s="3" t="s">
        <v>659</v>
      </c>
      <c r="K105" s="11" t="b">
        <v>1</v>
      </c>
    </row>
    <row r="106">
      <c r="A106" s="3">
        <v>2.124011236E9</v>
      </c>
      <c r="B106" s="109" t="str">
        <f>VLOOKUP($A106,ANAGRAFICA!$B$1:$G$306,2,FALSE)</f>
        <v>BERETTA</v>
      </c>
      <c r="C106" s="109" t="str">
        <f>VLOOKUP($A106,ANAGRAFICA!$B$1:$G$306,3,FALSE)</f>
        <v>ENZO LUCIANO</v>
      </c>
      <c r="D106" s="109" t="str">
        <f>VLOOKUP($A106,ANAGRAFICA!$B$1:$G$306,4,FALSE)</f>
        <v>758-3</v>
      </c>
      <c r="E106" s="109">
        <f>VLOOKUP($A106,ANAGRAFICA!$B$1:$G$306,5,FALSE)</f>
        <v>3272024069</v>
      </c>
      <c r="F106" s="109">
        <f>VLOOKUP($A106,ANAGRAFICA!$B$1:$G$306,6,FALSE)</f>
        <v>2024</v>
      </c>
      <c r="G106" s="3">
        <v>1.0</v>
      </c>
      <c r="H106" s="3" t="s">
        <v>623</v>
      </c>
      <c r="I106" s="148">
        <v>45463.0</v>
      </c>
      <c r="J106" s="3" t="s">
        <v>160</v>
      </c>
      <c r="K106" s="11" t="b">
        <v>1</v>
      </c>
    </row>
    <row r="107">
      <c r="A107" s="3">
        <v>2.124011236E9</v>
      </c>
      <c r="B107" s="109" t="str">
        <f>VLOOKUP($A107,ANAGRAFICA!$B$1:$G$306,2,FALSE)</f>
        <v>BERETTA</v>
      </c>
      <c r="C107" s="109" t="str">
        <f>VLOOKUP($A107,ANAGRAFICA!$B$1:$G$306,3,FALSE)</f>
        <v>ENZO LUCIANO</v>
      </c>
      <c r="D107" s="109" t="str">
        <f>VLOOKUP($A107,ANAGRAFICA!$B$1:$G$306,4,FALSE)</f>
        <v>758-3</v>
      </c>
      <c r="E107" s="109">
        <f>VLOOKUP($A107,ANAGRAFICA!$B$1:$G$306,5,FALSE)</f>
        <v>3272024069</v>
      </c>
      <c r="F107" s="109">
        <f>VLOOKUP($A107,ANAGRAFICA!$B$1:$G$306,6,FALSE)</f>
        <v>2024</v>
      </c>
      <c r="G107" s="3">
        <v>1.0</v>
      </c>
      <c r="H107" s="3" t="s">
        <v>612</v>
      </c>
      <c r="I107" s="148">
        <v>45465.0</v>
      </c>
      <c r="J107" s="3" t="s">
        <v>660</v>
      </c>
      <c r="K107" s="11" t="b">
        <v>1</v>
      </c>
    </row>
    <row r="108">
      <c r="A108" s="3">
        <v>2.124011236E9</v>
      </c>
      <c r="B108" s="109" t="str">
        <f>VLOOKUP($A108,ANAGRAFICA!$B$1:$G$306,2,FALSE)</f>
        <v>BERETTA</v>
      </c>
      <c r="C108" s="109" t="str">
        <f>VLOOKUP($A108,ANAGRAFICA!$B$1:$G$306,3,FALSE)</f>
        <v>ENZO LUCIANO</v>
      </c>
      <c r="D108" s="109" t="str">
        <f>VLOOKUP($A108,ANAGRAFICA!$B$1:$G$306,4,FALSE)</f>
        <v>758-3</v>
      </c>
      <c r="E108" s="109">
        <f>VLOOKUP($A108,ANAGRAFICA!$B$1:$G$306,5,FALSE)</f>
        <v>3272024069</v>
      </c>
      <c r="F108" s="109">
        <f>VLOOKUP($A108,ANAGRAFICA!$B$1:$G$306,6,FALSE)</f>
        <v>2024</v>
      </c>
      <c r="G108" s="3">
        <v>1.0</v>
      </c>
      <c r="H108" s="3" t="s">
        <v>623</v>
      </c>
      <c r="I108" s="148">
        <v>45465.0</v>
      </c>
      <c r="J108" s="3" t="s">
        <v>661</v>
      </c>
      <c r="K108" s="11" t="b">
        <v>1</v>
      </c>
    </row>
    <row r="109">
      <c r="A109" s="3">
        <v>2.124011236E9</v>
      </c>
      <c r="B109" s="109" t="str">
        <f>VLOOKUP($A109,ANAGRAFICA!$B$1:$G$306,2,FALSE)</f>
        <v>BERETTA</v>
      </c>
      <c r="C109" s="109" t="str">
        <f>VLOOKUP($A109,ANAGRAFICA!$B$1:$G$306,3,FALSE)</f>
        <v>ENZO LUCIANO</v>
      </c>
      <c r="D109" s="109" t="str">
        <f>VLOOKUP($A109,ANAGRAFICA!$B$1:$G$306,4,FALSE)</f>
        <v>758-3</v>
      </c>
      <c r="E109" s="109">
        <f>VLOOKUP($A109,ANAGRAFICA!$B$1:$G$306,5,FALSE)</f>
        <v>3272024069</v>
      </c>
      <c r="F109" s="109">
        <f>VLOOKUP($A109,ANAGRAFICA!$B$1:$G$306,6,FALSE)</f>
        <v>2024</v>
      </c>
      <c r="G109" s="3">
        <v>1.0</v>
      </c>
      <c r="H109" s="3" t="s">
        <v>610</v>
      </c>
      <c r="I109" s="148">
        <v>45590.0</v>
      </c>
      <c r="J109" s="3" t="s">
        <v>611</v>
      </c>
      <c r="K109" s="11" t="b">
        <v>1</v>
      </c>
    </row>
    <row r="110">
      <c r="A110" s="3">
        <v>2.124011236E9</v>
      </c>
      <c r="B110" s="109" t="str">
        <f>VLOOKUP($A110,ANAGRAFICA!$B$1:$G$306,2,FALSE)</f>
        <v>BERETTA</v>
      </c>
      <c r="C110" s="109" t="str">
        <f>VLOOKUP($A110,ANAGRAFICA!$B$1:$G$306,3,FALSE)</f>
        <v>ENZO LUCIANO</v>
      </c>
      <c r="D110" s="109" t="str">
        <f>VLOOKUP($A110,ANAGRAFICA!$B$1:$G$306,4,FALSE)</f>
        <v>758-3</v>
      </c>
      <c r="E110" s="109">
        <f>VLOOKUP($A110,ANAGRAFICA!$B$1:$G$306,5,FALSE)</f>
        <v>3272024069</v>
      </c>
      <c r="F110" s="109">
        <f>VLOOKUP($A110,ANAGRAFICA!$B$1:$G$306,6,FALSE)</f>
        <v>2024</v>
      </c>
      <c r="G110" s="3">
        <v>1.0</v>
      </c>
      <c r="H110" s="3" t="s">
        <v>618</v>
      </c>
      <c r="I110" s="148">
        <v>45463.0</v>
      </c>
      <c r="J110" s="3" t="s">
        <v>658</v>
      </c>
      <c r="K110" s="11" t="b">
        <v>1</v>
      </c>
    </row>
    <row r="111">
      <c r="A111" s="3">
        <v>2.124011236E9</v>
      </c>
      <c r="B111" s="109" t="str">
        <f>VLOOKUP($A111,ANAGRAFICA!$B$1:$G$306,2,FALSE)</f>
        <v>BERETTA</v>
      </c>
      <c r="C111" s="109" t="str">
        <f>VLOOKUP($A111,ANAGRAFICA!$B$1:$G$306,3,FALSE)</f>
        <v>ENZO LUCIANO</v>
      </c>
      <c r="D111" s="109" t="str">
        <f>VLOOKUP($A111,ANAGRAFICA!$B$1:$G$306,4,FALSE)</f>
        <v>758-3</v>
      </c>
      <c r="E111" s="109">
        <f>VLOOKUP($A111,ANAGRAFICA!$B$1:$G$306,5,FALSE)</f>
        <v>3272024069</v>
      </c>
      <c r="F111" s="109">
        <f>VLOOKUP($A111,ANAGRAFICA!$B$1:$G$306,6,FALSE)</f>
        <v>2024</v>
      </c>
      <c r="G111" s="3">
        <v>1.0</v>
      </c>
      <c r="H111" s="3" t="s">
        <v>656</v>
      </c>
      <c r="I111" s="148">
        <v>45462.0</v>
      </c>
      <c r="J111" s="3" t="s">
        <v>353</v>
      </c>
      <c r="K111" s="11" t="b">
        <v>0</v>
      </c>
    </row>
    <row r="112">
      <c r="A112" s="3">
        <v>2.124011236E9</v>
      </c>
      <c r="B112" s="109" t="str">
        <f>VLOOKUP($A112,ANAGRAFICA!$B$1:$G$306,2,FALSE)</f>
        <v>BERETTA</v>
      </c>
      <c r="C112" s="109" t="str">
        <f>VLOOKUP($A112,ANAGRAFICA!$B$1:$G$306,3,FALSE)</f>
        <v>ENZO LUCIANO</v>
      </c>
      <c r="D112" s="109" t="str">
        <f>VLOOKUP($A112,ANAGRAFICA!$B$1:$G$306,4,FALSE)</f>
        <v>758-3</v>
      </c>
      <c r="E112" s="109">
        <f>VLOOKUP($A112,ANAGRAFICA!$B$1:$G$306,5,FALSE)</f>
        <v>3272024069</v>
      </c>
      <c r="F112" s="109">
        <f>VLOOKUP($A112,ANAGRAFICA!$B$1:$G$306,6,FALSE)</f>
        <v>2024</v>
      </c>
      <c r="G112" s="3">
        <v>1.0</v>
      </c>
      <c r="H112" s="3" t="s">
        <v>662</v>
      </c>
      <c r="I112" s="148">
        <v>45463.0</v>
      </c>
      <c r="J112" s="3" t="s">
        <v>292</v>
      </c>
      <c r="K112" s="11" t="b">
        <v>0</v>
      </c>
    </row>
    <row r="113">
      <c r="A113" s="3">
        <v>2.124011236E9</v>
      </c>
      <c r="B113" s="109" t="str">
        <f>VLOOKUP($A113,ANAGRAFICA!$B$1:$G$306,2,FALSE)</f>
        <v>BERETTA</v>
      </c>
      <c r="C113" s="109" t="str">
        <f>VLOOKUP($A113,ANAGRAFICA!$B$1:$G$306,3,FALSE)</f>
        <v>ENZO LUCIANO</v>
      </c>
      <c r="D113" s="109" t="str">
        <f>VLOOKUP($A113,ANAGRAFICA!$B$1:$G$306,4,FALSE)</f>
        <v>758-3</v>
      </c>
      <c r="E113" s="109">
        <f>VLOOKUP($A113,ANAGRAFICA!$B$1:$G$306,5,FALSE)</f>
        <v>3272024069</v>
      </c>
      <c r="F113" s="109">
        <f>VLOOKUP($A113,ANAGRAFICA!$B$1:$G$306,6,FALSE)</f>
        <v>2024</v>
      </c>
      <c r="G113" s="3">
        <v>1.0</v>
      </c>
      <c r="H113" s="3" t="s">
        <v>609</v>
      </c>
      <c r="I113" s="148">
        <v>45462.0</v>
      </c>
      <c r="J113" s="3" t="s">
        <v>516</v>
      </c>
      <c r="K113" s="11" t="b">
        <v>0</v>
      </c>
    </row>
    <row r="114">
      <c r="A114" s="3">
        <v>2.124011236E9</v>
      </c>
      <c r="B114" s="109" t="str">
        <f>VLOOKUP($A114,ANAGRAFICA!$B$1:$G$306,2,FALSE)</f>
        <v>BERETTA</v>
      </c>
      <c r="C114" s="109" t="str">
        <f>VLOOKUP($A114,ANAGRAFICA!$B$1:$G$306,3,FALSE)</f>
        <v>ENZO LUCIANO</v>
      </c>
      <c r="D114" s="109" t="str">
        <f>VLOOKUP($A114,ANAGRAFICA!$B$1:$G$306,4,FALSE)</f>
        <v>758-3</v>
      </c>
      <c r="E114" s="109">
        <f>VLOOKUP($A114,ANAGRAFICA!$B$1:$G$306,5,FALSE)</f>
        <v>3272024069</v>
      </c>
      <c r="F114" s="109">
        <f>VLOOKUP($A114,ANAGRAFICA!$B$1:$G$306,6,FALSE)</f>
        <v>2024</v>
      </c>
      <c r="G114" s="3">
        <v>1.0</v>
      </c>
      <c r="H114" s="3" t="s">
        <v>662</v>
      </c>
      <c r="I114" s="148">
        <v>45465.0</v>
      </c>
      <c r="J114" s="3" t="s">
        <v>59</v>
      </c>
      <c r="K114" s="11" t="b">
        <v>0</v>
      </c>
    </row>
    <row r="115">
      <c r="A115" s="3">
        <v>2.124011236E9</v>
      </c>
      <c r="B115" s="109" t="str">
        <f>VLOOKUP($A115,ANAGRAFICA!$B$1:$G$306,2,FALSE)</f>
        <v>BERETTA</v>
      </c>
      <c r="C115" s="109" t="str">
        <f>VLOOKUP($A115,ANAGRAFICA!$B$1:$G$306,3,FALSE)</f>
        <v>ENZO LUCIANO</v>
      </c>
      <c r="D115" s="109" t="str">
        <f>VLOOKUP($A115,ANAGRAFICA!$B$1:$G$306,4,FALSE)</f>
        <v>758-3</v>
      </c>
      <c r="E115" s="109">
        <f>VLOOKUP($A115,ANAGRAFICA!$B$1:$G$306,5,FALSE)</f>
        <v>3272024069</v>
      </c>
      <c r="F115" s="109">
        <f>VLOOKUP($A115,ANAGRAFICA!$B$1:$G$306,6,FALSE)</f>
        <v>2024</v>
      </c>
      <c r="G115" s="3">
        <v>1.0</v>
      </c>
      <c r="H115" s="3" t="s">
        <v>662</v>
      </c>
      <c r="I115" s="148">
        <v>45468.0</v>
      </c>
      <c r="J115" s="3" t="s">
        <v>28</v>
      </c>
      <c r="K115" s="11" t="b">
        <v>0</v>
      </c>
    </row>
    <row r="116">
      <c r="A116" s="3">
        <v>2.124011236E9</v>
      </c>
      <c r="B116" s="109" t="str">
        <f>VLOOKUP($A116,ANAGRAFICA!$B$1:$G$306,2,FALSE)</f>
        <v>BERETTA</v>
      </c>
      <c r="C116" s="109" t="str">
        <f>VLOOKUP($A116,ANAGRAFICA!$B$1:$G$306,3,FALSE)</f>
        <v>ENZO LUCIANO</v>
      </c>
      <c r="D116" s="109" t="str">
        <f>VLOOKUP($A116,ANAGRAFICA!$B$1:$G$306,4,FALSE)</f>
        <v>758-3</v>
      </c>
      <c r="E116" s="109">
        <f>VLOOKUP($A116,ANAGRAFICA!$B$1:$G$306,5,FALSE)</f>
        <v>3272024069</v>
      </c>
      <c r="F116" s="109">
        <f>VLOOKUP($A116,ANAGRAFICA!$B$1:$G$306,6,FALSE)</f>
        <v>2024</v>
      </c>
      <c r="G116" s="3">
        <v>1.0</v>
      </c>
      <c r="H116" s="3" t="s">
        <v>619</v>
      </c>
      <c r="I116" s="148">
        <v>45473.0</v>
      </c>
      <c r="J116" s="3" t="s">
        <v>87</v>
      </c>
      <c r="K116" s="11" t="b">
        <v>0</v>
      </c>
    </row>
    <row r="117">
      <c r="A117" s="3">
        <v>2.1240107E9</v>
      </c>
      <c r="B117" s="109" t="str">
        <f>VLOOKUP($A117,ANAGRAFICA!$B$1:$G$306,2,FALSE)</f>
        <v>ORNAGHI</v>
      </c>
      <c r="C117" s="109" t="str">
        <f>VLOOKUP($A117,ANAGRAFICA!$B$1:$G$306,3,FALSE)</f>
        <v>LORENZO</v>
      </c>
      <c r="D117" s="109" t="str">
        <f>VLOOKUP($A117,ANAGRAFICA!$B$1:$G$306,4,FALSE)</f>
        <v>758-2</v>
      </c>
      <c r="E117" s="109">
        <f>VLOOKUP($A117,ANAGRAFICA!$B$1:$G$306,5,FALSE)</f>
        <v>3272024068</v>
      </c>
      <c r="F117" s="109">
        <f>VLOOKUP($A117,ANAGRAFICA!$B$1:$G$306,6,FALSE)</f>
        <v>2024</v>
      </c>
      <c r="G117" s="3">
        <v>1.0</v>
      </c>
      <c r="H117" s="3" t="s">
        <v>619</v>
      </c>
      <c r="I117" s="148">
        <v>45448.0</v>
      </c>
      <c r="J117" s="3" t="s">
        <v>353</v>
      </c>
      <c r="K117" s="11" t="b">
        <v>0</v>
      </c>
    </row>
    <row r="118">
      <c r="A118" s="3">
        <v>2.1240107E9</v>
      </c>
      <c r="B118" s="109" t="str">
        <f>VLOOKUP($A118,ANAGRAFICA!$B$1:$G$306,2,FALSE)</f>
        <v>ORNAGHI</v>
      </c>
      <c r="C118" s="109" t="str">
        <f>VLOOKUP($A118,ANAGRAFICA!$B$1:$G$306,3,FALSE)</f>
        <v>LORENZO</v>
      </c>
      <c r="D118" s="109" t="str">
        <f>VLOOKUP($A118,ANAGRAFICA!$B$1:$G$306,4,FALSE)</f>
        <v>758-2</v>
      </c>
      <c r="E118" s="109">
        <f>VLOOKUP($A118,ANAGRAFICA!$B$1:$G$306,5,FALSE)</f>
        <v>3272024068</v>
      </c>
      <c r="F118" s="109">
        <f>VLOOKUP($A118,ANAGRAFICA!$B$1:$G$306,6,FALSE)</f>
        <v>2024</v>
      </c>
      <c r="G118" s="3">
        <v>1.0</v>
      </c>
      <c r="H118" s="3" t="s">
        <v>635</v>
      </c>
      <c r="I118" s="148">
        <v>45448.0</v>
      </c>
      <c r="J118" s="3" t="s">
        <v>414</v>
      </c>
      <c r="K118" s="11" t="b">
        <v>1</v>
      </c>
    </row>
    <row r="119">
      <c r="A119" s="3">
        <v>2.1240107E9</v>
      </c>
      <c r="B119" s="109" t="str">
        <f>VLOOKUP($A119,ANAGRAFICA!$B$1:$G$306,2,FALSE)</f>
        <v>ORNAGHI</v>
      </c>
      <c r="C119" s="109" t="str">
        <f>VLOOKUP($A119,ANAGRAFICA!$B$1:$G$306,3,FALSE)</f>
        <v>LORENZO</v>
      </c>
      <c r="D119" s="109" t="str">
        <f>VLOOKUP($A119,ANAGRAFICA!$B$1:$G$306,4,FALSE)</f>
        <v>758-2</v>
      </c>
      <c r="E119" s="109">
        <f>VLOOKUP($A119,ANAGRAFICA!$B$1:$G$306,5,FALSE)</f>
        <v>3272024068</v>
      </c>
      <c r="F119" s="109">
        <f>VLOOKUP($A119,ANAGRAFICA!$B$1:$G$306,6,FALSE)</f>
        <v>2024</v>
      </c>
      <c r="G119" s="3">
        <v>1.0</v>
      </c>
      <c r="H119" s="3" t="s">
        <v>618</v>
      </c>
      <c r="I119" s="148">
        <v>45448.0</v>
      </c>
      <c r="J119" s="3" t="s">
        <v>663</v>
      </c>
      <c r="K119" s="11" t="b">
        <v>1</v>
      </c>
    </row>
    <row r="120">
      <c r="A120" s="3">
        <v>2.124009735E9</v>
      </c>
      <c r="B120" s="109" t="str">
        <f>VLOOKUP($A120,ANAGRAFICA!$B$1:$G$306,2,FALSE)</f>
        <v>BOSSI</v>
      </c>
      <c r="C120" s="109" t="str">
        <f>VLOOKUP($A120,ANAGRAFICA!$B$1:$G$306,3,FALSE)</f>
        <v>LUDOVICO</v>
      </c>
      <c r="D120" s="109" t="str">
        <f>VLOOKUP($A120,ANAGRAFICA!$B$1:$G$306,4,FALSE)</f>
        <v>758-1</v>
      </c>
      <c r="E120" s="109">
        <f>VLOOKUP($A120,ANAGRAFICA!$B$1:$G$306,5,FALSE)</f>
        <v>3272024067</v>
      </c>
      <c r="F120" s="109">
        <f>VLOOKUP($A120,ANAGRAFICA!$B$1:$G$306,6,FALSE)</f>
        <v>2024</v>
      </c>
      <c r="G120" s="3">
        <v>1.0</v>
      </c>
      <c r="H120" s="3" t="s">
        <v>618</v>
      </c>
      <c r="I120" s="148">
        <v>45435.0</v>
      </c>
      <c r="J120" s="3" t="s">
        <v>664</v>
      </c>
      <c r="K120" s="11" t="b">
        <v>1</v>
      </c>
    </row>
    <row r="121">
      <c r="A121" s="3">
        <v>2.124009735E9</v>
      </c>
      <c r="B121" s="109" t="str">
        <f>VLOOKUP($A121,ANAGRAFICA!$B$1:$G$306,2,FALSE)</f>
        <v>BOSSI</v>
      </c>
      <c r="C121" s="109" t="str">
        <f>VLOOKUP($A121,ANAGRAFICA!$B$1:$G$306,3,FALSE)</f>
        <v>LUDOVICO</v>
      </c>
      <c r="D121" s="109" t="str">
        <f>VLOOKUP($A121,ANAGRAFICA!$B$1:$G$306,4,FALSE)</f>
        <v>758-1</v>
      </c>
      <c r="E121" s="109">
        <f>VLOOKUP($A121,ANAGRAFICA!$B$1:$G$306,5,FALSE)</f>
        <v>3272024067</v>
      </c>
      <c r="F121" s="109">
        <f>VLOOKUP($A121,ANAGRAFICA!$B$1:$G$306,6,FALSE)</f>
        <v>2024</v>
      </c>
      <c r="G121" s="3">
        <v>1.0</v>
      </c>
      <c r="H121" s="3" t="s">
        <v>635</v>
      </c>
      <c r="I121" s="148">
        <v>45440.0</v>
      </c>
      <c r="J121" s="3" t="s">
        <v>75</v>
      </c>
      <c r="K121" s="11" t="b">
        <v>1</v>
      </c>
    </row>
    <row r="122">
      <c r="A122" s="3">
        <v>2.124009735E9</v>
      </c>
      <c r="B122" s="109" t="str">
        <f>VLOOKUP($A122,ANAGRAFICA!$B$1:$G$306,2,FALSE)</f>
        <v>BOSSI</v>
      </c>
      <c r="C122" s="109" t="str">
        <f>VLOOKUP($A122,ANAGRAFICA!$B$1:$G$306,3,FALSE)</f>
        <v>LUDOVICO</v>
      </c>
      <c r="D122" s="109" t="str">
        <f>VLOOKUP($A122,ANAGRAFICA!$B$1:$G$306,4,FALSE)</f>
        <v>758-1</v>
      </c>
      <c r="E122" s="109">
        <f>VLOOKUP($A122,ANAGRAFICA!$B$1:$G$306,5,FALSE)</f>
        <v>3272024067</v>
      </c>
      <c r="F122" s="109">
        <f>VLOOKUP($A122,ANAGRAFICA!$B$1:$G$306,6,FALSE)</f>
        <v>2024</v>
      </c>
      <c r="G122" s="3">
        <v>1.0</v>
      </c>
      <c r="H122" s="3" t="s">
        <v>623</v>
      </c>
      <c r="I122" s="148">
        <v>45440.0</v>
      </c>
      <c r="J122" s="3" t="s">
        <v>221</v>
      </c>
      <c r="K122" s="11" t="b">
        <v>1</v>
      </c>
    </row>
    <row r="123">
      <c r="A123" s="3">
        <v>2.124009735E9</v>
      </c>
      <c r="B123" s="109" t="str">
        <f>VLOOKUP($A123,ANAGRAFICA!$B$1:$G$306,2,FALSE)</f>
        <v>BOSSI</v>
      </c>
      <c r="C123" s="109" t="str">
        <f>VLOOKUP($A123,ANAGRAFICA!$B$1:$G$306,3,FALSE)</f>
        <v>LUDOVICO</v>
      </c>
      <c r="D123" s="109" t="str">
        <f>VLOOKUP($A123,ANAGRAFICA!$B$1:$G$306,4,FALSE)</f>
        <v>758-1</v>
      </c>
      <c r="E123" s="109">
        <f>VLOOKUP($A123,ANAGRAFICA!$B$1:$G$306,5,FALSE)</f>
        <v>3272024067</v>
      </c>
      <c r="F123" s="109">
        <f>VLOOKUP($A123,ANAGRAFICA!$B$1:$G$306,6,FALSE)</f>
        <v>2024</v>
      </c>
      <c r="G123" s="3">
        <v>1.0</v>
      </c>
      <c r="H123" s="3" t="s">
        <v>613</v>
      </c>
      <c r="I123" s="148">
        <v>45440.0</v>
      </c>
      <c r="J123" s="3" t="s">
        <v>221</v>
      </c>
      <c r="K123" s="11" t="b">
        <v>1</v>
      </c>
    </row>
    <row r="124">
      <c r="A124" s="3">
        <v>2.124009735E9</v>
      </c>
      <c r="B124" s="109" t="str">
        <f>VLOOKUP($A124,ANAGRAFICA!$B$1:$G$306,2,FALSE)</f>
        <v>BOSSI</v>
      </c>
      <c r="C124" s="109" t="str">
        <f>VLOOKUP($A124,ANAGRAFICA!$B$1:$G$306,3,FALSE)</f>
        <v>LUDOVICO</v>
      </c>
      <c r="D124" s="109" t="str">
        <f>VLOOKUP($A124,ANAGRAFICA!$B$1:$G$306,4,FALSE)</f>
        <v>758-1</v>
      </c>
      <c r="E124" s="109">
        <f>VLOOKUP($A124,ANAGRAFICA!$B$1:$G$306,5,FALSE)</f>
        <v>3272024067</v>
      </c>
      <c r="F124" s="109">
        <f>VLOOKUP($A124,ANAGRAFICA!$B$1:$G$306,6,FALSE)</f>
        <v>2024</v>
      </c>
      <c r="G124" s="3">
        <v>1.0</v>
      </c>
      <c r="H124" s="3" t="s">
        <v>603</v>
      </c>
      <c r="I124" s="148">
        <v>45527.0</v>
      </c>
      <c r="J124" s="3" t="s">
        <v>333</v>
      </c>
      <c r="K124" s="11" t="b">
        <v>0</v>
      </c>
    </row>
    <row r="125">
      <c r="A125" s="3">
        <v>2.124009735E9</v>
      </c>
      <c r="B125" s="109" t="str">
        <f>VLOOKUP($A125,ANAGRAFICA!$B$1:$G$306,2,FALSE)</f>
        <v>BOSSI</v>
      </c>
      <c r="C125" s="109" t="str">
        <f>VLOOKUP($A125,ANAGRAFICA!$B$1:$G$306,3,FALSE)</f>
        <v>LUDOVICO</v>
      </c>
      <c r="D125" s="109" t="str">
        <f>VLOOKUP($A125,ANAGRAFICA!$B$1:$G$306,4,FALSE)</f>
        <v>758-1</v>
      </c>
      <c r="E125" s="109">
        <f>VLOOKUP($A125,ANAGRAFICA!$B$1:$G$306,5,FALSE)</f>
        <v>3272024067</v>
      </c>
      <c r="F125" s="109">
        <f>VLOOKUP($A125,ANAGRAFICA!$B$1:$G$306,6,FALSE)</f>
        <v>2024</v>
      </c>
      <c r="G125" s="3">
        <v>1.0</v>
      </c>
      <c r="H125" s="3" t="s">
        <v>609</v>
      </c>
      <c r="I125" s="148">
        <v>45529.0</v>
      </c>
      <c r="J125" s="3" t="s">
        <v>87</v>
      </c>
      <c r="K125" s="11" t="b">
        <v>0</v>
      </c>
    </row>
    <row r="126">
      <c r="A126" s="3">
        <v>2.124008291E9</v>
      </c>
      <c r="B126" s="109" t="str">
        <f>VLOOKUP($A126,ANAGRAFICA!$B$1:$G$306,2,FALSE)</f>
        <v>FUMAGALLI</v>
      </c>
      <c r="C126" s="109" t="str">
        <f>VLOOKUP($A126,ANAGRAFICA!$B$1:$G$306,3,FALSE)</f>
        <v>PIERO</v>
      </c>
      <c r="D126" s="109" t="str">
        <f>VLOOKUP($A126,ANAGRAFICA!$B$1:$G$306,4,FALSE)</f>
        <v/>
      </c>
      <c r="E126" s="109">
        <f>VLOOKUP($A126,ANAGRAFICA!$B$1:$G$306,5,FALSE)</f>
        <v>3272024065</v>
      </c>
      <c r="F126" s="109">
        <f>VLOOKUP($A126,ANAGRAFICA!$B$1:$G$306,6,FALSE)</f>
        <v>2024</v>
      </c>
      <c r="G126" s="3">
        <v>1.0</v>
      </c>
      <c r="H126" s="3" t="s">
        <v>607</v>
      </c>
      <c r="I126" s="148">
        <v>45415.0</v>
      </c>
      <c r="J126" s="3" t="s">
        <v>437</v>
      </c>
      <c r="K126" s="11" t="b">
        <v>1</v>
      </c>
    </row>
    <row r="127">
      <c r="A127" s="3">
        <v>2.124206072E9</v>
      </c>
      <c r="B127" s="109" t="str">
        <f>VLOOKUP($A127,ANAGRAFICA!$B$1:$G$306,2,FALSE)</f>
        <v>CONSONNI</v>
      </c>
      <c r="C127" s="109" t="str">
        <f>VLOOKUP($A127,ANAGRAFICA!$B$1:$G$306,3,FALSE)</f>
        <v>GIULIO</v>
      </c>
      <c r="D127" s="109" t="str">
        <f>VLOOKUP($A127,ANAGRAFICA!$B$1:$G$306,4,FALSE)</f>
        <v/>
      </c>
      <c r="E127" s="109">
        <f>VLOOKUP($A127,ANAGRAFICA!$B$1:$G$306,5,FALSE)</f>
        <v>3272024064</v>
      </c>
      <c r="F127" s="109">
        <f>VLOOKUP($A127,ANAGRAFICA!$B$1:$G$306,6,FALSE)</f>
        <v>2024</v>
      </c>
      <c r="G127" s="3">
        <v>1.0</v>
      </c>
      <c r="H127" s="3" t="s">
        <v>607</v>
      </c>
      <c r="I127" s="148">
        <v>45408.0</v>
      </c>
      <c r="J127" s="3" t="s">
        <v>665</v>
      </c>
      <c r="K127" s="11" t="b">
        <v>1</v>
      </c>
    </row>
    <row r="128">
      <c r="A128" s="3">
        <v>2.124206072E9</v>
      </c>
      <c r="B128" s="109" t="str">
        <f>VLOOKUP($A128,ANAGRAFICA!$B$1:$G$306,2,FALSE)</f>
        <v>CONSONNI</v>
      </c>
      <c r="C128" s="109" t="str">
        <f>VLOOKUP($A128,ANAGRAFICA!$B$1:$G$306,3,FALSE)</f>
        <v>GIULIO</v>
      </c>
      <c r="D128" s="109" t="str">
        <f>VLOOKUP($A128,ANAGRAFICA!$B$1:$G$306,4,FALSE)</f>
        <v/>
      </c>
      <c r="E128" s="109">
        <f>VLOOKUP($A128,ANAGRAFICA!$B$1:$G$306,5,FALSE)</f>
        <v>3272024064</v>
      </c>
      <c r="F128" s="109">
        <f>VLOOKUP($A128,ANAGRAFICA!$B$1:$G$306,6,FALSE)</f>
        <v>2024</v>
      </c>
      <c r="G128" s="3">
        <v>1.0</v>
      </c>
      <c r="H128" s="3" t="s">
        <v>609</v>
      </c>
      <c r="I128" s="148">
        <v>45410.0</v>
      </c>
      <c r="J128" s="3"/>
      <c r="K128" s="11" t="b">
        <v>0</v>
      </c>
    </row>
    <row r="129">
      <c r="A129" s="3">
        <v>2.124007138E9</v>
      </c>
      <c r="B129" s="109" t="str">
        <f>VLOOKUP($A129,ANAGRAFICA!$B$1:$G$306,2,FALSE)</f>
        <v>TARTARELLI</v>
      </c>
      <c r="C129" s="109" t="str">
        <f>VLOOKUP($A129,ANAGRAFICA!$B$1:$G$306,3,FALSE)</f>
        <v>GIUSEPPE</v>
      </c>
      <c r="D129" s="109" t="str">
        <f>VLOOKUP($A129,ANAGRAFICA!$B$1:$G$306,4,FALSE)</f>
        <v/>
      </c>
      <c r="E129" s="109">
        <f>VLOOKUP($A129,ANAGRAFICA!$B$1:$G$306,5,FALSE)</f>
        <v>3272024063</v>
      </c>
      <c r="F129" s="109">
        <f>VLOOKUP($A129,ANAGRAFICA!$B$1:$G$306,6,FALSE)</f>
        <v>2024</v>
      </c>
      <c r="G129" s="3">
        <v>1.0</v>
      </c>
      <c r="H129" s="3" t="s">
        <v>618</v>
      </c>
      <c r="I129" s="148">
        <v>45395.0</v>
      </c>
      <c r="J129" s="3" t="s">
        <v>666</v>
      </c>
      <c r="K129" s="11" t="b">
        <v>1</v>
      </c>
    </row>
    <row r="130">
      <c r="A130" s="3">
        <v>2.124008603E9</v>
      </c>
      <c r="B130" s="109" t="str">
        <f>VLOOKUP($A130,ANAGRAFICA!$B$1:$G$306,2,FALSE)</f>
        <v>MARIANI</v>
      </c>
      <c r="C130" s="109" t="str">
        <f>VLOOKUP($A130,ANAGRAFICA!$B$1:$G$306,3,FALSE)</f>
        <v>MARCO</v>
      </c>
      <c r="D130" s="109" t="str">
        <f>VLOOKUP($A130,ANAGRAFICA!$B$1:$G$306,4,FALSE)</f>
        <v/>
      </c>
      <c r="E130" s="109">
        <f>VLOOKUP($A130,ANAGRAFICA!$B$1:$G$306,5,FALSE)</f>
        <v>3272024066</v>
      </c>
      <c r="F130" s="109">
        <f>VLOOKUP($A130,ANAGRAFICA!$B$1:$G$306,6,FALSE)</f>
        <v>2024</v>
      </c>
      <c r="G130" s="3">
        <v>1.0</v>
      </c>
      <c r="H130" s="3" t="s">
        <v>612</v>
      </c>
      <c r="I130" s="148">
        <v>45429.0</v>
      </c>
      <c r="J130" s="3" t="s">
        <v>521</v>
      </c>
      <c r="K130" s="11" t="b">
        <v>1</v>
      </c>
    </row>
    <row r="131">
      <c r="A131" s="3">
        <v>2.124008603E9</v>
      </c>
      <c r="B131" s="109" t="str">
        <f>VLOOKUP($A131,ANAGRAFICA!$B$1:$G$306,2,FALSE)</f>
        <v>MARIANI</v>
      </c>
      <c r="C131" s="109" t="str">
        <f>VLOOKUP($A131,ANAGRAFICA!$B$1:$G$306,3,FALSE)</f>
        <v>MARCO</v>
      </c>
      <c r="D131" s="109" t="str">
        <f>VLOOKUP($A131,ANAGRAFICA!$B$1:$G$306,4,FALSE)</f>
        <v/>
      </c>
      <c r="E131" s="109">
        <f>VLOOKUP($A131,ANAGRAFICA!$B$1:$G$306,5,FALSE)</f>
        <v>3272024066</v>
      </c>
      <c r="F131" s="109">
        <f>VLOOKUP($A131,ANAGRAFICA!$B$1:$G$306,6,FALSE)</f>
        <v>2024</v>
      </c>
      <c r="G131" s="3">
        <v>1.0</v>
      </c>
      <c r="H131" s="3" t="s">
        <v>613</v>
      </c>
      <c r="I131" s="148">
        <v>45429.0</v>
      </c>
      <c r="J131" s="3" t="s">
        <v>667</v>
      </c>
      <c r="K131" s="11" t="b">
        <v>1</v>
      </c>
    </row>
    <row r="132">
      <c r="A132" s="3">
        <v>2.124008603E9</v>
      </c>
      <c r="B132" s="109" t="str">
        <f>VLOOKUP($A132,ANAGRAFICA!$B$1:$G$306,2,FALSE)</f>
        <v>MARIANI</v>
      </c>
      <c r="C132" s="109" t="str">
        <f>VLOOKUP($A132,ANAGRAFICA!$B$1:$G$306,3,FALSE)</f>
        <v>MARCO</v>
      </c>
      <c r="D132" s="109" t="str">
        <f>VLOOKUP($A132,ANAGRAFICA!$B$1:$G$306,4,FALSE)</f>
        <v/>
      </c>
      <c r="E132" s="109">
        <f>VLOOKUP($A132,ANAGRAFICA!$B$1:$G$306,5,FALSE)</f>
        <v>3272024066</v>
      </c>
      <c r="F132" s="109">
        <f>VLOOKUP($A132,ANAGRAFICA!$B$1:$G$306,6,FALSE)</f>
        <v>2024</v>
      </c>
      <c r="G132" s="3">
        <v>1.0</v>
      </c>
      <c r="H132" s="3" t="s">
        <v>623</v>
      </c>
      <c r="I132" s="148">
        <v>45429.0</v>
      </c>
      <c r="J132" s="3" t="s">
        <v>667</v>
      </c>
      <c r="K132" s="11" t="b">
        <v>1</v>
      </c>
    </row>
    <row r="133">
      <c r="A133" s="3">
        <v>2.124008603E9</v>
      </c>
      <c r="B133" s="109" t="str">
        <f>VLOOKUP($A133,ANAGRAFICA!$B$1:$G$306,2,FALSE)</f>
        <v>MARIANI</v>
      </c>
      <c r="C133" s="109" t="str">
        <f>VLOOKUP($A133,ANAGRAFICA!$B$1:$G$306,3,FALSE)</f>
        <v>MARCO</v>
      </c>
      <c r="D133" s="109" t="str">
        <f>VLOOKUP($A133,ANAGRAFICA!$B$1:$G$306,4,FALSE)</f>
        <v/>
      </c>
      <c r="E133" s="109">
        <f>VLOOKUP($A133,ANAGRAFICA!$B$1:$G$306,5,FALSE)</f>
        <v>3272024066</v>
      </c>
      <c r="F133" s="109">
        <f>VLOOKUP($A133,ANAGRAFICA!$B$1:$G$306,6,FALSE)</f>
        <v>2024</v>
      </c>
      <c r="G133" s="3">
        <v>1.0</v>
      </c>
      <c r="H133" s="3" t="s">
        <v>612</v>
      </c>
      <c r="I133" s="148">
        <v>45432.0</v>
      </c>
      <c r="J133" s="3" t="s">
        <v>668</v>
      </c>
      <c r="K133" s="11" t="b">
        <v>1</v>
      </c>
    </row>
    <row r="134">
      <c r="A134" s="3">
        <v>2.124008603E9</v>
      </c>
      <c r="B134" s="109" t="str">
        <f>VLOOKUP($A134,ANAGRAFICA!$B$1:$G$306,2,FALSE)</f>
        <v>MARIANI</v>
      </c>
      <c r="C134" s="109" t="str">
        <f>VLOOKUP($A134,ANAGRAFICA!$B$1:$G$306,3,FALSE)</f>
        <v>MARCO</v>
      </c>
      <c r="D134" s="109" t="str">
        <f>VLOOKUP($A134,ANAGRAFICA!$B$1:$G$306,4,FALSE)</f>
        <v/>
      </c>
      <c r="E134" s="109">
        <f>VLOOKUP($A134,ANAGRAFICA!$B$1:$G$306,5,FALSE)</f>
        <v>3272024066</v>
      </c>
      <c r="F134" s="109">
        <f>VLOOKUP($A134,ANAGRAFICA!$B$1:$G$306,6,FALSE)</f>
        <v>2024</v>
      </c>
      <c r="G134" s="3">
        <v>1.0</v>
      </c>
      <c r="H134" s="3" t="s">
        <v>613</v>
      </c>
      <c r="I134" s="148">
        <v>45432.0</v>
      </c>
      <c r="J134" s="3" t="s">
        <v>668</v>
      </c>
      <c r="K134" s="11" t="b">
        <v>1</v>
      </c>
    </row>
    <row r="135">
      <c r="A135" s="3">
        <v>2.124008603E9</v>
      </c>
      <c r="B135" s="109" t="str">
        <f>VLOOKUP($A135,ANAGRAFICA!$B$1:$G$306,2,FALSE)</f>
        <v>MARIANI</v>
      </c>
      <c r="C135" s="109" t="str">
        <f>VLOOKUP($A135,ANAGRAFICA!$B$1:$G$306,3,FALSE)</f>
        <v>MARCO</v>
      </c>
      <c r="D135" s="109" t="str">
        <f>VLOOKUP($A135,ANAGRAFICA!$B$1:$G$306,4,FALSE)</f>
        <v/>
      </c>
      <c r="E135" s="109">
        <f>VLOOKUP($A135,ANAGRAFICA!$B$1:$G$306,5,FALSE)</f>
        <v>3272024066</v>
      </c>
      <c r="F135" s="109">
        <f>VLOOKUP($A135,ANAGRAFICA!$B$1:$G$306,6,FALSE)</f>
        <v>2024</v>
      </c>
      <c r="G135" s="3">
        <v>1.0</v>
      </c>
      <c r="H135" s="3" t="s">
        <v>623</v>
      </c>
      <c r="I135" s="148">
        <v>45432.0</v>
      </c>
      <c r="J135" s="3" t="s">
        <v>668</v>
      </c>
      <c r="K135" s="11" t="b">
        <v>1</v>
      </c>
    </row>
    <row r="136">
      <c r="A136" s="3">
        <v>2.124008603E9</v>
      </c>
      <c r="B136" s="109" t="str">
        <f>VLOOKUP($A136,ANAGRAFICA!$B$1:$G$306,2,FALSE)</f>
        <v>MARIANI</v>
      </c>
      <c r="C136" s="109" t="str">
        <f>VLOOKUP($A136,ANAGRAFICA!$B$1:$G$306,3,FALSE)</f>
        <v>MARCO</v>
      </c>
      <c r="D136" s="109" t="str">
        <f>VLOOKUP($A136,ANAGRAFICA!$B$1:$G$306,4,FALSE)</f>
        <v/>
      </c>
      <c r="E136" s="109">
        <f>VLOOKUP($A136,ANAGRAFICA!$B$1:$G$306,5,FALSE)</f>
        <v>3272024066</v>
      </c>
      <c r="F136" s="109">
        <f>VLOOKUP($A136,ANAGRAFICA!$B$1:$G$306,6,FALSE)</f>
        <v>2024</v>
      </c>
      <c r="G136" s="3">
        <v>1.0</v>
      </c>
      <c r="H136" s="3" t="s">
        <v>612</v>
      </c>
      <c r="I136" s="148">
        <v>45444.0</v>
      </c>
      <c r="J136" s="3" t="s">
        <v>405</v>
      </c>
      <c r="K136" s="11" t="b">
        <v>1</v>
      </c>
    </row>
    <row r="137">
      <c r="A137" s="3">
        <v>2.124008603E9</v>
      </c>
      <c r="B137" s="109" t="str">
        <f>VLOOKUP($A137,ANAGRAFICA!$B$1:$G$306,2,FALSE)</f>
        <v>MARIANI</v>
      </c>
      <c r="C137" s="109" t="str">
        <f>VLOOKUP($A137,ANAGRAFICA!$B$1:$G$306,3,FALSE)</f>
        <v>MARCO</v>
      </c>
      <c r="D137" s="109" t="str">
        <f>VLOOKUP($A137,ANAGRAFICA!$B$1:$G$306,4,FALSE)</f>
        <v/>
      </c>
      <c r="E137" s="109">
        <f>VLOOKUP($A137,ANAGRAFICA!$B$1:$G$306,5,FALSE)</f>
        <v>3272024066</v>
      </c>
      <c r="F137" s="109">
        <f>VLOOKUP($A137,ANAGRAFICA!$B$1:$G$306,6,FALSE)</f>
        <v>2024</v>
      </c>
      <c r="G137" s="3">
        <v>1.0</v>
      </c>
      <c r="H137" s="3" t="s">
        <v>613</v>
      </c>
      <c r="I137" s="148">
        <v>45444.0</v>
      </c>
      <c r="J137" s="3" t="s">
        <v>669</v>
      </c>
      <c r="K137" s="11" t="b">
        <v>1</v>
      </c>
    </row>
    <row r="138">
      <c r="A138" s="3">
        <v>2.124008603E9</v>
      </c>
      <c r="B138" s="109" t="str">
        <f>VLOOKUP($A138,ANAGRAFICA!$B$1:$G$306,2,FALSE)</f>
        <v>MARIANI</v>
      </c>
      <c r="C138" s="109" t="str">
        <f>VLOOKUP($A138,ANAGRAFICA!$B$1:$G$306,3,FALSE)</f>
        <v>MARCO</v>
      </c>
      <c r="D138" s="109" t="str">
        <f>VLOOKUP($A138,ANAGRAFICA!$B$1:$G$306,4,FALSE)</f>
        <v/>
      </c>
      <c r="E138" s="109">
        <f>VLOOKUP($A138,ANAGRAFICA!$B$1:$G$306,5,FALSE)</f>
        <v>3272024066</v>
      </c>
      <c r="F138" s="109">
        <f>VLOOKUP($A138,ANAGRAFICA!$B$1:$G$306,6,FALSE)</f>
        <v>2024</v>
      </c>
      <c r="G138" s="3">
        <v>1.0</v>
      </c>
      <c r="H138" s="3" t="s">
        <v>623</v>
      </c>
      <c r="I138" s="148">
        <v>45444.0</v>
      </c>
      <c r="J138" s="3" t="s">
        <v>669</v>
      </c>
      <c r="K138" s="11" t="b">
        <v>1</v>
      </c>
    </row>
    <row r="139">
      <c r="A139" s="3">
        <v>2.124008603E9</v>
      </c>
      <c r="B139" s="109" t="str">
        <f>VLOOKUP($A139,ANAGRAFICA!$B$1:$G$306,2,FALSE)</f>
        <v>MARIANI</v>
      </c>
      <c r="C139" s="109" t="str">
        <f>VLOOKUP($A139,ANAGRAFICA!$B$1:$G$306,3,FALSE)</f>
        <v>MARCO</v>
      </c>
      <c r="D139" s="109" t="str">
        <f>VLOOKUP($A139,ANAGRAFICA!$B$1:$G$306,4,FALSE)</f>
        <v/>
      </c>
      <c r="E139" s="109">
        <f>VLOOKUP($A139,ANAGRAFICA!$B$1:$G$306,5,FALSE)</f>
        <v>3272024066</v>
      </c>
      <c r="F139" s="109">
        <f>VLOOKUP($A139,ANAGRAFICA!$B$1:$G$306,6,FALSE)</f>
        <v>2024</v>
      </c>
      <c r="G139" s="3">
        <v>1.0</v>
      </c>
      <c r="H139" s="3" t="s">
        <v>609</v>
      </c>
      <c r="I139" s="148">
        <v>45420.0</v>
      </c>
      <c r="J139" s="3" t="s">
        <v>87</v>
      </c>
      <c r="K139" s="11" t="b">
        <v>0</v>
      </c>
    </row>
    <row r="140">
      <c r="A140" s="3">
        <v>2.124008603E9</v>
      </c>
      <c r="B140" s="109" t="str">
        <f>VLOOKUP($A140,ANAGRAFICA!$B$1:$G$306,2,FALSE)</f>
        <v>MARIANI</v>
      </c>
      <c r="C140" s="109" t="str">
        <f>VLOOKUP($A140,ANAGRAFICA!$B$1:$G$306,3,FALSE)</f>
        <v>MARCO</v>
      </c>
      <c r="D140" s="109" t="str">
        <f>VLOOKUP($A140,ANAGRAFICA!$B$1:$G$306,4,FALSE)</f>
        <v/>
      </c>
      <c r="E140" s="109">
        <f>VLOOKUP($A140,ANAGRAFICA!$B$1:$G$306,5,FALSE)</f>
        <v>3272024066</v>
      </c>
      <c r="F140" s="109">
        <f>VLOOKUP($A140,ANAGRAFICA!$B$1:$G$306,6,FALSE)</f>
        <v>2024</v>
      </c>
      <c r="G140" s="3">
        <v>1.0</v>
      </c>
      <c r="H140" s="3" t="s">
        <v>609</v>
      </c>
      <c r="I140" s="148">
        <v>45427.0</v>
      </c>
      <c r="J140" s="3" t="s">
        <v>203</v>
      </c>
      <c r="K140" s="11" t="b">
        <v>0</v>
      </c>
    </row>
    <row r="141">
      <c r="A141" s="3">
        <v>2.124008603E9</v>
      </c>
      <c r="B141" s="109" t="str">
        <f>VLOOKUP($A141,ANAGRAFICA!$B$1:$G$306,2,FALSE)</f>
        <v>MARIANI</v>
      </c>
      <c r="C141" s="109" t="str">
        <f>VLOOKUP($A141,ANAGRAFICA!$B$1:$G$306,3,FALSE)</f>
        <v>MARCO</v>
      </c>
      <c r="D141" s="109" t="str">
        <f>VLOOKUP($A141,ANAGRAFICA!$B$1:$G$306,4,FALSE)</f>
        <v/>
      </c>
      <c r="E141" s="109">
        <f>VLOOKUP($A141,ANAGRAFICA!$B$1:$G$306,5,FALSE)</f>
        <v>3272024066</v>
      </c>
      <c r="F141" s="109">
        <f>VLOOKUP($A141,ANAGRAFICA!$B$1:$G$306,6,FALSE)</f>
        <v>2024</v>
      </c>
      <c r="G141" s="3">
        <v>1.0</v>
      </c>
      <c r="H141" s="3" t="s">
        <v>604</v>
      </c>
      <c r="I141" s="148">
        <v>45421.0</v>
      </c>
      <c r="J141" s="3" t="s">
        <v>87</v>
      </c>
      <c r="K141" s="11" t="b">
        <v>0</v>
      </c>
    </row>
    <row r="142">
      <c r="A142" s="3">
        <v>2.124008603E9</v>
      </c>
      <c r="B142" s="109" t="str">
        <f>VLOOKUP($A142,ANAGRAFICA!$B$1:$G$306,2,FALSE)</f>
        <v>MARIANI</v>
      </c>
      <c r="C142" s="109" t="str">
        <f>VLOOKUP($A142,ANAGRAFICA!$B$1:$G$306,3,FALSE)</f>
        <v>MARCO</v>
      </c>
      <c r="D142" s="109" t="str">
        <f>VLOOKUP($A142,ANAGRAFICA!$B$1:$G$306,4,FALSE)</f>
        <v/>
      </c>
      <c r="E142" s="109">
        <f>VLOOKUP($A142,ANAGRAFICA!$B$1:$G$306,5,FALSE)</f>
        <v>3272024066</v>
      </c>
      <c r="F142" s="109">
        <f>VLOOKUP($A142,ANAGRAFICA!$B$1:$G$306,6,FALSE)</f>
        <v>2024</v>
      </c>
      <c r="G142" s="3">
        <v>1.0</v>
      </c>
      <c r="H142" s="3" t="s">
        <v>619</v>
      </c>
      <c r="I142" s="148">
        <v>45433.0</v>
      </c>
      <c r="J142" s="3" t="s">
        <v>203</v>
      </c>
      <c r="K142" s="11" t="b">
        <v>0</v>
      </c>
    </row>
    <row r="143">
      <c r="A143" s="3">
        <v>2.124008603E9</v>
      </c>
      <c r="B143" s="109" t="str">
        <f>VLOOKUP($A143,ANAGRAFICA!$B$1:$G$306,2,FALSE)</f>
        <v>MARIANI</v>
      </c>
      <c r="C143" s="109" t="str">
        <f>VLOOKUP($A143,ANAGRAFICA!$B$1:$G$306,3,FALSE)</f>
        <v>MARCO</v>
      </c>
      <c r="D143" s="109" t="str">
        <f>VLOOKUP($A143,ANAGRAFICA!$B$1:$G$306,4,FALSE)</f>
        <v/>
      </c>
      <c r="E143" s="109">
        <f>VLOOKUP($A143,ANAGRAFICA!$B$1:$G$306,5,FALSE)</f>
        <v>3272024066</v>
      </c>
      <c r="F143" s="109">
        <f>VLOOKUP($A143,ANAGRAFICA!$B$1:$G$306,6,FALSE)</f>
        <v>2024</v>
      </c>
      <c r="G143" s="3">
        <v>1.0</v>
      </c>
      <c r="H143" s="3" t="s">
        <v>609</v>
      </c>
      <c r="I143" s="148">
        <v>45434.0</v>
      </c>
      <c r="J143" s="3" t="s">
        <v>324</v>
      </c>
      <c r="K143" s="11" t="b">
        <v>0</v>
      </c>
    </row>
    <row r="144">
      <c r="A144" s="3">
        <v>2.124008603E9</v>
      </c>
      <c r="B144" s="109" t="str">
        <f>VLOOKUP($A144,ANAGRAFICA!$B$1:$G$306,2,FALSE)</f>
        <v>MARIANI</v>
      </c>
      <c r="C144" s="109" t="str">
        <f>VLOOKUP($A144,ANAGRAFICA!$B$1:$G$306,3,FALSE)</f>
        <v>MARCO</v>
      </c>
      <c r="D144" s="109" t="str">
        <f>VLOOKUP($A144,ANAGRAFICA!$B$1:$G$306,4,FALSE)</f>
        <v/>
      </c>
      <c r="E144" s="109">
        <f>VLOOKUP($A144,ANAGRAFICA!$B$1:$G$306,5,FALSE)</f>
        <v>3272024066</v>
      </c>
      <c r="F144" s="109">
        <f>VLOOKUP($A144,ANAGRAFICA!$B$1:$G$306,6,FALSE)</f>
        <v>2024</v>
      </c>
      <c r="G144" s="3">
        <v>1.0</v>
      </c>
      <c r="H144" s="3" t="s">
        <v>619</v>
      </c>
      <c r="I144" s="148">
        <v>45424.0</v>
      </c>
      <c r="K144" s="11" t="b">
        <v>0</v>
      </c>
    </row>
    <row r="145">
      <c r="A145" s="3">
        <v>2.124008603E9</v>
      </c>
      <c r="B145" s="109" t="str">
        <f>VLOOKUP($A145,ANAGRAFICA!$B$1:$G$306,2,FALSE)</f>
        <v>MARIANI</v>
      </c>
      <c r="C145" s="109" t="str">
        <f>VLOOKUP($A145,ANAGRAFICA!$B$1:$G$306,3,FALSE)</f>
        <v>MARCO</v>
      </c>
      <c r="D145" s="109" t="str">
        <f>VLOOKUP($A145,ANAGRAFICA!$B$1:$G$306,4,FALSE)</f>
        <v/>
      </c>
      <c r="E145" s="109">
        <f>VLOOKUP($A145,ANAGRAFICA!$B$1:$G$306,5,FALSE)</f>
        <v>3272024066</v>
      </c>
      <c r="F145" s="109">
        <f>VLOOKUP($A145,ANAGRAFICA!$B$1:$G$306,6,FALSE)</f>
        <v>2024</v>
      </c>
      <c r="G145" s="3">
        <v>1.0</v>
      </c>
      <c r="H145" s="3" t="s">
        <v>645</v>
      </c>
      <c r="I145" s="148">
        <v>45436.0</v>
      </c>
      <c r="J145" s="3" t="s">
        <v>324</v>
      </c>
      <c r="K145" s="11" t="b">
        <v>0</v>
      </c>
    </row>
    <row r="146">
      <c r="A146" s="3">
        <v>2.124008603E9</v>
      </c>
      <c r="B146" s="109" t="str">
        <f>VLOOKUP($A146,ANAGRAFICA!$B$1:$G$306,2,FALSE)</f>
        <v>MARIANI</v>
      </c>
      <c r="C146" s="109" t="str">
        <f>VLOOKUP($A146,ANAGRAFICA!$B$1:$G$306,3,FALSE)</f>
        <v>MARCO</v>
      </c>
      <c r="D146" s="109" t="str">
        <f>VLOOKUP($A146,ANAGRAFICA!$B$1:$G$306,4,FALSE)</f>
        <v/>
      </c>
      <c r="E146" s="109">
        <f>VLOOKUP($A146,ANAGRAFICA!$B$1:$G$306,5,FALSE)</f>
        <v>3272024066</v>
      </c>
      <c r="F146" s="109">
        <f>VLOOKUP($A146,ANAGRAFICA!$B$1:$G$306,6,FALSE)</f>
        <v>2024</v>
      </c>
      <c r="G146" s="3">
        <v>1.0</v>
      </c>
      <c r="H146" s="3" t="s">
        <v>609</v>
      </c>
      <c r="I146" s="148">
        <v>45439.0</v>
      </c>
      <c r="J146" s="3" t="s">
        <v>203</v>
      </c>
      <c r="K146" s="11" t="b">
        <v>0</v>
      </c>
    </row>
    <row r="147">
      <c r="A147" s="3">
        <v>2.124008603E9</v>
      </c>
      <c r="B147" s="109" t="str">
        <f>VLOOKUP($A147,ANAGRAFICA!$B$1:$G$306,2,FALSE)</f>
        <v>MARIANI</v>
      </c>
      <c r="C147" s="109" t="str">
        <f>VLOOKUP($A147,ANAGRAFICA!$B$1:$G$306,3,FALSE)</f>
        <v>MARCO</v>
      </c>
      <c r="D147" s="109" t="str">
        <f>VLOOKUP($A147,ANAGRAFICA!$B$1:$G$306,4,FALSE)</f>
        <v/>
      </c>
      <c r="E147" s="109">
        <f>VLOOKUP($A147,ANAGRAFICA!$B$1:$G$306,5,FALSE)</f>
        <v>3272024066</v>
      </c>
      <c r="F147" s="109">
        <f>VLOOKUP($A147,ANAGRAFICA!$B$1:$G$306,6,FALSE)</f>
        <v>2024</v>
      </c>
      <c r="G147" s="3">
        <v>1.0</v>
      </c>
      <c r="H147" s="3" t="s">
        <v>619</v>
      </c>
      <c r="I147" s="148">
        <v>45440.0</v>
      </c>
      <c r="J147" s="3" t="s">
        <v>353</v>
      </c>
      <c r="K147" s="11" t="b">
        <v>0</v>
      </c>
    </row>
    <row r="148">
      <c r="A148" s="3">
        <v>2.124008603E9</v>
      </c>
      <c r="B148" s="109" t="str">
        <f>VLOOKUP($A148,ANAGRAFICA!$B$1:$G$306,2,FALSE)</f>
        <v>MARIANI</v>
      </c>
      <c r="C148" s="109" t="str">
        <f>VLOOKUP($A148,ANAGRAFICA!$B$1:$G$306,3,FALSE)</f>
        <v>MARCO</v>
      </c>
      <c r="D148" s="109" t="str">
        <f>VLOOKUP($A148,ANAGRAFICA!$B$1:$G$306,4,FALSE)</f>
        <v/>
      </c>
      <c r="E148" s="109">
        <f>VLOOKUP($A148,ANAGRAFICA!$B$1:$G$306,5,FALSE)</f>
        <v>3272024066</v>
      </c>
      <c r="F148" s="109">
        <f>VLOOKUP($A148,ANAGRAFICA!$B$1:$G$306,6,FALSE)</f>
        <v>2024</v>
      </c>
      <c r="G148" s="3">
        <v>1.0</v>
      </c>
      <c r="H148" s="3" t="s">
        <v>615</v>
      </c>
      <c r="I148" s="148">
        <v>45447.0</v>
      </c>
      <c r="J148" s="3" t="s">
        <v>203</v>
      </c>
      <c r="K148" s="11" t="b">
        <v>0</v>
      </c>
    </row>
    <row r="149">
      <c r="A149" s="3">
        <v>2.124008603E9</v>
      </c>
      <c r="B149" s="109" t="str">
        <f>VLOOKUP($A149,ANAGRAFICA!$B$1:$G$306,2,FALSE)</f>
        <v>MARIANI</v>
      </c>
      <c r="C149" s="109" t="str">
        <f>VLOOKUP($A149,ANAGRAFICA!$B$1:$G$306,3,FALSE)</f>
        <v>MARCO</v>
      </c>
      <c r="D149" s="109" t="str">
        <f>VLOOKUP($A149,ANAGRAFICA!$B$1:$G$306,4,FALSE)</f>
        <v/>
      </c>
      <c r="E149" s="109">
        <f>VLOOKUP($A149,ANAGRAFICA!$B$1:$G$306,5,FALSE)</f>
        <v>3272024066</v>
      </c>
      <c r="F149" s="109">
        <f>VLOOKUP($A149,ANAGRAFICA!$B$1:$G$306,6,FALSE)</f>
        <v>2024</v>
      </c>
      <c r="G149" s="3">
        <v>1.0</v>
      </c>
      <c r="H149" s="3" t="s">
        <v>670</v>
      </c>
      <c r="I149" s="148">
        <v>45447.0</v>
      </c>
      <c r="J149" s="3" t="s">
        <v>59</v>
      </c>
      <c r="K149" s="11" t="b">
        <v>0</v>
      </c>
    </row>
    <row r="150">
      <c r="A150" s="3">
        <v>2.124015827E9</v>
      </c>
      <c r="B150" s="109" t="str">
        <f>VLOOKUP($A150,ANAGRAFICA!$B$1:$G$306,2,FALSE)</f>
        <v>SCHIAVON</v>
      </c>
      <c r="C150" s="109" t="str">
        <f>VLOOKUP($A150,ANAGRAFICA!$B$1:$G$306,3,FALSE)</f>
        <v>ELIO PAOLO</v>
      </c>
      <c r="D150" s="109" t="str">
        <f>VLOOKUP($A150,ANAGRAFICA!$B$1:$G$306,4,FALSE)</f>
        <v>758-11</v>
      </c>
      <c r="E150" s="109">
        <f>VLOOKUP($A150,ANAGRAFICA!$B$1:$G$306,5,FALSE)</f>
        <v>3272024077</v>
      </c>
      <c r="F150" s="109">
        <f>VLOOKUP($A150,ANAGRAFICA!$B$1:$G$306,6,FALSE)</f>
        <v>2024</v>
      </c>
      <c r="G150" s="3">
        <v>1.0</v>
      </c>
      <c r="H150" s="3" t="s">
        <v>607</v>
      </c>
      <c r="I150" s="148">
        <v>45543.0</v>
      </c>
      <c r="J150" s="3" t="s">
        <v>671</v>
      </c>
      <c r="K150" s="11" t="b">
        <v>1</v>
      </c>
    </row>
    <row r="151">
      <c r="A151" s="3">
        <v>2.124015827E9</v>
      </c>
      <c r="B151" s="109" t="str">
        <f>VLOOKUP($A151,ANAGRAFICA!$B$1:$G$306,2,FALSE)</f>
        <v>SCHIAVON</v>
      </c>
      <c r="C151" s="109" t="str">
        <f>VLOOKUP($A151,ANAGRAFICA!$B$1:$G$306,3,FALSE)</f>
        <v>ELIO PAOLO</v>
      </c>
      <c r="D151" s="109" t="str">
        <f>VLOOKUP($A151,ANAGRAFICA!$B$1:$G$306,4,FALSE)</f>
        <v>758-11</v>
      </c>
      <c r="E151" s="109">
        <f>VLOOKUP($A151,ANAGRAFICA!$B$1:$G$306,5,FALSE)</f>
        <v>3272024077</v>
      </c>
      <c r="F151" s="109">
        <f>VLOOKUP($A151,ANAGRAFICA!$B$1:$G$306,6,FALSE)</f>
        <v>2024</v>
      </c>
      <c r="G151" s="3">
        <v>1.0</v>
      </c>
      <c r="H151" s="3" t="s">
        <v>609</v>
      </c>
      <c r="I151" s="148">
        <v>45546.0</v>
      </c>
      <c r="K151" s="11" t="b">
        <v>0</v>
      </c>
    </row>
    <row r="152">
      <c r="A152" s="3">
        <v>2.124015827E9</v>
      </c>
      <c r="B152" s="109" t="str">
        <f>VLOOKUP($A152,ANAGRAFICA!$B$1:$G$306,2,FALSE)</f>
        <v>SCHIAVON</v>
      </c>
      <c r="C152" s="109" t="str">
        <f>VLOOKUP($A152,ANAGRAFICA!$B$1:$G$306,3,FALSE)</f>
        <v>ELIO PAOLO</v>
      </c>
      <c r="D152" s="109" t="str">
        <f>VLOOKUP($A152,ANAGRAFICA!$B$1:$G$306,4,FALSE)</f>
        <v>758-11</v>
      </c>
      <c r="E152" s="109">
        <f>VLOOKUP($A152,ANAGRAFICA!$B$1:$G$306,5,FALSE)</f>
        <v>3272024077</v>
      </c>
      <c r="F152" s="109">
        <f>VLOOKUP($A152,ANAGRAFICA!$B$1:$G$306,6,FALSE)</f>
        <v>2024</v>
      </c>
      <c r="G152" s="3">
        <v>1.0</v>
      </c>
      <c r="H152" s="3" t="s">
        <v>619</v>
      </c>
      <c r="I152" s="148">
        <v>45546.0</v>
      </c>
      <c r="K152" s="11" t="b">
        <v>0</v>
      </c>
    </row>
    <row r="153">
      <c r="A153" s="3">
        <v>2.12400578E9</v>
      </c>
      <c r="B153" s="109" t="str">
        <f>VLOOKUP($A153,ANAGRAFICA!$B$1:$G$306,2,FALSE)</f>
        <v>SAINCIUC</v>
      </c>
      <c r="C153" s="109" t="str">
        <f>VLOOKUP($A153,ANAGRAFICA!$B$1:$G$306,3,FALSE)</f>
        <v>AUREL</v>
      </c>
      <c r="D153" s="109" t="str">
        <f>VLOOKUP($A153,ANAGRAFICA!$B$1:$G$306,4,FALSE)</f>
        <v/>
      </c>
      <c r="E153" s="109">
        <f>VLOOKUP($A153,ANAGRAFICA!$B$1:$G$306,5,FALSE)</f>
        <v>3272024061</v>
      </c>
      <c r="F153" s="109">
        <f>VLOOKUP($A153,ANAGRAFICA!$B$1:$G$306,6,FALSE)</f>
        <v>2024</v>
      </c>
      <c r="G153" s="3">
        <v>1.0</v>
      </c>
      <c r="H153" s="3" t="s">
        <v>609</v>
      </c>
      <c r="I153" s="148">
        <v>45376.0</v>
      </c>
      <c r="K153" s="11" t="b">
        <v>0</v>
      </c>
    </row>
    <row r="154">
      <c r="A154" s="3">
        <v>2.12400578E9</v>
      </c>
      <c r="B154" s="109" t="str">
        <f>VLOOKUP($A154,ANAGRAFICA!$B$1:$G$306,2,FALSE)</f>
        <v>SAINCIUC</v>
      </c>
      <c r="C154" s="109" t="str">
        <f>VLOOKUP($A154,ANAGRAFICA!$B$1:$G$306,3,FALSE)</f>
        <v>AUREL</v>
      </c>
      <c r="D154" s="109" t="str">
        <f>VLOOKUP($A154,ANAGRAFICA!$B$1:$G$306,4,FALSE)</f>
        <v/>
      </c>
      <c r="E154" s="109">
        <f>VLOOKUP($A154,ANAGRAFICA!$B$1:$G$306,5,FALSE)</f>
        <v>3272024061</v>
      </c>
      <c r="F154" s="109">
        <f>VLOOKUP($A154,ANAGRAFICA!$B$1:$G$306,6,FALSE)</f>
        <v>2024</v>
      </c>
      <c r="G154" s="3">
        <v>1.0</v>
      </c>
      <c r="H154" s="3" t="s">
        <v>610</v>
      </c>
      <c r="I154" s="148">
        <v>45376.0</v>
      </c>
      <c r="J154" s="3" t="s">
        <v>672</v>
      </c>
      <c r="K154" s="11" t="b">
        <v>1</v>
      </c>
    </row>
    <row r="155">
      <c r="A155" s="3">
        <v>2.12400578E9</v>
      </c>
      <c r="B155" s="109" t="str">
        <f>VLOOKUP($A155,ANAGRAFICA!$B$1:$G$306,2,FALSE)</f>
        <v>SAINCIUC</v>
      </c>
      <c r="C155" s="109" t="str">
        <f>VLOOKUP($A155,ANAGRAFICA!$B$1:$G$306,3,FALSE)</f>
        <v>AUREL</v>
      </c>
      <c r="D155" s="109" t="str">
        <f>VLOOKUP($A155,ANAGRAFICA!$B$1:$G$306,4,FALSE)</f>
        <v/>
      </c>
      <c r="E155" s="109">
        <f>VLOOKUP($A155,ANAGRAFICA!$B$1:$G$306,5,FALSE)</f>
        <v>3272024061</v>
      </c>
      <c r="F155" s="109">
        <f>VLOOKUP($A155,ANAGRAFICA!$B$1:$G$306,6,FALSE)</f>
        <v>2024</v>
      </c>
      <c r="G155" s="3">
        <v>1.0</v>
      </c>
      <c r="H155" s="3" t="s">
        <v>673</v>
      </c>
      <c r="I155" s="148">
        <v>45376.0</v>
      </c>
      <c r="J155" s="3" t="s">
        <v>421</v>
      </c>
      <c r="K155" s="11" t="b">
        <v>1</v>
      </c>
    </row>
    <row r="156">
      <c r="A156" s="3">
        <v>2.12400578E9</v>
      </c>
      <c r="B156" s="109" t="str">
        <f>VLOOKUP($A156,ANAGRAFICA!$B$1:$G$306,2,FALSE)</f>
        <v>SAINCIUC</v>
      </c>
      <c r="C156" s="109" t="str">
        <f>VLOOKUP($A156,ANAGRAFICA!$B$1:$G$306,3,FALSE)</f>
        <v>AUREL</v>
      </c>
      <c r="D156" s="109" t="str">
        <f>VLOOKUP($A156,ANAGRAFICA!$B$1:$G$306,4,FALSE)</f>
        <v/>
      </c>
      <c r="E156" s="109">
        <f>VLOOKUP($A156,ANAGRAFICA!$B$1:$G$306,5,FALSE)</f>
        <v>3272024061</v>
      </c>
      <c r="F156" s="109">
        <f>VLOOKUP($A156,ANAGRAFICA!$B$1:$G$306,6,FALSE)</f>
        <v>2024</v>
      </c>
      <c r="G156" s="3">
        <v>1.0</v>
      </c>
      <c r="H156" s="3" t="s">
        <v>674</v>
      </c>
      <c r="I156" s="148">
        <v>45376.0</v>
      </c>
      <c r="J156" s="3" t="s">
        <v>421</v>
      </c>
      <c r="K156" s="11" t="b">
        <v>1</v>
      </c>
    </row>
    <row r="157">
      <c r="A157" s="3">
        <v>2.12400578E9</v>
      </c>
      <c r="B157" s="109" t="str">
        <f>VLOOKUP($A157,ANAGRAFICA!$B$1:$G$306,2,FALSE)</f>
        <v>SAINCIUC</v>
      </c>
      <c r="C157" s="109" t="str">
        <f>VLOOKUP($A157,ANAGRAFICA!$B$1:$G$306,3,FALSE)</f>
        <v>AUREL</v>
      </c>
      <c r="D157" s="109" t="str">
        <f>VLOOKUP($A157,ANAGRAFICA!$B$1:$G$306,4,FALSE)</f>
        <v/>
      </c>
      <c r="E157" s="109">
        <f>VLOOKUP($A157,ANAGRAFICA!$B$1:$G$306,5,FALSE)</f>
        <v>3272024061</v>
      </c>
      <c r="F157" s="109">
        <f>VLOOKUP($A157,ANAGRAFICA!$B$1:$G$306,6,FALSE)</f>
        <v>2024</v>
      </c>
      <c r="G157" s="3">
        <v>1.0</v>
      </c>
      <c r="H157" s="3" t="s">
        <v>635</v>
      </c>
      <c r="I157" s="148">
        <v>45376.0</v>
      </c>
      <c r="J157" s="3" t="s">
        <v>675</v>
      </c>
      <c r="K157" s="11" t="b">
        <v>1</v>
      </c>
    </row>
    <row r="158">
      <c r="A158" s="3">
        <v>2.124006081E9</v>
      </c>
      <c r="B158" s="109" t="str">
        <f>VLOOKUP($A158,ANAGRAFICA!$B$1:$G$306,2,FALSE)</f>
        <v>DOSSI</v>
      </c>
      <c r="C158" s="109" t="str">
        <f>VLOOKUP($A158,ANAGRAFICA!$B$1:$G$306,3,FALSE)</f>
        <v>MAURIZIO ANTONIO</v>
      </c>
      <c r="D158" s="109" t="str">
        <f>VLOOKUP($A158,ANAGRAFICA!$B$1:$G$306,4,FALSE)</f>
        <v/>
      </c>
      <c r="E158" s="109">
        <f>VLOOKUP($A158,ANAGRAFICA!$B$1:$G$306,5,FALSE)</f>
        <v>3272024062</v>
      </c>
      <c r="F158" s="109">
        <f>VLOOKUP($A158,ANAGRAFICA!$B$1:$G$306,6,FALSE)</f>
        <v>2024</v>
      </c>
      <c r="G158" s="3">
        <v>1.0</v>
      </c>
      <c r="H158" s="3" t="s">
        <v>604</v>
      </c>
      <c r="I158" s="148">
        <v>45388.0</v>
      </c>
      <c r="J158" s="3" t="s">
        <v>68</v>
      </c>
      <c r="K158" s="11" t="b">
        <v>0</v>
      </c>
    </row>
    <row r="159">
      <c r="A159" s="3">
        <v>2.124006081E9</v>
      </c>
      <c r="B159" s="109" t="str">
        <f>VLOOKUP($A159,ANAGRAFICA!$B$1:$G$306,2,FALSE)</f>
        <v>DOSSI</v>
      </c>
      <c r="C159" s="109" t="str">
        <f>VLOOKUP($A159,ANAGRAFICA!$B$1:$G$306,3,FALSE)</f>
        <v>MAURIZIO ANTONIO</v>
      </c>
      <c r="D159" s="109" t="str">
        <f>VLOOKUP($A159,ANAGRAFICA!$B$1:$G$306,4,FALSE)</f>
        <v/>
      </c>
      <c r="E159" s="109">
        <f>VLOOKUP($A159,ANAGRAFICA!$B$1:$G$306,5,FALSE)</f>
        <v>3272024062</v>
      </c>
      <c r="F159" s="109">
        <f>VLOOKUP($A159,ANAGRAFICA!$B$1:$G$306,6,FALSE)</f>
        <v>2024</v>
      </c>
      <c r="G159" s="3">
        <v>1.0</v>
      </c>
      <c r="H159" s="3" t="s">
        <v>606</v>
      </c>
      <c r="I159" s="148">
        <v>45394.0</v>
      </c>
      <c r="J159" s="3" t="s">
        <v>414</v>
      </c>
      <c r="K159" s="11" t="b">
        <v>1</v>
      </c>
    </row>
    <row r="160">
      <c r="A160" s="3">
        <v>2.124003924E9</v>
      </c>
      <c r="B160" s="109" t="str">
        <f>VLOOKUP($A160,ANAGRAFICA!$B$1:$G$306,2,FALSE)</f>
        <v>MUHAMMAD</v>
      </c>
      <c r="C160" s="109" t="str">
        <f>VLOOKUP($A160,ANAGRAFICA!$B$1:$G$306,3,FALSE)</f>
        <v>SHARIF</v>
      </c>
      <c r="D160" s="109" t="str">
        <f>VLOOKUP($A160,ANAGRAFICA!$B$1:$G$306,4,FALSE)</f>
        <v/>
      </c>
      <c r="E160" s="109">
        <f>VLOOKUP($A160,ANAGRAFICA!$B$1:$G$306,5,FALSE)</f>
        <v>3272024059</v>
      </c>
      <c r="F160" s="109">
        <f>VLOOKUP($A160,ANAGRAFICA!$B$1:$G$306,6,FALSE)</f>
        <v>2024</v>
      </c>
      <c r="G160" s="3">
        <v>1.0</v>
      </c>
      <c r="H160" s="3" t="s">
        <v>610</v>
      </c>
      <c r="I160" s="148">
        <v>45349.0</v>
      </c>
      <c r="J160" s="3" t="s">
        <v>676</v>
      </c>
      <c r="K160" s="11" t="b">
        <v>1</v>
      </c>
    </row>
    <row r="161">
      <c r="A161" s="3">
        <v>2.124003924E9</v>
      </c>
      <c r="B161" s="109" t="str">
        <f>VLOOKUP($A161,ANAGRAFICA!$B$1:$G$306,2,FALSE)</f>
        <v>MUHAMMAD</v>
      </c>
      <c r="C161" s="109" t="str">
        <f>VLOOKUP($A161,ANAGRAFICA!$B$1:$G$306,3,FALSE)</f>
        <v>SHARIF</v>
      </c>
      <c r="D161" s="109" t="str">
        <f>VLOOKUP($A161,ANAGRAFICA!$B$1:$G$306,4,FALSE)</f>
        <v/>
      </c>
      <c r="E161" s="109">
        <f>VLOOKUP($A161,ANAGRAFICA!$B$1:$G$306,5,FALSE)</f>
        <v>3272024059</v>
      </c>
      <c r="F161" s="109">
        <f>VLOOKUP($A161,ANAGRAFICA!$B$1:$G$306,6,FALSE)</f>
        <v>2024</v>
      </c>
      <c r="G161" s="3">
        <v>1.0</v>
      </c>
      <c r="H161" s="3" t="s">
        <v>610</v>
      </c>
      <c r="I161" s="148">
        <v>45349.0</v>
      </c>
      <c r="J161" s="3" t="s">
        <v>677</v>
      </c>
      <c r="K161" s="11" t="b">
        <v>1</v>
      </c>
    </row>
    <row r="162">
      <c r="A162" s="3">
        <v>2.124003924E9</v>
      </c>
      <c r="B162" s="109" t="str">
        <f>VLOOKUP($A162,ANAGRAFICA!$B$1:$G$306,2,FALSE)</f>
        <v>MUHAMMAD</v>
      </c>
      <c r="C162" s="109" t="str">
        <f>VLOOKUP($A162,ANAGRAFICA!$B$1:$G$306,3,FALSE)</f>
        <v>SHARIF</v>
      </c>
      <c r="D162" s="109" t="str">
        <f>VLOOKUP($A162,ANAGRAFICA!$B$1:$G$306,4,FALSE)</f>
        <v/>
      </c>
      <c r="E162" s="109">
        <f>VLOOKUP($A162,ANAGRAFICA!$B$1:$G$306,5,FALSE)</f>
        <v>3272024059</v>
      </c>
      <c r="F162" s="109">
        <f>VLOOKUP($A162,ANAGRAFICA!$B$1:$G$306,6,FALSE)</f>
        <v>2024</v>
      </c>
      <c r="G162" s="3">
        <v>1.0</v>
      </c>
      <c r="H162" s="3" t="s">
        <v>612</v>
      </c>
      <c r="I162" s="148">
        <v>45349.0</v>
      </c>
      <c r="J162" s="3" t="s">
        <v>502</v>
      </c>
      <c r="K162" s="11" t="b">
        <v>1</v>
      </c>
    </row>
    <row r="163">
      <c r="A163" s="3">
        <v>2.124003924E9</v>
      </c>
      <c r="B163" s="109" t="str">
        <f>VLOOKUP($A163,ANAGRAFICA!$B$1:$G$306,2,FALSE)</f>
        <v>MUHAMMAD</v>
      </c>
      <c r="C163" s="109" t="str">
        <f>VLOOKUP($A163,ANAGRAFICA!$B$1:$G$306,3,FALSE)</f>
        <v>SHARIF</v>
      </c>
      <c r="D163" s="109" t="str">
        <f>VLOOKUP($A163,ANAGRAFICA!$B$1:$G$306,4,FALSE)</f>
        <v/>
      </c>
      <c r="E163" s="109">
        <f>VLOOKUP($A163,ANAGRAFICA!$B$1:$G$306,5,FALSE)</f>
        <v>3272024059</v>
      </c>
      <c r="F163" s="109">
        <f>VLOOKUP($A163,ANAGRAFICA!$B$1:$G$306,6,FALSE)</f>
        <v>2024</v>
      </c>
      <c r="G163" s="3">
        <v>1.0</v>
      </c>
      <c r="H163" s="3" t="s">
        <v>613</v>
      </c>
      <c r="I163" s="148">
        <v>45349.0</v>
      </c>
      <c r="J163" s="3" t="s">
        <v>502</v>
      </c>
      <c r="K163" s="11" t="b">
        <v>1</v>
      </c>
    </row>
    <row r="164">
      <c r="A164" s="3">
        <v>2.124003924E9</v>
      </c>
      <c r="B164" s="109" t="str">
        <f>VLOOKUP($A164,ANAGRAFICA!$B$1:$G$306,2,FALSE)</f>
        <v>MUHAMMAD</v>
      </c>
      <c r="C164" s="109" t="str">
        <f>VLOOKUP($A164,ANAGRAFICA!$B$1:$G$306,3,FALSE)</f>
        <v>SHARIF</v>
      </c>
      <c r="D164" s="109" t="str">
        <f>VLOOKUP($A164,ANAGRAFICA!$B$1:$G$306,4,FALSE)</f>
        <v/>
      </c>
      <c r="E164" s="109">
        <f>VLOOKUP($A164,ANAGRAFICA!$B$1:$G$306,5,FALSE)</f>
        <v>3272024059</v>
      </c>
      <c r="F164" s="109">
        <f>VLOOKUP($A164,ANAGRAFICA!$B$1:$G$306,6,FALSE)</f>
        <v>2024</v>
      </c>
      <c r="G164" s="3">
        <v>1.0</v>
      </c>
      <c r="H164" s="3" t="s">
        <v>678</v>
      </c>
      <c r="I164" s="148">
        <v>45349.0</v>
      </c>
      <c r="J164" s="3" t="s">
        <v>353</v>
      </c>
      <c r="K164" s="11" t="b">
        <v>1</v>
      </c>
    </row>
    <row r="165">
      <c r="A165" s="3">
        <v>2.124003924E9</v>
      </c>
      <c r="B165" s="109" t="str">
        <f>VLOOKUP($A165,ANAGRAFICA!$B$1:$G$306,2,FALSE)</f>
        <v>MUHAMMAD</v>
      </c>
      <c r="C165" s="109" t="str">
        <f>VLOOKUP($A165,ANAGRAFICA!$B$1:$G$306,3,FALSE)</f>
        <v>SHARIF</v>
      </c>
      <c r="D165" s="109" t="str">
        <f>VLOOKUP($A165,ANAGRAFICA!$B$1:$G$306,4,FALSE)</f>
        <v/>
      </c>
      <c r="E165" s="109">
        <f>VLOOKUP($A165,ANAGRAFICA!$B$1:$G$306,5,FALSE)</f>
        <v>3272024059</v>
      </c>
      <c r="F165" s="109">
        <f>VLOOKUP($A165,ANAGRAFICA!$B$1:$G$306,6,FALSE)</f>
        <v>2024</v>
      </c>
      <c r="G165" s="3">
        <v>1.0</v>
      </c>
      <c r="H165" s="3" t="s">
        <v>605</v>
      </c>
      <c r="I165" s="148">
        <v>45349.0</v>
      </c>
      <c r="J165" s="3" t="s">
        <v>292</v>
      </c>
      <c r="K165" s="11" t="b">
        <v>0</v>
      </c>
    </row>
    <row r="166">
      <c r="A166" s="3">
        <v>2.124206072E9</v>
      </c>
      <c r="B166" s="109" t="str">
        <f>VLOOKUP($A166,ANAGRAFICA!$B$1:$G$306,2,FALSE)</f>
        <v>CONSONNI</v>
      </c>
      <c r="C166" s="109" t="str">
        <f>VLOOKUP($A166,ANAGRAFICA!$B$1:$G$306,3,FALSE)</f>
        <v>GIULIO</v>
      </c>
      <c r="D166" s="109" t="str">
        <f>VLOOKUP($A166,ANAGRAFICA!$B$1:$G$306,4,FALSE)</f>
        <v/>
      </c>
      <c r="E166" s="109">
        <f>VLOOKUP($A166,ANAGRAFICA!$B$1:$G$306,5,FALSE)</f>
        <v>3272024064</v>
      </c>
      <c r="F166" s="109">
        <f>VLOOKUP($A166,ANAGRAFICA!$B$1:$G$306,6,FALSE)</f>
        <v>2024</v>
      </c>
      <c r="G166" s="3">
        <v>2.0</v>
      </c>
      <c r="H166" s="3" t="s">
        <v>610</v>
      </c>
      <c r="I166" s="148">
        <v>45416.0</v>
      </c>
      <c r="J166" s="3" t="s">
        <v>679</v>
      </c>
      <c r="K166" s="11" t="b">
        <v>1</v>
      </c>
    </row>
    <row r="167">
      <c r="A167" s="3">
        <v>2.124023603E9</v>
      </c>
      <c r="B167" s="109" t="str">
        <f>VLOOKUP($A167,ANAGRAFICA!$B$1:$G$306,2,FALSE)</f>
        <v>MAZZARDIS </v>
      </c>
      <c r="C167" s="109" t="str">
        <f>VLOOKUP($A167,ANAGRAFICA!$B$1:$G$306,3,FALSE)</f>
        <v>DAVIDE</v>
      </c>
      <c r="D167" s="109" t="str">
        <f>VLOOKUP($A167,ANAGRAFICA!$B$1:$G$306,4,FALSE)</f>
        <v>758-19</v>
      </c>
      <c r="E167" s="109">
        <f>VLOOKUP($A167,ANAGRAFICA!$B$1:$G$306,5,FALSE)</f>
        <v>3272024085</v>
      </c>
      <c r="F167" s="109">
        <f>VLOOKUP($A167,ANAGRAFICA!$B$1:$G$306,6,FALSE)</f>
        <v>2024</v>
      </c>
      <c r="G167" s="3">
        <v>1.0</v>
      </c>
      <c r="H167" s="3" t="s">
        <v>607</v>
      </c>
      <c r="I167" s="148">
        <v>45625.0</v>
      </c>
      <c r="J167" s="3" t="s">
        <v>680</v>
      </c>
      <c r="K167" s="11" t="b">
        <v>1</v>
      </c>
    </row>
    <row r="168">
      <c r="A168" s="3">
        <v>2.124023603E9</v>
      </c>
      <c r="B168" s="109" t="str">
        <f>VLOOKUP($A168,ANAGRAFICA!$B$1:$G$306,2,FALSE)</f>
        <v>MAZZARDIS </v>
      </c>
      <c r="C168" s="109" t="str">
        <f>VLOOKUP($A168,ANAGRAFICA!$B$1:$G$306,3,FALSE)</f>
        <v>DAVIDE</v>
      </c>
      <c r="D168" s="109" t="str">
        <f>VLOOKUP($A168,ANAGRAFICA!$B$1:$G$306,4,FALSE)</f>
        <v>758-19</v>
      </c>
      <c r="E168" s="109">
        <f>VLOOKUP($A168,ANAGRAFICA!$B$1:$G$306,5,FALSE)</f>
        <v>3272024085</v>
      </c>
      <c r="F168" s="109">
        <f>VLOOKUP($A168,ANAGRAFICA!$B$1:$G$306,6,FALSE)</f>
        <v>2024</v>
      </c>
      <c r="G168" s="3">
        <v>1.0</v>
      </c>
      <c r="H168" s="3" t="s">
        <v>618</v>
      </c>
      <c r="I168" s="148">
        <v>45625.0</v>
      </c>
      <c r="J168" s="3" t="s">
        <v>680</v>
      </c>
      <c r="K168" s="11" t="b">
        <v>1</v>
      </c>
    </row>
    <row r="169">
      <c r="A169" s="3">
        <v>2.124023603E9</v>
      </c>
      <c r="B169" s="109" t="str">
        <f>VLOOKUP($A169,ANAGRAFICA!$B$1:$G$306,2,FALSE)</f>
        <v>MAZZARDIS </v>
      </c>
      <c r="C169" s="109" t="str">
        <f>VLOOKUP($A169,ANAGRAFICA!$B$1:$G$306,3,FALSE)</f>
        <v>DAVIDE</v>
      </c>
      <c r="D169" s="109" t="str">
        <f>VLOOKUP($A169,ANAGRAFICA!$B$1:$G$306,4,FALSE)</f>
        <v>758-19</v>
      </c>
      <c r="E169" s="109">
        <f>VLOOKUP($A169,ANAGRAFICA!$B$1:$G$306,5,FALSE)</f>
        <v>3272024085</v>
      </c>
      <c r="F169" s="109">
        <f>VLOOKUP($A169,ANAGRAFICA!$B$1:$G$306,6,FALSE)</f>
        <v>2024</v>
      </c>
      <c r="G169" s="3">
        <v>1.0</v>
      </c>
      <c r="H169" s="3" t="s">
        <v>615</v>
      </c>
      <c r="I169" s="148">
        <v>45627.0</v>
      </c>
      <c r="J169" s="3" t="s">
        <v>420</v>
      </c>
      <c r="K169" s="11" t="b">
        <v>1</v>
      </c>
    </row>
    <row r="170">
      <c r="A170" s="3">
        <v>2.124014461E9</v>
      </c>
      <c r="B170" s="109" t="str">
        <f>VLOOKUP($A170,ANAGRAFICA!$B$1:$G$306,2,FALSE)</f>
        <v>FUMAGALLI</v>
      </c>
      <c r="C170" s="109" t="str">
        <f>VLOOKUP($A170,ANAGRAFICA!$B$1:$G$306,3,FALSE)</f>
        <v>LUCA</v>
      </c>
      <c r="D170" s="109" t="str">
        <f>VLOOKUP($A170,ANAGRAFICA!$B$1:$G$306,4,FALSE)</f>
        <v>758-10</v>
      </c>
      <c r="E170" s="109">
        <f>VLOOKUP($A170,ANAGRAFICA!$B$1:$G$306,5,FALSE)</f>
        <v>3272024076</v>
      </c>
      <c r="F170" s="109">
        <f>VLOOKUP($A170,ANAGRAFICA!$B$1:$G$306,6,FALSE)</f>
        <v>2024</v>
      </c>
      <c r="G170" s="3">
        <v>1.0</v>
      </c>
      <c r="H170" s="3" t="s">
        <v>604</v>
      </c>
      <c r="I170" s="148">
        <v>45524.0</v>
      </c>
      <c r="J170" s="3" t="s">
        <v>446</v>
      </c>
      <c r="K170" s="11" t="b">
        <v>0</v>
      </c>
    </row>
    <row r="171">
      <c r="A171" s="3">
        <v>2.124014461E9</v>
      </c>
      <c r="B171" s="109" t="str">
        <f>VLOOKUP($A171,ANAGRAFICA!$B$1:$G$306,2,FALSE)</f>
        <v>FUMAGALLI</v>
      </c>
      <c r="C171" s="109" t="str">
        <f>VLOOKUP($A171,ANAGRAFICA!$B$1:$G$306,3,FALSE)</f>
        <v>LUCA</v>
      </c>
      <c r="D171" s="109" t="str">
        <f>VLOOKUP($A171,ANAGRAFICA!$B$1:$G$306,4,FALSE)</f>
        <v>758-10</v>
      </c>
      <c r="E171" s="109">
        <f>VLOOKUP($A171,ANAGRAFICA!$B$1:$G$306,5,FALSE)</f>
        <v>3272024076</v>
      </c>
      <c r="F171" s="109">
        <f>VLOOKUP($A171,ANAGRAFICA!$B$1:$G$306,6,FALSE)</f>
        <v>2024</v>
      </c>
      <c r="G171" s="3">
        <v>1.0</v>
      </c>
      <c r="H171" s="3" t="s">
        <v>645</v>
      </c>
      <c r="I171" s="148">
        <v>45526.0</v>
      </c>
      <c r="J171" s="3" t="s">
        <v>87</v>
      </c>
      <c r="K171" s="11"/>
    </row>
    <row r="172">
      <c r="A172" s="3">
        <v>2.124014461E9</v>
      </c>
      <c r="B172" s="109" t="str">
        <f>VLOOKUP($A172,ANAGRAFICA!$B$1:$G$306,2,FALSE)</f>
        <v>FUMAGALLI</v>
      </c>
      <c r="C172" s="109" t="str">
        <f>VLOOKUP($A172,ANAGRAFICA!$B$1:$G$306,3,FALSE)</f>
        <v>LUCA</v>
      </c>
      <c r="D172" s="109" t="str">
        <f>VLOOKUP($A172,ANAGRAFICA!$B$1:$G$306,4,FALSE)</f>
        <v>758-10</v>
      </c>
      <c r="E172" s="109">
        <f>VLOOKUP($A172,ANAGRAFICA!$B$1:$G$306,5,FALSE)</f>
        <v>3272024076</v>
      </c>
      <c r="F172" s="109">
        <f>VLOOKUP($A172,ANAGRAFICA!$B$1:$G$306,6,FALSE)</f>
        <v>2024</v>
      </c>
      <c r="G172" s="3">
        <v>1.0</v>
      </c>
      <c r="H172" s="3" t="s">
        <v>656</v>
      </c>
      <c r="I172" s="148">
        <v>45525.0</v>
      </c>
      <c r="J172" s="3" t="s">
        <v>516</v>
      </c>
      <c r="K172" s="11" t="b">
        <v>0</v>
      </c>
    </row>
    <row r="173">
      <c r="A173" s="3">
        <v>2.124014461E9</v>
      </c>
      <c r="B173" s="109" t="str">
        <f>VLOOKUP($A173,ANAGRAFICA!$B$1:$G$306,2,FALSE)</f>
        <v>FUMAGALLI</v>
      </c>
      <c r="C173" s="109" t="str">
        <f>VLOOKUP($A173,ANAGRAFICA!$B$1:$G$306,3,FALSE)</f>
        <v>LUCA</v>
      </c>
      <c r="D173" s="109" t="str">
        <f>VLOOKUP($A173,ANAGRAFICA!$B$1:$G$306,4,FALSE)</f>
        <v>758-10</v>
      </c>
      <c r="E173" s="109">
        <f>VLOOKUP($A173,ANAGRAFICA!$B$1:$G$306,5,FALSE)</f>
        <v>3272024076</v>
      </c>
      <c r="F173" s="109">
        <f>VLOOKUP($A173,ANAGRAFICA!$B$1:$G$306,6,FALSE)</f>
        <v>2024</v>
      </c>
      <c r="G173" s="3">
        <v>1.0</v>
      </c>
      <c r="H173" s="3" t="s">
        <v>605</v>
      </c>
      <c r="I173" s="148">
        <v>45529.0</v>
      </c>
      <c r="J173" s="3" t="s">
        <v>292</v>
      </c>
      <c r="K173" s="11" t="b">
        <v>0</v>
      </c>
    </row>
    <row r="174">
      <c r="A174" s="3">
        <v>2.124014461E9</v>
      </c>
      <c r="B174" s="109" t="str">
        <f>VLOOKUP($A174,ANAGRAFICA!$B$1:$G$306,2,FALSE)</f>
        <v>FUMAGALLI</v>
      </c>
      <c r="C174" s="109" t="str">
        <f>VLOOKUP($A174,ANAGRAFICA!$B$1:$G$306,3,FALSE)</f>
        <v>LUCA</v>
      </c>
      <c r="D174" s="109" t="str">
        <f>VLOOKUP($A174,ANAGRAFICA!$B$1:$G$306,4,FALSE)</f>
        <v>758-10</v>
      </c>
      <c r="E174" s="109">
        <f>VLOOKUP($A174,ANAGRAFICA!$B$1:$G$306,5,FALSE)</f>
        <v>3272024076</v>
      </c>
      <c r="F174" s="109">
        <f>VLOOKUP($A174,ANAGRAFICA!$B$1:$G$306,6,FALSE)</f>
        <v>2024</v>
      </c>
      <c r="G174" s="3">
        <v>1.0</v>
      </c>
      <c r="H174" s="3" t="s">
        <v>645</v>
      </c>
      <c r="I174" s="148">
        <v>45530.0</v>
      </c>
      <c r="J174" s="3" t="s">
        <v>353</v>
      </c>
      <c r="K174" s="11" t="b">
        <v>0</v>
      </c>
    </row>
    <row r="175">
      <c r="A175" s="3">
        <v>2.124014461E9</v>
      </c>
      <c r="B175" s="109" t="str">
        <f>VLOOKUP($A175,ANAGRAFICA!$B$1:$G$306,2,FALSE)</f>
        <v>FUMAGALLI</v>
      </c>
      <c r="C175" s="109" t="str">
        <f>VLOOKUP($A175,ANAGRAFICA!$B$1:$G$306,3,FALSE)</f>
        <v>LUCA</v>
      </c>
      <c r="D175" s="109" t="str">
        <f>VLOOKUP($A175,ANAGRAFICA!$B$1:$G$306,4,FALSE)</f>
        <v>758-10</v>
      </c>
      <c r="E175" s="109">
        <f>VLOOKUP($A175,ANAGRAFICA!$B$1:$G$306,5,FALSE)</f>
        <v>3272024076</v>
      </c>
      <c r="F175" s="109">
        <f>VLOOKUP($A175,ANAGRAFICA!$B$1:$G$306,6,FALSE)</f>
        <v>2024</v>
      </c>
      <c r="G175" s="3">
        <v>1.0</v>
      </c>
      <c r="H175" s="3" t="s">
        <v>645</v>
      </c>
      <c r="I175" s="148">
        <v>45533.0</v>
      </c>
      <c r="J175" s="3" t="s">
        <v>87</v>
      </c>
      <c r="K175" s="11" t="b">
        <v>0</v>
      </c>
    </row>
    <row r="176">
      <c r="A176" s="3">
        <v>2.124014461E9</v>
      </c>
      <c r="B176" s="109" t="str">
        <f>VLOOKUP($A176,ANAGRAFICA!$B$1:$G$306,2,FALSE)</f>
        <v>FUMAGALLI</v>
      </c>
      <c r="C176" s="109" t="str">
        <f>VLOOKUP($A176,ANAGRAFICA!$B$1:$G$306,3,FALSE)</f>
        <v>LUCA</v>
      </c>
      <c r="D176" s="109" t="str">
        <f>VLOOKUP($A176,ANAGRAFICA!$B$1:$G$306,4,FALSE)</f>
        <v>758-10</v>
      </c>
      <c r="E176" s="109">
        <f>VLOOKUP($A176,ANAGRAFICA!$B$1:$G$306,5,FALSE)</f>
        <v>3272024076</v>
      </c>
      <c r="F176" s="109">
        <f>VLOOKUP($A176,ANAGRAFICA!$B$1:$G$306,6,FALSE)</f>
        <v>2024</v>
      </c>
      <c r="G176" s="3">
        <v>1.0</v>
      </c>
      <c r="H176" s="3" t="s">
        <v>615</v>
      </c>
      <c r="I176" s="148">
        <v>45534.0</v>
      </c>
      <c r="J176" s="3" t="s">
        <v>420</v>
      </c>
      <c r="K176" s="11" t="b">
        <v>1</v>
      </c>
    </row>
    <row r="177">
      <c r="A177" s="3">
        <v>2.124016781E9</v>
      </c>
      <c r="B177" s="109" t="str">
        <f>VLOOKUP($A177,ANAGRAFICA!$B$1:$G$306,2,FALSE)</f>
        <v>TURNO ARTHEMALLE</v>
      </c>
      <c r="C177" s="109" t="str">
        <f>VLOOKUP($A177,ANAGRAFICA!$B$1:$G$306,3,FALSE)</f>
        <v>ALICE</v>
      </c>
      <c r="D177" s="109" t="str">
        <f>VLOOKUP($A177,ANAGRAFICA!$B$1:$G$306,4,FALSE)</f>
        <v>758-12</v>
      </c>
      <c r="E177" s="109">
        <f>VLOOKUP($A177,ANAGRAFICA!$B$1:$G$306,5,FALSE)</f>
        <v>3272024078</v>
      </c>
      <c r="F177" s="109">
        <f>VLOOKUP($A177,ANAGRAFICA!$B$1:$G$306,6,FALSE)</f>
        <v>2024</v>
      </c>
      <c r="G177" s="3">
        <v>1.0</v>
      </c>
      <c r="H177" s="3" t="s">
        <v>609</v>
      </c>
      <c r="I177" s="148">
        <v>45530.0</v>
      </c>
      <c r="J177" s="3" t="s">
        <v>516</v>
      </c>
      <c r="K177" s="11" t="b">
        <v>0</v>
      </c>
    </row>
    <row r="178">
      <c r="A178" s="3">
        <v>2.124016781E9</v>
      </c>
      <c r="B178" s="109" t="str">
        <f>VLOOKUP($A178,ANAGRAFICA!$B$1:$G$306,2,FALSE)</f>
        <v>TURNO ARTHEMALLE</v>
      </c>
      <c r="C178" s="109" t="str">
        <f>VLOOKUP($A178,ANAGRAFICA!$B$1:$G$306,3,FALSE)</f>
        <v>ALICE</v>
      </c>
      <c r="D178" s="109" t="str">
        <f>VLOOKUP($A178,ANAGRAFICA!$B$1:$G$306,4,FALSE)</f>
        <v>758-12</v>
      </c>
      <c r="E178" s="109">
        <f>VLOOKUP($A178,ANAGRAFICA!$B$1:$G$306,5,FALSE)</f>
        <v>3272024078</v>
      </c>
      <c r="F178" s="109">
        <f>VLOOKUP($A178,ANAGRAFICA!$B$1:$G$306,6,FALSE)</f>
        <v>2024</v>
      </c>
      <c r="G178" s="3">
        <v>1.0</v>
      </c>
      <c r="H178" s="3" t="s">
        <v>604</v>
      </c>
      <c r="I178" s="148">
        <v>45559.0</v>
      </c>
      <c r="K178" s="11" t="b">
        <v>0</v>
      </c>
    </row>
    <row r="179">
      <c r="A179" s="3">
        <v>2.124016781E9</v>
      </c>
      <c r="B179" s="109" t="str">
        <f>VLOOKUP($A179,ANAGRAFICA!$B$1:$G$306,2,FALSE)</f>
        <v>TURNO ARTHEMALLE</v>
      </c>
      <c r="C179" s="109" t="str">
        <f>VLOOKUP($A179,ANAGRAFICA!$B$1:$G$306,3,FALSE)</f>
        <v>ALICE</v>
      </c>
      <c r="D179" s="109" t="str">
        <f>VLOOKUP($A179,ANAGRAFICA!$B$1:$G$306,4,FALSE)</f>
        <v>758-12</v>
      </c>
      <c r="E179" s="109">
        <f>VLOOKUP($A179,ANAGRAFICA!$B$1:$G$306,5,FALSE)</f>
        <v>3272024078</v>
      </c>
      <c r="F179" s="109">
        <f>VLOOKUP($A179,ANAGRAFICA!$B$1:$G$306,6,FALSE)</f>
        <v>2024</v>
      </c>
      <c r="G179" s="3">
        <v>1.0</v>
      </c>
      <c r="H179" s="3" t="s">
        <v>681</v>
      </c>
      <c r="I179" s="148">
        <v>45562.0</v>
      </c>
      <c r="J179" s="3" t="s">
        <v>203</v>
      </c>
      <c r="K179" s="11" t="b">
        <v>0</v>
      </c>
    </row>
    <row r="180">
      <c r="A180" s="3">
        <v>2.124016781E9</v>
      </c>
      <c r="B180" s="109" t="str">
        <f>VLOOKUP($A180,ANAGRAFICA!$B$1:$G$306,2,FALSE)</f>
        <v>TURNO ARTHEMALLE</v>
      </c>
      <c r="C180" s="109" t="str">
        <f>VLOOKUP($A180,ANAGRAFICA!$B$1:$G$306,3,FALSE)</f>
        <v>ALICE</v>
      </c>
      <c r="D180" s="109" t="str">
        <f>VLOOKUP($A180,ANAGRAFICA!$B$1:$G$306,4,FALSE)</f>
        <v>758-12</v>
      </c>
      <c r="E180" s="109">
        <f>VLOOKUP($A180,ANAGRAFICA!$B$1:$G$306,5,FALSE)</f>
        <v>3272024078</v>
      </c>
      <c r="F180" s="109">
        <f>VLOOKUP($A180,ANAGRAFICA!$B$1:$G$306,6,FALSE)</f>
        <v>2024</v>
      </c>
      <c r="G180" s="3">
        <v>1.0</v>
      </c>
      <c r="H180" s="3" t="s">
        <v>645</v>
      </c>
      <c r="I180" s="148">
        <v>45563.0</v>
      </c>
      <c r="J180" s="3" t="s">
        <v>116</v>
      </c>
      <c r="K180" s="11" t="b">
        <v>0</v>
      </c>
    </row>
    <row r="181">
      <c r="A181" s="3">
        <v>2.124016781E9</v>
      </c>
      <c r="B181" s="109" t="str">
        <f>VLOOKUP($A181,ANAGRAFICA!$B$1:$G$306,2,FALSE)</f>
        <v>TURNO ARTHEMALLE</v>
      </c>
      <c r="C181" s="109" t="str">
        <f>VLOOKUP($A181,ANAGRAFICA!$B$1:$G$306,3,FALSE)</f>
        <v>ALICE</v>
      </c>
      <c r="D181" s="109" t="str">
        <f>VLOOKUP($A181,ANAGRAFICA!$B$1:$G$306,4,FALSE)</f>
        <v>758-12</v>
      </c>
      <c r="E181" s="109">
        <f>VLOOKUP($A181,ANAGRAFICA!$B$1:$G$306,5,FALSE)</f>
        <v>3272024078</v>
      </c>
      <c r="F181" s="109">
        <f>VLOOKUP($A181,ANAGRAFICA!$B$1:$G$306,6,FALSE)</f>
        <v>2024</v>
      </c>
      <c r="G181" s="3">
        <v>1.0</v>
      </c>
      <c r="H181" s="3" t="s">
        <v>681</v>
      </c>
      <c r="I181" s="148">
        <v>45565.0</v>
      </c>
      <c r="J181" s="153" t="s">
        <v>621</v>
      </c>
      <c r="K181" s="11" t="b">
        <v>0</v>
      </c>
    </row>
    <row r="182">
      <c r="A182" s="3">
        <v>2.124016781E9</v>
      </c>
      <c r="B182" s="109" t="str">
        <f>VLOOKUP($A182,ANAGRAFICA!$B$1:$G$306,2,FALSE)</f>
        <v>TURNO ARTHEMALLE</v>
      </c>
      <c r="C182" s="109" t="str">
        <f>VLOOKUP($A182,ANAGRAFICA!$B$1:$G$306,3,FALSE)</f>
        <v>ALICE</v>
      </c>
      <c r="D182" s="109" t="str">
        <f>VLOOKUP($A182,ANAGRAFICA!$B$1:$G$306,4,FALSE)</f>
        <v>758-12</v>
      </c>
      <c r="E182" s="109">
        <f>VLOOKUP($A182,ANAGRAFICA!$B$1:$G$306,5,FALSE)</f>
        <v>3272024078</v>
      </c>
      <c r="F182" s="109">
        <f>VLOOKUP($A182,ANAGRAFICA!$B$1:$G$306,6,FALSE)</f>
        <v>2024</v>
      </c>
      <c r="G182" s="3">
        <v>1.0</v>
      </c>
      <c r="H182" s="3" t="s">
        <v>615</v>
      </c>
      <c r="I182" s="148">
        <v>45566.0</v>
      </c>
      <c r="J182" s="3" t="s">
        <v>29</v>
      </c>
      <c r="K182" s="11" t="b">
        <v>0</v>
      </c>
    </row>
    <row r="183">
      <c r="A183" s="3">
        <v>2.124024078E9</v>
      </c>
      <c r="B183" s="109" t="str">
        <f>VLOOKUP($A183,ANAGRAFICA!$B$1:$G$306,2,FALSE)</f>
        <v>ROVARIS</v>
      </c>
      <c r="C183" s="109" t="str">
        <f>VLOOKUP($A183,ANAGRAFICA!$B$1:$G$306,3,FALSE)</f>
        <v>ANGELO FELICE</v>
      </c>
      <c r="D183" s="109" t="str">
        <f>VLOOKUP($A183,ANAGRAFICA!$B$1:$G$306,4,FALSE)</f>
        <v>758-20</v>
      </c>
      <c r="E183" s="109">
        <f>VLOOKUP($A183,ANAGRAFICA!$B$1:$G$306,5,FALSE)</f>
        <v>3272024086</v>
      </c>
      <c r="F183" s="109">
        <f>VLOOKUP($A183,ANAGRAFICA!$B$1:$G$306,6,FALSE)</f>
        <v>2024</v>
      </c>
      <c r="G183" s="3">
        <v>1.0</v>
      </c>
      <c r="H183" s="3" t="s">
        <v>610</v>
      </c>
      <c r="I183" s="148">
        <v>45624.0</v>
      </c>
      <c r="K183" s="11" t="b">
        <v>0</v>
      </c>
    </row>
    <row r="184">
      <c r="A184" s="3">
        <v>2.124025195E9</v>
      </c>
      <c r="B184" s="109" t="str">
        <f>VLOOKUP($A184,ANAGRAFICA!$B$1:$G$306,2,FALSE)</f>
        <v>FAZIO</v>
      </c>
      <c r="C184" s="109" t="str">
        <f>VLOOKUP($A184,ANAGRAFICA!$B$1:$G$306,3,FALSE)</f>
        <v>FRANCESCO ANTONIO</v>
      </c>
      <c r="D184" s="109" t="str">
        <f>VLOOKUP($A184,ANAGRAFICA!$B$1:$G$306,4,FALSE)</f>
        <v>758-21</v>
      </c>
      <c r="E184" s="109">
        <f>VLOOKUP($A184,ANAGRAFICA!$B$1:$G$306,5,FALSE)</f>
        <v>3272024087</v>
      </c>
      <c r="F184" s="109">
        <f>VLOOKUP($A184,ANAGRAFICA!$B$1:$G$306,6,FALSE)</f>
        <v>2024</v>
      </c>
      <c r="G184" s="3">
        <v>1.0</v>
      </c>
      <c r="H184" s="3" t="s">
        <v>610</v>
      </c>
      <c r="I184" s="148">
        <v>45632.0</v>
      </c>
      <c r="J184" s="3" t="s">
        <v>682</v>
      </c>
      <c r="K184" s="11" t="b">
        <v>1</v>
      </c>
    </row>
    <row r="185">
      <c r="A185" s="3">
        <v>2.124025195E9</v>
      </c>
      <c r="B185" s="109" t="str">
        <f>VLOOKUP($A185,ANAGRAFICA!$B$1:$G$306,2,FALSE)</f>
        <v>FAZIO</v>
      </c>
      <c r="C185" s="109" t="str">
        <f>VLOOKUP($A185,ANAGRAFICA!$B$1:$G$306,3,FALSE)</f>
        <v>FRANCESCO ANTONIO</v>
      </c>
      <c r="D185" s="109" t="str">
        <f>VLOOKUP($A185,ANAGRAFICA!$B$1:$G$306,4,FALSE)</f>
        <v>758-21</v>
      </c>
      <c r="E185" s="109">
        <f>VLOOKUP($A185,ANAGRAFICA!$B$1:$G$306,5,FALSE)</f>
        <v>3272024087</v>
      </c>
      <c r="F185" s="109">
        <f>VLOOKUP($A185,ANAGRAFICA!$B$1:$G$306,6,FALSE)</f>
        <v>2024</v>
      </c>
      <c r="G185" s="3">
        <v>1.0</v>
      </c>
      <c r="H185" s="3" t="s">
        <v>612</v>
      </c>
      <c r="I185" s="148">
        <v>45636.0</v>
      </c>
      <c r="J185" s="3" t="s">
        <v>58</v>
      </c>
      <c r="K185" s="11" t="b">
        <v>1</v>
      </c>
    </row>
    <row r="186">
      <c r="A186" s="3">
        <v>2.125000348E9</v>
      </c>
      <c r="B186" s="109" t="str">
        <f>VLOOKUP($A186,ANAGRAFICA!$B$1:$G$306,2,FALSE)</f>
        <v>SLAVKOVA</v>
      </c>
      <c r="C186" s="109" t="str">
        <f>VLOOKUP($A186,ANAGRAFICA!$B$1:$G$306,3,FALSE)</f>
        <v>EVELINA PLAMENOVA</v>
      </c>
      <c r="D186" s="109" t="str">
        <f>VLOOKUP($A186,ANAGRAFICA!$B$1:$G$306,4,FALSE)</f>
        <v/>
      </c>
      <c r="E186" s="109">
        <f>VLOOKUP($A186,ANAGRAFICA!$B$1:$G$306,5,FALSE)</f>
        <v>3272025051</v>
      </c>
      <c r="F186" s="109">
        <f>VLOOKUP($A186,ANAGRAFICA!$B$1:$G$306,6,FALSE)</f>
        <v>2025</v>
      </c>
      <c r="G186" s="3">
        <v>1.0</v>
      </c>
      <c r="H186" s="3" t="s">
        <v>614</v>
      </c>
      <c r="I186" s="148">
        <v>45662.0</v>
      </c>
      <c r="J186" s="3" t="s">
        <v>683</v>
      </c>
      <c r="K186" s="11" t="b">
        <v>1</v>
      </c>
    </row>
    <row r="187">
      <c r="A187" s="3">
        <v>2.125000348E9</v>
      </c>
      <c r="B187" s="109" t="str">
        <f>VLOOKUP($A187,ANAGRAFICA!$B$1:$G$306,2,FALSE)</f>
        <v>SLAVKOVA</v>
      </c>
      <c r="C187" s="109" t="str">
        <f>VLOOKUP($A187,ANAGRAFICA!$B$1:$G$306,3,FALSE)</f>
        <v>EVELINA PLAMENOVA</v>
      </c>
      <c r="D187" s="109" t="str">
        <f>VLOOKUP($A187,ANAGRAFICA!$B$1:$G$306,4,FALSE)</f>
        <v/>
      </c>
      <c r="E187" s="109">
        <f>VLOOKUP($A187,ANAGRAFICA!$B$1:$G$306,5,FALSE)</f>
        <v>3272025051</v>
      </c>
      <c r="F187" s="109">
        <f>VLOOKUP($A187,ANAGRAFICA!$B$1:$G$306,6,FALSE)</f>
        <v>2025</v>
      </c>
      <c r="G187" s="3">
        <v>1.0</v>
      </c>
      <c r="H187" s="3" t="s">
        <v>613</v>
      </c>
      <c r="I187" s="148">
        <v>45662.0</v>
      </c>
      <c r="J187" s="3" t="s">
        <v>683</v>
      </c>
      <c r="K187" s="11" t="b">
        <v>1</v>
      </c>
    </row>
    <row r="188">
      <c r="A188" s="3">
        <v>2.125000348E9</v>
      </c>
      <c r="B188" s="109" t="str">
        <f>VLOOKUP($A188,ANAGRAFICA!$B$1:$G$306,2,FALSE)</f>
        <v>SLAVKOVA</v>
      </c>
      <c r="C188" s="109" t="str">
        <f>VLOOKUP($A188,ANAGRAFICA!$B$1:$G$306,3,FALSE)</f>
        <v>EVELINA PLAMENOVA</v>
      </c>
      <c r="D188" s="109" t="str">
        <f>VLOOKUP($A188,ANAGRAFICA!$B$1:$G$306,4,FALSE)</f>
        <v/>
      </c>
      <c r="E188" s="109">
        <f>VLOOKUP($A188,ANAGRAFICA!$B$1:$G$306,5,FALSE)</f>
        <v>3272025051</v>
      </c>
      <c r="F188" s="109">
        <f>VLOOKUP($A188,ANAGRAFICA!$B$1:$G$306,6,FALSE)</f>
        <v>2025</v>
      </c>
      <c r="G188" s="3">
        <v>1.0</v>
      </c>
      <c r="H188" s="3" t="s">
        <v>612</v>
      </c>
      <c r="I188" s="148">
        <v>45662.0</v>
      </c>
      <c r="J188" s="3" t="s">
        <v>683</v>
      </c>
      <c r="K188" s="11" t="b">
        <v>1</v>
      </c>
    </row>
    <row r="189">
      <c r="A189" s="3">
        <v>2.125000348E9</v>
      </c>
      <c r="B189" s="109" t="str">
        <f>VLOOKUP($A189,ANAGRAFICA!$B$1:$G$306,2,FALSE)</f>
        <v>SLAVKOVA</v>
      </c>
      <c r="C189" s="109" t="str">
        <f>VLOOKUP($A189,ANAGRAFICA!$B$1:$G$306,3,FALSE)</f>
        <v>EVELINA PLAMENOVA</v>
      </c>
      <c r="D189" s="109" t="str">
        <f>VLOOKUP($A189,ANAGRAFICA!$B$1:$G$306,4,FALSE)</f>
        <v/>
      </c>
      <c r="E189" s="109">
        <f>VLOOKUP($A189,ANAGRAFICA!$B$1:$G$306,5,FALSE)</f>
        <v>3272025051</v>
      </c>
      <c r="F189" s="109">
        <f>VLOOKUP($A189,ANAGRAFICA!$B$1:$G$306,6,FALSE)</f>
        <v>2025</v>
      </c>
      <c r="G189" s="3">
        <v>1.0</v>
      </c>
      <c r="H189" s="3" t="s">
        <v>646</v>
      </c>
      <c r="I189" s="148">
        <v>45663.0</v>
      </c>
      <c r="J189" s="3" t="s">
        <v>684</v>
      </c>
      <c r="K189" s="11" t="b">
        <v>1</v>
      </c>
    </row>
    <row r="190">
      <c r="A190" s="3">
        <v>2.125000348E9</v>
      </c>
      <c r="B190" s="109" t="str">
        <f>VLOOKUP($A190,ANAGRAFICA!$B$1:$G$306,2,FALSE)</f>
        <v>SLAVKOVA</v>
      </c>
      <c r="C190" s="109" t="str">
        <f>VLOOKUP($A190,ANAGRAFICA!$B$1:$G$306,3,FALSE)</f>
        <v>EVELINA PLAMENOVA</v>
      </c>
      <c r="D190" s="109" t="str">
        <f>VLOOKUP($A190,ANAGRAFICA!$B$1:$G$306,4,FALSE)</f>
        <v/>
      </c>
      <c r="E190" s="109">
        <f>VLOOKUP($A190,ANAGRAFICA!$B$1:$G$306,5,FALSE)</f>
        <v>3272025051</v>
      </c>
      <c r="F190" s="109">
        <f>VLOOKUP($A190,ANAGRAFICA!$B$1:$G$306,6,FALSE)</f>
        <v>2025</v>
      </c>
      <c r="G190" s="3">
        <v>1.0</v>
      </c>
      <c r="H190" s="3" t="s">
        <v>613</v>
      </c>
      <c r="I190" s="148">
        <v>45663.0</v>
      </c>
      <c r="J190" s="3" t="s">
        <v>685</v>
      </c>
      <c r="K190" s="11" t="b">
        <v>1</v>
      </c>
    </row>
    <row r="191">
      <c r="A191" s="3">
        <v>2.125000348E9</v>
      </c>
      <c r="B191" s="109" t="str">
        <f>VLOOKUP($A191,ANAGRAFICA!$B$1:$G$306,2,FALSE)</f>
        <v>SLAVKOVA</v>
      </c>
      <c r="C191" s="109" t="str">
        <f>VLOOKUP($A191,ANAGRAFICA!$B$1:$G$306,3,FALSE)</f>
        <v>EVELINA PLAMENOVA</v>
      </c>
      <c r="D191" s="109" t="str">
        <f>VLOOKUP($A191,ANAGRAFICA!$B$1:$G$306,4,FALSE)</f>
        <v/>
      </c>
      <c r="E191" s="109">
        <f>VLOOKUP($A191,ANAGRAFICA!$B$1:$G$306,5,FALSE)</f>
        <v>3272025051</v>
      </c>
      <c r="F191" s="109">
        <f>VLOOKUP($A191,ANAGRAFICA!$B$1:$G$306,6,FALSE)</f>
        <v>2025</v>
      </c>
      <c r="G191" s="3">
        <v>1.0</v>
      </c>
      <c r="H191" s="3" t="s">
        <v>614</v>
      </c>
      <c r="I191" s="148">
        <v>45663.0</v>
      </c>
      <c r="J191" s="3" t="s">
        <v>685</v>
      </c>
      <c r="K191" s="11" t="b">
        <v>1</v>
      </c>
    </row>
    <row r="192">
      <c r="A192" s="3">
        <v>2.125000348E9</v>
      </c>
      <c r="B192" s="109" t="str">
        <f>VLOOKUP($A192,ANAGRAFICA!$B$1:$G$306,2,FALSE)</f>
        <v>SLAVKOVA</v>
      </c>
      <c r="C192" s="109" t="str">
        <f>VLOOKUP($A192,ANAGRAFICA!$B$1:$G$306,3,FALSE)</f>
        <v>EVELINA PLAMENOVA</v>
      </c>
      <c r="D192" s="109" t="str">
        <f>VLOOKUP($A192,ANAGRAFICA!$B$1:$G$306,4,FALSE)</f>
        <v/>
      </c>
      <c r="E192" s="109">
        <f>VLOOKUP($A192,ANAGRAFICA!$B$1:$G$306,5,FALSE)</f>
        <v>3272025051</v>
      </c>
      <c r="F192" s="109">
        <f>VLOOKUP($A192,ANAGRAFICA!$B$1:$G$306,6,FALSE)</f>
        <v>2025</v>
      </c>
      <c r="G192" s="3">
        <v>1.0</v>
      </c>
      <c r="H192" s="3" t="s">
        <v>635</v>
      </c>
      <c r="I192" s="148">
        <v>45663.0</v>
      </c>
      <c r="J192" s="3" t="s">
        <v>685</v>
      </c>
      <c r="K192" s="11" t="b">
        <v>1</v>
      </c>
    </row>
    <row r="193">
      <c r="A193" s="3">
        <v>2.125000348E9</v>
      </c>
      <c r="B193" s="109" t="str">
        <f>VLOOKUP($A193,ANAGRAFICA!$B$1:$G$306,2,FALSE)</f>
        <v>SLAVKOVA</v>
      </c>
      <c r="C193" s="109" t="str">
        <f>VLOOKUP($A193,ANAGRAFICA!$B$1:$G$306,3,FALSE)</f>
        <v>EVELINA PLAMENOVA</v>
      </c>
      <c r="D193" s="109" t="str">
        <f>VLOOKUP($A193,ANAGRAFICA!$B$1:$G$306,4,FALSE)</f>
        <v/>
      </c>
      <c r="E193" s="109">
        <f>VLOOKUP($A193,ANAGRAFICA!$B$1:$G$306,5,FALSE)</f>
        <v>3272025051</v>
      </c>
      <c r="F193" s="109">
        <f>VLOOKUP($A193,ANAGRAFICA!$B$1:$G$306,6,FALSE)</f>
        <v>2025</v>
      </c>
      <c r="G193" s="3">
        <v>1.0</v>
      </c>
      <c r="H193" s="3" t="s">
        <v>612</v>
      </c>
      <c r="I193" s="77">
        <v>45297.0</v>
      </c>
      <c r="J193" s="3" t="s">
        <v>685</v>
      </c>
      <c r="K193" s="11" t="b">
        <v>1</v>
      </c>
    </row>
    <row r="194">
      <c r="A194" s="3">
        <v>2.125000348E9</v>
      </c>
      <c r="B194" s="109" t="str">
        <f>VLOOKUP($A194,ANAGRAFICA!$B$1:$G$306,2,FALSE)</f>
        <v>SLAVKOVA</v>
      </c>
      <c r="C194" s="109" t="str">
        <f>VLOOKUP($A194,ANAGRAFICA!$B$1:$G$306,3,FALSE)</f>
        <v>EVELINA PLAMENOVA</v>
      </c>
      <c r="D194" s="109" t="str">
        <f>VLOOKUP($A194,ANAGRAFICA!$B$1:$G$306,4,FALSE)</f>
        <v/>
      </c>
      <c r="E194" s="109">
        <f>VLOOKUP($A194,ANAGRAFICA!$B$1:$G$306,5,FALSE)</f>
        <v>3272025051</v>
      </c>
      <c r="F194" s="109">
        <f>VLOOKUP($A194,ANAGRAFICA!$B$1:$G$306,6,FALSE)</f>
        <v>2025</v>
      </c>
      <c r="G194" s="3">
        <v>1.0</v>
      </c>
      <c r="H194" s="3" t="s">
        <v>648</v>
      </c>
      <c r="I194" s="148">
        <v>45664.0</v>
      </c>
      <c r="J194" s="3" t="s">
        <v>686</v>
      </c>
      <c r="K194" s="11" t="b">
        <v>1</v>
      </c>
    </row>
    <row r="195">
      <c r="A195" s="3">
        <v>2.125000348E9</v>
      </c>
      <c r="B195" s="109" t="str">
        <f>VLOOKUP($A195,ANAGRAFICA!$B$1:$G$306,2,FALSE)</f>
        <v>SLAVKOVA</v>
      </c>
      <c r="C195" s="109" t="str">
        <f>VLOOKUP($A195,ANAGRAFICA!$B$1:$G$306,3,FALSE)</f>
        <v>EVELINA PLAMENOVA</v>
      </c>
      <c r="D195" s="109" t="str">
        <f>VLOOKUP($A195,ANAGRAFICA!$B$1:$G$306,4,FALSE)</f>
        <v/>
      </c>
      <c r="E195" s="109">
        <f>VLOOKUP($A195,ANAGRAFICA!$B$1:$G$306,5,FALSE)</f>
        <v>3272025051</v>
      </c>
      <c r="F195" s="109">
        <f>VLOOKUP($A195,ANAGRAFICA!$B$1:$G$306,6,FALSE)</f>
        <v>2025</v>
      </c>
      <c r="G195" s="3">
        <v>1.0</v>
      </c>
      <c r="H195" s="3" t="s">
        <v>609</v>
      </c>
      <c r="I195" s="148">
        <v>45664.0</v>
      </c>
      <c r="J195" s="3" t="s">
        <v>687</v>
      </c>
      <c r="K195" s="11" t="b">
        <v>1</v>
      </c>
    </row>
    <row r="196">
      <c r="A196" s="3">
        <v>2.124025878E9</v>
      </c>
      <c r="B196" s="109" t="str">
        <f>VLOOKUP($A196,ANAGRAFICA!$B$1:$G$306,2,FALSE)</f>
        <v>PEDRONI </v>
      </c>
      <c r="C196" s="109" t="str">
        <f>VLOOKUP($A196,ANAGRAFICA!$B$1:$G$306,3,FALSE)</f>
        <v>PIERANGELO</v>
      </c>
      <c r="D196" s="109" t="str">
        <f>VLOOKUP($A196,ANAGRAFICA!$B$1:$G$306,4,FALSE)</f>
        <v>758-22</v>
      </c>
      <c r="E196" s="109">
        <f>VLOOKUP($A196,ANAGRAFICA!$B$1:$G$306,5,FALSE)</f>
        <v>3272024088</v>
      </c>
      <c r="F196" s="109">
        <f>VLOOKUP($A196,ANAGRAFICA!$B$1:$G$306,6,FALSE)</f>
        <v>2024</v>
      </c>
      <c r="G196" s="3">
        <v>1.0</v>
      </c>
      <c r="H196" s="3" t="s">
        <v>603</v>
      </c>
      <c r="I196" s="148">
        <v>45636.0</v>
      </c>
      <c r="J196" s="3" t="s">
        <v>324</v>
      </c>
      <c r="K196" s="11" t="b">
        <v>0</v>
      </c>
    </row>
    <row r="197">
      <c r="A197" s="3">
        <v>2.125004454E9</v>
      </c>
      <c r="B197" s="109" t="str">
        <f>VLOOKUP($A197,ANAGRAFICA!$B$1:$G$306,2,FALSE)</f>
        <v>ANTIGNANO</v>
      </c>
      <c r="C197" s="109" t="str">
        <f>VLOOKUP($A197,ANAGRAFICA!$B$1:$G$306,3,FALSE)</f>
        <v>MAURO</v>
      </c>
      <c r="D197" s="109" t="str">
        <f>VLOOKUP($A197,ANAGRAFICA!$B$1:$G$306,4,FALSE)</f>
        <v>758-23</v>
      </c>
      <c r="E197" s="109">
        <f>VLOOKUP($A197,ANAGRAFICA!$B$1:$G$306,5,FALSE)</f>
        <v>3272025052</v>
      </c>
      <c r="F197" s="109">
        <f>VLOOKUP($A197,ANAGRAFICA!$B$1:$G$306,6,FALSE)</f>
        <v>2025</v>
      </c>
      <c r="G197" s="3">
        <v>1.0</v>
      </c>
      <c r="H197" s="3" t="s">
        <v>612</v>
      </c>
      <c r="I197" s="148">
        <v>45688.0</v>
      </c>
      <c r="J197" s="3" t="s">
        <v>688</v>
      </c>
      <c r="K197" s="11" t="b">
        <v>1</v>
      </c>
    </row>
    <row r="198">
      <c r="A198" s="3">
        <v>2.125004454E9</v>
      </c>
      <c r="B198" s="109" t="str">
        <f>VLOOKUP($A198,ANAGRAFICA!$B$1:$G$306,2,FALSE)</f>
        <v>ANTIGNANO</v>
      </c>
      <c r="C198" s="109" t="str">
        <f>VLOOKUP($A198,ANAGRAFICA!$B$1:$G$306,3,FALSE)</f>
        <v>MAURO</v>
      </c>
      <c r="D198" s="109" t="str">
        <f>VLOOKUP($A198,ANAGRAFICA!$B$1:$G$306,4,FALSE)</f>
        <v>758-23</v>
      </c>
      <c r="E198" s="109">
        <f>VLOOKUP($A198,ANAGRAFICA!$B$1:$G$306,5,FALSE)</f>
        <v>3272025052</v>
      </c>
      <c r="F198" s="109">
        <f>VLOOKUP($A198,ANAGRAFICA!$B$1:$G$306,6,FALSE)</f>
        <v>2025</v>
      </c>
      <c r="G198" s="3">
        <v>1.0</v>
      </c>
      <c r="H198" s="3" t="s">
        <v>613</v>
      </c>
      <c r="I198" s="148">
        <v>45688.0</v>
      </c>
      <c r="J198" s="3" t="s">
        <v>689</v>
      </c>
      <c r="K198" s="11" t="b">
        <v>1</v>
      </c>
    </row>
    <row r="199">
      <c r="A199" s="3">
        <v>2.125004454E9</v>
      </c>
      <c r="B199" s="109" t="str">
        <f>VLOOKUP($A199,ANAGRAFICA!$B$1:$G$306,2,FALSE)</f>
        <v>ANTIGNANO</v>
      </c>
      <c r="C199" s="109" t="str">
        <f>VLOOKUP($A199,ANAGRAFICA!$B$1:$G$306,3,FALSE)</f>
        <v>MAURO</v>
      </c>
      <c r="D199" s="109" t="str">
        <f>VLOOKUP($A199,ANAGRAFICA!$B$1:$G$306,4,FALSE)</f>
        <v>758-23</v>
      </c>
      <c r="E199" s="109">
        <f>VLOOKUP($A199,ANAGRAFICA!$B$1:$G$306,5,FALSE)</f>
        <v>3272025052</v>
      </c>
      <c r="F199" s="109">
        <f>VLOOKUP($A199,ANAGRAFICA!$B$1:$G$306,6,FALSE)</f>
        <v>2025</v>
      </c>
      <c r="G199" s="3">
        <v>1.0</v>
      </c>
      <c r="H199" s="3" t="s">
        <v>623</v>
      </c>
      <c r="I199" s="148">
        <v>45688.0</v>
      </c>
      <c r="J199" s="3" t="s">
        <v>689</v>
      </c>
      <c r="K199" s="11" t="b">
        <v>1</v>
      </c>
    </row>
    <row r="200">
      <c r="A200" s="3">
        <v>2.125004454E9</v>
      </c>
      <c r="B200" s="109" t="str">
        <f>VLOOKUP($A200,ANAGRAFICA!$B$1:$G$306,2,FALSE)</f>
        <v>ANTIGNANO</v>
      </c>
      <c r="C200" s="109" t="str">
        <f>VLOOKUP($A200,ANAGRAFICA!$B$1:$G$306,3,FALSE)</f>
        <v>MAURO</v>
      </c>
      <c r="D200" s="109" t="str">
        <f>VLOOKUP($A200,ANAGRAFICA!$B$1:$G$306,4,FALSE)</f>
        <v>758-23</v>
      </c>
      <c r="E200" s="109">
        <f>VLOOKUP($A200,ANAGRAFICA!$B$1:$G$306,5,FALSE)</f>
        <v>3272025052</v>
      </c>
      <c r="F200" s="109">
        <f>VLOOKUP($A200,ANAGRAFICA!$B$1:$G$306,6,FALSE)</f>
        <v>2025</v>
      </c>
      <c r="G200" s="3">
        <v>1.0</v>
      </c>
      <c r="H200" s="3" t="s">
        <v>610</v>
      </c>
      <c r="I200" s="148">
        <v>45688.0</v>
      </c>
      <c r="J200" s="3" t="s">
        <v>690</v>
      </c>
      <c r="K200" s="11" t="b">
        <v>0</v>
      </c>
    </row>
    <row r="201">
      <c r="A201" s="3">
        <v>2.125004867E9</v>
      </c>
      <c r="B201" s="109" t="str">
        <f>VLOOKUP($A201,ANAGRAFICA!$B$1:$G$306,2,FALSE)</f>
        <v>MARCONI</v>
      </c>
      <c r="C201" s="109" t="str">
        <f>VLOOKUP($A201,ANAGRAFICA!$B$1:$G$306,3,FALSE)</f>
        <v>PIETRO VITTORIO</v>
      </c>
      <c r="D201" s="109" t="str">
        <f>VLOOKUP($A201,ANAGRAFICA!$B$1:$G$306,4,FALSE)</f>
        <v/>
      </c>
      <c r="E201" s="154" t="s">
        <v>691</v>
      </c>
      <c r="F201" s="109">
        <f>VLOOKUP($A201,ANAGRAFICA!$B$1:$G$306,6,FALSE)</f>
        <v>2025</v>
      </c>
      <c r="G201" s="3">
        <v>1.0</v>
      </c>
      <c r="H201" s="3" t="s">
        <v>610</v>
      </c>
      <c r="I201" s="148">
        <v>45691.0</v>
      </c>
      <c r="J201" s="3" t="s">
        <v>59</v>
      </c>
      <c r="K201" s="11" t="b">
        <v>0</v>
      </c>
    </row>
    <row r="202">
      <c r="A202" s="3">
        <v>2.125004867E9</v>
      </c>
      <c r="B202" s="109" t="str">
        <f>VLOOKUP($A202,ANAGRAFICA!$B$1:$G$306,2,FALSE)</f>
        <v>MARCONI</v>
      </c>
      <c r="C202" s="109" t="str">
        <f>VLOOKUP($A202,ANAGRAFICA!$B$1:$G$306,3,FALSE)</f>
        <v>PIETRO VITTORIO</v>
      </c>
      <c r="D202" s="109" t="str">
        <f>VLOOKUP($A202,ANAGRAFICA!$B$1:$G$306,4,FALSE)</f>
        <v/>
      </c>
      <c r="E202" s="154" t="s">
        <v>691</v>
      </c>
      <c r="F202" s="109">
        <f>VLOOKUP($A202,ANAGRAFICA!$B$1:$G$306,6,FALSE)</f>
        <v>2025</v>
      </c>
      <c r="G202" s="3">
        <v>1.0</v>
      </c>
      <c r="H202" s="3" t="s">
        <v>612</v>
      </c>
      <c r="I202" s="148">
        <v>45691.0</v>
      </c>
      <c r="J202" s="3" t="s">
        <v>50</v>
      </c>
      <c r="K202" s="11" t="b">
        <v>0</v>
      </c>
    </row>
    <row r="203">
      <c r="A203" s="3">
        <v>2.125004867E9</v>
      </c>
      <c r="B203" s="109" t="str">
        <f>VLOOKUP($A203,ANAGRAFICA!$B$1:$G$306,2,FALSE)</f>
        <v>MARCONI</v>
      </c>
      <c r="C203" s="109" t="str">
        <f>VLOOKUP($A203,ANAGRAFICA!$B$1:$G$306,3,FALSE)</f>
        <v>PIETRO VITTORIO</v>
      </c>
      <c r="D203" s="109" t="str">
        <f>VLOOKUP($A203,ANAGRAFICA!$B$1:$G$306,4,FALSE)</f>
        <v/>
      </c>
      <c r="E203" s="154" t="s">
        <v>691</v>
      </c>
      <c r="F203" s="109">
        <f>VLOOKUP($A203,ANAGRAFICA!$B$1:$G$306,6,FALSE)</f>
        <v>2025</v>
      </c>
      <c r="G203" s="3">
        <v>1.0</v>
      </c>
      <c r="H203" s="3" t="s">
        <v>609</v>
      </c>
      <c r="I203" s="148">
        <v>45692.0</v>
      </c>
      <c r="J203" s="3" t="s">
        <v>59</v>
      </c>
      <c r="K203" s="11" t="b">
        <v>0</v>
      </c>
    </row>
    <row r="204">
      <c r="A204" s="3">
        <v>2.025010247E9</v>
      </c>
      <c r="B204" s="109" t="str">
        <f>VLOOKUP($A204,ANAGRAFICA!$B$1:$G$306,2,FALSE)</f>
        <v>TREMOLADA</v>
      </c>
      <c r="C204" s="109" t="str">
        <f>VLOOKUP($A204,ANAGRAFICA!$B$1:$G$306,3,FALSE)</f>
        <v>MARCO</v>
      </c>
      <c r="D204" s="109" t="str">
        <f>VLOOKUP($A204,ANAGRAFICA!$B$1:$G$306,4,FALSE)</f>
        <v>758-25</v>
      </c>
      <c r="E204" s="109">
        <f>VLOOKUP($A204,ANAGRAFICA!$B$1:$G$306,5,FALSE)</f>
        <v>3272025054</v>
      </c>
      <c r="F204" s="109">
        <f>VLOOKUP($A204,ANAGRAFICA!$B$1:$G$306,6,FALSE)</f>
        <v>2025</v>
      </c>
      <c r="G204" s="3">
        <v>1.0</v>
      </c>
      <c r="H204" s="3" t="s">
        <v>648</v>
      </c>
      <c r="I204" s="148">
        <v>45720.0</v>
      </c>
      <c r="J204" s="3" t="s">
        <v>692</v>
      </c>
      <c r="K204" s="11" t="b">
        <v>1</v>
      </c>
    </row>
    <row r="205">
      <c r="A205" s="3">
        <v>2.025010247E9</v>
      </c>
      <c r="B205" s="109" t="str">
        <f>VLOOKUP($A205,ANAGRAFICA!$B$1:$G$306,2,FALSE)</f>
        <v>TREMOLADA</v>
      </c>
      <c r="C205" s="109" t="str">
        <f>VLOOKUP($A205,ANAGRAFICA!$B$1:$G$306,3,FALSE)</f>
        <v>MARCO</v>
      </c>
      <c r="D205" s="109" t="str">
        <f>VLOOKUP($A205,ANAGRAFICA!$B$1:$G$306,4,FALSE)</f>
        <v>758-25</v>
      </c>
      <c r="E205" s="109">
        <f>VLOOKUP($A205,ANAGRAFICA!$B$1:$G$306,5,FALSE)</f>
        <v>3272025054</v>
      </c>
      <c r="F205" s="109">
        <f>VLOOKUP($A205,ANAGRAFICA!$B$1:$G$306,6,FALSE)</f>
        <v>2025</v>
      </c>
      <c r="G205" s="3">
        <v>1.0</v>
      </c>
      <c r="H205" s="3" t="s">
        <v>609</v>
      </c>
      <c r="I205" s="148">
        <v>45721.0</v>
      </c>
      <c r="J205" s="3" t="s">
        <v>203</v>
      </c>
      <c r="K205" s="11" t="b">
        <v>0</v>
      </c>
    </row>
    <row r="206">
      <c r="A206" s="3">
        <v>2.025010247E9</v>
      </c>
      <c r="B206" s="109" t="str">
        <f>VLOOKUP($A206,ANAGRAFICA!$B$1:$G$306,2,FALSE)</f>
        <v>TREMOLADA</v>
      </c>
      <c r="C206" s="109" t="str">
        <f>VLOOKUP($A206,ANAGRAFICA!$B$1:$G$306,3,FALSE)</f>
        <v>MARCO</v>
      </c>
      <c r="D206" s="109" t="str">
        <f>VLOOKUP($A206,ANAGRAFICA!$B$1:$G$306,4,FALSE)</f>
        <v>758-25</v>
      </c>
      <c r="E206" s="109">
        <f>VLOOKUP($A206,ANAGRAFICA!$B$1:$G$306,5,FALSE)</f>
        <v>3272025054</v>
      </c>
      <c r="F206" s="109">
        <f>VLOOKUP($A206,ANAGRAFICA!$B$1:$G$306,6,FALSE)</f>
        <v>2025</v>
      </c>
      <c r="G206" s="3">
        <v>1.0</v>
      </c>
      <c r="H206" s="3" t="s">
        <v>619</v>
      </c>
      <c r="I206" s="148">
        <v>45725.0</v>
      </c>
      <c r="J206" s="3" t="s">
        <v>693</v>
      </c>
      <c r="K206" s="11" t="b">
        <v>0</v>
      </c>
    </row>
    <row r="207">
      <c r="A207" s="3">
        <v>2.025010247E9</v>
      </c>
      <c r="B207" s="109" t="str">
        <f>VLOOKUP($A207,ANAGRAFICA!$B$1:$G$306,2,FALSE)</f>
        <v>TREMOLADA</v>
      </c>
      <c r="C207" s="109" t="str">
        <f>VLOOKUP($A207,ANAGRAFICA!$B$1:$G$306,3,FALSE)</f>
        <v>MARCO</v>
      </c>
      <c r="D207" s="109" t="str">
        <f>VLOOKUP($A207,ANAGRAFICA!$B$1:$G$306,4,FALSE)</f>
        <v>758-25</v>
      </c>
      <c r="E207" s="109">
        <f>VLOOKUP($A207,ANAGRAFICA!$B$1:$G$306,5,FALSE)</f>
        <v>3272025054</v>
      </c>
      <c r="F207" s="109">
        <f>VLOOKUP($A207,ANAGRAFICA!$B$1:$G$306,6,FALSE)</f>
        <v>2025</v>
      </c>
      <c r="G207" s="3">
        <v>1.0</v>
      </c>
      <c r="H207" s="3" t="s">
        <v>612</v>
      </c>
      <c r="I207" s="148">
        <v>45730.0</v>
      </c>
      <c r="J207" s="3" t="s">
        <v>694</v>
      </c>
      <c r="K207" s="11" t="b">
        <v>1</v>
      </c>
    </row>
    <row r="208">
      <c r="A208" s="3">
        <v>2.025010247E9</v>
      </c>
      <c r="B208" s="109" t="str">
        <f>VLOOKUP($A208,ANAGRAFICA!$B$1:$G$306,2,FALSE)</f>
        <v>TREMOLADA</v>
      </c>
      <c r="C208" s="109" t="str">
        <f>VLOOKUP($A208,ANAGRAFICA!$B$1:$G$306,3,FALSE)</f>
        <v>MARCO</v>
      </c>
      <c r="D208" s="109" t="str">
        <f>VLOOKUP($A208,ANAGRAFICA!$B$1:$G$306,4,FALSE)</f>
        <v>758-25</v>
      </c>
      <c r="E208" s="109">
        <f>VLOOKUP($A208,ANAGRAFICA!$B$1:$G$306,5,FALSE)</f>
        <v>3272025054</v>
      </c>
      <c r="F208" s="109">
        <f>VLOOKUP($A208,ANAGRAFICA!$B$1:$G$306,6,FALSE)</f>
        <v>2025</v>
      </c>
      <c r="G208" s="3">
        <v>1.0</v>
      </c>
      <c r="H208" s="3" t="s">
        <v>624</v>
      </c>
      <c r="I208" s="148">
        <v>45720.0</v>
      </c>
      <c r="J208" s="3" t="s">
        <v>68</v>
      </c>
      <c r="K208" s="11" t="b">
        <v>0</v>
      </c>
    </row>
    <row r="209">
      <c r="A209" s="3">
        <v>2.025010247E9</v>
      </c>
      <c r="B209" s="109" t="str">
        <f>VLOOKUP($A209,ANAGRAFICA!$B$1:$G$306,2,FALSE)</f>
        <v>TREMOLADA</v>
      </c>
      <c r="C209" s="109" t="str">
        <f>VLOOKUP($A209,ANAGRAFICA!$B$1:$G$306,3,FALSE)</f>
        <v>MARCO</v>
      </c>
      <c r="D209" s="109" t="str">
        <f>VLOOKUP($A209,ANAGRAFICA!$B$1:$G$306,4,FALSE)</f>
        <v>758-25</v>
      </c>
      <c r="E209" s="109">
        <f>VLOOKUP($A209,ANAGRAFICA!$B$1:$G$306,5,FALSE)</f>
        <v>3272025054</v>
      </c>
      <c r="F209" s="109">
        <f>VLOOKUP($A209,ANAGRAFICA!$B$1:$G$306,6,FALSE)</f>
        <v>2025</v>
      </c>
      <c r="G209" s="3">
        <v>1.0</v>
      </c>
      <c r="H209" s="3" t="s">
        <v>625</v>
      </c>
      <c r="I209" s="148">
        <v>45766.0</v>
      </c>
      <c r="J209" s="3" t="s">
        <v>203</v>
      </c>
      <c r="K209" s="11" t="b">
        <v>0</v>
      </c>
    </row>
    <row r="210">
      <c r="A210" s="3">
        <v>2.025010247E9</v>
      </c>
      <c r="B210" s="109" t="str">
        <f>VLOOKUP($A210,ANAGRAFICA!$B$1:$G$306,2,FALSE)</f>
        <v>TREMOLADA</v>
      </c>
      <c r="C210" s="109" t="str">
        <f>VLOOKUP($A210,ANAGRAFICA!$B$1:$G$306,3,FALSE)</f>
        <v>MARCO</v>
      </c>
      <c r="D210" s="109" t="str">
        <f>VLOOKUP($A210,ANAGRAFICA!$B$1:$G$306,4,FALSE)</f>
        <v>758-25</v>
      </c>
      <c r="E210" s="109">
        <f>VLOOKUP($A210,ANAGRAFICA!$B$1:$G$306,5,FALSE)</f>
        <v>3272025054</v>
      </c>
      <c r="F210" s="109">
        <f>VLOOKUP($A210,ANAGRAFICA!$B$1:$G$306,6,FALSE)</f>
        <v>2025</v>
      </c>
      <c r="G210" s="3">
        <v>2.0</v>
      </c>
      <c r="H210" s="3" t="s">
        <v>609</v>
      </c>
      <c r="I210" s="148">
        <v>45733.0</v>
      </c>
      <c r="J210" s="3" t="s">
        <v>216</v>
      </c>
      <c r="K210" s="11" t="b">
        <v>0</v>
      </c>
    </row>
    <row r="211">
      <c r="A211" s="3">
        <v>2.025010247E9</v>
      </c>
      <c r="B211" s="109" t="str">
        <f>VLOOKUP($A211,ANAGRAFICA!$B$1:$G$306,2,FALSE)</f>
        <v>TREMOLADA</v>
      </c>
      <c r="C211" s="109" t="str">
        <f>VLOOKUP($A211,ANAGRAFICA!$B$1:$G$306,3,FALSE)</f>
        <v>MARCO</v>
      </c>
      <c r="D211" s="109" t="str">
        <f>VLOOKUP($A211,ANAGRAFICA!$B$1:$G$306,4,FALSE)</f>
        <v>758-25</v>
      </c>
      <c r="E211" s="109">
        <f>VLOOKUP($A211,ANAGRAFICA!$B$1:$G$306,5,FALSE)</f>
        <v>3272025054</v>
      </c>
      <c r="F211" s="109">
        <f>VLOOKUP($A211,ANAGRAFICA!$B$1:$G$306,6,FALSE)</f>
        <v>2025</v>
      </c>
      <c r="G211" s="3">
        <v>2.0</v>
      </c>
      <c r="H211" s="3" t="s">
        <v>648</v>
      </c>
      <c r="I211" s="148">
        <v>45733.0</v>
      </c>
      <c r="J211" s="3" t="s">
        <v>695</v>
      </c>
      <c r="K211" s="11" t="b">
        <v>1</v>
      </c>
    </row>
    <row r="212">
      <c r="A212" s="3">
        <v>2.025010247E9</v>
      </c>
      <c r="B212" s="109" t="str">
        <f>VLOOKUP($A212,ANAGRAFICA!$B$1:$G$306,2,FALSE)</f>
        <v>TREMOLADA</v>
      </c>
      <c r="C212" s="109" t="str">
        <f>VLOOKUP($A212,ANAGRAFICA!$B$1:$G$306,3,FALSE)</f>
        <v>MARCO</v>
      </c>
      <c r="D212" s="109" t="str">
        <f>VLOOKUP($A212,ANAGRAFICA!$B$1:$G$306,4,FALSE)</f>
        <v>758-25</v>
      </c>
      <c r="E212" s="109">
        <f>VLOOKUP($A212,ANAGRAFICA!$B$1:$G$306,5,FALSE)</f>
        <v>3272025054</v>
      </c>
      <c r="F212" s="109">
        <f>VLOOKUP($A212,ANAGRAFICA!$B$1:$G$306,6,FALSE)</f>
        <v>2025</v>
      </c>
      <c r="G212" s="3">
        <v>2.0</v>
      </c>
      <c r="H212" s="3" t="s">
        <v>604</v>
      </c>
      <c r="I212" s="148">
        <v>45732.0</v>
      </c>
      <c r="J212" s="3" t="s">
        <v>696</v>
      </c>
      <c r="K212" s="11" t="b">
        <v>0</v>
      </c>
    </row>
    <row r="213">
      <c r="A213" s="3">
        <v>2.025010247E9</v>
      </c>
      <c r="B213" s="109" t="str">
        <f>VLOOKUP($A213,ANAGRAFICA!$B$1:$G$306,2,FALSE)</f>
        <v>TREMOLADA</v>
      </c>
      <c r="C213" s="109" t="str">
        <f>VLOOKUP($A213,ANAGRAFICA!$B$1:$G$306,3,FALSE)</f>
        <v>MARCO</v>
      </c>
      <c r="D213" s="109" t="str">
        <f>VLOOKUP($A213,ANAGRAFICA!$B$1:$G$306,4,FALSE)</f>
        <v>758-25</v>
      </c>
      <c r="E213" s="109">
        <f>VLOOKUP($A213,ANAGRAFICA!$B$1:$G$306,5,FALSE)</f>
        <v>3272025054</v>
      </c>
      <c r="F213" s="109">
        <f>VLOOKUP($A213,ANAGRAFICA!$B$1:$G$306,6,FALSE)</f>
        <v>2025</v>
      </c>
      <c r="G213" s="3">
        <v>2.0</v>
      </c>
      <c r="H213" s="3" t="s">
        <v>614</v>
      </c>
      <c r="I213" s="77">
        <v>45732.0</v>
      </c>
      <c r="J213" s="3" t="s">
        <v>697</v>
      </c>
      <c r="K213" s="11" t="b">
        <v>1</v>
      </c>
    </row>
    <row r="214">
      <c r="A214" s="3">
        <v>2.025010247E9</v>
      </c>
      <c r="B214" s="109" t="str">
        <f>VLOOKUP($A214,ANAGRAFICA!$B$1:$G$306,2,FALSE)</f>
        <v>TREMOLADA</v>
      </c>
      <c r="C214" s="109" t="str">
        <f>VLOOKUP($A214,ANAGRAFICA!$B$1:$G$306,3,FALSE)</f>
        <v>MARCO</v>
      </c>
      <c r="D214" s="109" t="str">
        <f>VLOOKUP($A214,ANAGRAFICA!$B$1:$G$306,4,FALSE)</f>
        <v>758-25</v>
      </c>
      <c r="E214" s="109">
        <f>VLOOKUP($A214,ANAGRAFICA!$B$1:$G$306,5,FALSE)</f>
        <v>3272025054</v>
      </c>
      <c r="F214" s="109">
        <f>VLOOKUP($A214,ANAGRAFICA!$B$1:$G$306,6,FALSE)</f>
        <v>2025</v>
      </c>
      <c r="G214" s="3">
        <v>2.0</v>
      </c>
      <c r="H214" s="3" t="s">
        <v>648</v>
      </c>
      <c r="I214" s="77">
        <v>45733.0</v>
      </c>
      <c r="J214" s="3" t="s">
        <v>695</v>
      </c>
      <c r="K214" s="11" t="b">
        <v>1</v>
      </c>
    </row>
    <row r="215">
      <c r="A215" s="3">
        <v>2.025010247E9</v>
      </c>
      <c r="B215" s="109" t="str">
        <f>VLOOKUP($A215,ANAGRAFICA!$B$1:$G$306,2,FALSE)</f>
        <v>TREMOLADA</v>
      </c>
      <c r="C215" s="109" t="str">
        <f>VLOOKUP($A215,ANAGRAFICA!$B$1:$G$306,3,FALSE)</f>
        <v>MARCO</v>
      </c>
      <c r="D215" s="109" t="str">
        <f>VLOOKUP($A215,ANAGRAFICA!$B$1:$G$306,4,FALSE)</f>
        <v>758-25</v>
      </c>
      <c r="E215" s="109">
        <f>VLOOKUP($A215,ANAGRAFICA!$B$1:$G$306,5,FALSE)</f>
        <v>3272025054</v>
      </c>
      <c r="F215" s="109">
        <f>VLOOKUP($A215,ANAGRAFICA!$B$1:$G$306,6,FALSE)</f>
        <v>2025</v>
      </c>
      <c r="G215" s="3">
        <v>2.0</v>
      </c>
      <c r="H215" s="3" t="s">
        <v>648</v>
      </c>
      <c r="I215" s="148">
        <v>45734.0</v>
      </c>
      <c r="J215" s="3" t="s">
        <v>698</v>
      </c>
      <c r="K215" s="11" t="b">
        <v>1</v>
      </c>
    </row>
    <row r="216">
      <c r="A216" s="3">
        <v>2.025010247E9</v>
      </c>
      <c r="B216" s="109" t="str">
        <f>VLOOKUP($A216,ANAGRAFICA!$B$1:$G$306,2,FALSE)</f>
        <v>TREMOLADA</v>
      </c>
      <c r="C216" s="109" t="str">
        <f>VLOOKUP($A216,ANAGRAFICA!$B$1:$G$306,3,FALSE)</f>
        <v>MARCO</v>
      </c>
      <c r="D216" s="109" t="str">
        <f>VLOOKUP($A216,ANAGRAFICA!$B$1:$G$306,4,FALSE)</f>
        <v>758-25</v>
      </c>
      <c r="E216" s="109">
        <f>VLOOKUP($A216,ANAGRAFICA!$B$1:$G$306,5,FALSE)</f>
        <v>3272025054</v>
      </c>
      <c r="F216" s="109">
        <f>VLOOKUP($A216,ANAGRAFICA!$B$1:$G$306,6,FALSE)</f>
        <v>2025</v>
      </c>
      <c r="G216" s="3">
        <v>2.0</v>
      </c>
      <c r="H216" s="3" t="s">
        <v>699</v>
      </c>
      <c r="I216" s="148">
        <v>45736.0</v>
      </c>
      <c r="J216" s="3" t="s">
        <v>700</v>
      </c>
      <c r="K216" s="11" t="b">
        <v>1</v>
      </c>
    </row>
    <row r="217">
      <c r="A217" s="3">
        <v>2.025010247E9</v>
      </c>
      <c r="B217" s="109" t="str">
        <f>VLOOKUP($A217,ANAGRAFICA!$B$1:$G$306,2,FALSE)</f>
        <v>TREMOLADA</v>
      </c>
      <c r="C217" s="109" t="str">
        <f>VLOOKUP($A217,ANAGRAFICA!$B$1:$G$306,3,FALSE)</f>
        <v>MARCO</v>
      </c>
      <c r="D217" s="109" t="str">
        <f>VLOOKUP($A217,ANAGRAFICA!$B$1:$G$306,4,FALSE)</f>
        <v>758-25</v>
      </c>
      <c r="E217" s="109">
        <f>VLOOKUP($A217,ANAGRAFICA!$B$1:$G$306,5,FALSE)</f>
        <v>3272025054</v>
      </c>
      <c r="F217" s="109">
        <f>VLOOKUP($A217,ANAGRAFICA!$B$1:$G$306,6,FALSE)</f>
        <v>2025</v>
      </c>
      <c r="G217" s="3">
        <v>2.0</v>
      </c>
      <c r="H217" s="3" t="s">
        <v>701</v>
      </c>
      <c r="I217" s="77">
        <v>45737.0</v>
      </c>
      <c r="J217" s="3" t="s">
        <v>702</v>
      </c>
      <c r="K217" s="11" t="b">
        <v>1</v>
      </c>
    </row>
    <row r="218">
      <c r="A218" s="3">
        <v>2.025010247E9</v>
      </c>
      <c r="B218" s="109" t="str">
        <f>VLOOKUP($A218,ANAGRAFICA!$B$1:$G$306,2,FALSE)</f>
        <v>TREMOLADA</v>
      </c>
      <c r="C218" s="109" t="str">
        <f>VLOOKUP($A218,ANAGRAFICA!$B$1:$G$306,3,FALSE)</f>
        <v>MARCO</v>
      </c>
      <c r="D218" s="109" t="str">
        <f>VLOOKUP($A218,ANAGRAFICA!$B$1:$G$306,4,FALSE)</f>
        <v>758-25</v>
      </c>
      <c r="E218" s="109">
        <f>VLOOKUP($A218,ANAGRAFICA!$B$1:$G$306,5,FALSE)</f>
        <v>3272025054</v>
      </c>
      <c r="F218" s="109">
        <f>VLOOKUP($A218,ANAGRAFICA!$B$1:$G$306,6,FALSE)</f>
        <v>2025</v>
      </c>
      <c r="G218" s="3">
        <v>2.0</v>
      </c>
      <c r="H218" s="3" t="s">
        <v>648</v>
      </c>
      <c r="I218" s="148">
        <v>45739.0</v>
      </c>
      <c r="J218" s="3" t="s">
        <v>703</v>
      </c>
      <c r="K218" s="11" t="b">
        <v>1</v>
      </c>
    </row>
    <row r="219">
      <c r="A219" s="3">
        <v>2.025010247E9</v>
      </c>
      <c r="B219" s="109" t="str">
        <f>VLOOKUP($A219,ANAGRAFICA!$B$1:$G$306,2,FALSE)</f>
        <v>TREMOLADA</v>
      </c>
      <c r="C219" s="109" t="str">
        <f>VLOOKUP($A219,ANAGRAFICA!$B$1:$G$306,3,FALSE)</f>
        <v>MARCO</v>
      </c>
      <c r="D219" s="109" t="str">
        <f>VLOOKUP($A219,ANAGRAFICA!$B$1:$G$306,4,FALSE)</f>
        <v>758-25</v>
      </c>
      <c r="E219" s="109">
        <f>VLOOKUP($A219,ANAGRAFICA!$B$1:$G$306,5,FALSE)</f>
        <v>3272025054</v>
      </c>
      <c r="F219" s="109">
        <f>VLOOKUP($A219,ANAGRAFICA!$B$1:$G$306,6,FALSE)</f>
        <v>2025</v>
      </c>
      <c r="G219" s="3">
        <v>2.0</v>
      </c>
      <c r="H219" s="3" t="s">
        <v>609</v>
      </c>
      <c r="I219" s="148">
        <v>45740.0</v>
      </c>
      <c r="J219" s="3" t="s">
        <v>704</v>
      </c>
      <c r="K219" s="11" t="b">
        <v>1</v>
      </c>
    </row>
    <row r="220">
      <c r="A220" s="3">
        <v>2.025010247E9</v>
      </c>
      <c r="B220" s="109" t="str">
        <f>VLOOKUP($A220,ANAGRAFICA!$B$1:$G$306,2,FALSE)</f>
        <v>TREMOLADA</v>
      </c>
      <c r="C220" s="109" t="str">
        <f>VLOOKUP($A220,ANAGRAFICA!$B$1:$G$306,3,FALSE)</f>
        <v>MARCO</v>
      </c>
      <c r="D220" s="109" t="str">
        <f>VLOOKUP($A220,ANAGRAFICA!$B$1:$G$306,4,FALSE)</f>
        <v>758-25</v>
      </c>
      <c r="E220" s="109">
        <f>VLOOKUP($A220,ANAGRAFICA!$B$1:$G$306,5,FALSE)</f>
        <v>3272025054</v>
      </c>
      <c r="F220" s="109">
        <f>VLOOKUP($A220,ANAGRAFICA!$B$1:$G$306,6,FALSE)</f>
        <v>2025</v>
      </c>
      <c r="G220" s="3">
        <v>2.0</v>
      </c>
      <c r="H220" s="3" t="s">
        <v>648</v>
      </c>
      <c r="I220" s="148">
        <v>45741.0</v>
      </c>
      <c r="J220" s="3" t="s">
        <v>705</v>
      </c>
      <c r="K220" s="11" t="b">
        <v>1</v>
      </c>
    </row>
    <row r="221">
      <c r="A221" s="3">
        <v>2.025010247E9</v>
      </c>
      <c r="B221" s="109" t="str">
        <f>VLOOKUP($A221,ANAGRAFICA!$B$1:$G$306,2,FALSE)</f>
        <v>TREMOLADA</v>
      </c>
      <c r="C221" s="109" t="str">
        <f>VLOOKUP($A221,ANAGRAFICA!$B$1:$G$306,3,FALSE)</f>
        <v>MARCO</v>
      </c>
      <c r="D221" s="109" t="str">
        <f>VLOOKUP($A221,ANAGRAFICA!$B$1:$G$306,4,FALSE)</f>
        <v>758-25</v>
      </c>
      <c r="E221" s="109">
        <f>VLOOKUP($A221,ANAGRAFICA!$B$1:$G$306,5,FALSE)</f>
        <v>3272025054</v>
      </c>
      <c r="F221" s="109">
        <f>VLOOKUP($A221,ANAGRAFICA!$B$1:$G$306,6,FALSE)</f>
        <v>2025</v>
      </c>
      <c r="G221" s="3">
        <v>2.0</v>
      </c>
      <c r="H221" s="3" t="s">
        <v>613</v>
      </c>
      <c r="I221" s="148">
        <v>45741.0</v>
      </c>
      <c r="J221" s="3" t="s">
        <v>706</v>
      </c>
      <c r="K221" s="11" t="b">
        <v>1</v>
      </c>
    </row>
    <row r="222">
      <c r="A222" s="3">
        <v>2.025010247E9</v>
      </c>
      <c r="B222" s="109" t="str">
        <f>VLOOKUP($A222,ANAGRAFICA!$B$1:$G$306,2,FALSE)</f>
        <v>TREMOLADA</v>
      </c>
      <c r="C222" s="109" t="str">
        <f>VLOOKUP($A222,ANAGRAFICA!$B$1:$G$306,3,FALSE)</f>
        <v>MARCO</v>
      </c>
      <c r="D222" s="109" t="str">
        <f>VLOOKUP($A222,ANAGRAFICA!$B$1:$G$306,4,FALSE)</f>
        <v>758-25</v>
      </c>
      <c r="E222" s="109">
        <f>VLOOKUP($A222,ANAGRAFICA!$B$1:$G$306,5,FALSE)</f>
        <v>3272025054</v>
      </c>
      <c r="F222" s="109">
        <f>VLOOKUP($A222,ANAGRAFICA!$B$1:$G$306,6,FALSE)</f>
        <v>2025</v>
      </c>
      <c r="G222" s="3">
        <v>2.0</v>
      </c>
      <c r="H222" s="3" t="s">
        <v>648</v>
      </c>
      <c r="I222" s="77">
        <v>45742.0</v>
      </c>
      <c r="J222" s="3" t="s">
        <v>707</v>
      </c>
      <c r="K222" s="11" t="b">
        <v>1</v>
      </c>
    </row>
    <row r="223">
      <c r="A223" s="3">
        <v>2.025010247E9</v>
      </c>
      <c r="B223" s="109" t="str">
        <f>VLOOKUP($A223,ANAGRAFICA!$B$1:$G$306,2,FALSE)</f>
        <v>TREMOLADA</v>
      </c>
      <c r="C223" s="109" t="str">
        <f>VLOOKUP($A223,ANAGRAFICA!$B$1:$G$306,3,FALSE)</f>
        <v>MARCO</v>
      </c>
      <c r="D223" s="109" t="str">
        <f>VLOOKUP($A223,ANAGRAFICA!$B$1:$G$306,4,FALSE)</f>
        <v>758-25</v>
      </c>
      <c r="E223" s="109">
        <f>VLOOKUP($A223,ANAGRAFICA!$B$1:$G$306,5,FALSE)</f>
        <v>3272025054</v>
      </c>
      <c r="F223" s="109">
        <f>VLOOKUP($A223,ANAGRAFICA!$B$1:$G$306,6,FALSE)</f>
        <v>2025</v>
      </c>
      <c r="G223" s="3">
        <v>2.0</v>
      </c>
      <c r="H223" s="3" t="s">
        <v>670</v>
      </c>
      <c r="I223" s="77">
        <v>45742.0</v>
      </c>
      <c r="J223" s="3" t="s">
        <v>457</v>
      </c>
      <c r="K223" s="11" t="b">
        <v>0</v>
      </c>
    </row>
    <row r="224">
      <c r="A224" s="3">
        <v>2.025010247E9</v>
      </c>
      <c r="B224" s="109" t="str">
        <f>VLOOKUP($A224,ANAGRAFICA!$B$1:$G$306,2,FALSE)</f>
        <v>TREMOLADA</v>
      </c>
      <c r="C224" s="109" t="str">
        <f>VLOOKUP($A224,ANAGRAFICA!$B$1:$G$306,3,FALSE)</f>
        <v>MARCO</v>
      </c>
      <c r="D224" s="109" t="str">
        <f>VLOOKUP($A224,ANAGRAFICA!$B$1:$G$306,4,FALSE)</f>
        <v>758-25</v>
      </c>
      <c r="E224" s="109">
        <f>VLOOKUP($A224,ANAGRAFICA!$B$1:$G$306,5,FALSE)</f>
        <v>3272025054</v>
      </c>
      <c r="F224" s="109">
        <f>VLOOKUP($A224,ANAGRAFICA!$B$1:$G$306,6,FALSE)</f>
        <v>2025</v>
      </c>
      <c r="G224" s="3">
        <v>2.0</v>
      </c>
      <c r="H224" s="3" t="s">
        <v>648</v>
      </c>
      <c r="I224" s="148">
        <v>45744.0</v>
      </c>
      <c r="J224" s="3" t="s">
        <v>708</v>
      </c>
      <c r="K224" s="11" t="b">
        <v>1</v>
      </c>
    </row>
    <row r="225">
      <c r="A225" s="3">
        <v>2.025010247E9</v>
      </c>
      <c r="B225" s="109" t="str">
        <f>VLOOKUP($A225,ANAGRAFICA!$B$1:$G$306,2,FALSE)</f>
        <v>TREMOLADA</v>
      </c>
      <c r="C225" s="109" t="str">
        <f>VLOOKUP($A225,ANAGRAFICA!$B$1:$G$306,3,FALSE)</f>
        <v>MARCO</v>
      </c>
      <c r="D225" s="109" t="str">
        <f>VLOOKUP($A225,ANAGRAFICA!$B$1:$G$306,4,FALSE)</f>
        <v>758-25</v>
      </c>
      <c r="E225" s="109">
        <f>VLOOKUP($A225,ANAGRAFICA!$B$1:$G$306,5,FALSE)</f>
        <v>3272025054</v>
      </c>
      <c r="F225" s="109">
        <f>VLOOKUP($A225,ANAGRAFICA!$B$1:$G$306,6,FALSE)</f>
        <v>2025</v>
      </c>
      <c r="G225" s="3">
        <v>2.0</v>
      </c>
      <c r="H225" s="3" t="s">
        <v>648</v>
      </c>
      <c r="I225" s="148">
        <v>45746.0</v>
      </c>
      <c r="J225" s="3" t="s">
        <v>621</v>
      </c>
      <c r="K225" s="11" t="b">
        <v>1</v>
      </c>
    </row>
    <row r="226">
      <c r="A226" s="3">
        <v>2.025010247E9</v>
      </c>
      <c r="B226" s="109" t="str">
        <f>VLOOKUP($A226,ANAGRAFICA!$B$1:$G$306,2,FALSE)</f>
        <v>TREMOLADA</v>
      </c>
      <c r="C226" s="109" t="str">
        <f>VLOOKUP($A226,ANAGRAFICA!$B$1:$G$306,3,FALSE)</f>
        <v>MARCO</v>
      </c>
      <c r="D226" s="109" t="str">
        <f>VLOOKUP($A226,ANAGRAFICA!$B$1:$G$306,4,FALSE)</f>
        <v>758-25</v>
      </c>
      <c r="E226" s="109">
        <f>VLOOKUP($A226,ANAGRAFICA!$B$1:$G$306,5,FALSE)</f>
        <v>3272025054</v>
      </c>
      <c r="F226" s="109">
        <f>VLOOKUP($A226,ANAGRAFICA!$B$1:$G$306,6,FALSE)</f>
        <v>2025</v>
      </c>
      <c r="G226" s="3">
        <v>2.0</v>
      </c>
      <c r="H226" s="3" t="s">
        <v>648</v>
      </c>
      <c r="I226" s="148">
        <v>45747.0</v>
      </c>
      <c r="J226" s="3" t="s">
        <v>709</v>
      </c>
      <c r="K226" s="11" t="b">
        <v>1</v>
      </c>
    </row>
    <row r="227">
      <c r="A227" s="3">
        <v>2.025010247E9</v>
      </c>
      <c r="B227" s="109" t="str">
        <f>VLOOKUP($A227,ANAGRAFICA!$B$1:$G$306,2,FALSE)</f>
        <v>TREMOLADA</v>
      </c>
      <c r="C227" s="109" t="str">
        <f>VLOOKUP($A227,ANAGRAFICA!$B$1:$G$306,3,FALSE)</f>
        <v>MARCO</v>
      </c>
      <c r="D227" s="109" t="str">
        <f>VLOOKUP($A227,ANAGRAFICA!$B$1:$G$306,4,FALSE)</f>
        <v>758-25</v>
      </c>
      <c r="E227" s="109">
        <f>VLOOKUP($A227,ANAGRAFICA!$B$1:$G$306,5,FALSE)</f>
        <v>3272025054</v>
      </c>
      <c r="F227" s="109">
        <f>VLOOKUP($A227,ANAGRAFICA!$B$1:$G$306,6,FALSE)</f>
        <v>2025</v>
      </c>
      <c r="G227" s="3">
        <v>2.0</v>
      </c>
      <c r="H227" s="3" t="s">
        <v>648</v>
      </c>
      <c r="I227" s="148">
        <v>45750.0</v>
      </c>
      <c r="J227" s="3" t="s">
        <v>710</v>
      </c>
      <c r="K227" s="11" t="b">
        <v>1</v>
      </c>
    </row>
    <row r="228">
      <c r="A228" s="3">
        <v>2.025010247E9</v>
      </c>
      <c r="B228" s="109" t="str">
        <f>VLOOKUP($A228,ANAGRAFICA!$B$1:$G$306,2,FALSE)</f>
        <v>TREMOLADA</v>
      </c>
      <c r="C228" s="109" t="str">
        <f>VLOOKUP($A228,ANAGRAFICA!$B$1:$G$306,3,FALSE)</f>
        <v>MARCO</v>
      </c>
      <c r="D228" s="109" t="str">
        <f>VLOOKUP($A228,ANAGRAFICA!$B$1:$G$306,4,FALSE)</f>
        <v>758-25</v>
      </c>
      <c r="E228" s="109">
        <f>VLOOKUP($A228,ANAGRAFICA!$B$1:$G$306,5,FALSE)</f>
        <v>3272025054</v>
      </c>
      <c r="F228" s="109">
        <f>VLOOKUP($A228,ANAGRAFICA!$B$1:$G$306,6,FALSE)</f>
        <v>2025</v>
      </c>
      <c r="G228" s="3">
        <v>2.0</v>
      </c>
      <c r="H228" s="3" t="s">
        <v>648</v>
      </c>
      <c r="I228" s="148">
        <v>45753.0</v>
      </c>
      <c r="J228" s="3" t="s">
        <v>711</v>
      </c>
      <c r="K228" s="11" t="b">
        <v>1</v>
      </c>
    </row>
    <row r="229">
      <c r="A229" s="3">
        <v>2.025010247E9</v>
      </c>
      <c r="B229" s="109" t="str">
        <f>VLOOKUP($A229,ANAGRAFICA!$B$1:$G$306,2,FALSE)</f>
        <v>TREMOLADA</v>
      </c>
      <c r="C229" s="109" t="str">
        <f>VLOOKUP($A229,ANAGRAFICA!$B$1:$G$306,3,FALSE)</f>
        <v>MARCO</v>
      </c>
      <c r="D229" s="109" t="str">
        <f>VLOOKUP($A229,ANAGRAFICA!$B$1:$G$306,4,FALSE)</f>
        <v>758-25</v>
      </c>
      <c r="E229" s="109">
        <f>VLOOKUP($A229,ANAGRAFICA!$B$1:$G$306,5,FALSE)</f>
        <v>3272025054</v>
      </c>
      <c r="F229" s="109">
        <f>VLOOKUP($A229,ANAGRAFICA!$B$1:$G$306,6,FALSE)</f>
        <v>2025</v>
      </c>
      <c r="G229" s="3">
        <v>2.0</v>
      </c>
      <c r="H229" s="3" t="s">
        <v>648</v>
      </c>
      <c r="I229" s="148">
        <v>45755.0</v>
      </c>
      <c r="J229" s="3" t="s">
        <v>712</v>
      </c>
      <c r="K229" s="11" t="b">
        <v>1</v>
      </c>
    </row>
    <row r="230">
      <c r="A230" s="3">
        <v>2.025010247E9</v>
      </c>
      <c r="B230" s="109" t="str">
        <f>VLOOKUP($A230,ANAGRAFICA!$B$1:$G$306,2,FALSE)</f>
        <v>TREMOLADA</v>
      </c>
      <c r="C230" s="109" t="str">
        <f>VLOOKUP($A230,ANAGRAFICA!$B$1:$G$306,3,FALSE)</f>
        <v>MARCO</v>
      </c>
      <c r="D230" s="109" t="str">
        <f>VLOOKUP($A230,ANAGRAFICA!$B$1:$G$306,4,FALSE)</f>
        <v>758-25</v>
      </c>
      <c r="E230" s="109">
        <f>VLOOKUP($A230,ANAGRAFICA!$B$1:$G$306,5,FALSE)</f>
        <v>3272025054</v>
      </c>
      <c r="F230" s="109">
        <f>VLOOKUP($A230,ANAGRAFICA!$B$1:$G$306,6,FALSE)</f>
        <v>2025</v>
      </c>
      <c r="G230" s="3">
        <v>2.0</v>
      </c>
      <c r="H230" s="3" t="s">
        <v>648</v>
      </c>
      <c r="I230" s="148">
        <v>45756.0</v>
      </c>
      <c r="J230" s="3" t="s">
        <v>713</v>
      </c>
      <c r="K230" s="11" t="b">
        <v>1</v>
      </c>
    </row>
    <row r="231">
      <c r="A231" s="3">
        <v>2.025010247E9</v>
      </c>
      <c r="B231" s="109" t="str">
        <f>VLOOKUP($A231,ANAGRAFICA!$B$1:$G$306,2,FALSE)</f>
        <v>TREMOLADA</v>
      </c>
      <c r="C231" s="109" t="str">
        <f>VLOOKUP($A231,ANAGRAFICA!$B$1:$G$306,3,FALSE)</f>
        <v>MARCO</v>
      </c>
      <c r="D231" s="109" t="str">
        <f>VLOOKUP($A231,ANAGRAFICA!$B$1:$G$306,4,FALSE)</f>
        <v>758-25</v>
      </c>
      <c r="E231" s="109">
        <f>VLOOKUP($A231,ANAGRAFICA!$B$1:$G$306,5,FALSE)</f>
        <v>3272025054</v>
      </c>
      <c r="F231" s="109">
        <f>VLOOKUP($A231,ANAGRAFICA!$B$1:$G$306,6,FALSE)</f>
        <v>2025</v>
      </c>
      <c r="G231" s="3">
        <v>2.0</v>
      </c>
      <c r="H231" s="3" t="s">
        <v>648</v>
      </c>
      <c r="I231" s="148">
        <v>45758.0</v>
      </c>
      <c r="J231" s="3" t="s">
        <v>686</v>
      </c>
      <c r="K231" s="11" t="b">
        <v>1</v>
      </c>
    </row>
    <row r="232">
      <c r="A232" s="3">
        <v>2.025010247E9</v>
      </c>
      <c r="B232" s="109" t="str">
        <f>VLOOKUP($A232,ANAGRAFICA!$B$1:$G$306,2,FALSE)</f>
        <v>TREMOLADA</v>
      </c>
      <c r="C232" s="109" t="str">
        <f>VLOOKUP($A232,ANAGRAFICA!$B$1:$G$306,3,FALSE)</f>
        <v>MARCO</v>
      </c>
      <c r="D232" s="109" t="str">
        <f>VLOOKUP($A232,ANAGRAFICA!$B$1:$G$306,4,FALSE)</f>
        <v>758-25</v>
      </c>
      <c r="E232" s="109">
        <f>VLOOKUP($A232,ANAGRAFICA!$B$1:$G$306,5,FALSE)</f>
        <v>3272025054</v>
      </c>
      <c r="F232" s="109">
        <f>VLOOKUP($A232,ANAGRAFICA!$B$1:$G$306,6,FALSE)</f>
        <v>2025</v>
      </c>
      <c r="G232" s="3">
        <v>2.0</v>
      </c>
      <c r="H232" s="3" t="s">
        <v>648</v>
      </c>
      <c r="I232" s="77">
        <v>45759.0</v>
      </c>
      <c r="J232" s="3" t="s">
        <v>714</v>
      </c>
      <c r="K232" s="11" t="b">
        <v>1</v>
      </c>
    </row>
    <row r="233">
      <c r="A233" s="3">
        <v>2.025010247E9</v>
      </c>
      <c r="B233" s="109" t="str">
        <f>VLOOKUP($A233,ANAGRAFICA!$B$1:$G$306,2,FALSE)</f>
        <v>TREMOLADA</v>
      </c>
      <c r="C233" s="109" t="str">
        <f>VLOOKUP($A233,ANAGRAFICA!$B$1:$G$306,3,FALSE)</f>
        <v>MARCO</v>
      </c>
      <c r="D233" s="109" t="str">
        <f>VLOOKUP($A233,ANAGRAFICA!$B$1:$G$306,4,FALSE)</f>
        <v>758-25</v>
      </c>
      <c r="E233" s="109">
        <f>VLOOKUP($A233,ANAGRAFICA!$B$1:$G$306,5,FALSE)</f>
        <v>3272025054</v>
      </c>
      <c r="F233" s="109">
        <f>VLOOKUP($A233,ANAGRAFICA!$B$1:$G$306,6,FALSE)</f>
        <v>2025</v>
      </c>
      <c r="G233" s="3">
        <v>2.0</v>
      </c>
      <c r="H233" s="3" t="s">
        <v>648</v>
      </c>
      <c r="I233" s="77">
        <v>45760.0</v>
      </c>
      <c r="J233" s="3" t="s">
        <v>715</v>
      </c>
      <c r="K233" s="11" t="b">
        <v>1</v>
      </c>
    </row>
    <row r="234">
      <c r="A234" s="3">
        <v>2.025010247E9</v>
      </c>
      <c r="B234" s="109" t="str">
        <f>VLOOKUP($A234,ANAGRAFICA!$B$1:$G$306,2,FALSE)</f>
        <v>TREMOLADA</v>
      </c>
      <c r="C234" s="109" t="str">
        <f>VLOOKUP($A234,ANAGRAFICA!$B$1:$G$306,3,FALSE)</f>
        <v>MARCO</v>
      </c>
      <c r="D234" s="109" t="str">
        <f>VLOOKUP($A234,ANAGRAFICA!$B$1:$G$306,4,FALSE)</f>
        <v>758-25</v>
      </c>
      <c r="E234" s="109">
        <f>VLOOKUP($A234,ANAGRAFICA!$B$1:$G$306,5,FALSE)</f>
        <v>3272025054</v>
      </c>
      <c r="F234" s="109">
        <f>VLOOKUP($A234,ANAGRAFICA!$B$1:$G$306,6,FALSE)</f>
        <v>2025</v>
      </c>
      <c r="G234" s="3">
        <v>2.0</v>
      </c>
      <c r="H234" s="3" t="s">
        <v>648</v>
      </c>
      <c r="I234" s="77">
        <v>45761.0</v>
      </c>
      <c r="J234" s="3" t="s">
        <v>715</v>
      </c>
      <c r="K234" s="11" t="b">
        <v>1</v>
      </c>
    </row>
    <row r="235">
      <c r="A235" s="3">
        <v>2.025010247E9</v>
      </c>
      <c r="B235" s="109" t="str">
        <f>VLOOKUP($A235,ANAGRAFICA!$B$1:$G$306,2,FALSE)</f>
        <v>TREMOLADA</v>
      </c>
      <c r="C235" s="109" t="str">
        <f>VLOOKUP($A235,ANAGRAFICA!$B$1:$G$306,3,FALSE)</f>
        <v>MARCO</v>
      </c>
      <c r="D235" s="109" t="str">
        <f>VLOOKUP($A235,ANAGRAFICA!$B$1:$G$306,4,FALSE)</f>
        <v>758-25</v>
      </c>
      <c r="E235" s="109">
        <f>VLOOKUP($A235,ANAGRAFICA!$B$1:$G$306,5,FALSE)</f>
        <v>3272025054</v>
      </c>
      <c r="F235" s="109">
        <f>VLOOKUP($A235,ANAGRAFICA!$B$1:$G$306,6,FALSE)</f>
        <v>2025</v>
      </c>
      <c r="G235" s="3">
        <v>2.0</v>
      </c>
      <c r="H235" s="3" t="s">
        <v>648</v>
      </c>
      <c r="I235" s="148">
        <v>45762.0</v>
      </c>
      <c r="J235" s="3" t="s">
        <v>716</v>
      </c>
      <c r="K235" s="11" t="b">
        <v>1</v>
      </c>
    </row>
    <row r="236">
      <c r="A236" s="3">
        <v>2.025010247E9</v>
      </c>
      <c r="B236" s="109" t="str">
        <f>VLOOKUP($A236,ANAGRAFICA!$B$1:$G$306,2,FALSE)</f>
        <v>TREMOLADA</v>
      </c>
      <c r="C236" s="109" t="str">
        <f>VLOOKUP($A236,ANAGRAFICA!$B$1:$G$306,3,FALSE)</f>
        <v>MARCO</v>
      </c>
      <c r="D236" s="109" t="str">
        <f>VLOOKUP($A236,ANAGRAFICA!$B$1:$G$306,4,FALSE)</f>
        <v>758-25</v>
      </c>
      <c r="E236" s="109">
        <f>VLOOKUP($A236,ANAGRAFICA!$B$1:$G$306,5,FALSE)</f>
        <v>3272025054</v>
      </c>
      <c r="F236" s="109">
        <f>VLOOKUP($A236,ANAGRAFICA!$B$1:$G$306,6,FALSE)</f>
        <v>2025</v>
      </c>
      <c r="G236" s="3">
        <v>2.0</v>
      </c>
      <c r="H236" s="3" t="s">
        <v>648</v>
      </c>
      <c r="I236" s="148">
        <v>45764.0</v>
      </c>
      <c r="J236" s="3" t="s">
        <v>717</v>
      </c>
      <c r="K236" s="11" t="b">
        <v>1</v>
      </c>
    </row>
    <row r="237">
      <c r="A237" s="3">
        <v>2.025010247E9</v>
      </c>
      <c r="B237" s="109" t="str">
        <f>VLOOKUP($A237,ANAGRAFICA!$B$1:$G$306,2,FALSE)</f>
        <v>TREMOLADA</v>
      </c>
      <c r="C237" s="109" t="str">
        <f>VLOOKUP($A237,ANAGRAFICA!$B$1:$G$306,3,FALSE)</f>
        <v>MARCO</v>
      </c>
      <c r="D237" s="109" t="str">
        <f>VLOOKUP($A237,ANAGRAFICA!$B$1:$G$306,4,FALSE)</f>
        <v>758-25</v>
      </c>
      <c r="E237" s="109">
        <f>VLOOKUP($A237,ANAGRAFICA!$B$1:$G$306,5,FALSE)</f>
        <v>3272025054</v>
      </c>
      <c r="F237" s="109">
        <f>VLOOKUP($A237,ANAGRAFICA!$B$1:$G$306,6,FALSE)</f>
        <v>2025</v>
      </c>
      <c r="G237" s="3">
        <v>2.0</v>
      </c>
      <c r="H237" s="3" t="s">
        <v>613</v>
      </c>
      <c r="I237" s="148">
        <v>45764.0</v>
      </c>
      <c r="J237" s="3" t="s">
        <v>718</v>
      </c>
      <c r="K237" s="11" t="b">
        <v>1</v>
      </c>
    </row>
    <row r="238">
      <c r="A238" s="3">
        <v>2.025010247E9</v>
      </c>
      <c r="B238" s="109" t="str">
        <f>VLOOKUP($A238,ANAGRAFICA!$B$1:$G$306,2,FALSE)</f>
        <v>TREMOLADA</v>
      </c>
      <c r="C238" s="109" t="str">
        <f>VLOOKUP($A238,ANAGRAFICA!$B$1:$G$306,3,FALSE)</f>
        <v>MARCO</v>
      </c>
      <c r="D238" s="109" t="str">
        <f>VLOOKUP($A238,ANAGRAFICA!$B$1:$G$306,4,FALSE)</f>
        <v>758-25</v>
      </c>
      <c r="E238" s="109">
        <f>VLOOKUP($A238,ANAGRAFICA!$B$1:$G$306,5,FALSE)</f>
        <v>3272025054</v>
      </c>
      <c r="F238" s="109">
        <f>VLOOKUP($A238,ANAGRAFICA!$B$1:$G$306,6,FALSE)</f>
        <v>2025</v>
      </c>
      <c r="G238" s="3">
        <v>2.0</v>
      </c>
      <c r="H238" s="3" t="s">
        <v>612</v>
      </c>
      <c r="I238" s="148">
        <v>45764.0</v>
      </c>
      <c r="J238" s="3" t="s">
        <v>719</v>
      </c>
      <c r="K238" s="11" t="b">
        <v>1</v>
      </c>
    </row>
    <row r="239">
      <c r="A239" s="3">
        <v>2.025010247E9</v>
      </c>
      <c r="B239" s="109" t="str">
        <f>VLOOKUP($A239,ANAGRAFICA!$B$1:$G$306,2,FALSE)</f>
        <v>TREMOLADA</v>
      </c>
      <c r="C239" s="109" t="str">
        <f>VLOOKUP($A239,ANAGRAFICA!$B$1:$G$306,3,FALSE)</f>
        <v>MARCO</v>
      </c>
      <c r="D239" s="109" t="str">
        <f>VLOOKUP($A239,ANAGRAFICA!$B$1:$G$306,4,FALSE)</f>
        <v>758-25</v>
      </c>
      <c r="E239" s="109">
        <f>VLOOKUP($A239,ANAGRAFICA!$B$1:$G$306,5,FALSE)</f>
        <v>3272025054</v>
      </c>
      <c r="F239" s="109">
        <f>VLOOKUP($A239,ANAGRAFICA!$B$1:$G$306,6,FALSE)</f>
        <v>2025</v>
      </c>
      <c r="G239" s="3">
        <v>2.0</v>
      </c>
      <c r="H239" s="3" t="s">
        <v>614</v>
      </c>
      <c r="I239" s="148">
        <v>45764.0</v>
      </c>
      <c r="J239" s="3" t="s">
        <v>718</v>
      </c>
      <c r="K239" s="11" t="b">
        <v>1</v>
      </c>
    </row>
    <row r="240">
      <c r="A240" s="3">
        <v>2.025010247E9</v>
      </c>
      <c r="B240" s="109" t="str">
        <f>VLOOKUP($A240,ANAGRAFICA!$B$1:$G$306,2,FALSE)</f>
        <v>TREMOLADA</v>
      </c>
      <c r="C240" s="109" t="str">
        <f>VLOOKUP($A240,ANAGRAFICA!$B$1:$G$306,3,FALSE)</f>
        <v>MARCO</v>
      </c>
      <c r="D240" s="109" t="str">
        <f>VLOOKUP($A240,ANAGRAFICA!$B$1:$G$306,4,FALSE)</f>
        <v>758-25</v>
      </c>
      <c r="E240" s="109">
        <f>VLOOKUP($A240,ANAGRAFICA!$B$1:$G$306,5,FALSE)</f>
        <v>3272025054</v>
      </c>
      <c r="F240" s="109">
        <f>VLOOKUP($A240,ANAGRAFICA!$B$1:$G$306,6,FALSE)</f>
        <v>2025</v>
      </c>
      <c r="G240" s="3">
        <v>2.0</v>
      </c>
      <c r="H240" s="3" t="s">
        <v>648</v>
      </c>
      <c r="I240" s="148">
        <v>45766.0</v>
      </c>
      <c r="J240" s="3" t="s">
        <v>720</v>
      </c>
      <c r="K240" s="11" t="b">
        <v>1</v>
      </c>
    </row>
    <row r="241">
      <c r="A241" s="3">
        <v>2.025010247E9</v>
      </c>
      <c r="B241" s="109" t="str">
        <f>VLOOKUP($A241,ANAGRAFICA!$B$1:$G$306,2,FALSE)</f>
        <v>TREMOLADA</v>
      </c>
      <c r="C241" s="109" t="str">
        <f>VLOOKUP($A241,ANAGRAFICA!$B$1:$G$306,3,FALSE)</f>
        <v>MARCO</v>
      </c>
      <c r="D241" s="109" t="str">
        <f>VLOOKUP($A241,ANAGRAFICA!$B$1:$G$306,4,FALSE)</f>
        <v>758-25</v>
      </c>
      <c r="E241" s="109">
        <f>VLOOKUP($A241,ANAGRAFICA!$B$1:$G$306,5,FALSE)</f>
        <v>3272025054</v>
      </c>
      <c r="F241" s="109">
        <f>VLOOKUP($A241,ANAGRAFICA!$B$1:$G$306,6,FALSE)</f>
        <v>2025</v>
      </c>
      <c r="G241" s="3">
        <v>2.0</v>
      </c>
      <c r="H241" s="3" t="s">
        <v>648</v>
      </c>
      <c r="I241" s="148">
        <v>45767.0</v>
      </c>
      <c r="J241" s="3" t="s">
        <v>721</v>
      </c>
      <c r="K241" s="11" t="b">
        <v>1</v>
      </c>
    </row>
    <row r="242">
      <c r="A242" s="3">
        <v>2.025010247E9</v>
      </c>
      <c r="B242" s="109" t="str">
        <f>VLOOKUP($A242,ANAGRAFICA!$B$1:$G$306,2,FALSE)</f>
        <v>TREMOLADA</v>
      </c>
      <c r="C242" s="109" t="str">
        <f>VLOOKUP($A242,ANAGRAFICA!$B$1:$G$306,3,FALSE)</f>
        <v>MARCO</v>
      </c>
      <c r="D242" s="109" t="str">
        <f>VLOOKUP($A242,ANAGRAFICA!$B$1:$G$306,4,FALSE)</f>
        <v>758-25</v>
      </c>
      <c r="E242" s="109">
        <f>VLOOKUP($A242,ANAGRAFICA!$B$1:$G$306,5,FALSE)</f>
        <v>3272025054</v>
      </c>
      <c r="F242" s="109">
        <f>VLOOKUP($A242,ANAGRAFICA!$B$1:$G$306,6,FALSE)</f>
        <v>2025</v>
      </c>
      <c r="G242" s="3">
        <v>2.0</v>
      </c>
      <c r="H242" s="3" t="s">
        <v>722</v>
      </c>
      <c r="I242" s="148">
        <v>45769.0</v>
      </c>
      <c r="J242" s="3" t="s">
        <v>412</v>
      </c>
      <c r="K242" s="11" t="b">
        <v>1</v>
      </c>
    </row>
    <row r="243">
      <c r="A243" s="3">
        <v>2.025010247E9</v>
      </c>
      <c r="B243" s="109" t="str">
        <f>VLOOKUP($A243,ANAGRAFICA!$B$1:$G$306,2,FALSE)</f>
        <v>TREMOLADA</v>
      </c>
      <c r="C243" s="109" t="str">
        <f>VLOOKUP($A243,ANAGRAFICA!$B$1:$G$306,3,FALSE)</f>
        <v>MARCO</v>
      </c>
      <c r="D243" s="109" t="str">
        <f>VLOOKUP($A243,ANAGRAFICA!$B$1:$G$306,4,FALSE)</f>
        <v>758-25</v>
      </c>
      <c r="E243" s="109">
        <f>VLOOKUP($A243,ANAGRAFICA!$B$1:$G$306,5,FALSE)</f>
        <v>3272025054</v>
      </c>
      <c r="F243" s="109">
        <f>VLOOKUP($A243,ANAGRAFICA!$B$1:$G$306,6,FALSE)</f>
        <v>2025</v>
      </c>
      <c r="G243" s="3">
        <v>2.0</v>
      </c>
      <c r="H243" s="3" t="s">
        <v>648</v>
      </c>
      <c r="I243" s="148">
        <v>45770.0</v>
      </c>
      <c r="J243" s="3" t="s">
        <v>723</v>
      </c>
      <c r="K243" s="11" t="b">
        <v>1</v>
      </c>
    </row>
    <row r="244">
      <c r="A244" s="3">
        <v>2.025010247E9</v>
      </c>
      <c r="B244" s="109" t="str">
        <f>VLOOKUP($A244,ANAGRAFICA!$B$1:$G$306,2,FALSE)</f>
        <v>TREMOLADA</v>
      </c>
      <c r="C244" s="109" t="str">
        <f>VLOOKUP($A244,ANAGRAFICA!$B$1:$G$306,3,FALSE)</f>
        <v>MARCO</v>
      </c>
      <c r="D244" s="109" t="str">
        <f>VLOOKUP($A244,ANAGRAFICA!$B$1:$G$306,4,FALSE)</f>
        <v>758-25</v>
      </c>
      <c r="E244" s="109">
        <f>VLOOKUP($A244,ANAGRAFICA!$B$1:$G$306,5,FALSE)</f>
        <v>3272025054</v>
      </c>
      <c r="F244" s="109">
        <f>VLOOKUP($A244,ANAGRAFICA!$B$1:$G$306,6,FALSE)</f>
        <v>2025</v>
      </c>
      <c r="G244" s="3">
        <v>2.0</v>
      </c>
      <c r="H244" s="3" t="s">
        <v>648</v>
      </c>
      <c r="I244" s="148">
        <v>45771.0</v>
      </c>
      <c r="J244" s="3" t="s">
        <v>724</v>
      </c>
      <c r="K244" s="11" t="b">
        <v>1</v>
      </c>
    </row>
    <row r="245">
      <c r="A245" s="3">
        <v>2.025010247E9</v>
      </c>
      <c r="B245" s="109" t="str">
        <f>VLOOKUP($A245,ANAGRAFICA!$B$1:$G$306,2,FALSE)</f>
        <v>TREMOLADA</v>
      </c>
      <c r="C245" s="109" t="str">
        <f>VLOOKUP($A245,ANAGRAFICA!$B$1:$G$306,3,FALSE)</f>
        <v>MARCO</v>
      </c>
      <c r="D245" s="109" t="str">
        <f>VLOOKUP($A245,ANAGRAFICA!$B$1:$G$306,4,FALSE)</f>
        <v>758-25</v>
      </c>
      <c r="E245" s="109">
        <f>VLOOKUP($A245,ANAGRAFICA!$B$1:$G$306,5,FALSE)</f>
        <v>3272025054</v>
      </c>
      <c r="F245" s="109">
        <f>VLOOKUP($A245,ANAGRAFICA!$B$1:$G$306,6,FALSE)</f>
        <v>2025</v>
      </c>
      <c r="G245" s="3">
        <v>2.0</v>
      </c>
      <c r="H245" s="3" t="s">
        <v>648</v>
      </c>
      <c r="I245" s="148">
        <v>45772.0</v>
      </c>
      <c r="J245" s="3" t="s">
        <v>725</v>
      </c>
      <c r="K245" s="11" t="b">
        <v>1</v>
      </c>
    </row>
    <row r="246">
      <c r="A246" s="3">
        <v>2.025010247E9</v>
      </c>
      <c r="B246" s="109" t="str">
        <f>VLOOKUP($A246,ANAGRAFICA!$B$1:$G$306,2,FALSE)</f>
        <v>TREMOLADA</v>
      </c>
      <c r="C246" s="109" t="str">
        <f>VLOOKUP($A246,ANAGRAFICA!$B$1:$G$306,3,FALSE)</f>
        <v>MARCO</v>
      </c>
      <c r="D246" s="109" t="str">
        <f>VLOOKUP($A246,ANAGRAFICA!$B$1:$G$306,4,FALSE)</f>
        <v>758-25</v>
      </c>
      <c r="E246" s="109">
        <f>VLOOKUP($A246,ANAGRAFICA!$B$1:$G$306,5,FALSE)</f>
        <v>3272025054</v>
      </c>
      <c r="F246" s="109">
        <f>VLOOKUP($A246,ANAGRAFICA!$B$1:$G$306,6,FALSE)</f>
        <v>2025</v>
      </c>
      <c r="G246" s="3">
        <v>2.0</v>
      </c>
      <c r="H246" s="3" t="s">
        <v>648</v>
      </c>
      <c r="I246" s="148">
        <v>45773.0</v>
      </c>
      <c r="J246" s="3" t="s">
        <v>275</v>
      </c>
      <c r="K246" s="11" t="b">
        <v>1</v>
      </c>
    </row>
    <row r="247">
      <c r="A247" s="3">
        <v>2.025010247E9</v>
      </c>
      <c r="B247" s="109" t="str">
        <f>VLOOKUP($A247,ANAGRAFICA!$B$1:$G$306,2,FALSE)</f>
        <v>TREMOLADA</v>
      </c>
      <c r="C247" s="109" t="str">
        <f>VLOOKUP($A247,ANAGRAFICA!$B$1:$G$306,3,FALSE)</f>
        <v>MARCO</v>
      </c>
      <c r="D247" s="109" t="str">
        <f>VLOOKUP($A247,ANAGRAFICA!$B$1:$G$306,4,FALSE)</f>
        <v>758-25</v>
      </c>
      <c r="E247" s="109">
        <f>VLOOKUP($A247,ANAGRAFICA!$B$1:$G$306,5,FALSE)</f>
        <v>3272025054</v>
      </c>
      <c r="F247" s="109">
        <f>VLOOKUP($A247,ANAGRAFICA!$B$1:$G$306,6,FALSE)</f>
        <v>2025</v>
      </c>
      <c r="G247" s="3">
        <v>2.0</v>
      </c>
      <c r="H247" s="3" t="s">
        <v>648</v>
      </c>
      <c r="I247" s="148">
        <v>45775.0</v>
      </c>
      <c r="J247" s="3" t="s">
        <v>723</v>
      </c>
      <c r="K247" s="11" t="b">
        <v>1</v>
      </c>
    </row>
    <row r="248">
      <c r="A248" s="3">
        <v>2.025010247E9</v>
      </c>
      <c r="B248" s="109" t="str">
        <f>VLOOKUP($A248,ANAGRAFICA!$B$1:$G$306,2,FALSE)</f>
        <v>TREMOLADA</v>
      </c>
      <c r="C248" s="109" t="str">
        <f>VLOOKUP($A248,ANAGRAFICA!$B$1:$G$306,3,FALSE)</f>
        <v>MARCO</v>
      </c>
      <c r="D248" s="109" t="str">
        <f>VLOOKUP($A248,ANAGRAFICA!$B$1:$G$306,4,FALSE)</f>
        <v>758-25</v>
      </c>
      <c r="E248" s="109">
        <f>VLOOKUP($A248,ANAGRAFICA!$B$1:$G$306,5,FALSE)</f>
        <v>3272025054</v>
      </c>
      <c r="F248" s="109">
        <f>VLOOKUP($A248,ANAGRAFICA!$B$1:$G$306,6,FALSE)</f>
        <v>2025</v>
      </c>
      <c r="G248" s="3">
        <v>2.0</v>
      </c>
      <c r="H248" s="3" t="s">
        <v>648</v>
      </c>
      <c r="I248" s="148">
        <v>45777.0</v>
      </c>
      <c r="J248" s="3" t="s">
        <v>726</v>
      </c>
      <c r="K248" s="11" t="b">
        <v>1</v>
      </c>
    </row>
    <row r="249">
      <c r="A249" s="3">
        <v>2.025010247E9</v>
      </c>
      <c r="B249" s="109" t="str">
        <f>VLOOKUP($A249,ANAGRAFICA!$B$1:$G$306,2,FALSE)</f>
        <v>TREMOLADA</v>
      </c>
      <c r="C249" s="109" t="str">
        <f>VLOOKUP($A249,ANAGRAFICA!$B$1:$G$306,3,FALSE)</f>
        <v>MARCO</v>
      </c>
      <c r="D249" s="109" t="str">
        <f>VLOOKUP($A249,ANAGRAFICA!$B$1:$G$306,4,FALSE)</f>
        <v>758-25</v>
      </c>
      <c r="E249" s="109">
        <f>VLOOKUP($A249,ANAGRAFICA!$B$1:$G$306,5,FALSE)</f>
        <v>3272025054</v>
      </c>
      <c r="F249" s="109">
        <f>VLOOKUP($A249,ANAGRAFICA!$B$1:$G$306,6,FALSE)</f>
        <v>2025</v>
      </c>
      <c r="G249" s="3">
        <v>2.0</v>
      </c>
      <c r="H249" s="3" t="s">
        <v>648</v>
      </c>
      <c r="I249" s="148">
        <v>45778.0</v>
      </c>
      <c r="J249" s="3" t="s">
        <v>727</v>
      </c>
      <c r="K249" s="11" t="b">
        <v>1</v>
      </c>
    </row>
    <row r="250">
      <c r="A250" s="3">
        <v>2.025010247E9</v>
      </c>
      <c r="B250" s="109" t="str">
        <f>VLOOKUP($A250,ANAGRAFICA!$B$1:$G$306,2,FALSE)</f>
        <v>TREMOLADA</v>
      </c>
      <c r="C250" s="109" t="str">
        <f>VLOOKUP($A250,ANAGRAFICA!$B$1:$G$306,3,FALSE)</f>
        <v>MARCO</v>
      </c>
      <c r="D250" s="109" t="str">
        <f>VLOOKUP($A250,ANAGRAFICA!$B$1:$G$306,4,FALSE)</f>
        <v>758-25</v>
      </c>
      <c r="E250" s="109">
        <f>VLOOKUP($A250,ANAGRAFICA!$B$1:$G$306,5,FALSE)</f>
        <v>3272025054</v>
      </c>
      <c r="F250" s="109">
        <f>VLOOKUP($A250,ANAGRAFICA!$B$1:$G$306,6,FALSE)</f>
        <v>2025</v>
      </c>
      <c r="G250" s="3">
        <v>2.0</v>
      </c>
      <c r="H250" s="3" t="s">
        <v>648</v>
      </c>
      <c r="I250" s="148">
        <v>45780.0</v>
      </c>
      <c r="J250" s="3" t="s">
        <v>728</v>
      </c>
      <c r="K250" s="11" t="b">
        <v>1</v>
      </c>
    </row>
    <row r="251">
      <c r="A251" s="3">
        <v>2.025010247E9</v>
      </c>
      <c r="B251" s="109" t="str">
        <f>VLOOKUP($A251,ANAGRAFICA!$B$1:$G$306,2,FALSE)</f>
        <v>TREMOLADA</v>
      </c>
      <c r="C251" s="109" t="str">
        <f>VLOOKUP($A251,ANAGRAFICA!$B$1:$G$306,3,FALSE)</f>
        <v>MARCO</v>
      </c>
      <c r="D251" s="109" t="str">
        <f>VLOOKUP($A251,ANAGRAFICA!$B$1:$G$306,4,FALSE)</f>
        <v>758-25</v>
      </c>
      <c r="E251" s="109">
        <f>VLOOKUP($A251,ANAGRAFICA!$B$1:$G$306,5,FALSE)</f>
        <v>3272025054</v>
      </c>
      <c r="F251" s="109">
        <f>VLOOKUP($A251,ANAGRAFICA!$B$1:$G$306,6,FALSE)</f>
        <v>2025</v>
      </c>
      <c r="G251" s="3">
        <v>2.0</v>
      </c>
      <c r="H251" s="3" t="s">
        <v>648</v>
      </c>
      <c r="I251" s="77">
        <v>45781.0</v>
      </c>
      <c r="J251" s="3" t="s">
        <v>729</v>
      </c>
      <c r="K251" s="11" t="b">
        <v>1</v>
      </c>
    </row>
    <row r="252">
      <c r="A252" s="3">
        <v>2.025010247E9</v>
      </c>
      <c r="B252" s="109" t="str">
        <f>VLOOKUP($A252,ANAGRAFICA!$B$1:$G$306,2,FALSE)</f>
        <v>TREMOLADA</v>
      </c>
      <c r="C252" s="109" t="str">
        <f>VLOOKUP($A252,ANAGRAFICA!$B$1:$G$306,3,FALSE)</f>
        <v>MARCO</v>
      </c>
      <c r="D252" s="109" t="str">
        <f>VLOOKUP($A252,ANAGRAFICA!$B$1:$G$306,4,FALSE)</f>
        <v>758-25</v>
      </c>
      <c r="E252" s="109">
        <f>VLOOKUP($A252,ANAGRAFICA!$B$1:$G$306,5,FALSE)</f>
        <v>3272025054</v>
      </c>
      <c r="F252" s="109">
        <f>VLOOKUP($A252,ANAGRAFICA!$B$1:$G$306,6,FALSE)</f>
        <v>2025</v>
      </c>
      <c r="G252" s="3">
        <v>2.0</v>
      </c>
      <c r="H252" s="3" t="s">
        <v>648</v>
      </c>
      <c r="I252" s="148">
        <v>45783.0</v>
      </c>
      <c r="J252" s="3" t="s">
        <v>730</v>
      </c>
      <c r="K252" s="11" t="b">
        <v>1</v>
      </c>
    </row>
    <row r="253">
      <c r="A253" s="3">
        <v>2.025010247E9</v>
      </c>
      <c r="B253" s="109" t="str">
        <f>VLOOKUP($A253,ANAGRAFICA!$B$1:$G$306,2,FALSE)</f>
        <v>TREMOLADA</v>
      </c>
      <c r="C253" s="109" t="str">
        <f>VLOOKUP($A253,ANAGRAFICA!$B$1:$G$306,3,FALSE)</f>
        <v>MARCO</v>
      </c>
      <c r="D253" s="109" t="str">
        <f>VLOOKUP($A253,ANAGRAFICA!$B$1:$G$306,4,FALSE)</f>
        <v>758-25</v>
      </c>
      <c r="E253" s="109">
        <f>VLOOKUP($A253,ANAGRAFICA!$B$1:$G$306,5,FALSE)</f>
        <v>3272025054</v>
      </c>
      <c r="F253" s="109">
        <f>VLOOKUP($A253,ANAGRAFICA!$B$1:$G$306,6,FALSE)</f>
        <v>2025</v>
      </c>
      <c r="G253" s="3">
        <v>2.0</v>
      </c>
      <c r="H253" s="3" t="s">
        <v>648</v>
      </c>
      <c r="I253" s="148">
        <v>45785.0</v>
      </c>
      <c r="J253" s="3" t="s">
        <v>731</v>
      </c>
      <c r="K253" s="11" t="b">
        <v>1</v>
      </c>
    </row>
    <row r="254">
      <c r="A254" s="3">
        <v>2.025010247E9</v>
      </c>
      <c r="B254" s="109" t="str">
        <f>VLOOKUP($A254,ANAGRAFICA!$B$1:$G$306,2,FALSE)</f>
        <v>TREMOLADA</v>
      </c>
      <c r="C254" s="109" t="str">
        <f>VLOOKUP($A254,ANAGRAFICA!$B$1:$G$306,3,FALSE)</f>
        <v>MARCO</v>
      </c>
      <c r="D254" s="109" t="str">
        <f>VLOOKUP($A254,ANAGRAFICA!$B$1:$G$306,4,FALSE)</f>
        <v>758-25</v>
      </c>
      <c r="E254" s="109">
        <f>VLOOKUP($A254,ANAGRAFICA!$B$1:$G$306,5,FALSE)</f>
        <v>3272025054</v>
      </c>
      <c r="F254" s="109">
        <f>VLOOKUP($A254,ANAGRAFICA!$B$1:$G$306,6,FALSE)</f>
        <v>2025</v>
      </c>
      <c r="G254" s="3">
        <v>2.0</v>
      </c>
      <c r="H254" s="3" t="s">
        <v>648</v>
      </c>
      <c r="I254" s="148">
        <v>45787.0</v>
      </c>
      <c r="J254" s="3" t="s">
        <v>732</v>
      </c>
      <c r="K254" s="11" t="b">
        <v>1</v>
      </c>
    </row>
    <row r="255">
      <c r="A255" s="3">
        <v>2.025010247E9</v>
      </c>
      <c r="B255" s="109" t="str">
        <f>VLOOKUP($A255,ANAGRAFICA!$B$1:$G$306,2,FALSE)</f>
        <v>TREMOLADA</v>
      </c>
      <c r="C255" s="109" t="str">
        <f>VLOOKUP($A255,ANAGRAFICA!$B$1:$G$306,3,FALSE)</f>
        <v>MARCO</v>
      </c>
      <c r="D255" s="109" t="str">
        <f>VLOOKUP($A255,ANAGRAFICA!$B$1:$G$306,4,FALSE)</f>
        <v>758-25</v>
      </c>
      <c r="E255" s="109">
        <f>VLOOKUP($A255,ANAGRAFICA!$B$1:$G$306,5,FALSE)</f>
        <v>3272025054</v>
      </c>
      <c r="F255" s="109">
        <f>VLOOKUP($A255,ANAGRAFICA!$B$1:$G$306,6,FALSE)</f>
        <v>2025</v>
      </c>
      <c r="G255" s="3">
        <v>2.0</v>
      </c>
      <c r="H255" s="3" t="s">
        <v>648</v>
      </c>
      <c r="I255" s="148">
        <v>45789.0</v>
      </c>
      <c r="J255" s="3" t="s">
        <v>733</v>
      </c>
      <c r="K255" s="11" t="b">
        <v>1</v>
      </c>
    </row>
    <row r="256">
      <c r="A256" s="3">
        <v>2.025010247E9</v>
      </c>
      <c r="B256" s="109" t="str">
        <f>VLOOKUP($A256,ANAGRAFICA!$B$1:$G$306,2,FALSE)</f>
        <v>TREMOLADA</v>
      </c>
      <c r="C256" s="109" t="str">
        <f>VLOOKUP($A256,ANAGRAFICA!$B$1:$G$306,3,FALSE)</f>
        <v>MARCO</v>
      </c>
      <c r="D256" s="109" t="str">
        <f>VLOOKUP($A256,ANAGRAFICA!$B$1:$G$306,4,FALSE)</f>
        <v>758-25</v>
      </c>
      <c r="E256" s="109">
        <f>VLOOKUP($A256,ANAGRAFICA!$B$1:$G$306,5,FALSE)</f>
        <v>3272025054</v>
      </c>
      <c r="F256" s="109">
        <f>VLOOKUP($A256,ANAGRAFICA!$B$1:$G$306,6,FALSE)</f>
        <v>2025</v>
      </c>
      <c r="G256" s="3">
        <v>2.0</v>
      </c>
      <c r="H256" s="3" t="s">
        <v>648</v>
      </c>
      <c r="I256" s="148">
        <v>45792.0</v>
      </c>
      <c r="J256" s="3" t="s">
        <v>734</v>
      </c>
      <c r="K256" s="11" t="b">
        <v>1</v>
      </c>
    </row>
    <row r="257">
      <c r="A257" s="3">
        <v>2.125020858E9</v>
      </c>
      <c r="B257" s="109" t="str">
        <f>VLOOKUP($A257,ANAGRAFICA!$B$1:$G$306,2,FALSE)</f>
        <v>FALVO</v>
      </c>
      <c r="C257" s="109" t="str">
        <f>VLOOKUP($A257,ANAGRAFICA!$B$1:$G$306,3,FALSE)</f>
        <v>FRANCESCO</v>
      </c>
      <c r="D257" s="109" t="str">
        <f>VLOOKUP($A257,ANAGRAFICA!$B$1:$G$306,4,FALSE)</f>
        <v/>
      </c>
      <c r="E257" s="109">
        <f>VLOOKUP($A257,ANAGRAFICA!$B$1:$G$306,5,FALSE)</f>
        <v>3272025055</v>
      </c>
      <c r="F257" s="109">
        <f>VLOOKUP($A257,ANAGRAFICA!$B$1:$G$306,6,FALSE)</f>
        <v>2025</v>
      </c>
      <c r="G257" s="3">
        <v>1.0</v>
      </c>
      <c r="H257" s="3" t="s">
        <v>612</v>
      </c>
      <c r="I257" s="148">
        <v>45787.0</v>
      </c>
      <c r="J257" s="3" t="s">
        <v>735</v>
      </c>
      <c r="K257" s="11" t="b">
        <v>1</v>
      </c>
    </row>
    <row r="258">
      <c r="A258" s="3">
        <v>2.125020858E9</v>
      </c>
      <c r="B258" s="109" t="str">
        <f>VLOOKUP($A258,ANAGRAFICA!$B$1:$G$306,2,FALSE)</f>
        <v>FALVO</v>
      </c>
      <c r="C258" s="109" t="str">
        <f>VLOOKUP($A258,ANAGRAFICA!$B$1:$G$306,3,FALSE)</f>
        <v>FRANCESCO</v>
      </c>
      <c r="D258" s="109" t="str">
        <f>VLOOKUP($A258,ANAGRAFICA!$B$1:$G$306,4,FALSE)</f>
        <v/>
      </c>
      <c r="E258" s="109">
        <f>VLOOKUP($A258,ANAGRAFICA!$B$1:$G$306,5,FALSE)</f>
        <v>3272025055</v>
      </c>
      <c r="F258" s="109">
        <f>VLOOKUP($A258,ANAGRAFICA!$B$1:$G$306,6,FALSE)</f>
        <v>2025</v>
      </c>
      <c r="G258" s="3">
        <v>1.0</v>
      </c>
      <c r="H258" s="3" t="s">
        <v>623</v>
      </c>
      <c r="I258" s="148">
        <v>43961.0</v>
      </c>
      <c r="J258" s="3" t="s">
        <v>735</v>
      </c>
      <c r="K258" s="11" t="b">
        <v>1</v>
      </c>
    </row>
    <row r="259">
      <c r="A259" s="3">
        <v>2.125020858E9</v>
      </c>
      <c r="B259" s="109" t="str">
        <f>VLOOKUP($A259,ANAGRAFICA!$B$1:$G$306,2,FALSE)</f>
        <v>FALVO</v>
      </c>
      <c r="C259" s="109" t="str">
        <f>VLOOKUP($A259,ANAGRAFICA!$B$1:$G$306,3,FALSE)</f>
        <v>FRANCESCO</v>
      </c>
      <c r="D259" s="109" t="str">
        <f>VLOOKUP($A259,ANAGRAFICA!$B$1:$G$306,4,FALSE)</f>
        <v/>
      </c>
      <c r="E259" s="109">
        <f>VLOOKUP($A259,ANAGRAFICA!$B$1:$G$306,5,FALSE)</f>
        <v>3272025055</v>
      </c>
      <c r="F259" s="109">
        <f>VLOOKUP($A259,ANAGRAFICA!$B$1:$G$306,6,FALSE)</f>
        <v>2025</v>
      </c>
      <c r="G259" s="3">
        <v>1.0</v>
      </c>
      <c r="H259" s="3" t="s">
        <v>613</v>
      </c>
      <c r="I259" s="148">
        <v>45787.0</v>
      </c>
      <c r="J259" s="3" t="s">
        <v>735</v>
      </c>
      <c r="K259" s="11" t="b">
        <v>1</v>
      </c>
    </row>
    <row r="260">
      <c r="A260" s="3">
        <v>2.125020858E9</v>
      </c>
      <c r="B260" s="109" t="str">
        <f>VLOOKUP($A260,ANAGRAFICA!$B$1:$G$306,2,FALSE)</f>
        <v>FALVO</v>
      </c>
      <c r="C260" s="109" t="str">
        <f>VLOOKUP($A260,ANAGRAFICA!$B$1:$G$306,3,FALSE)</f>
        <v>FRANCESCO</v>
      </c>
      <c r="D260" s="109" t="str">
        <f>VLOOKUP($A260,ANAGRAFICA!$B$1:$G$306,4,FALSE)</f>
        <v/>
      </c>
      <c r="E260" s="109">
        <f>VLOOKUP($A260,ANAGRAFICA!$B$1:$G$306,5,FALSE)</f>
        <v>3272025055</v>
      </c>
      <c r="F260" s="109">
        <f>VLOOKUP($A260,ANAGRAFICA!$B$1:$G$306,6,FALSE)</f>
        <v>2025</v>
      </c>
      <c r="G260" s="3">
        <v>1.0</v>
      </c>
      <c r="H260" s="3" t="s">
        <v>610</v>
      </c>
      <c r="I260" s="148">
        <v>45787.0</v>
      </c>
      <c r="J260" s="3" t="s">
        <v>75</v>
      </c>
      <c r="K260" s="11" t="b">
        <v>1</v>
      </c>
    </row>
    <row r="261">
      <c r="A261" s="3">
        <v>2.125020858E9</v>
      </c>
      <c r="B261" s="109" t="str">
        <f>VLOOKUP($A261,ANAGRAFICA!$B$1:$G$306,2,FALSE)</f>
        <v>FALVO</v>
      </c>
      <c r="C261" s="109" t="str">
        <f>VLOOKUP($A261,ANAGRAFICA!$B$1:$G$306,3,FALSE)</f>
        <v>FRANCESCO</v>
      </c>
      <c r="D261" s="109" t="str">
        <f>VLOOKUP($A261,ANAGRAFICA!$B$1:$G$306,4,FALSE)</f>
        <v/>
      </c>
      <c r="E261" s="109">
        <f>VLOOKUP($A261,ANAGRAFICA!$B$1:$G$306,5,FALSE)</f>
        <v>3272025055</v>
      </c>
      <c r="F261" s="109">
        <f>VLOOKUP($A261,ANAGRAFICA!$B$1:$G$306,6,FALSE)</f>
        <v>2025</v>
      </c>
      <c r="G261" s="3">
        <v>1.0</v>
      </c>
      <c r="H261" s="3" t="s">
        <v>612</v>
      </c>
      <c r="I261" s="148">
        <v>45787.0</v>
      </c>
      <c r="J261" s="3" t="s">
        <v>473</v>
      </c>
      <c r="K261" s="11" t="b">
        <v>1</v>
      </c>
    </row>
    <row r="262">
      <c r="A262" s="3">
        <v>2.025010247E9</v>
      </c>
      <c r="B262" s="109" t="str">
        <f>VLOOKUP($A262,ANAGRAFICA!$B$1:$G$306,2,FALSE)</f>
        <v>TREMOLADA</v>
      </c>
      <c r="C262" s="109" t="str">
        <f>VLOOKUP($A262,ANAGRAFICA!$B$1:$G$306,3,FALSE)</f>
        <v>MARCO</v>
      </c>
      <c r="D262" s="109" t="str">
        <f>VLOOKUP($A262,ANAGRAFICA!$B$1:$G$306,4,FALSE)</f>
        <v>758-25</v>
      </c>
      <c r="E262" s="109">
        <f>VLOOKUP($A262,ANAGRAFICA!$B$1:$G$306,5,FALSE)</f>
        <v>3272025054</v>
      </c>
      <c r="F262" s="109">
        <f>VLOOKUP($A262,ANAGRAFICA!$B$1:$G$306,6,FALSE)</f>
        <v>2025</v>
      </c>
      <c r="G262" s="3">
        <v>2.0</v>
      </c>
      <c r="H262" s="3" t="s">
        <v>648</v>
      </c>
      <c r="I262" s="148">
        <v>45793.0</v>
      </c>
      <c r="J262" s="3" t="s">
        <v>736</v>
      </c>
      <c r="K262" s="11" t="b">
        <v>1</v>
      </c>
    </row>
    <row r="263">
      <c r="A263" s="3">
        <v>2.025010247E9</v>
      </c>
      <c r="B263" s="109" t="str">
        <f>VLOOKUP($A263,ANAGRAFICA!$B$1:$G$306,2,FALSE)</f>
        <v>TREMOLADA</v>
      </c>
      <c r="C263" s="109" t="str">
        <f>VLOOKUP($A263,ANAGRAFICA!$B$1:$G$306,3,FALSE)</f>
        <v>MARCO</v>
      </c>
      <c r="D263" s="109" t="str">
        <f>VLOOKUP($A263,ANAGRAFICA!$B$1:$G$306,4,FALSE)</f>
        <v>758-25</v>
      </c>
      <c r="E263" s="109">
        <f>VLOOKUP($A263,ANAGRAFICA!$B$1:$G$306,5,FALSE)</f>
        <v>3272025054</v>
      </c>
      <c r="F263" s="109">
        <f>VLOOKUP($A263,ANAGRAFICA!$B$1:$G$306,6,FALSE)</f>
        <v>2025</v>
      </c>
      <c r="G263" s="3">
        <v>2.0</v>
      </c>
      <c r="H263" s="3" t="s">
        <v>648</v>
      </c>
      <c r="I263" s="148">
        <v>45794.0</v>
      </c>
      <c r="J263" s="3" t="s">
        <v>737</v>
      </c>
      <c r="K263" s="11" t="b">
        <v>1</v>
      </c>
    </row>
    <row r="264">
      <c r="A264" s="3">
        <v>2.025010247E9</v>
      </c>
      <c r="B264" s="109" t="str">
        <f>VLOOKUP($A264,ANAGRAFICA!$B$1:$G$306,2,FALSE)</f>
        <v>TREMOLADA</v>
      </c>
      <c r="C264" s="109" t="str">
        <f>VLOOKUP($A264,ANAGRAFICA!$B$1:$G$306,3,FALSE)</f>
        <v>MARCO</v>
      </c>
      <c r="D264" s="109" t="str">
        <f>VLOOKUP($A264,ANAGRAFICA!$B$1:$G$306,4,FALSE)</f>
        <v>758-25</v>
      </c>
      <c r="E264" s="109">
        <f>VLOOKUP($A264,ANAGRAFICA!$B$1:$G$306,5,FALSE)</f>
        <v>3272025054</v>
      </c>
      <c r="F264" s="109">
        <f>VLOOKUP($A264,ANAGRAFICA!$B$1:$G$306,6,FALSE)</f>
        <v>2025</v>
      </c>
      <c r="G264" s="3">
        <v>2.0</v>
      </c>
      <c r="H264" s="3" t="s">
        <v>648</v>
      </c>
      <c r="I264" s="148">
        <v>45796.0</v>
      </c>
      <c r="J264" s="3" t="s">
        <v>650</v>
      </c>
      <c r="K264" s="11" t="b">
        <v>1</v>
      </c>
    </row>
    <row r="265">
      <c r="A265" s="3">
        <v>2.025010247E9</v>
      </c>
      <c r="B265" s="109" t="str">
        <f>VLOOKUP($A265,ANAGRAFICA!$B$1:$G$306,2,FALSE)</f>
        <v>TREMOLADA</v>
      </c>
      <c r="C265" s="109" t="str">
        <f>VLOOKUP($A265,ANAGRAFICA!$B$1:$G$306,3,FALSE)</f>
        <v>MARCO</v>
      </c>
      <c r="D265" s="109" t="str">
        <f>VLOOKUP($A265,ANAGRAFICA!$B$1:$G$306,4,FALSE)</f>
        <v>758-25</v>
      </c>
      <c r="E265" s="109">
        <f>VLOOKUP($A265,ANAGRAFICA!$B$1:$G$306,5,FALSE)</f>
        <v>3272025054</v>
      </c>
      <c r="F265" s="109">
        <f>VLOOKUP($A265,ANAGRAFICA!$B$1:$G$306,6,FALSE)</f>
        <v>2025</v>
      </c>
      <c r="G265" s="3">
        <v>2.0</v>
      </c>
      <c r="H265" s="3" t="s">
        <v>648</v>
      </c>
      <c r="I265" s="148">
        <v>45798.0</v>
      </c>
      <c r="J265" s="3" t="s">
        <v>738</v>
      </c>
      <c r="K265" s="11" t="b">
        <v>1</v>
      </c>
    </row>
    <row r="266">
      <c r="A266" s="3">
        <v>2.125023093E9</v>
      </c>
      <c r="B266" s="109" t="str">
        <f>VLOOKUP($A266,ANAGRAFICA!$B$1:$G$306,2,FALSE)</f>
        <v>GHEZZI</v>
      </c>
      <c r="C266" s="109" t="str">
        <f>VLOOKUP($A266,ANAGRAFICA!$B$1:$G$306,3,FALSE)</f>
        <v>FABIO</v>
      </c>
      <c r="D266" s="109" t="str">
        <f>VLOOKUP($A266,ANAGRAFICA!$B$1:$G$306,4,FALSE)</f>
        <v>758-28</v>
      </c>
      <c r="E266" s="109">
        <f>VLOOKUP($A266,ANAGRAFICA!$B$1:$G$306,5,FALSE)</f>
        <v>3272025056</v>
      </c>
      <c r="F266" s="109">
        <f>VLOOKUP($A266,ANAGRAFICA!$B$1:$G$306,6,FALSE)</f>
        <v>2025</v>
      </c>
      <c r="G266" s="3">
        <v>1.0</v>
      </c>
      <c r="H266" s="3" t="s">
        <v>610</v>
      </c>
      <c r="I266" s="148">
        <v>45800.0</v>
      </c>
      <c r="J266" s="3" t="s">
        <v>739</v>
      </c>
      <c r="K266" s="11" t="b">
        <v>0</v>
      </c>
    </row>
    <row r="267">
      <c r="A267" s="3">
        <v>2.125023093E9</v>
      </c>
      <c r="B267" s="154" t="s">
        <v>228</v>
      </c>
      <c r="C267" s="154" t="s">
        <v>37</v>
      </c>
      <c r="D267" s="109"/>
      <c r="E267" s="154" t="s">
        <v>740</v>
      </c>
      <c r="F267" s="154" t="s">
        <v>741</v>
      </c>
      <c r="G267" s="3">
        <v>1.0</v>
      </c>
      <c r="H267" s="3" t="s">
        <v>624</v>
      </c>
      <c r="I267" s="148">
        <v>45800.0</v>
      </c>
      <c r="J267" s="3" t="s">
        <v>104</v>
      </c>
      <c r="K267" s="11" t="b">
        <v>0</v>
      </c>
    </row>
    <row r="268">
      <c r="A268" s="3">
        <v>2.125024608E9</v>
      </c>
      <c r="B268" s="109" t="str">
        <f>VLOOKUP($A268,ANAGRAFICA!$B$1:$G$306,2,FALSE)</f>
        <v>ZAPPIA</v>
      </c>
      <c r="C268" s="109" t="str">
        <f>VLOOKUP($A268,ANAGRAFICA!$B$1:$G$306,3,FALSE)</f>
        <v>LEONARDO</v>
      </c>
      <c r="D268" s="109" t="str">
        <f>VLOOKUP($A268,ANAGRAFICA!$B$1:$G$306,4,FALSE)</f>
        <v>758-29</v>
      </c>
      <c r="E268" s="109">
        <f>VLOOKUP($A268,ANAGRAFICA!$B$1:$G$306,5,FALSE)</f>
        <v>3272025057</v>
      </c>
      <c r="F268" s="109">
        <f>VLOOKUP($A268,ANAGRAFICA!$B$1:$G$306,6,FALSE)</f>
        <v>2025</v>
      </c>
      <c r="G268" s="3">
        <v>1.0</v>
      </c>
      <c r="H268" s="3" t="s">
        <v>610</v>
      </c>
      <c r="I268" s="148">
        <v>45811.0</v>
      </c>
      <c r="J268" s="3" t="s">
        <v>742</v>
      </c>
      <c r="K268" s="11" t="b">
        <v>1</v>
      </c>
    </row>
    <row r="269">
      <c r="A269" s="3">
        <v>2.125024608E9</v>
      </c>
      <c r="B269" s="109" t="str">
        <f>VLOOKUP($A269,ANAGRAFICA!$B$1:$G$306,2,FALSE)</f>
        <v>ZAPPIA</v>
      </c>
      <c r="C269" s="109" t="str">
        <f>VLOOKUP($A269,ANAGRAFICA!$B$1:$G$306,3,FALSE)</f>
        <v>LEONARDO</v>
      </c>
      <c r="D269" s="109" t="str">
        <f>VLOOKUP($A269,ANAGRAFICA!$B$1:$G$306,4,FALSE)</f>
        <v>758-29</v>
      </c>
      <c r="E269" s="109">
        <f>VLOOKUP($A269,ANAGRAFICA!$B$1:$G$306,5,FALSE)</f>
        <v>3272025057</v>
      </c>
      <c r="F269" s="109">
        <f>VLOOKUP($A269,ANAGRAFICA!$B$1:$G$306,6,FALSE)</f>
        <v>2025</v>
      </c>
      <c r="G269" s="3">
        <v>1.0</v>
      </c>
      <c r="H269" s="3" t="s">
        <v>648</v>
      </c>
      <c r="I269" s="148">
        <v>45811.0</v>
      </c>
      <c r="J269" s="3" t="s">
        <v>743</v>
      </c>
      <c r="K269" s="11" t="b">
        <v>1</v>
      </c>
    </row>
    <row r="270">
      <c r="A270" s="3">
        <v>2.125024608E9</v>
      </c>
      <c r="B270" s="109" t="str">
        <f>VLOOKUP($A270,ANAGRAFICA!$B$1:$G$306,2,FALSE)</f>
        <v>ZAPPIA</v>
      </c>
      <c r="C270" s="109" t="str">
        <f>VLOOKUP($A270,ANAGRAFICA!$B$1:$G$306,3,FALSE)</f>
        <v>LEONARDO</v>
      </c>
      <c r="D270" s="109" t="str">
        <f>VLOOKUP($A270,ANAGRAFICA!$B$1:$G$306,4,FALSE)</f>
        <v>758-29</v>
      </c>
      <c r="E270" s="109">
        <f>VLOOKUP($A270,ANAGRAFICA!$B$1:$G$306,5,FALSE)</f>
        <v>3272025057</v>
      </c>
      <c r="F270" s="109">
        <f>VLOOKUP($A270,ANAGRAFICA!$B$1:$G$306,6,FALSE)</f>
        <v>2025</v>
      </c>
      <c r="G270" s="3">
        <v>1.0</v>
      </c>
      <c r="H270" s="3" t="s">
        <v>648</v>
      </c>
      <c r="I270" s="148">
        <v>45811.0</v>
      </c>
      <c r="J270" s="3" t="s">
        <v>744</v>
      </c>
      <c r="K270" s="11" t="b">
        <v>1</v>
      </c>
    </row>
    <row r="271">
      <c r="A271" s="3">
        <v>2.125024608E9</v>
      </c>
      <c r="B271" s="109" t="str">
        <f>VLOOKUP($A271,ANAGRAFICA!$B$1:$G$306,2,FALSE)</f>
        <v>ZAPPIA</v>
      </c>
      <c r="C271" s="109" t="str">
        <f>VLOOKUP($A271,ANAGRAFICA!$B$1:$G$306,3,FALSE)</f>
        <v>LEONARDO</v>
      </c>
      <c r="D271" s="109" t="str">
        <f>VLOOKUP($A271,ANAGRAFICA!$B$1:$G$306,4,FALSE)</f>
        <v>758-29</v>
      </c>
      <c r="E271" s="109">
        <f>VLOOKUP($A271,ANAGRAFICA!$B$1:$G$306,5,FALSE)</f>
        <v>3272025057</v>
      </c>
      <c r="F271" s="109">
        <f>VLOOKUP($A271,ANAGRAFICA!$B$1:$G$306,6,FALSE)</f>
        <v>2025</v>
      </c>
      <c r="G271" s="3">
        <v>1.0</v>
      </c>
      <c r="H271" s="3" t="s">
        <v>648</v>
      </c>
      <c r="I271" s="148">
        <v>45812.0</v>
      </c>
      <c r="J271" s="3" t="s">
        <v>745</v>
      </c>
      <c r="K271" s="11" t="b">
        <v>1</v>
      </c>
    </row>
    <row r="272">
      <c r="A272" s="3">
        <v>2.125024565E9</v>
      </c>
      <c r="B272" s="109" t="str">
        <f>VLOOKUP($A272,ANAGRAFICA!$B$1:$G$306,2,FALSE)</f>
        <v>POLICARPO</v>
      </c>
      <c r="C272" s="109" t="str">
        <f>VLOOKUP($A272,ANAGRAFICA!$B$1:$G$306,3,FALSE)</f>
        <v>FRANCESCO</v>
      </c>
      <c r="D272" s="109" t="str">
        <f>VLOOKUP($A272,ANAGRAFICA!$B$1:$G$306,4,FALSE)</f>
        <v>758-30</v>
      </c>
      <c r="E272" s="109" t="str">
        <f>VLOOKUP($A272,ANAGRAFICA!$B$1:$G$306,5,FALSE)</f>
        <v/>
      </c>
      <c r="F272" s="109">
        <f>VLOOKUP($A272,ANAGRAFICA!$B$1:$G$306,6,FALSE)</f>
        <v>2025</v>
      </c>
      <c r="G272" s="3">
        <v>1.0</v>
      </c>
      <c r="H272" s="3" t="s">
        <v>604</v>
      </c>
      <c r="I272" s="148">
        <v>45813.0</v>
      </c>
      <c r="K272" s="11" t="b">
        <v>0</v>
      </c>
    </row>
    <row r="273">
      <c r="A273" s="3">
        <v>2.125025861E9</v>
      </c>
      <c r="B273" s="109" t="str">
        <f>VLOOKUP($A273,ANAGRAFICA!$B$1:$G$306,2,FALSE)</f>
        <v>CASSANI</v>
      </c>
      <c r="C273" s="109" t="str">
        <f>VLOOKUP($A273,ANAGRAFICA!$B$1:$G$306,3,FALSE)</f>
        <v>DAVIDE VIRGILIO</v>
      </c>
      <c r="D273" s="109" t="str">
        <f>VLOOKUP($A273,ANAGRAFICA!$B$1:$G$306,4,FALSE)</f>
        <v>758-31</v>
      </c>
      <c r="E273" s="109">
        <f>VLOOKUP($A273,ANAGRAFICA!$B$1:$G$306,5,FALSE)</f>
        <v>3272025058</v>
      </c>
      <c r="F273" s="109">
        <f>VLOOKUP($A273,ANAGRAFICA!$B$1:$G$306,6,FALSE)</f>
        <v>2025</v>
      </c>
      <c r="G273" s="3">
        <v>1.0</v>
      </c>
      <c r="H273" s="3" t="s">
        <v>648</v>
      </c>
      <c r="I273" s="148">
        <v>45819.0</v>
      </c>
      <c r="J273" s="3" t="s">
        <v>746</v>
      </c>
      <c r="K273" s="11" t="b">
        <v>1</v>
      </c>
    </row>
    <row r="274">
      <c r="A274" s="3">
        <v>2.125024565E9</v>
      </c>
      <c r="B274" s="109" t="str">
        <f>VLOOKUP($A274,ANAGRAFICA!$B$1:$G$306,2,FALSE)</f>
        <v>POLICARPO</v>
      </c>
      <c r="C274" s="109" t="str">
        <f>VLOOKUP($A274,ANAGRAFICA!$B$1:$G$306,3,FALSE)</f>
        <v>FRANCESCO</v>
      </c>
      <c r="D274" s="109" t="str">
        <f>VLOOKUP($A274,ANAGRAFICA!$B$1:$G$306,4,FALSE)</f>
        <v>758-30</v>
      </c>
      <c r="E274" s="109" t="str">
        <f>VLOOKUP($A274,ANAGRAFICA!$B$1:$G$306,5,FALSE)</f>
        <v/>
      </c>
      <c r="F274" s="109">
        <f>VLOOKUP($A274,ANAGRAFICA!$B$1:$G$306,6,FALSE)</f>
        <v>2025</v>
      </c>
      <c r="G274" s="3">
        <v>1.0</v>
      </c>
      <c r="H274" s="3" t="s">
        <v>648</v>
      </c>
      <c r="I274" s="148">
        <v>45813.0</v>
      </c>
      <c r="J274" s="3" t="s">
        <v>747</v>
      </c>
      <c r="K274" s="11" t="b">
        <v>0</v>
      </c>
    </row>
    <row r="275">
      <c r="A275" s="3">
        <v>2.125024565E9</v>
      </c>
      <c r="B275" s="154" t="s">
        <v>235</v>
      </c>
      <c r="C275" s="154" t="s">
        <v>57</v>
      </c>
      <c r="D275" s="109" t="str">
        <f>VLOOKUP($A275,ANAGRAFICA!$B$1:$G$306,4,FALSE)</f>
        <v>758-30</v>
      </c>
      <c r="E275" s="109"/>
      <c r="F275" s="109">
        <f>VLOOKUP($A275,ANAGRAFICA!$B$1:$G$306,6,FALSE)</f>
        <v>2025</v>
      </c>
      <c r="G275" s="3">
        <v>1.0</v>
      </c>
      <c r="H275" s="3" t="s">
        <v>612</v>
      </c>
      <c r="I275" s="148">
        <v>45813.0</v>
      </c>
      <c r="J275" s="3" t="s">
        <v>432</v>
      </c>
      <c r="K275" s="11" t="b">
        <v>0</v>
      </c>
    </row>
    <row r="276">
      <c r="A276" s="3">
        <v>2.125024565E9</v>
      </c>
      <c r="B276" s="154" t="s">
        <v>235</v>
      </c>
      <c r="C276" s="154" t="s">
        <v>57</v>
      </c>
      <c r="D276" s="109" t="str">
        <f>VLOOKUP($A276,ANAGRAFICA!$B$1:$G$306,4,FALSE)</f>
        <v>758-30</v>
      </c>
      <c r="E276" s="109"/>
      <c r="F276" s="109">
        <f>VLOOKUP($A276,ANAGRAFICA!$B$1:$G$306,6,FALSE)</f>
        <v>2025</v>
      </c>
      <c r="G276" s="3">
        <v>1.0</v>
      </c>
      <c r="H276" s="3" t="s">
        <v>623</v>
      </c>
      <c r="I276" s="148">
        <v>45813.0</v>
      </c>
      <c r="J276" s="3" t="s">
        <v>748</v>
      </c>
      <c r="K276" s="11" t="b">
        <v>0</v>
      </c>
    </row>
    <row r="277">
      <c r="A277" s="3">
        <v>2.125025861E9</v>
      </c>
      <c r="B277" s="109" t="str">
        <f>VLOOKUP($A277,ANAGRAFICA!$B$1:$G$306,2,FALSE)</f>
        <v>CASSANI</v>
      </c>
      <c r="C277" s="109" t="str">
        <f>VLOOKUP($A277,ANAGRAFICA!$B$1:$G$306,3,FALSE)</f>
        <v>DAVIDE VIRGILIO</v>
      </c>
      <c r="D277" s="109" t="str">
        <f>VLOOKUP($A277,ANAGRAFICA!$B$1:$G$306,4,FALSE)</f>
        <v>758-31</v>
      </c>
      <c r="E277" s="109">
        <f>VLOOKUP($A277,ANAGRAFICA!$B$1:$G$306,5,FALSE)</f>
        <v>3272025058</v>
      </c>
      <c r="F277" s="109">
        <f>VLOOKUP($A277,ANAGRAFICA!$B$1:$G$306,6,FALSE)</f>
        <v>2025</v>
      </c>
      <c r="G277" s="3">
        <v>1.0</v>
      </c>
      <c r="H277" s="3" t="s">
        <v>648</v>
      </c>
      <c r="I277" s="148">
        <v>45821.0</v>
      </c>
      <c r="J277" s="3" t="s">
        <v>749</v>
      </c>
      <c r="K277" s="11" t="b">
        <v>0</v>
      </c>
    </row>
    <row r="278">
      <c r="A278" s="3">
        <v>2.125025861E9</v>
      </c>
      <c r="B278" s="109" t="str">
        <f>VLOOKUP($A278,ANAGRAFICA!$B$1:$G$306,2,FALSE)</f>
        <v>CASSANI</v>
      </c>
      <c r="C278" s="109" t="str">
        <f>VLOOKUP($A278,ANAGRAFICA!$B$1:$G$306,3,FALSE)</f>
        <v>DAVIDE VIRGILIO</v>
      </c>
      <c r="D278" s="109" t="str">
        <f>VLOOKUP($A278,ANAGRAFICA!$B$1:$G$306,4,FALSE)</f>
        <v>758-31</v>
      </c>
      <c r="E278" s="109">
        <f>VLOOKUP($A278,ANAGRAFICA!$B$1:$G$306,5,FALSE)</f>
        <v>3272025058</v>
      </c>
      <c r="F278" s="109">
        <f>VLOOKUP($A278,ANAGRAFICA!$B$1:$G$306,6,FALSE)</f>
        <v>2025</v>
      </c>
      <c r="G278" s="3">
        <v>1.0</v>
      </c>
      <c r="H278" s="3" t="s">
        <v>699</v>
      </c>
      <c r="I278" s="148">
        <v>45822.0</v>
      </c>
      <c r="J278" s="3" t="s">
        <v>750</v>
      </c>
      <c r="K278" s="11" t="b">
        <v>0</v>
      </c>
    </row>
    <row r="279">
      <c r="A279" s="3">
        <v>2.125025861E9</v>
      </c>
      <c r="B279" s="109" t="str">
        <f>VLOOKUP($A279,ANAGRAFICA!$B$1:$G$306,2,FALSE)</f>
        <v>CASSANI</v>
      </c>
      <c r="C279" s="109" t="str">
        <f>VLOOKUP($A279,ANAGRAFICA!$B$1:$G$306,3,FALSE)</f>
        <v>DAVIDE VIRGILIO</v>
      </c>
      <c r="D279" s="109" t="str">
        <f>VLOOKUP($A279,ANAGRAFICA!$B$1:$G$306,4,FALSE)</f>
        <v>758-31</v>
      </c>
      <c r="E279" s="109">
        <f>VLOOKUP($A279,ANAGRAFICA!$B$1:$G$306,5,FALSE)</f>
        <v>3272025058</v>
      </c>
      <c r="F279" s="109">
        <f>VLOOKUP($A279,ANAGRAFICA!$B$1:$G$306,6,FALSE)</f>
        <v>2025</v>
      </c>
      <c r="G279" s="3">
        <v>1.0</v>
      </c>
      <c r="H279" s="3" t="s">
        <v>609</v>
      </c>
      <c r="I279" s="148">
        <v>45822.0</v>
      </c>
      <c r="J279" s="3" t="s">
        <v>45</v>
      </c>
      <c r="K279" s="11" t="b">
        <v>0</v>
      </c>
    </row>
    <row r="280">
      <c r="A280" s="3">
        <v>2.125025861E9</v>
      </c>
      <c r="B280" s="109" t="str">
        <f>VLOOKUP($A280,ANAGRAFICA!$B$1:$G$306,2,FALSE)</f>
        <v>CASSANI</v>
      </c>
      <c r="C280" s="109" t="str">
        <f>VLOOKUP($A280,ANAGRAFICA!$B$1:$G$306,3,FALSE)</f>
        <v>DAVIDE VIRGILIO</v>
      </c>
      <c r="D280" s="109" t="str">
        <f>VLOOKUP($A280,ANAGRAFICA!$B$1:$G$306,4,FALSE)</f>
        <v>758-31</v>
      </c>
      <c r="E280" s="109">
        <f>VLOOKUP($A280,ANAGRAFICA!$B$1:$G$306,5,FALSE)</f>
        <v>3272025058</v>
      </c>
      <c r="F280" s="109">
        <f>VLOOKUP($A280,ANAGRAFICA!$B$1:$G$306,6,FALSE)</f>
        <v>2025</v>
      </c>
      <c r="G280" s="3">
        <v>1.0</v>
      </c>
      <c r="H280" s="3" t="s">
        <v>619</v>
      </c>
      <c r="I280" s="148">
        <v>45821.0</v>
      </c>
      <c r="J280" s="3" t="s">
        <v>683</v>
      </c>
      <c r="K280" s="11" t="b">
        <v>0</v>
      </c>
    </row>
    <row r="281">
      <c r="A281" s="3">
        <v>2.125025861E9</v>
      </c>
      <c r="B281" s="109" t="str">
        <f>VLOOKUP($A281,ANAGRAFICA!$B$1:$G$306,2,FALSE)</f>
        <v>CASSANI</v>
      </c>
      <c r="C281" s="109" t="str">
        <f>VLOOKUP($A281,ANAGRAFICA!$B$1:$G$306,3,FALSE)</f>
        <v>DAVIDE VIRGILIO</v>
      </c>
      <c r="D281" s="109" t="str">
        <f>VLOOKUP($A281,ANAGRAFICA!$B$1:$G$306,4,FALSE)</f>
        <v>758-31</v>
      </c>
      <c r="E281" s="109">
        <f>VLOOKUP($A281,ANAGRAFICA!$B$1:$G$306,5,FALSE)</f>
        <v>3272025058</v>
      </c>
      <c r="F281" s="109">
        <f>VLOOKUP($A281,ANAGRAFICA!$B$1:$G$306,6,FALSE)</f>
        <v>2025</v>
      </c>
      <c r="G281" s="3">
        <v>1.0</v>
      </c>
      <c r="H281" s="3" t="s">
        <v>619</v>
      </c>
      <c r="I281" s="148">
        <v>45822.0</v>
      </c>
      <c r="J281" s="3" t="s">
        <v>751</v>
      </c>
      <c r="K281" s="11" t="b">
        <v>1</v>
      </c>
    </row>
    <row r="282">
      <c r="A282" s="3">
        <v>2.125026559E9</v>
      </c>
      <c r="B282" s="109" t="str">
        <f>VLOOKUP($A282,ANAGRAFICA!$B$1:$G$306,2,FALSE)</f>
        <v>VEDUTI</v>
      </c>
      <c r="C282" s="109" t="str">
        <f>VLOOKUP($A282,ANAGRAFICA!$B$1:$G$306,3,FALSE)</f>
        <v>LORENZO</v>
      </c>
      <c r="D282" s="109" t="str">
        <f>VLOOKUP($A282,ANAGRAFICA!$B$1:$G$306,4,FALSE)</f>
        <v>758-32</v>
      </c>
      <c r="E282" s="109">
        <f>VLOOKUP($A282,ANAGRAFICA!$B$1:$G$306,5,FALSE)</f>
        <v>3272025059</v>
      </c>
      <c r="F282" s="109">
        <f>VLOOKUP($A282,ANAGRAFICA!$B$1:$G$306,6,FALSE)</f>
        <v>2025</v>
      </c>
      <c r="G282" s="3">
        <v>1.0</v>
      </c>
      <c r="H282" s="3" t="s">
        <v>614</v>
      </c>
      <c r="I282" s="148">
        <v>45824.0</v>
      </c>
      <c r="J282" s="3" t="s">
        <v>679</v>
      </c>
      <c r="K282" s="11" t="b">
        <v>1</v>
      </c>
    </row>
    <row r="283">
      <c r="A283" s="3">
        <v>2.125026559E9</v>
      </c>
      <c r="B283" s="109" t="str">
        <f>VLOOKUP($A283,ANAGRAFICA!$B$1:$G$306,2,FALSE)</f>
        <v>VEDUTI</v>
      </c>
      <c r="C283" s="109" t="str">
        <f>VLOOKUP($A283,ANAGRAFICA!$B$1:$G$306,3,FALSE)</f>
        <v>LORENZO</v>
      </c>
      <c r="D283" s="109" t="str">
        <f>VLOOKUP($A283,ANAGRAFICA!$B$1:$G$306,4,FALSE)</f>
        <v>758-32</v>
      </c>
      <c r="E283" s="109">
        <f>VLOOKUP($A283,ANAGRAFICA!$B$1:$G$306,5,FALSE)</f>
        <v>3272025059</v>
      </c>
      <c r="F283" s="109">
        <f>VLOOKUP($A283,ANAGRAFICA!$B$1:$G$306,6,FALSE)</f>
        <v>2025</v>
      </c>
      <c r="G283" s="3">
        <v>1.0</v>
      </c>
      <c r="H283" s="3" t="s">
        <v>613</v>
      </c>
      <c r="I283" s="148">
        <v>45825.0</v>
      </c>
      <c r="J283" s="3" t="s">
        <v>679</v>
      </c>
      <c r="K283" s="11" t="b">
        <v>1</v>
      </c>
    </row>
    <row r="284">
      <c r="A284" s="3">
        <v>2.125026559E9</v>
      </c>
      <c r="B284" s="109" t="str">
        <f>VLOOKUP($A284,ANAGRAFICA!$B$1:$G$306,2,FALSE)</f>
        <v>VEDUTI</v>
      </c>
      <c r="C284" s="109" t="str">
        <f>VLOOKUP($A284,ANAGRAFICA!$B$1:$G$306,3,FALSE)</f>
        <v>LORENZO</v>
      </c>
      <c r="D284" s="109" t="str">
        <f>VLOOKUP($A284,ANAGRAFICA!$B$1:$G$306,4,FALSE)</f>
        <v>758-32</v>
      </c>
      <c r="E284" s="109">
        <f>VLOOKUP($A284,ANAGRAFICA!$B$1:$G$306,5,FALSE)</f>
        <v>3272025059</v>
      </c>
      <c r="F284" s="109">
        <f>VLOOKUP($A284,ANAGRAFICA!$B$1:$G$306,6,FALSE)</f>
        <v>2025</v>
      </c>
      <c r="G284" s="3">
        <v>1.0</v>
      </c>
      <c r="H284" s="3" t="s">
        <v>612</v>
      </c>
      <c r="I284" s="148">
        <v>45825.0</v>
      </c>
      <c r="J284" s="3" t="s">
        <v>679</v>
      </c>
      <c r="K284" s="11" t="b">
        <v>1</v>
      </c>
    </row>
    <row r="285">
      <c r="A285" s="3">
        <v>2.125026559E9</v>
      </c>
      <c r="B285" s="109" t="str">
        <f>VLOOKUP($A285,ANAGRAFICA!$B$1:$G$306,2,FALSE)</f>
        <v>VEDUTI</v>
      </c>
      <c r="C285" s="109" t="str">
        <f>VLOOKUP($A285,ANAGRAFICA!$B$1:$G$306,3,FALSE)</f>
        <v>LORENZO</v>
      </c>
      <c r="D285" s="109" t="str">
        <f>VLOOKUP($A285,ANAGRAFICA!$B$1:$G$306,4,FALSE)</f>
        <v>758-32</v>
      </c>
      <c r="E285" s="109">
        <f>VLOOKUP($A285,ANAGRAFICA!$B$1:$G$306,5,FALSE)</f>
        <v>3272025059</v>
      </c>
      <c r="F285" s="109">
        <f>VLOOKUP($A285,ANAGRAFICA!$B$1:$G$306,6,FALSE)</f>
        <v>2025</v>
      </c>
      <c r="G285" s="3">
        <v>1.0</v>
      </c>
      <c r="H285" s="3" t="s">
        <v>648</v>
      </c>
      <c r="I285" s="148">
        <v>45826.0</v>
      </c>
      <c r="J285" s="3" t="s">
        <v>752</v>
      </c>
      <c r="K285" s="11" t="b">
        <v>1</v>
      </c>
    </row>
    <row r="286">
      <c r="A286" s="3">
        <v>2.125027331E9</v>
      </c>
      <c r="B286" s="109" t="str">
        <f>VLOOKUP($A286,ANAGRAFICA!$B$1:$G$306,2,FALSE)</f>
        <v>QUARIN</v>
      </c>
      <c r="C286" s="109" t="str">
        <f>VLOOKUP($A286,ANAGRAFICA!$B$1:$G$306,3,FALSE)</f>
        <v>FRANCO</v>
      </c>
      <c r="D286" s="109" t="str">
        <f>VLOOKUP($A286,ANAGRAFICA!$B$1:$G$306,4,FALSE)</f>
        <v>758-34</v>
      </c>
      <c r="E286" s="109" t="str">
        <f>VLOOKUP($A286,ANAGRAFICA!$B$1:$G$306,5,FALSE)</f>
        <v/>
      </c>
      <c r="F286" s="109">
        <f>VLOOKUP($A286,ANAGRAFICA!$B$1:$G$306,6,FALSE)</f>
        <v>2025</v>
      </c>
      <c r="G286" s="3">
        <v>1.0</v>
      </c>
      <c r="H286" s="3" t="s">
        <v>648</v>
      </c>
      <c r="I286" s="148">
        <v>45828.0</v>
      </c>
      <c r="J286" s="3" t="s">
        <v>711</v>
      </c>
      <c r="K286" s="11" t="b">
        <v>1</v>
      </c>
    </row>
    <row r="287">
      <c r="A287" s="3">
        <v>2.125027331E9</v>
      </c>
      <c r="B287" s="109" t="str">
        <f>VLOOKUP($A287,ANAGRAFICA!$B$1:$G$306,2,FALSE)</f>
        <v>QUARIN</v>
      </c>
      <c r="C287" s="109" t="str">
        <f>VLOOKUP($A287,ANAGRAFICA!$B$1:$G$306,3,FALSE)</f>
        <v>FRANCO</v>
      </c>
      <c r="D287" s="109" t="str">
        <f>VLOOKUP($A287,ANAGRAFICA!$B$1:$G$306,4,FALSE)</f>
        <v>758-34</v>
      </c>
      <c r="E287" s="109" t="str">
        <f>VLOOKUP($A287,ANAGRAFICA!$B$1:$G$306,5,FALSE)</f>
        <v/>
      </c>
      <c r="F287" s="109">
        <f>VLOOKUP($A287,ANAGRAFICA!$B$1:$G$306,6,FALSE)</f>
        <v>2025</v>
      </c>
      <c r="G287" s="3">
        <v>1.0</v>
      </c>
      <c r="H287" s="3" t="s">
        <v>648</v>
      </c>
      <c r="I287" s="148">
        <v>45828.0</v>
      </c>
      <c r="J287" s="3" t="s">
        <v>753</v>
      </c>
      <c r="K287" s="11" t="b">
        <v>1</v>
      </c>
    </row>
    <row r="288">
      <c r="A288" s="3">
        <v>2.125027331E9</v>
      </c>
      <c r="B288" s="109" t="str">
        <f>VLOOKUP($A288,ANAGRAFICA!$B$1:$G$306,2,FALSE)</f>
        <v>QUARIN</v>
      </c>
      <c r="C288" s="109" t="str">
        <f>VLOOKUP($A288,ANAGRAFICA!$B$1:$G$306,3,FALSE)</f>
        <v>FRANCO</v>
      </c>
      <c r="D288" s="109" t="str">
        <f>VLOOKUP($A288,ANAGRAFICA!$B$1:$G$306,4,FALSE)</f>
        <v>758-34</v>
      </c>
      <c r="E288" s="109" t="str">
        <f>VLOOKUP($A288,ANAGRAFICA!$B$1:$G$306,5,FALSE)</f>
        <v/>
      </c>
      <c r="F288" s="109">
        <f>VLOOKUP($A288,ANAGRAFICA!$B$1:$G$306,6,FALSE)</f>
        <v>2025</v>
      </c>
      <c r="H288" s="3" t="s">
        <v>609</v>
      </c>
      <c r="I288" s="148">
        <v>45828.0</v>
      </c>
      <c r="J288" s="3" t="s">
        <v>754</v>
      </c>
      <c r="K288" s="11" t="b">
        <v>0</v>
      </c>
    </row>
    <row r="289">
      <c r="A289" s="3">
        <v>2.125029623E9</v>
      </c>
      <c r="B289" s="109" t="str">
        <f>VLOOKUP($A289,ANAGRAFICA!$B$1:$G$306,2,FALSE)</f>
        <v>IANDIORIO</v>
      </c>
      <c r="C289" s="109" t="str">
        <f>VLOOKUP($A289,ANAGRAFICA!$B$1:$G$306,3,FALSE)</f>
        <v>ALDO NATALINO</v>
      </c>
      <c r="D289" s="109" t="str">
        <f>VLOOKUP($A289,ANAGRAFICA!$B$1:$G$306,4,FALSE)</f>
        <v>758-36</v>
      </c>
      <c r="E289" s="109">
        <f>VLOOKUP($A289,ANAGRAFICA!$B$1:$G$306,5,FALSE)</f>
        <v>3272025062</v>
      </c>
      <c r="F289" s="109">
        <f>VLOOKUP($A289,ANAGRAFICA!$B$1:$G$306,6,FALSE)</f>
        <v>2025</v>
      </c>
      <c r="G289" s="3">
        <v>1.0</v>
      </c>
      <c r="H289" s="3" t="s">
        <v>638</v>
      </c>
      <c r="I289" s="148">
        <v>45845.0</v>
      </c>
      <c r="J289" s="3" t="s">
        <v>755</v>
      </c>
      <c r="K289" s="11" t="b">
        <v>0</v>
      </c>
    </row>
    <row r="290">
      <c r="A290" s="3">
        <v>2.125029623E9</v>
      </c>
      <c r="B290" s="109" t="str">
        <f>VLOOKUP($A290,ANAGRAFICA!$B$1:$G$306,2,FALSE)</f>
        <v>IANDIORIO</v>
      </c>
      <c r="C290" s="109" t="str">
        <f>VLOOKUP($A290,ANAGRAFICA!$B$1:$G$306,3,FALSE)</f>
        <v>ALDO NATALINO</v>
      </c>
      <c r="D290" s="109" t="str">
        <f>VLOOKUP($A290,ANAGRAFICA!$B$1:$G$306,4,FALSE)</f>
        <v>758-36</v>
      </c>
      <c r="E290" s="109">
        <f>VLOOKUP($A290,ANAGRAFICA!$B$1:$G$306,5,FALSE)</f>
        <v>3272025062</v>
      </c>
      <c r="F290" s="109">
        <f>VLOOKUP($A290,ANAGRAFICA!$B$1:$G$306,6,FALSE)</f>
        <v>2025</v>
      </c>
      <c r="H290" s="3" t="s">
        <v>633</v>
      </c>
      <c r="I290" s="77">
        <v>45846.0</v>
      </c>
      <c r="J290" s="3" t="s">
        <v>199</v>
      </c>
      <c r="K290" s="11" t="b">
        <v>0</v>
      </c>
    </row>
    <row r="291">
      <c r="A291" s="3">
        <v>2.125029623E9</v>
      </c>
      <c r="B291" s="109" t="str">
        <f>VLOOKUP($A291,ANAGRAFICA!$B$1:$G$306,2,FALSE)</f>
        <v>IANDIORIO</v>
      </c>
      <c r="C291" s="109" t="str">
        <f>VLOOKUP($A291,ANAGRAFICA!$B$1:$G$306,3,FALSE)</f>
        <v>ALDO NATALINO</v>
      </c>
      <c r="D291" s="109" t="str">
        <f>VLOOKUP($A291,ANAGRAFICA!$B$1:$G$306,4,FALSE)</f>
        <v>758-36</v>
      </c>
      <c r="E291" s="109">
        <f>VLOOKUP($A291,ANAGRAFICA!$B$1:$G$306,5,FALSE)</f>
        <v>3272025062</v>
      </c>
      <c r="F291" s="109">
        <f>VLOOKUP($A291,ANAGRAFICA!$B$1:$G$306,6,FALSE)</f>
        <v>2025</v>
      </c>
      <c r="H291" s="3" t="s">
        <v>756</v>
      </c>
      <c r="I291" s="77">
        <v>45849.0</v>
      </c>
      <c r="J291" s="3" t="s">
        <v>757</v>
      </c>
      <c r="K291" s="11" t="b">
        <v>1</v>
      </c>
    </row>
    <row r="292">
      <c r="A292" s="3">
        <v>2.125029623E9</v>
      </c>
      <c r="B292" s="109" t="str">
        <f>VLOOKUP($A292,ANAGRAFICA!$B$1:$G$306,2,FALSE)</f>
        <v>IANDIORIO</v>
      </c>
      <c r="C292" s="109" t="str">
        <f>VLOOKUP($A292,ANAGRAFICA!$B$1:$G$306,3,FALSE)</f>
        <v>ALDO NATALINO</v>
      </c>
      <c r="D292" s="109" t="str">
        <f>VLOOKUP($A292,ANAGRAFICA!$B$1:$G$306,4,FALSE)</f>
        <v>758-36</v>
      </c>
      <c r="E292" s="109">
        <f>VLOOKUP($A292,ANAGRAFICA!$B$1:$G$306,5,FALSE)</f>
        <v>3272025062</v>
      </c>
      <c r="F292" s="109">
        <f>VLOOKUP($A292,ANAGRAFICA!$B$1:$G$306,6,FALSE)</f>
        <v>2025</v>
      </c>
      <c r="H292" s="3" t="s">
        <v>619</v>
      </c>
      <c r="I292" s="148">
        <v>45852.0</v>
      </c>
      <c r="J292" s="3" t="s">
        <v>28</v>
      </c>
      <c r="K292" s="11" t="b">
        <v>0</v>
      </c>
    </row>
    <row r="293">
      <c r="A293" s="3">
        <v>2.125029623E9</v>
      </c>
      <c r="B293" s="109" t="str">
        <f>VLOOKUP($A293,ANAGRAFICA!$B$1:$G$306,2,FALSE)</f>
        <v>IANDIORIO</v>
      </c>
      <c r="C293" s="109" t="str">
        <f>VLOOKUP($A293,ANAGRAFICA!$B$1:$G$306,3,FALSE)</f>
        <v>ALDO NATALINO</v>
      </c>
      <c r="D293" s="109" t="str">
        <f>VLOOKUP($A293,ANAGRAFICA!$B$1:$G$306,4,FALSE)</f>
        <v>758-36</v>
      </c>
      <c r="E293" s="109">
        <f>VLOOKUP($A293,ANAGRAFICA!$B$1:$G$306,5,FALSE)</f>
        <v>3272025062</v>
      </c>
      <c r="F293" s="109">
        <f>VLOOKUP($A293,ANAGRAFICA!$B$1:$G$306,6,FALSE)</f>
        <v>2025</v>
      </c>
      <c r="H293" s="3" t="s">
        <v>638</v>
      </c>
      <c r="I293" s="148">
        <v>45846.0</v>
      </c>
      <c r="J293" s="3" t="s">
        <v>59</v>
      </c>
      <c r="K293" s="11" t="b">
        <v>0</v>
      </c>
    </row>
    <row r="294">
      <c r="A294" s="3">
        <v>2.125029623E9</v>
      </c>
      <c r="B294" s="109" t="str">
        <f>VLOOKUP($A294,ANAGRAFICA!$B$1:$G$306,2,FALSE)</f>
        <v>IANDIORIO</v>
      </c>
      <c r="C294" s="109" t="str">
        <f>VLOOKUP($A294,ANAGRAFICA!$B$1:$G$306,3,FALSE)</f>
        <v>ALDO NATALINO</v>
      </c>
      <c r="D294" s="109" t="str">
        <f>VLOOKUP($A294,ANAGRAFICA!$B$1:$G$306,4,FALSE)</f>
        <v>758-36</v>
      </c>
      <c r="E294" s="109">
        <f>VLOOKUP($A294,ANAGRAFICA!$B$1:$G$306,5,FALSE)</f>
        <v>3272025062</v>
      </c>
      <c r="F294" s="109">
        <f>VLOOKUP($A294,ANAGRAFICA!$B$1:$G$306,6,FALSE)</f>
        <v>2025</v>
      </c>
      <c r="H294" s="3" t="s">
        <v>619</v>
      </c>
      <c r="I294" s="148">
        <v>45853.0</v>
      </c>
      <c r="J294" s="3" t="s">
        <v>28</v>
      </c>
      <c r="K294" s="11" t="b">
        <v>0</v>
      </c>
    </row>
    <row r="295">
      <c r="A295" s="3">
        <v>2.125029623E9</v>
      </c>
      <c r="B295" s="109" t="str">
        <f>VLOOKUP($A295,ANAGRAFICA!$B$1:$G$306,2,FALSE)</f>
        <v>IANDIORIO</v>
      </c>
      <c r="C295" s="109" t="str">
        <f>VLOOKUP($A295,ANAGRAFICA!$B$1:$G$306,3,FALSE)</f>
        <v>ALDO NATALINO</v>
      </c>
      <c r="D295" s="109" t="str">
        <f>VLOOKUP($A295,ANAGRAFICA!$B$1:$G$306,4,FALSE)</f>
        <v>758-36</v>
      </c>
      <c r="E295" s="109">
        <f>VLOOKUP($A295,ANAGRAFICA!$B$1:$G$306,5,FALSE)</f>
        <v>3272025062</v>
      </c>
      <c r="F295" s="109">
        <f>VLOOKUP($A295,ANAGRAFICA!$B$1:$G$306,6,FALSE)</f>
        <v>2025</v>
      </c>
      <c r="G295" s="3">
        <v>1.0</v>
      </c>
      <c r="H295" s="3" t="s">
        <v>758</v>
      </c>
      <c r="I295" s="148">
        <v>45854.0</v>
      </c>
      <c r="J295" s="3" t="s">
        <v>324</v>
      </c>
      <c r="K295" s="11" t="b">
        <v>1</v>
      </c>
    </row>
    <row r="296">
      <c r="A296" s="3">
        <v>2.125029623E9</v>
      </c>
      <c r="B296" s="109" t="str">
        <f>VLOOKUP($A296,ANAGRAFICA!$B$1:$G$306,2,FALSE)</f>
        <v>IANDIORIO</v>
      </c>
      <c r="C296" s="109" t="str">
        <f>VLOOKUP($A296,ANAGRAFICA!$B$1:$G$306,3,FALSE)</f>
        <v>ALDO NATALINO</v>
      </c>
      <c r="D296" s="109" t="str">
        <f>VLOOKUP($A296,ANAGRAFICA!$B$1:$G$306,4,FALSE)</f>
        <v>758-36</v>
      </c>
      <c r="E296" s="109">
        <f>VLOOKUP($A296,ANAGRAFICA!$B$1:$G$306,5,FALSE)</f>
        <v>3272025062</v>
      </c>
      <c r="F296" s="109">
        <f>VLOOKUP($A296,ANAGRAFICA!$B$1:$G$306,6,FALSE)</f>
        <v>2025</v>
      </c>
      <c r="G296" s="3">
        <v>1.0</v>
      </c>
      <c r="H296" s="3" t="s">
        <v>613</v>
      </c>
      <c r="I296" s="77">
        <v>45854.0</v>
      </c>
      <c r="J296" s="3" t="s">
        <v>759</v>
      </c>
      <c r="K296" s="11" t="b">
        <v>1</v>
      </c>
    </row>
    <row r="297">
      <c r="A297" s="3">
        <v>2.125029623E9</v>
      </c>
      <c r="B297" s="109" t="str">
        <f>VLOOKUP($A297,ANAGRAFICA!$B$1:$G$306,2,FALSE)</f>
        <v>IANDIORIO</v>
      </c>
      <c r="C297" s="109" t="str">
        <f>VLOOKUP($A297,ANAGRAFICA!$B$1:$G$306,3,FALSE)</f>
        <v>ALDO NATALINO</v>
      </c>
      <c r="D297" s="109" t="str">
        <f>VLOOKUP($A297,ANAGRAFICA!$B$1:$G$306,4,FALSE)</f>
        <v>758-36</v>
      </c>
      <c r="E297" s="109">
        <f>VLOOKUP($A297,ANAGRAFICA!$B$1:$G$306,5,FALSE)</f>
        <v>3272025062</v>
      </c>
      <c r="F297" s="109">
        <f>VLOOKUP($A297,ANAGRAFICA!$B$1:$G$306,6,FALSE)</f>
        <v>2025</v>
      </c>
      <c r="G297" s="3">
        <v>1.0</v>
      </c>
      <c r="H297" s="3" t="s">
        <v>614</v>
      </c>
      <c r="I297" s="148">
        <v>45854.0</v>
      </c>
      <c r="J297" s="3" t="s">
        <v>759</v>
      </c>
      <c r="K297" s="11" t="b">
        <v>1</v>
      </c>
    </row>
    <row r="298">
      <c r="A298" s="3">
        <v>2.125029623E9</v>
      </c>
      <c r="B298" s="109" t="str">
        <f>VLOOKUP($A298,ANAGRAFICA!$B$1:$G$306,2,FALSE)</f>
        <v>IANDIORIO</v>
      </c>
      <c r="C298" s="109" t="str">
        <f>VLOOKUP($A298,ANAGRAFICA!$B$1:$G$306,3,FALSE)</f>
        <v>ALDO NATALINO</v>
      </c>
      <c r="D298" s="109" t="str">
        <f>VLOOKUP($A298,ANAGRAFICA!$B$1:$G$306,4,FALSE)</f>
        <v>758-36</v>
      </c>
      <c r="E298" s="109">
        <f>VLOOKUP($A298,ANAGRAFICA!$B$1:$G$306,5,FALSE)</f>
        <v>3272025062</v>
      </c>
      <c r="F298" s="109">
        <f>VLOOKUP($A298,ANAGRAFICA!$B$1:$G$306,6,FALSE)</f>
        <v>2025</v>
      </c>
      <c r="G298" s="3">
        <v>1.0</v>
      </c>
      <c r="H298" s="3" t="s">
        <v>648</v>
      </c>
      <c r="I298" s="148">
        <v>45854.0</v>
      </c>
      <c r="J298" s="3" t="s">
        <v>730</v>
      </c>
      <c r="K298" s="11" t="b">
        <v>1</v>
      </c>
    </row>
    <row r="299">
      <c r="A299" s="3">
        <v>2.125029623E9</v>
      </c>
      <c r="B299" s="109" t="str">
        <f>VLOOKUP($A299,ANAGRAFICA!$B$1:$G$306,2,FALSE)</f>
        <v>IANDIORIO</v>
      </c>
      <c r="C299" s="109" t="str">
        <f>VLOOKUP($A299,ANAGRAFICA!$B$1:$G$306,3,FALSE)</f>
        <v>ALDO NATALINO</v>
      </c>
      <c r="D299" s="109" t="str">
        <f>VLOOKUP($A299,ANAGRAFICA!$B$1:$G$306,4,FALSE)</f>
        <v>758-36</v>
      </c>
      <c r="E299" s="109">
        <f>VLOOKUP($A299,ANAGRAFICA!$B$1:$G$306,5,FALSE)</f>
        <v>3272025062</v>
      </c>
      <c r="F299" s="109">
        <f>VLOOKUP($A299,ANAGRAFICA!$B$1:$G$306,6,FALSE)</f>
        <v>2025</v>
      </c>
      <c r="G299" s="3">
        <v>1.0</v>
      </c>
      <c r="H299" s="3" t="s">
        <v>648</v>
      </c>
      <c r="I299" s="148">
        <v>45853.0</v>
      </c>
      <c r="J299" s="3" t="s">
        <v>695</v>
      </c>
      <c r="K299" s="11" t="b">
        <v>1</v>
      </c>
    </row>
    <row r="300">
      <c r="A300" s="3">
        <v>2.125029623E9</v>
      </c>
      <c r="B300" s="109" t="str">
        <f>VLOOKUP($A300,ANAGRAFICA!$B$1:$G$306,2,FALSE)</f>
        <v>IANDIORIO</v>
      </c>
      <c r="C300" s="109" t="str">
        <f>VLOOKUP($A300,ANAGRAFICA!$B$1:$G$306,3,FALSE)</f>
        <v>ALDO NATALINO</v>
      </c>
      <c r="D300" s="109" t="str">
        <f>VLOOKUP($A300,ANAGRAFICA!$B$1:$G$306,4,FALSE)</f>
        <v>758-36</v>
      </c>
      <c r="E300" s="109">
        <f>VLOOKUP($A300,ANAGRAFICA!$B$1:$G$306,5,FALSE)</f>
        <v>3272025062</v>
      </c>
      <c r="F300" s="109">
        <f>VLOOKUP($A300,ANAGRAFICA!$B$1:$G$306,6,FALSE)</f>
        <v>2025</v>
      </c>
      <c r="G300" s="3">
        <v>1.0</v>
      </c>
      <c r="H300" s="3" t="s">
        <v>648</v>
      </c>
      <c r="I300" s="148">
        <v>45852.0</v>
      </c>
      <c r="J300" s="3" t="s">
        <v>760</v>
      </c>
      <c r="K300" s="11" t="b">
        <v>1</v>
      </c>
    </row>
    <row r="301">
      <c r="A301" s="3">
        <v>2.125029623E9</v>
      </c>
      <c r="B301" s="109" t="str">
        <f>VLOOKUP($A301,ANAGRAFICA!$B$1:$G$306,2,FALSE)</f>
        <v>IANDIORIO</v>
      </c>
      <c r="C301" s="109" t="str">
        <f>VLOOKUP($A301,ANAGRAFICA!$B$1:$G$306,3,FALSE)</f>
        <v>ALDO NATALINO</v>
      </c>
      <c r="D301" s="109" t="str">
        <f>VLOOKUP($A301,ANAGRAFICA!$B$1:$G$306,4,FALSE)</f>
        <v>758-36</v>
      </c>
      <c r="E301" s="109">
        <f>VLOOKUP($A301,ANAGRAFICA!$B$1:$G$306,5,FALSE)</f>
        <v>3272025062</v>
      </c>
      <c r="F301" s="109">
        <f>VLOOKUP($A301,ANAGRAFICA!$B$1:$G$306,6,FALSE)</f>
        <v>2025</v>
      </c>
      <c r="G301" s="3">
        <v>1.0</v>
      </c>
      <c r="H301" s="3" t="s">
        <v>648</v>
      </c>
      <c r="I301" s="148">
        <v>45851.0</v>
      </c>
      <c r="J301" s="3" t="s">
        <v>761</v>
      </c>
      <c r="K301" s="11" t="b">
        <v>1</v>
      </c>
    </row>
    <row r="302">
      <c r="A302" s="3">
        <v>2.125029623E9</v>
      </c>
      <c r="B302" s="109" t="str">
        <f>VLOOKUP($A302,ANAGRAFICA!$B$1:$G$306,2,FALSE)</f>
        <v>IANDIORIO</v>
      </c>
      <c r="C302" s="109" t="str">
        <f>VLOOKUP($A302,ANAGRAFICA!$B$1:$G$306,3,FALSE)</f>
        <v>ALDO NATALINO</v>
      </c>
      <c r="D302" s="109" t="str">
        <f>VLOOKUP($A302,ANAGRAFICA!$B$1:$G$306,4,FALSE)</f>
        <v>758-36</v>
      </c>
      <c r="E302" s="109">
        <f>VLOOKUP($A302,ANAGRAFICA!$B$1:$G$306,5,FALSE)</f>
        <v>3272025062</v>
      </c>
      <c r="F302" s="109">
        <f>VLOOKUP($A302,ANAGRAFICA!$B$1:$G$306,6,FALSE)</f>
        <v>2025</v>
      </c>
      <c r="G302" s="3">
        <v>1.0</v>
      </c>
      <c r="H302" s="3" t="s">
        <v>674</v>
      </c>
      <c r="I302" s="148">
        <v>45849.0</v>
      </c>
      <c r="J302" s="3" t="s">
        <v>757</v>
      </c>
      <c r="K302" s="11" t="b">
        <v>1</v>
      </c>
    </row>
    <row r="303">
      <c r="A303" s="3">
        <v>2.125029623E9</v>
      </c>
      <c r="B303" s="109" t="str">
        <f>VLOOKUP($A303,ANAGRAFICA!$B$1:$G$306,2,FALSE)</f>
        <v>IANDIORIO</v>
      </c>
      <c r="C303" s="109" t="str">
        <f>VLOOKUP($A303,ANAGRAFICA!$B$1:$G$306,3,FALSE)</f>
        <v>ALDO NATALINO</v>
      </c>
      <c r="D303" s="109" t="str">
        <f>VLOOKUP($A303,ANAGRAFICA!$B$1:$G$306,4,FALSE)</f>
        <v>758-36</v>
      </c>
      <c r="E303" s="109">
        <f>VLOOKUP($A303,ANAGRAFICA!$B$1:$G$306,5,FALSE)</f>
        <v>3272025062</v>
      </c>
      <c r="F303" s="109">
        <f>VLOOKUP($A303,ANAGRAFICA!$B$1:$G$306,6,FALSE)</f>
        <v>2025</v>
      </c>
      <c r="G303" s="3">
        <v>1.0</v>
      </c>
      <c r="H303" s="3" t="s">
        <v>612</v>
      </c>
      <c r="I303" s="148">
        <v>45849.0</v>
      </c>
      <c r="J303" s="3" t="s">
        <v>762</v>
      </c>
      <c r="K303" s="11" t="b">
        <v>1</v>
      </c>
    </row>
    <row r="304">
      <c r="A304" s="3">
        <v>2.125029623E9</v>
      </c>
      <c r="B304" s="109" t="str">
        <f>VLOOKUP($A304,ANAGRAFICA!$B$1:$G$306,2,FALSE)</f>
        <v>IANDIORIO</v>
      </c>
      <c r="C304" s="109" t="str">
        <f>VLOOKUP($A304,ANAGRAFICA!$B$1:$G$306,3,FALSE)</f>
        <v>ALDO NATALINO</v>
      </c>
      <c r="D304" s="109" t="str">
        <f>VLOOKUP($A304,ANAGRAFICA!$B$1:$G$306,4,FALSE)</f>
        <v>758-36</v>
      </c>
      <c r="E304" s="109">
        <f>VLOOKUP($A304,ANAGRAFICA!$B$1:$G$306,5,FALSE)</f>
        <v>3272025062</v>
      </c>
      <c r="F304" s="109">
        <f>VLOOKUP($A304,ANAGRAFICA!$B$1:$G$306,6,FALSE)</f>
        <v>2025</v>
      </c>
      <c r="G304" s="3">
        <v>1.0</v>
      </c>
      <c r="H304" s="3" t="s">
        <v>648</v>
      </c>
      <c r="I304" s="148">
        <v>45848.0</v>
      </c>
      <c r="J304" s="3" t="s">
        <v>302</v>
      </c>
      <c r="K304" s="11" t="b">
        <v>1</v>
      </c>
    </row>
    <row r="305">
      <c r="A305" s="3">
        <v>2.125029623E9</v>
      </c>
      <c r="B305" s="109" t="str">
        <f>VLOOKUP($A305,ANAGRAFICA!$B$1:$G$306,2,FALSE)</f>
        <v>IANDIORIO</v>
      </c>
      <c r="C305" s="109" t="str">
        <f>VLOOKUP($A305,ANAGRAFICA!$B$1:$G$306,3,FALSE)</f>
        <v>ALDO NATALINO</v>
      </c>
      <c r="D305" s="109" t="str">
        <f>VLOOKUP($A305,ANAGRAFICA!$B$1:$G$306,4,FALSE)</f>
        <v>758-36</v>
      </c>
      <c r="E305" s="109">
        <f>VLOOKUP($A305,ANAGRAFICA!$B$1:$G$306,5,FALSE)</f>
        <v>3272025062</v>
      </c>
      <c r="F305" s="109">
        <f>VLOOKUP($A305,ANAGRAFICA!$B$1:$G$306,6,FALSE)</f>
        <v>2025</v>
      </c>
      <c r="G305" s="3">
        <v>1.0</v>
      </c>
      <c r="H305" s="3" t="s">
        <v>648</v>
      </c>
      <c r="I305" s="148">
        <v>45848.0</v>
      </c>
      <c r="J305" s="3" t="s">
        <v>763</v>
      </c>
      <c r="K305" s="11" t="b">
        <v>1</v>
      </c>
    </row>
    <row r="306">
      <c r="A306" s="3">
        <v>2.125029623E9</v>
      </c>
      <c r="B306" s="109" t="str">
        <f>VLOOKUP($A306,ANAGRAFICA!$B$1:$G$306,2,FALSE)</f>
        <v>IANDIORIO</v>
      </c>
      <c r="C306" s="109" t="str">
        <f>VLOOKUP($A306,ANAGRAFICA!$B$1:$G$306,3,FALSE)</f>
        <v>ALDO NATALINO</v>
      </c>
      <c r="D306" s="109" t="str">
        <f>VLOOKUP($A306,ANAGRAFICA!$B$1:$G$306,4,FALSE)</f>
        <v>758-36</v>
      </c>
      <c r="E306" s="109">
        <f>VLOOKUP($A306,ANAGRAFICA!$B$1:$G$306,5,FALSE)</f>
        <v>3272025062</v>
      </c>
      <c r="F306" s="109">
        <f>VLOOKUP($A306,ANAGRAFICA!$B$1:$G$306,6,FALSE)</f>
        <v>2025</v>
      </c>
      <c r="G306" s="3">
        <v>1.0</v>
      </c>
      <c r="H306" s="3" t="s">
        <v>648</v>
      </c>
      <c r="I306" s="148">
        <v>45847.0</v>
      </c>
      <c r="J306" s="3" t="s">
        <v>433</v>
      </c>
      <c r="K306" s="11" t="b">
        <v>1</v>
      </c>
    </row>
    <row r="307">
      <c r="A307" s="3">
        <v>2.125029623E9</v>
      </c>
      <c r="B307" s="109" t="str">
        <f>VLOOKUP($A307,ANAGRAFICA!$B$1:$G$306,2,FALSE)</f>
        <v>IANDIORIO</v>
      </c>
      <c r="C307" s="109" t="str">
        <f>VLOOKUP($A307,ANAGRAFICA!$B$1:$G$306,3,FALSE)</f>
        <v>ALDO NATALINO</v>
      </c>
      <c r="D307" s="109" t="str">
        <f>VLOOKUP($A307,ANAGRAFICA!$B$1:$G$306,4,FALSE)</f>
        <v>758-36</v>
      </c>
      <c r="E307" s="109">
        <f>VLOOKUP($A307,ANAGRAFICA!$B$1:$G$306,5,FALSE)</f>
        <v>3272025062</v>
      </c>
      <c r="F307" s="109">
        <f>VLOOKUP($A307,ANAGRAFICA!$B$1:$G$306,6,FALSE)</f>
        <v>2025</v>
      </c>
      <c r="G307" s="3">
        <v>1.0</v>
      </c>
      <c r="H307" s="3" t="s">
        <v>764</v>
      </c>
      <c r="I307" s="148">
        <v>45847.0</v>
      </c>
      <c r="J307" s="3" t="s">
        <v>405</v>
      </c>
      <c r="K307" s="11" t="b">
        <v>1</v>
      </c>
    </row>
    <row r="308">
      <c r="A308" s="3">
        <v>2.125029623E9</v>
      </c>
      <c r="B308" s="109" t="str">
        <f>VLOOKUP($A308,ANAGRAFICA!$B$1:$G$306,2,FALSE)</f>
        <v>IANDIORIO</v>
      </c>
      <c r="C308" s="109" t="str">
        <f>VLOOKUP($A308,ANAGRAFICA!$B$1:$G$306,3,FALSE)</f>
        <v>ALDO NATALINO</v>
      </c>
      <c r="D308" s="109" t="str">
        <f>VLOOKUP($A308,ANAGRAFICA!$B$1:$G$306,4,FALSE)</f>
        <v>758-36</v>
      </c>
      <c r="E308" s="109">
        <f>VLOOKUP($A308,ANAGRAFICA!$B$1:$G$306,5,FALSE)</f>
        <v>3272025062</v>
      </c>
      <c r="F308" s="109">
        <f>VLOOKUP($A308,ANAGRAFICA!$B$1:$G$306,6,FALSE)</f>
        <v>2025</v>
      </c>
      <c r="G308" s="3">
        <v>1.0</v>
      </c>
      <c r="H308" s="3" t="s">
        <v>648</v>
      </c>
      <c r="I308" s="148">
        <v>45847.0</v>
      </c>
      <c r="J308" s="3" t="s">
        <v>765</v>
      </c>
      <c r="K308" s="11" t="b">
        <v>1</v>
      </c>
    </row>
    <row r="309">
      <c r="A309" s="3">
        <v>2.125029623E9</v>
      </c>
      <c r="B309" s="109" t="str">
        <f>VLOOKUP($A309,ANAGRAFICA!$B$1:$G$306,2,FALSE)</f>
        <v>IANDIORIO</v>
      </c>
      <c r="C309" s="109" t="str">
        <f>VLOOKUP($A309,ANAGRAFICA!$B$1:$G$306,3,FALSE)</f>
        <v>ALDO NATALINO</v>
      </c>
      <c r="D309" s="109" t="str">
        <f>VLOOKUP($A309,ANAGRAFICA!$B$1:$G$306,4,FALSE)</f>
        <v>758-36</v>
      </c>
      <c r="E309" s="109">
        <f>VLOOKUP($A309,ANAGRAFICA!$B$1:$G$306,5,FALSE)</f>
        <v>3272025062</v>
      </c>
      <c r="F309" s="109">
        <f>VLOOKUP($A309,ANAGRAFICA!$B$1:$G$306,6,FALSE)</f>
        <v>2025</v>
      </c>
      <c r="G309" s="3">
        <v>1.0</v>
      </c>
      <c r="H309" s="3" t="s">
        <v>648</v>
      </c>
      <c r="I309" s="148">
        <v>45846.0</v>
      </c>
      <c r="J309" s="3" t="s">
        <v>697</v>
      </c>
      <c r="K309" s="11" t="b">
        <v>1</v>
      </c>
    </row>
    <row r="310">
      <c r="A310" s="3">
        <v>2.125026384E9</v>
      </c>
      <c r="B310" s="109" t="str">
        <f>VLOOKUP($A310,ANAGRAFICA!$B$1:$G$306,2,FALSE)</f>
        <v>PRINCIPATO</v>
      </c>
      <c r="C310" s="109" t="str">
        <f>VLOOKUP($A310,ANAGRAFICA!$B$1:$G$306,3,FALSE)</f>
        <v>FRANCO ANGELO</v>
      </c>
      <c r="D310" s="109" t="str">
        <f>VLOOKUP($A310,ANAGRAFICA!$B$1:$G$306,4,FALSE)</f>
        <v>758-35</v>
      </c>
      <c r="E310" s="109">
        <f>VLOOKUP($A310,ANAGRAFICA!$B$1:$G$306,5,FALSE)</f>
        <v>3272025061</v>
      </c>
      <c r="F310" s="109">
        <f>VLOOKUP($A310,ANAGRAFICA!$B$1:$G$306,6,FALSE)</f>
        <v>2025</v>
      </c>
      <c r="G310" s="3">
        <v>1.0</v>
      </c>
      <c r="H310" s="3" t="s">
        <v>648</v>
      </c>
      <c r="I310" s="148">
        <v>45845.0</v>
      </c>
      <c r="J310" s="3" t="s">
        <v>766</v>
      </c>
      <c r="K310" s="11" t="b">
        <v>1</v>
      </c>
    </row>
    <row r="311">
      <c r="A311" s="3">
        <v>2.125026384E9</v>
      </c>
      <c r="B311" s="109" t="str">
        <f>VLOOKUP($A311,ANAGRAFICA!$B$1:$G$306,2,FALSE)</f>
        <v>PRINCIPATO</v>
      </c>
      <c r="C311" s="109" t="str">
        <f>VLOOKUP($A311,ANAGRAFICA!$B$1:$G$306,3,FALSE)</f>
        <v>FRANCO ANGELO</v>
      </c>
      <c r="D311" s="109" t="str">
        <f>VLOOKUP($A311,ANAGRAFICA!$B$1:$G$306,4,FALSE)</f>
        <v>758-35</v>
      </c>
      <c r="E311" s="109">
        <f>VLOOKUP($A311,ANAGRAFICA!$B$1:$G$306,5,FALSE)</f>
        <v>3272025061</v>
      </c>
      <c r="F311" s="109">
        <f>VLOOKUP($A311,ANAGRAFICA!$B$1:$G$306,6,FALSE)</f>
        <v>2025</v>
      </c>
      <c r="G311" s="3">
        <v>1.0</v>
      </c>
      <c r="H311" s="3" t="s">
        <v>635</v>
      </c>
      <c r="I311" s="148">
        <v>45832.0</v>
      </c>
      <c r="J311" s="3" t="s">
        <v>491</v>
      </c>
      <c r="K311" s="11" t="b">
        <v>1</v>
      </c>
    </row>
    <row r="312">
      <c r="A312" s="3">
        <v>2.125026384E9</v>
      </c>
      <c r="B312" s="109" t="str">
        <f>VLOOKUP($A312,ANAGRAFICA!$B$1:$G$306,2,FALSE)</f>
        <v>PRINCIPATO</v>
      </c>
      <c r="C312" s="109" t="str">
        <f>VLOOKUP($A312,ANAGRAFICA!$B$1:$G$306,3,FALSE)</f>
        <v>FRANCO ANGELO</v>
      </c>
      <c r="D312" s="109" t="str">
        <f>VLOOKUP($A312,ANAGRAFICA!$B$1:$G$306,4,FALSE)</f>
        <v>758-35</v>
      </c>
      <c r="E312" s="109">
        <f>VLOOKUP($A312,ANAGRAFICA!$B$1:$G$306,5,FALSE)</f>
        <v>3272025061</v>
      </c>
      <c r="F312" s="109">
        <f>VLOOKUP($A312,ANAGRAFICA!$B$1:$G$306,6,FALSE)</f>
        <v>2025</v>
      </c>
      <c r="G312" s="3">
        <v>1.0</v>
      </c>
      <c r="H312" s="3" t="s">
        <v>612</v>
      </c>
      <c r="I312" s="148">
        <v>45832.0</v>
      </c>
      <c r="J312" s="3" t="s">
        <v>767</v>
      </c>
      <c r="K312" s="11" t="b">
        <v>1</v>
      </c>
    </row>
    <row r="313">
      <c r="A313" s="3">
        <v>2.125026384E9</v>
      </c>
      <c r="B313" s="109" t="str">
        <f>VLOOKUP($A313,ANAGRAFICA!$B$1:$G$306,2,FALSE)</f>
        <v>PRINCIPATO</v>
      </c>
      <c r="C313" s="109" t="str">
        <f>VLOOKUP($A313,ANAGRAFICA!$B$1:$G$306,3,FALSE)</f>
        <v>FRANCO ANGELO</v>
      </c>
      <c r="D313" s="109" t="str">
        <f>VLOOKUP($A313,ANAGRAFICA!$B$1:$G$306,4,FALSE)</f>
        <v>758-35</v>
      </c>
      <c r="E313" s="109">
        <f>VLOOKUP($A313,ANAGRAFICA!$B$1:$G$306,5,FALSE)</f>
        <v>3272025061</v>
      </c>
      <c r="F313" s="109">
        <f>VLOOKUP($A313,ANAGRAFICA!$B$1:$G$306,6,FALSE)</f>
        <v>2025</v>
      </c>
      <c r="G313" s="3">
        <v>1.0</v>
      </c>
      <c r="H313" s="3" t="s">
        <v>635</v>
      </c>
      <c r="I313" s="148">
        <v>45833.0</v>
      </c>
      <c r="J313" s="3" t="s">
        <v>768</v>
      </c>
      <c r="K313" s="11" t="b">
        <v>1</v>
      </c>
    </row>
    <row r="314">
      <c r="A314" s="3">
        <v>2.125026384E9</v>
      </c>
      <c r="B314" s="109" t="str">
        <f>VLOOKUP($A314,ANAGRAFICA!$B$1:$G$306,2,FALSE)</f>
        <v>PRINCIPATO</v>
      </c>
      <c r="C314" s="109" t="str">
        <f>VLOOKUP($A314,ANAGRAFICA!$B$1:$G$306,3,FALSE)</f>
        <v>FRANCO ANGELO</v>
      </c>
      <c r="D314" s="109" t="str">
        <f>VLOOKUP($A314,ANAGRAFICA!$B$1:$G$306,4,FALSE)</f>
        <v>758-35</v>
      </c>
      <c r="E314" s="109">
        <f>VLOOKUP($A314,ANAGRAFICA!$B$1:$G$306,5,FALSE)</f>
        <v>3272025061</v>
      </c>
      <c r="F314" s="109">
        <f>VLOOKUP($A314,ANAGRAFICA!$B$1:$G$306,6,FALSE)</f>
        <v>2025</v>
      </c>
      <c r="G314" s="3">
        <v>1.0</v>
      </c>
      <c r="H314" s="3" t="s">
        <v>613</v>
      </c>
      <c r="I314" s="148">
        <v>45833.0</v>
      </c>
      <c r="J314" s="3" t="s">
        <v>769</v>
      </c>
      <c r="K314" s="11" t="b">
        <v>1</v>
      </c>
    </row>
    <row r="315">
      <c r="A315" s="3">
        <v>2.125026384E9</v>
      </c>
      <c r="B315" s="109" t="str">
        <f>VLOOKUP($A315,ANAGRAFICA!$B$1:$G$306,2,FALSE)</f>
        <v>PRINCIPATO</v>
      </c>
      <c r="C315" s="109" t="str">
        <f>VLOOKUP($A315,ANAGRAFICA!$B$1:$G$306,3,FALSE)</f>
        <v>FRANCO ANGELO</v>
      </c>
      <c r="D315" s="109" t="str">
        <f>VLOOKUP($A315,ANAGRAFICA!$B$1:$G$306,4,FALSE)</f>
        <v>758-35</v>
      </c>
      <c r="E315" s="109">
        <f>VLOOKUP($A315,ANAGRAFICA!$B$1:$G$306,5,FALSE)</f>
        <v>3272025061</v>
      </c>
      <c r="F315" s="109">
        <f>VLOOKUP($A315,ANAGRAFICA!$B$1:$G$306,6,FALSE)</f>
        <v>2025</v>
      </c>
      <c r="G315" s="3">
        <v>1.0</v>
      </c>
      <c r="H315" s="3" t="s">
        <v>648</v>
      </c>
      <c r="I315" s="148">
        <v>45833.0</v>
      </c>
      <c r="J315" s="3" t="s">
        <v>451</v>
      </c>
      <c r="K315" s="11" t="b">
        <v>1</v>
      </c>
    </row>
    <row r="316">
      <c r="A316" s="3">
        <v>2.125026384E9</v>
      </c>
      <c r="B316" s="109" t="str">
        <f>VLOOKUP($A316,ANAGRAFICA!$B$1:$G$306,2,FALSE)</f>
        <v>PRINCIPATO</v>
      </c>
      <c r="C316" s="109" t="str">
        <f>VLOOKUP($A316,ANAGRAFICA!$B$1:$G$306,3,FALSE)</f>
        <v>FRANCO ANGELO</v>
      </c>
      <c r="D316" s="109" t="str">
        <f>VLOOKUP($A316,ANAGRAFICA!$B$1:$G$306,4,FALSE)</f>
        <v>758-35</v>
      </c>
      <c r="E316" s="109">
        <f>VLOOKUP($A316,ANAGRAFICA!$B$1:$G$306,5,FALSE)</f>
        <v>3272025061</v>
      </c>
      <c r="F316" s="109">
        <f>VLOOKUP($A316,ANAGRAFICA!$B$1:$G$306,6,FALSE)</f>
        <v>2025</v>
      </c>
      <c r="G316" s="3">
        <v>1.0</v>
      </c>
      <c r="H316" s="3" t="s">
        <v>648</v>
      </c>
      <c r="I316" s="148">
        <v>45833.0</v>
      </c>
      <c r="J316" s="3" t="s">
        <v>45</v>
      </c>
      <c r="K316" s="11" t="b">
        <v>1</v>
      </c>
    </row>
    <row r="317">
      <c r="A317" s="3">
        <v>2.125026384E9</v>
      </c>
      <c r="B317" s="109" t="str">
        <f>VLOOKUP($A317,ANAGRAFICA!$B$1:$G$306,2,FALSE)</f>
        <v>PRINCIPATO</v>
      </c>
      <c r="C317" s="109" t="str">
        <f>VLOOKUP($A317,ANAGRAFICA!$B$1:$G$306,3,FALSE)</f>
        <v>FRANCO ANGELO</v>
      </c>
      <c r="D317" s="109" t="str">
        <f>VLOOKUP($A317,ANAGRAFICA!$B$1:$G$306,4,FALSE)</f>
        <v>758-35</v>
      </c>
      <c r="E317" s="109">
        <f>VLOOKUP($A317,ANAGRAFICA!$B$1:$G$306,5,FALSE)</f>
        <v>3272025061</v>
      </c>
      <c r="F317" s="109">
        <f>VLOOKUP($A317,ANAGRAFICA!$B$1:$G$306,6,FALSE)</f>
        <v>2025</v>
      </c>
      <c r="G317" s="3">
        <v>1.0</v>
      </c>
      <c r="H317" s="3" t="s">
        <v>648</v>
      </c>
      <c r="I317" s="148">
        <v>45835.0</v>
      </c>
      <c r="J317" s="3" t="s">
        <v>770</v>
      </c>
      <c r="K317" s="11" t="b">
        <v>1</v>
      </c>
    </row>
    <row r="318">
      <c r="A318" s="3">
        <v>2.125026384E9</v>
      </c>
      <c r="B318" s="109" t="str">
        <f>VLOOKUP($A318,ANAGRAFICA!$B$1:$G$306,2,FALSE)</f>
        <v>PRINCIPATO</v>
      </c>
      <c r="C318" s="109" t="str">
        <f>VLOOKUP($A318,ANAGRAFICA!$B$1:$G$306,3,FALSE)</f>
        <v>FRANCO ANGELO</v>
      </c>
      <c r="D318" s="109" t="str">
        <f>VLOOKUP($A318,ANAGRAFICA!$B$1:$G$306,4,FALSE)</f>
        <v>758-35</v>
      </c>
      <c r="E318" s="109">
        <f>VLOOKUP($A318,ANAGRAFICA!$B$1:$G$306,5,FALSE)</f>
        <v>3272025061</v>
      </c>
      <c r="F318" s="109">
        <f>VLOOKUP($A318,ANAGRAFICA!$B$1:$G$306,6,FALSE)</f>
        <v>2025</v>
      </c>
      <c r="G318" s="3">
        <v>1.0</v>
      </c>
      <c r="H318" s="3" t="s">
        <v>648</v>
      </c>
      <c r="I318" s="148">
        <v>45838.0</v>
      </c>
      <c r="J318" s="3" t="s">
        <v>771</v>
      </c>
      <c r="K318" s="11" t="b">
        <v>1</v>
      </c>
    </row>
    <row r="319">
      <c r="A319" s="3">
        <v>2.125026384E9</v>
      </c>
      <c r="B319" s="109" t="str">
        <f>VLOOKUP($A319,ANAGRAFICA!$B$1:$G$306,2,FALSE)</f>
        <v>PRINCIPATO</v>
      </c>
      <c r="C319" s="109" t="str">
        <f>VLOOKUP($A319,ANAGRAFICA!$B$1:$G$306,3,FALSE)</f>
        <v>FRANCO ANGELO</v>
      </c>
      <c r="D319" s="109" t="str">
        <f>VLOOKUP($A319,ANAGRAFICA!$B$1:$G$306,4,FALSE)</f>
        <v>758-35</v>
      </c>
      <c r="E319" s="109">
        <f>VLOOKUP($A319,ANAGRAFICA!$B$1:$G$306,5,FALSE)</f>
        <v>3272025061</v>
      </c>
      <c r="F319" s="109">
        <f>VLOOKUP($A319,ANAGRAFICA!$B$1:$G$306,6,FALSE)</f>
        <v>2025</v>
      </c>
      <c r="G319" s="3">
        <v>1.0</v>
      </c>
      <c r="H319" s="3" t="s">
        <v>648</v>
      </c>
      <c r="I319" s="148">
        <v>45839.0</v>
      </c>
      <c r="J319" s="3" t="s">
        <v>772</v>
      </c>
      <c r="K319" s="11" t="b">
        <v>1</v>
      </c>
    </row>
    <row r="320">
      <c r="A320" s="3">
        <v>2.125026384E9</v>
      </c>
      <c r="B320" s="109" t="str">
        <f>VLOOKUP($A320,ANAGRAFICA!$B$1:$G$306,2,FALSE)</f>
        <v>PRINCIPATO</v>
      </c>
      <c r="C320" s="109" t="str">
        <f>VLOOKUP($A320,ANAGRAFICA!$B$1:$G$306,3,FALSE)</f>
        <v>FRANCO ANGELO</v>
      </c>
      <c r="D320" s="109" t="str">
        <f>VLOOKUP($A320,ANAGRAFICA!$B$1:$G$306,4,FALSE)</f>
        <v>758-35</v>
      </c>
      <c r="E320" s="109">
        <f>VLOOKUP($A320,ANAGRAFICA!$B$1:$G$306,5,FALSE)</f>
        <v>3272025061</v>
      </c>
      <c r="F320" s="109">
        <f>VLOOKUP($A320,ANAGRAFICA!$B$1:$G$306,6,FALSE)</f>
        <v>2025</v>
      </c>
      <c r="G320" s="3">
        <v>1.0</v>
      </c>
      <c r="H320" s="3" t="s">
        <v>773</v>
      </c>
      <c r="I320" s="148">
        <v>45841.0</v>
      </c>
      <c r="J320" s="3" t="s">
        <v>774</v>
      </c>
      <c r="K320" s="11" t="b">
        <v>1</v>
      </c>
    </row>
    <row r="321">
      <c r="A321" s="3">
        <v>2.125026384E9</v>
      </c>
      <c r="B321" s="109" t="str">
        <f>VLOOKUP($A321,ANAGRAFICA!$B$1:$G$306,2,FALSE)</f>
        <v>PRINCIPATO</v>
      </c>
      <c r="C321" s="109" t="str">
        <f>VLOOKUP($A321,ANAGRAFICA!$B$1:$G$306,3,FALSE)</f>
        <v>FRANCO ANGELO</v>
      </c>
      <c r="D321" s="109" t="str">
        <f>VLOOKUP($A321,ANAGRAFICA!$B$1:$G$306,4,FALSE)</f>
        <v>758-35</v>
      </c>
      <c r="E321" s="109">
        <f>VLOOKUP($A321,ANAGRAFICA!$B$1:$G$306,5,FALSE)</f>
        <v>3272025061</v>
      </c>
      <c r="F321" s="109">
        <f>VLOOKUP($A321,ANAGRAFICA!$B$1:$G$306,6,FALSE)</f>
        <v>2025</v>
      </c>
      <c r="G321" s="3">
        <v>1.0</v>
      </c>
      <c r="H321" s="3" t="s">
        <v>648</v>
      </c>
      <c r="I321" s="148">
        <v>45842.0</v>
      </c>
      <c r="J321" s="3" t="s">
        <v>763</v>
      </c>
      <c r="K321" s="11" t="b">
        <v>1</v>
      </c>
    </row>
    <row r="322">
      <c r="A322" s="3">
        <v>2.125026384E9</v>
      </c>
      <c r="B322" s="109" t="str">
        <f>VLOOKUP($A322,ANAGRAFICA!$B$1:$G$306,2,FALSE)</f>
        <v>PRINCIPATO</v>
      </c>
      <c r="C322" s="109" t="str">
        <f>VLOOKUP($A322,ANAGRAFICA!$B$1:$G$306,3,FALSE)</f>
        <v>FRANCO ANGELO</v>
      </c>
      <c r="D322" s="109" t="str">
        <f>VLOOKUP($A322,ANAGRAFICA!$B$1:$G$306,4,FALSE)</f>
        <v>758-35</v>
      </c>
      <c r="E322" s="109">
        <f>VLOOKUP($A322,ANAGRAFICA!$B$1:$G$306,5,FALSE)</f>
        <v>3272025061</v>
      </c>
      <c r="F322" s="109">
        <f>VLOOKUP($A322,ANAGRAFICA!$B$1:$G$306,6,FALSE)</f>
        <v>2025</v>
      </c>
      <c r="G322" s="3">
        <v>1.0</v>
      </c>
      <c r="H322" s="3" t="s">
        <v>619</v>
      </c>
      <c r="I322" s="148">
        <v>45839.0</v>
      </c>
      <c r="J322" s="3" t="s">
        <v>775</v>
      </c>
      <c r="K322" s="11" t="b">
        <v>0</v>
      </c>
    </row>
    <row r="323">
      <c r="A323" s="3">
        <v>2.125026384E9</v>
      </c>
      <c r="B323" s="109" t="str">
        <f>VLOOKUP($A323,ANAGRAFICA!$B$1:$G$306,2,FALSE)</f>
        <v>PRINCIPATO</v>
      </c>
      <c r="C323" s="109" t="str">
        <f>VLOOKUP($A323,ANAGRAFICA!$B$1:$G$306,3,FALSE)</f>
        <v>FRANCO ANGELO</v>
      </c>
      <c r="D323" s="109" t="str">
        <f>VLOOKUP($A323,ANAGRAFICA!$B$1:$G$306,4,FALSE)</f>
        <v>758-35</v>
      </c>
      <c r="E323" s="109">
        <f>VLOOKUP($A323,ANAGRAFICA!$B$1:$G$306,5,FALSE)</f>
        <v>3272025061</v>
      </c>
      <c r="F323" s="109">
        <f>VLOOKUP($A323,ANAGRAFICA!$B$1:$G$306,6,FALSE)</f>
        <v>2025</v>
      </c>
      <c r="G323" s="3">
        <v>1.0</v>
      </c>
      <c r="H323" s="3" t="s">
        <v>609</v>
      </c>
      <c r="I323" s="148">
        <v>45833.0</v>
      </c>
      <c r="J323" s="3" t="s">
        <v>776</v>
      </c>
      <c r="K323" s="11" t="b">
        <v>0</v>
      </c>
    </row>
    <row r="324">
      <c r="A324" s="3">
        <v>2.125026384E9</v>
      </c>
      <c r="B324" s="109" t="str">
        <f>VLOOKUP($A324,ANAGRAFICA!$B$1:$G$306,2,FALSE)</f>
        <v>PRINCIPATO</v>
      </c>
      <c r="C324" s="109" t="str">
        <f>VLOOKUP($A324,ANAGRAFICA!$B$1:$G$306,3,FALSE)</f>
        <v>FRANCO ANGELO</v>
      </c>
      <c r="D324" s="109" t="str">
        <f>VLOOKUP($A324,ANAGRAFICA!$B$1:$G$306,4,FALSE)</f>
        <v>758-35</v>
      </c>
      <c r="E324" s="109">
        <f>VLOOKUP($A324,ANAGRAFICA!$B$1:$G$306,5,FALSE)</f>
        <v>3272025061</v>
      </c>
      <c r="F324" s="109">
        <f>VLOOKUP($A324,ANAGRAFICA!$B$1:$G$306,6,FALSE)</f>
        <v>2025</v>
      </c>
      <c r="G324" s="3">
        <v>1.0</v>
      </c>
      <c r="H324" s="3" t="s">
        <v>619</v>
      </c>
      <c r="I324" s="148">
        <v>45840.0</v>
      </c>
      <c r="J324" s="3" t="s">
        <v>777</v>
      </c>
      <c r="K324" s="11" t="b">
        <v>0</v>
      </c>
    </row>
    <row r="325">
      <c r="A325" s="3">
        <v>2.125026869E9</v>
      </c>
      <c r="B325" s="109" t="str">
        <f>VLOOKUP($A325,ANAGRAFICA!$B$1:$G$306,2,FALSE)</f>
        <v>NACCARI</v>
      </c>
      <c r="C325" s="109" t="str">
        <f>VLOOKUP($A325,ANAGRAFICA!$B$1:$G$306,3,FALSE)</f>
        <v>ROBERTO</v>
      </c>
      <c r="D325" s="109" t="str">
        <f>VLOOKUP($A325,ANAGRAFICA!$B$1:$G$306,4,FALSE)</f>
        <v>758-33</v>
      </c>
      <c r="E325" s="109">
        <f>VLOOKUP($A325,ANAGRAFICA!$B$1:$G$306,5,FALSE)</f>
        <v>3272025060</v>
      </c>
      <c r="F325" s="109">
        <f>VLOOKUP($A325,ANAGRAFICA!$B$1:$G$306,6,FALSE)</f>
        <v>2025</v>
      </c>
      <c r="G325" s="3">
        <v>1.0</v>
      </c>
      <c r="H325" s="3" t="s">
        <v>618</v>
      </c>
      <c r="I325" s="148">
        <v>45825.0</v>
      </c>
      <c r="J325" s="3" t="s">
        <v>45</v>
      </c>
      <c r="K325" s="11" t="b">
        <v>0</v>
      </c>
    </row>
    <row r="326">
      <c r="A326" s="3">
        <v>2.125026869E9</v>
      </c>
      <c r="B326" s="109" t="str">
        <f>VLOOKUP($A326,ANAGRAFICA!$B$1:$G$306,2,FALSE)</f>
        <v>NACCARI</v>
      </c>
      <c r="C326" s="109" t="str">
        <f>VLOOKUP($A326,ANAGRAFICA!$B$1:$G$306,3,FALSE)</f>
        <v>ROBERTO</v>
      </c>
      <c r="D326" s="109" t="str">
        <f>VLOOKUP($A326,ANAGRAFICA!$B$1:$G$306,4,FALSE)</f>
        <v>758-33</v>
      </c>
      <c r="E326" s="109">
        <f>VLOOKUP($A326,ANAGRAFICA!$B$1:$G$306,5,FALSE)</f>
        <v>3272025060</v>
      </c>
      <c r="F326" s="109">
        <f>VLOOKUP($A326,ANAGRAFICA!$B$1:$G$306,6,FALSE)</f>
        <v>2025</v>
      </c>
      <c r="G326" s="3">
        <v>1.0</v>
      </c>
      <c r="H326" s="3" t="s">
        <v>648</v>
      </c>
      <c r="I326" s="148">
        <v>45825.0</v>
      </c>
      <c r="J326" s="3" t="s">
        <v>778</v>
      </c>
      <c r="K326" s="11" t="b">
        <v>1</v>
      </c>
    </row>
    <row r="327">
      <c r="A327" s="3">
        <v>2.125026869E9</v>
      </c>
      <c r="B327" s="109" t="str">
        <f>VLOOKUP($A327,ANAGRAFICA!$B$1:$G$306,2,FALSE)</f>
        <v>NACCARI</v>
      </c>
      <c r="C327" s="109" t="str">
        <f>VLOOKUP($A327,ANAGRAFICA!$B$1:$G$306,3,FALSE)</f>
        <v>ROBERTO</v>
      </c>
      <c r="D327" s="109" t="str">
        <f>VLOOKUP($A327,ANAGRAFICA!$B$1:$G$306,4,FALSE)</f>
        <v>758-33</v>
      </c>
      <c r="E327" s="109">
        <f>VLOOKUP($A327,ANAGRAFICA!$B$1:$G$306,5,FALSE)</f>
        <v>3272025060</v>
      </c>
      <c r="F327" s="109">
        <f>VLOOKUP($A327,ANAGRAFICA!$B$1:$G$306,6,FALSE)</f>
        <v>2025</v>
      </c>
      <c r="G327" s="3">
        <v>1.0</v>
      </c>
      <c r="H327" s="3" t="s">
        <v>648</v>
      </c>
      <c r="I327" s="148">
        <v>45826.0</v>
      </c>
      <c r="J327" s="3" t="s">
        <v>738</v>
      </c>
      <c r="K327" s="11" t="b">
        <v>1</v>
      </c>
    </row>
    <row r="328">
      <c r="A328" s="3">
        <v>2.125026869E9</v>
      </c>
      <c r="B328" s="109" t="str">
        <f>VLOOKUP($A328,ANAGRAFICA!$B$1:$G$306,2,FALSE)</f>
        <v>NACCARI</v>
      </c>
      <c r="C328" s="109" t="str">
        <f>VLOOKUP($A328,ANAGRAFICA!$B$1:$G$306,3,FALSE)</f>
        <v>ROBERTO</v>
      </c>
      <c r="D328" s="109" t="str">
        <f>VLOOKUP($A328,ANAGRAFICA!$B$1:$G$306,4,FALSE)</f>
        <v>758-33</v>
      </c>
      <c r="E328" s="109">
        <f>VLOOKUP($A328,ANAGRAFICA!$B$1:$G$306,5,FALSE)</f>
        <v>3272025060</v>
      </c>
      <c r="F328" s="109">
        <f>VLOOKUP($A328,ANAGRAFICA!$B$1:$G$306,6,FALSE)</f>
        <v>2025</v>
      </c>
      <c r="G328" s="3">
        <v>1.0</v>
      </c>
      <c r="H328" s="3" t="s">
        <v>648</v>
      </c>
      <c r="I328" s="148">
        <v>45827.0</v>
      </c>
      <c r="J328" s="3" t="s">
        <v>726</v>
      </c>
      <c r="K328" s="11" t="b">
        <v>1</v>
      </c>
    </row>
    <row r="329">
      <c r="A329" s="3">
        <v>2.125026869E9</v>
      </c>
      <c r="B329" s="109" t="str">
        <f>VLOOKUP($A329,ANAGRAFICA!$B$1:$G$306,2,FALSE)</f>
        <v>NACCARI</v>
      </c>
      <c r="C329" s="109" t="str">
        <f>VLOOKUP($A329,ANAGRAFICA!$B$1:$G$306,3,FALSE)</f>
        <v>ROBERTO</v>
      </c>
      <c r="D329" s="109" t="str">
        <f>VLOOKUP($A329,ANAGRAFICA!$B$1:$G$306,4,FALSE)</f>
        <v>758-33</v>
      </c>
      <c r="E329" s="109">
        <f>VLOOKUP($A329,ANAGRAFICA!$B$1:$G$306,5,FALSE)</f>
        <v>3272025060</v>
      </c>
      <c r="F329" s="109">
        <f>VLOOKUP($A329,ANAGRAFICA!$B$1:$G$306,6,FALSE)</f>
        <v>2025</v>
      </c>
      <c r="G329" s="3">
        <v>1.0</v>
      </c>
      <c r="H329" s="3" t="s">
        <v>648</v>
      </c>
      <c r="I329" s="148">
        <v>45828.0</v>
      </c>
      <c r="J329" s="3" t="s">
        <v>765</v>
      </c>
      <c r="K329" s="11" t="b">
        <v>1</v>
      </c>
    </row>
    <row r="330">
      <c r="A330" s="3">
        <v>2.125026869E9</v>
      </c>
      <c r="B330" s="109" t="str">
        <f>VLOOKUP($A330,ANAGRAFICA!$B$1:$G$306,2,FALSE)</f>
        <v>NACCARI</v>
      </c>
      <c r="C330" s="109" t="str">
        <f>VLOOKUP($A330,ANAGRAFICA!$B$1:$G$306,3,FALSE)</f>
        <v>ROBERTO</v>
      </c>
      <c r="D330" s="109" t="str">
        <f>VLOOKUP($A330,ANAGRAFICA!$B$1:$G$306,4,FALSE)</f>
        <v>758-33</v>
      </c>
      <c r="E330" s="109">
        <f>VLOOKUP($A330,ANAGRAFICA!$B$1:$G$306,5,FALSE)</f>
        <v>3272025060</v>
      </c>
      <c r="F330" s="109">
        <f>VLOOKUP($A330,ANAGRAFICA!$B$1:$G$306,6,FALSE)</f>
        <v>2025</v>
      </c>
      <c r="G330" s="3">
        <v>1.0</v>
      </c>
      <c r="H330" s="3" t="s">
        <v>648</v>
      </c>
      <c r="I330" s="148">
        <v>45829.0</v>
      </c>
      <c r="J330" s="3" t="s">
        <v>779</v>
      </c>
      <c r="K330" s="11" t="b">
        <v>1</v>
      </c>
    </row>
    <row r="331">
      <c r="A331" s="3">
        <v>2.125026869E9</v>
      </c>
      <c r="B331" s="109" t="str">
        <f>VLOOKUP($A331,ANAGRAFICA!$B$1:$G$306,2,FALSE)</f>
        <v>NACCARI</v>
      </c>
      <c r="C331" s="109" t="str">
        <f>VLOOKUP($A331,ANAGRAFICA!$B$1:$G$306,3,FALSE)</f>
        <v>ROBERTO</v>
      </c>
      <c r="D331" s="109" t="str">
        <f>VLOOKUP($A331,ANAGRAFICA!$B$1:$G$306,4,FALSE)</f>
        <v>758-33</v>
      </c>
      <c r="E331" s="109">
        <f>VLOOKUP($A331,ANAGRAFICA!$B$1:$G$306,5,FALSE)</f>
        <v>3272025060</v>
      </c>
      <c r="F331" s="109">
        <f>VLOOKUP($A331,ANAGRAFICA!$B$1:$G$306,6,FALSE)</f>
        <v>2025</v>
      </c>
      <c r="G331" s="3">
        <v>1.0</v>
      </c>
      <c r="H331" s="3" t="s">
        <v>648</v>
      </c>
      <c r="I331" s="148">
        <v>45831.0</v>
      </c>
      <c r="J331" s="3" t="s">
        <v>160</v>
      </c>
      <c r="K331" s="11" t="b">
        <v>1</v>
      </c>
    </row>
    <row r="332">
      <c r="A332" s="3">
        <v>2.125026869E9</v>
      </c>
      <c r="B332" s="109" t="str">
        <f>VLOOKUP($A332,ANAGRAFICA!$B$1:$G$306,2,FALSE)</f>
        <v>NACCARI</v>
      </c>
      <c r="C332" s="109" t="str">
        <f>VLOOKUP($A332,ANAGRAFICA!$B$1:$G$306,3,FALSE)</f>
        <v>ROBERTO</v>
      </c>
      <c r="D332" s="109" t="str">
        <f>VLOOKUP($A332,ANAGRAFICA!$B$1:$G$306,4,FALSE)</f>
        <v>758-33</v>
      </c>
      <c r="E332" s="109">
        <f>VLOOKUP($A332,ANAGRAFICA!$B$1:$G$306,5,FALSE)</f>
        <v>3272025060</v>
      </c>
      <c r="F332" s="109">
        <f>VLOOKUP($A332,ANAGRAFICA!$B$1:$G$306,6,FALSE)</f>
        <v>2025</v>
      </c>
      <c r="G332" s="3">
        <v>1.0</v>
      </c>
      <c r="H332" s="3" t="s">
        <v>648</v>
      </c>
      <c r="I332" s="148">
        <v>45833.0</v>
      </c>
      <c r="J332" s="3" t="s">
        <v>780</v>
      </c>
      <c r="K332" s="11" t="b">
        <v>1</v>
      </c>
    </row>
    <row r="333">
      <c r="A333" s="3">
        <v>2.125026869E9</v>
      </c>
      <c r="B333" s="109" t="str">
        <f>VLOOKUP($A333,ANAGRAFICA!$B$1:$G$306,2,FALSE)</f>
        <v>NACCARI</v>
      </c>
      <c r="C333" s="109" t="str">
        <f>VLOOKUP($A333,ANAGRAFICA!$B$1:$G$306,3,FALSE)</f>
        <v>ROBERTO</v>
      </c>
      <c r="D333" s="109" t="str">
        <f>VLOOKUP($A333,ANAGRAFICA!$B$1:$G$306,4,FALSE)</f>
        <v>758-33</v>
      </c>
      <c r="E333" s="109">
        <f>VLOOKUP($A333,ANAGRAFICA!$B$1:$G$306,5,FALSE)</f>
        <v>3272025060</v>
      </c>
      <c r="F333" s="109">
        <f>VLOOKUP($A333,ANAGRAFICA!$B$1:$G$306,6,FALSE)</f>
        <v>2025</v>
      </c>
      <c r="G333" s="3">
        <v>1.0</v>
      </c>
      <c r="H333" s="3" t="s">
        <v>607</v>
      </c>
      <c r="I333" s="148">
        <v>45833.0</v>
      </c>
      <c r="J333" s="3" t="s">
        <v>781</v>
      </c>
      <c r="K333" s="11" t="b">
        <v>1</v>
      </c>
      <c r="L333" s="3" t="s">
        <v>782</v>
      </c>
    </row>
    <row r="334">
      <c r="A334" s="3">
        <v>2.125026869E9</v>
      </c>
      <c r="B334" s="109" t="str">
        <f>VLOOKUP($A334,ANAGRAFICA!$B$1:$G$306,2,FALSE)</f>
        <v>NACCARI</v>
      </c>
      <c r="C334" s="109" t="str">
        <f>VLOOKUP($A334,ANAGRAFICA!$B$1:$G$306,3,FALSE)</f>
        <v>ROBERTO</v>
      </c>
      <c r="D334" s="109" t="str">
        <f>VLOOKUP($A334,ANAGRAFICA!$B$1:$G$306,4,FALSE)</f>
        <v>758-33</v>
      </c>
      <c r="E334" s="109">
        <f>VLOOKUP($A334,ANAGRAFICA!$B$1:$G$306,5,FALSE)</f>
        <v>3272025060</v>
      </c>
      <c r="F334" s="109">
        <f>VLOOKUP($A334,ANAGRAFICA!$B$1:$G$306,6,FALSE)</f>
        <v>2025</v>
      </c>
      <c r="G334" s="3">
        <v>1.0</v>
      </c>
      <c r="H334" s="3" t="s">
        <v>648</v>
      </c>
      <c r="I334" s="148">
        <v>45834.0</v>
      </c>
      <c r="J334" s="3" t="s">
        <v>686</v>
      </c>
      <c r="K334" s="11" t="b">
        <v>1</v>
      </c>
    </row>
    <row r="335">
      <c r="A335" s="3">
        <v>2.125026869E9</v>
      </c>
      <c r="B335" s="109" t="str">
        <f>VLOOKUP($A335,ANAGRAFICA!$B$1:$G$306,2,FALSE)</f>
        <v>NACCARI</v>
      </c>
      <c r="C335" s="109" t="str">
        <f>VLOOKUP($A335,ANAGRAFICA!$B$1:$G$306,3,FALSE)</f>
        <v>ROBERTO</v>
      </c>
      <c r="D335" s="109" t="str">
        <f>VLOOKUP($A335,ANAGRAFICA!$B$1:$G$306,4,FALSE)</f>
        <v>758-33</v>
      </c>
      <c r="E335" s="109">
        <f>VLOOKUP($A335,ANAGRAFICA!$B$1:$G$306,5,FALSE)</f>
        <v>3272025060</v>
      </c>
      <c r="F335" s="109">
        <f>VLOOKUP($A335,ANAGRAFICA!$B$1:$G$306,6,FALSE)</f>
        <v>2025</v>
      </c>
      <c r="G335" s="3">
        <v>1.0</v>
      </c>
      <c r="H335" s="3" t="s">
        <v>648</v>
      </c>
      <c r="I335" s="148">
        <v>45835.0</v>
      </c>
      <c r="J335" s="3" t="s">
        <v>760</v>
      </c>
      <c r="K335" s="11" t="b">
        <v>1</v>
      </c>
    </row>
    <row r="336">
      <c r="A336" s="3">
        <v>2.125026869E9</v>
      </c>
      <c r="B336" s="109" t="str">
        <f>VLOOKUP($A336,ANAGRAFICA!$B$1:$G$306,2,FALSE)</f>
        <v>NACCARI</v>
      </c>
      <c r="C336" s="109" t="str">
        <f>VLOOKUP($A336,ANAGRAFICA!$B$1:$G$306,3,FALSE)</f>
        <v>ROBERTO</v>
      </c>
      <c r="D336" s="109" t="str">
        <f>VLOOKUP($A336,ANAGRAFICA!$B$1:$G$306,4,FALSE)</f>
        <v>758-33</v>
      </c>
      <c r="E336" s="109">
        <f>VLOOKUP($A336,ANAGRAFICA!$B$1:$G$306,5,FALSE)</f>
        <v>3272025060</v>
      </c>
      <c r="F336" s="109">
        <f>VLOOKUP($A336,ANAGRAFICA!$B$1:$G$306,6,FALSE)</f>
        <v>2025</v>
      </c>
      <c r="G336" s="3">
        <v>1.0</v>
      </c>
      <c r="H336" s="3" t="s">
        <v>648</v>
      </c>
      <c r="I336" s="148">
        <v>45836.0</v>
      </c>
      <c r="J336" s="3" t="s">
        <v>728</v>
      </c>
      <c r="K336" s="11" t="b">
        <v>1</v>
      </c>
    </row>
    <row r="337">
      <c r="A337" s="3">
        <v>2.125026869E9</v>
      </c>
      <c r="B337" s="109" t="str">
        <f>VLOOKUP($A337,ANAGRAFICA!$B$1:$G$306,2,FALSE)</f>
        <v>NACCARI</v>
      </c>
      <c r="C337" s="109" t="str">
        <f>VLOOKUP($A337,ANAGRAFICA!$B$1:$G$306,3,FALSE)</f>
        <v>ROBERTO</v>
      </c>
      <c r="D337" s="109" t="str">
        <f>VLOOKUP($A337,ANAGRAFICA!$B$1:$G$306,4,FALSE)</f>
        <v>758-33</v>
      </c>
      <c r="E337" s="109">
        <f>VLOOKUP($A337,ANAGRAFICA!$B$1:$G$306,5,FALSE)</f>
        <v>3272025060</v>
      </c>
      <c r="F337" s="109">
        <f>VLOOKUP($A337,ANAGRAFICA!$B$1:$G$306,6,FALSE)</f>
        <v>2025</v>
      </c>
      <c r="G337" s="3">
        <v>1.0</v>
      </c>
      <c r="H337" s="3" t="s">
        <v>648</v>
      </c>
      <c r="I337" s="148">
        <v>45836.0</v>
      </c>
      <c r="J337" s="3" t="s">
        <v>783</v>
      </c>
      <c r="K337" s="11" t="b">
        <v>1</v>
      </c>
    </row>
    <row r="338">
      <c r="A338" s="3">
        <v>2.125026869E9</v>
      </c>
      <c r="B338" s="109" t="str">
        <f>VLOOKUP($A338,ANAGRAFICA!$B$1:$G$306,2,FALSE)</f>
        <v>NACCARI</v>
      </c>
      <c r="C338" s="109" t="str">
        <f>VLOOKUP($A338,ANAGRAFICA!$B$1:$G$306,3,FALSE)</f>
        <v>ROBERTO</v>
      </c>
      <c r="D338" s="109" t="str">
        <f>VLOOKUP($A338,ANAGRAFICA!$B$1:$G$306,4,FALSE)</f>
        <v>758-33</v>
      </c>
      <c r="E338" s="109">
        <f>VLOOKUP($A338,ANAGRAFICA!$B$1:$G$306,5,FALSE)</f>
        <v>3272025060</v>
      </c>
      <c r="F338" s="109">
        <f>VLOOKUP($A338,ANAGRAFICA!$B$1:$G$306,6,FALSE)</f>
        <v>2025</v>
      </c>
      <c r="G338" s="3">
        <v>1.0</v>
      </c>
      <c r="H338" s="3" t="s">
        <v>648</v>
      </c>
      <c r="I338" s="148">
        <v>45838.0</v>
      </c>
      <c r="J338" s="3" t="s">
        <v>784</v>
      </c>
      <c r="K338" s="11" t="b">
        <v>1</v>
      </c>
    </row>
    <row r="339">
      <c r="A339" s="3">
        <v>2.125026869E9</v>
      </c>
      <c r="B339" s="109" t="str">
        <f>VLOOKUP($A339,ANAGRAFICA!$B$1:$G$306,2,FALSE)</f>
        <v>NACCARI</v>
      </c>
      <c r="C339" s="109" t="str">
        <f>VLOOKUP($A339,ANAGRAFICA!$B$1:$G$306,3,FALSE)</f>
        <v>ROBERTO</v>
      </c>
      <c r="D339" s="109" t="str">
        <f>VLOOKUP($A339,ANAGRAFICA!$B$1:$G$306,4,FALSE)</f>
        <v>758-33</v>
      </c>
      <c r="E339" s="109">
        <f>VLOOKUP($A339,ANAGRAFICA!$B$1:$G$306,5,FALSE)</f>
        <v>3272025060</v>
      </c>
      <c r="F339" s="109">
        <f>VLOOKUP($A339,ANAGRAFICA!$B$1:$G$306,6,FALSE)</f>
        <v>2025</v>
      </c>
      <c r="G339" s="3">
        <v>1.0</v>
      </c>
      <c r="H339" s="3" t="s">
        <v>648</v>
      </c>
      <c r="I339" s="148">
        <v>45839.0</v>
      </c>
      <c r="J339" s="3" t="s">
        <v>785</v>
      </c>
      <c r="K339" s="11" t="b">
        <v>1</v>
      </c>
    </row>
    <row r="340">
      <c r="A340" s="3">
        <v>2.125026869E9</v>
      </c>
      <c r="B340" s="109" t="str">
        <f>VLOOKUP($A340,ANAGRAFICA!$B$1:$G$306,2,FALSE)</f>
        <v>NACCARI</v>
      </c>
      <c r="C340" s="109" t="str">
        <f>VLOOKUP($A340,ANAGRAFICA!$B$1:$G$306,3,FALSE)</f>
        <v>ROBERTO</v>
      </c>
      <c r="D340" s="109" t="str">
        <f>VLOOKUP($A340,ANAGRAFICA!$B$1:$G$306,4,FALSE)</f>
        <v>758-33</v>
      </c>
      <c r="E340" s="109">
        <f>VLOOKUP($A340,ANAGRAFICA!$B$1:$G$306,5,FALSE)</f>
        <v>3272025060</v>
      </c>
      <c r="F340" s="109">
        <f>VLOOKUP($A340,ANAGRAFICA!$B$1:$G$306,6,FALSE)</f>
        <v>2025</v>
      </c>
      <c r="G340" s="3">
        <v>1.0</v>
      </c>
      <c r="H340" s="3" t="s">
        <v>648</v>
      </c>
      <c r="I340" s="148">
        <v>45840.0</v>
      </c>
      <c r="J340" s="3" t="s">
        <v>786</v>
      </c>
      <c r="K340" s="11" t="b">
        <v>1</v>
      </c>
    </row>
    <row r="341">
      <c r="A341" s="3">
        <v>2.125026869E9</v>
      </c>
      <c r="B341" s="109" t="str">
        <f>VLOOKUP($A341,ANAGRAFICA!$B$1:$G$306,2,FALSE)</f>
        <v>NACCARI</v>
      </c>
      <c r="C341" s="109" t="str">
        <f>VLOOKUP($A341,ANAGRAFICA!$B$1:$G$306,3,FALSE)</f>
        <v>ROBERTO</v>
      </c>
      <c r="D341" s="109" t="str">
        <f>VLOOKUP($A341,ANAGRAFICA!$B$1:$G$306,4,FALSE)</f>
        <v>758-33</v>
      </c>
      <c r="E341" s="109">
        <f>VLOOKUP($A341,ANAGRAFICA!$B$1:$G$306,5,FALSE)</f>
        <v>3272025060</v>
      </c>
      <c r="F341" s="109">
        <f>VLOOKUP($A341,ANAGRAFICA!$B$1:$G$306,6,FALSE)</f>
        <v>2025</v>
      </c>
      <c r="G341" s="3">
        <v>1.0</v>
      </c>
      <c r="H341" s="3" t="s">
        <v>648</v>
      </c>
      <c r="I341" s="148">
        <v>45841.0</v>
      </c>
      <c r="J341" s="3" t="s">
        <v>432</v>
      </c>
      <c r="K341" s="11" t="b">
        <v>1</v>
      </c>
    </row>
    <row r="342">
      <c r="A342" s="3">
        <v>2.125026869E9</v>
      </c>
      <c r="B342" s="109" t="str">
        <f>VLOOKUP($A342,ANAGRAFICA!$B$1:$G$306,2,FALSE)</f>
        <v>NACCARI</v>
      </c>
      <c r="C342" s="109" t="str">
        <f>VLOOKUP($A342,ANAGRAFICA!$B$1:$G$306,3,FALSE)</f>
        <v>ROBERTO</v>
      </c>
      <c r="D342" s="109" t="str">
        <f>VLOOKUP($A342,ANAGRAFICA!$B$1:$G$306,4,FALSE)</f>
        <v>758-33</v>
      </c>
      <c r="E342" s="109">
        <f>VLOOKUP($A342,ANAGRAFICA!$B$1:$G$306,5,FALSE)</f>
        <v>3272025060</v>
      </c>
      <c r="F342" s="109">
        <f>VLOOKUP($A342,ANAGRAFICA!$B$1:$G$306,6,FALSE)</f>
        <v>2025</v>
      </c>
      <c r="G342" s="3">
        <v>1.0</v>
      </c>
      <c r="H342" s="3" t="s">
        <v>648</v>
      </c>
      <c r="I342" s="148">
        <v>45842.0</v>
      </c>
      <c r="J342" s="3" t="s">
        <v>787</v>
      </c>
      <c r="K342" s="11" t="b">
        <v>1</v>
      </c>
    </row>
    <row r="343">
      <c r="A343" s="3">
        <v>2.125026869E9</v>
      </c>
      <c r="B343" s="109" t="str">
        <f>VLOOKUP($A343,ANAGRAFICA!$B$1:$G$306,2,FALSE)</f>
        <v>NACCARI</v>
      </c>
      <c r="C343" s="109" t="str">
        <f>VLOOKUP($A343,ANAGRAFICA!$B$1:$G$306,3,FALSE)</f>
        <v>ROBERTO</v>
      </c>
      <c r="D343" s="109" t="str">
        <f>VLOOKUP($A343,ANAGRAFICA!$B$1:$G$306,4,FALSE)</f>
        <v>758-33</v>
      </c>
      <c r="E343" s="109">
        <f>VLOOKUP($A343,ANAGRAFICA!$B$1:$G$306,5,FALSE)</f>
        <v>3272025060</v>
      </c>
      <c r="F343" s="109">
        <f>VLOOKUP($A343,ANAGRAFICA!$B$1:$G$306,6,FALSE)</f>
        <v>2025</v>
      </c>
      <c r="G343" s="3">
        <v>1.0</v>
      </c>
      <c r="H343" s="3" t="s">
        <v>614</v>
      </c>
      <c r="I343" s="148">
        <v>45843.0</v>
      </c>
      <c r="J343" s="3" t="s">
        <v>788</v>
      </c>
      <c r="K343" s="11" t="b">
        <v>1</v>
      </c>
    </row>
    <row r="344">
      <c r="A344" s="3">
        <v>2.125026869E9</v>
      </c>
      <c r="B344" s="109" t="str">
        <f>VLOOKUP($A344,ANAGRAFICA!$B$1:$G$306,2,FALSE)</f>
        <v>NACCARI</v>
      </c>
      <c r="C344" s="109" t="str">
        <f>VLOOKUP($A344,ANAGRAFICA!$B$1:$G$306,3,FALSE)</f>
        <v>ROBERTO</v>
      </c>
      <c r="D344" s="109" t="str">
        <f>VLOOKUP($A344,ANAGRAFICA!$B$1:$G$306,4,FALSE)</f>
        <v>758-33</v>
      </c>
      <c r="E344" s="109">
        <f>VLOOKUP($A344,ANAGRAFICA!$B$1:$G$306,5,FALSE)</f>
        <v>3272025060</v>
      </c>
      <c r="F344" s="109">
        <f>VLOOKUP($A344,ANAGRAFICA!$B$1:$G$306,6,FALSE)</f>
        <v>2025</v>
      </c>
      <c r="G344" s="3">
        <v>1.0</v>
      </c>
      <c r="H344" s="3" t="s">
        <v>674</v>
      </c>
      <c r="I344" s="148">
        <v>45843.0</v>
      </c>
      <c r="J344" s="3" t="s">
        <v>788</v>
      </c>
      <c r="K344" s="11" t="b">
        <v>1</v>
      </c>
    </row>
    <row r="345">
      <c r="A345" s="3">
        <v>2.125026869E9</v>
      </c>
      <c r="B345" s="109" t="str">
        <f>VLOOKUP($A345,ANAGRAFICA!$B$1:$G$306,2,FALSE)</f>
        <v>NACCARI</v>
      </c>
      <c r="C345" s="109" t="str">
        <f>VLOOKUP($A345,ANAGRAFICA!$B$1:$G$306,3,FALSE)</f>
        <v>ROBERTO</v>
      </c>
      <c r="D345" s="109" t="str">
        <f>VLOOKUP($A345,ANAGRAFICA!$B$1:$G$306,4,FALSE)</f>
        <v>758-33</v>
      </c>
      <c r="E345" s="109">
        <f>VLOOKUP($A345,ANAGRAFICA!$B$1:$G$306,5,FALSE)</f>
        <v>3272025060</v>
      </c>
      <c r="F345" s="109">
        <f>VLOOKUP($A345,ANAGRAFICA!$B$1:$G$306,6,FALSE)</f>
        <v>2025</v>
      </c>
      <c r="G345" s="3">
        <v>1.0</v>
      </c>
      <c r="H345" s="3" t="s">
        <v>640</v>
      </c>
      <c r="I345" s="148">
        <v>45843.0</v>
      </c>
      <c r="J345" s="3" t="s">
        <v>789</v>
      </c>
      <c r="K345" s="11" t="b">
        <v>1</v>
      </c>
      <c r="L345" s="3" t="s">
        <v>790</v>
      </c>
    </row>
    <row r="346">
      <c r="A346" s="3">
        <v>2.125026869E9</v>
      </c>
      <c r="B346" s="109" t="str">
        <f>VLOOKUP($A346,ANAGRAFICA!$B$1:$G$306,2,FALSE)</f>
        <v>NACCARI</v>
      </c>
      <c r="C346" s="109" t="str">
        <f>VLOOKUP($A346,ANAGRAFICA!$B$1:$G$306,3,FALSE)</f>
        <v>ROBERTO</v>
      </c>
      <c r="D346" s="109" t="str">
        <f>VLOOKUP($A346,ANAGRAFICA!$B$1:$G$306,4,FALSE)</f>
        <v>758-33</v>
      </c>
      <c r="E346" s="109">
        <f>VLOOKUP($A346,ANAGRAFICA!$B$1:$G$306,5,FALSE)</f>
        <v>3272025060</v>
      </c>
      <c r="F346" s="109">
        <f>VLOOKUP($A346,ANAGRAFICA!$B$1:$G$306,6,FALSE)</f>
        <v>2025</v>
      </c>
      <c r="G346" s="3">
        <v>1.0</v>
      </c>
      <c r="H346" s="3" t="s">
        <v>648</v>
      </c>
      <c r="I346" s="148">
        <v>45845.0</v>
      </c>
      <c r="J346" s="3" t="s">
        <v>791</v>
      </c>
      <c r="K346" s="11" t="b">
        <v>1</v>
      </c>
    </row>
    <row r="347">
      <c r="A347" s="3">
        <v>2.125026869E9</v>
      </c>
      <c r="B347" s="109" t="str">
        <f>VLOOKUP($A347,ANAGRAFICA!$B$1:$G$306,2,FALSE)</f>
        <v>NACCARI</v>
      </c>
      <c r="C347" s="109" t="str">
        <f>VLOOKUP($A347,ANAGRAFICA!$B$1:$G$306,3,FALSE)</f>
        <v>ROBERTO</v>
      </c>
      <c r="D347" s="109" t="str">
        <f>VLOOKUP($A347,ANAGRAFICA!$B$1:$G$306,4,FALSE)</f>
        <v>758-33</v>
      </c>
      <c r="E347" s="109">
        <f>VLOOKUP($A347,ANAGRAFICA!$B$1:$G$306,5,FALSE)</f>
        <v>3272025060</v>
      </c>
      <c r="F347" s="109">
        <f>VLOOKUP($A347,ANAGRAFICA!$B$1:$G$306,6,FALSE)</f>
        <v>2025</v>
      </c>
      <c r="G347" s="3">
        <v>1.0</v>
      </c>
      <c r="H347" s="3" t="s">
        <v>648</v>
      </c>
      <c r="I347" s="148">
        <v>45849.0</v>
      </c>
      <c r="J347" s="3" t="s">
        <v>733</v>
      </c>
      <c r="K347" s="11" t="b">
        <v>1</v>
      </c>
    </row>
    <row r="348">
      <c r="A348" s="3">
        <v>2.125026869E9</v>
      </c>
      <c r="B348" s="109" t="str">
        <f>VLOOKUP($A348,ANAGRAFICA!$B$1:$G$306,2,FALSE)</f>
        <v>NACCARI</v>
      </c>
      <c r="C348" s="109" t="str">
        <f>VLOOKUP($A348,ANAGRAFICA!$B$1:$G$306,3,FALSE)</f>
        <v>ROBERTO</v>
      </c>
      <c r="D348" s="109" t="str">
        <f>VLOOKUP($A348,ANAGRAFICA!$B$1:$G$306,4,FALSE)</f>
        <v>758-33</v>
      </c>
      <c r="E348" s="109">
        <f>VLOOKUP($A348,ANAGRAFICA!$B$1:$G$306,5,FALSE)</f>
        <v>3272025060</v>
      </c>
      <c r="F348" s="109">
        <f>VLOOKUP($A348,ANAGRAFICA!$B$1:$G$306,6,FALSE)</f>
        <v>2025</v>
      </c>
      <c r="G348" s="3">
        <v>1.0</v>
      </c>
      <c r="H348" s="3" t="s">
        <v>614</v>
      </c>
      <c r="I348" s="148">
        <v>45849.0</v>
      </c>
      <c r="J348" s="3" t="s">
        <v>792</v>
      </c>
      <c r="K348" s="11" t="b">
        <v>1</v>
      </c>
    </row>
    <row r="349">
      <c r="A349" s="3">
        <v>2.125026869E9</v>
      </c>
      <c r="B349" s="109" t="str">
        <f>VLOOKUP($A349,ANAGRAFICA!$B$1:$G$306,2,FALSE)</f>
        <v>NACCARI</v>
      </c>
      <c r="C349" s="109" t="str">
        <f>VLOOKUP($A349,ANAGRAFICA!$B$1:$G$306,3,FALSE)</f>
        <v>ROBERTO</v>
      </c>
      <c r="D349" s="109" t="str">
        <f>VLOOKUP($A349,ANAGRAFICA!$B$1:$G$306,4,FALSE)</f>
        <v>758-33</v>
      </c>
      <c r="E349" s="109">
        <f>VLOOKUP($A349,ANAGRAFICA!$B$1:$G$306,5,FALSE)</f>
        <v>3272025060</v>
      </c>
      <c r="F349" s="109">
        <f>VLOOKUP($A349,ANAGRAFICA!$B$1:$G$306,6,FALSE)</f>
        <v>2025</v>
      </c>
      <c r="G349" s="3">
        <v>1.0</v>
      </c>
      <c r="H349" s="3" t="s">
        <v>648</v>
      </c>
      <c r="I349" s="148">
        <v>45850.0</v>
      </c>
      <c r="J349" s="3" t="s">
        <v>686</v>
      </c>
      <c r="K349" s="11" t="b">
        <v>1</v>
      </c>
    </row>
    <row r="350">
      <c r="A350" s="3">
        <v>2.125026869E9</v>
      </c>
      <c r="B350" s="109" t="str">
        <f>VLOOKUP($A350,ANAGRAFICA!$B$1:$G$306,2,FALSE)</f>
        <v>NACCARI</v>
      </c>
      <c r="C350" s="109" t="str">
        <f>VLOOKUP($A350,ANAGRAFICA!$B$1:$G$306,3,FALSE)</f>
        <v>ROBERTO</v>
      </c>
      <c r="D350" s="109" t="str">
        <f>VLOOKUP($A350,ANAGRAFICA!$B$1:$G$306,4,FALSE)</f>
        <v>758-33</v>
      </c>
      <c r="E350" s="109">
        <f>VLOOKUP($A350,ANAGRAFICA!$B$1:$G$306,5,FALSE)</f>
        <v>3272025060</v>
      </c>
      <c r="F350" s="109">
        <f>VLOOKUP($A350,ANAGRAFICA!$B$1:$G$306,6,FALSE)</f>
        <v>2025</v>
      </c>
      <c r="G350" s="3">
        <v>1.0</v>
      </c>
      <c r="H350" s="3" t="s">
        <v>648</v>
      </c>
      <c r="I350" s="77">
        <v>45852.0</v>
      </c>
      <c r="J350" s="3" t="s">
        <v>730</v>
      </c>
      <c r="K350" s="11" t="b">
        <v>1</v>
      </c>
    </row>
    <row r="351">
      <c r="A351" s="3">
        <v>2.125026869E9</v>
      </c>
      <c r="B351" s="109" t="str">
        <f>VLOOKUP($A351,ANAGRAFICA!$B$1:$G$306,2,FALSE)</f>
        <v>NACCARI</v>
      </c>
      <c r="C351" s="109" t="str">
        <f>VLOOKUP($A351,ANAGRAFICA!$B$1:$G$306,3,FALSE)</f>
        <v>ROBERTO</v>
      </c>
      <c r="D351" s="109" t="str">
        <f>VLOOKUP($A351,ANAGRAFICA!$B$1:$G$306,4,FALSE)</f>
        <v>758-33</v>
      </c>
      <c r="E351" s="109">
        <f>VLOOKUP($A351,ANAGRAFICA!$B$1:$G$306,5,FALSE)</f>
        <v>3272025060</v>
      </c>
      <c r="F351" s="109">
        <f>VLOOKUP($A351,ANAGRAFICA!$B$1:$G$306,6,FALSE)</f>
        <v>2025</v>
      </c>
      <c r="G351" s="3">
        <v>1.0</v>
      </c>
      <c r="H351" s="3" t="s">
        <v>648</v>
      </c>
      <c r="I351" s="77">
        <v>45853.0</v>
      </c>
      <c r="J351" s="3" t="s">
        <v>793</v>
      </c>
      <c r="K351" s="11" t="b">
        <v>1</v>
      </c>
    </row>
    <row r="352">
      <c r="A352" s="3">
        <v>2.125026869E9</v>
      </c>
      <c r="B352" s="109" t="str">
        <f>VLOOKUP($A352,ANAGRAFICA!$B$1:$G$306,2,FALSE)</f>
        <v>NACCARI</v>
      </c>
      <c r="C352" s="109" t="str">
        <f>VLOOKUP($A352,ANAGRAFICA!$B$1:$G$306,3,FALSE)</f>
        <v>ROBERTO</v>
      </c>
      <c r="D352" s="109" t="str">
        <f>VLOOKUP($A352,ANAGRAFICA!$B$1:$G$306,4,FALSE)</f>
        <v>758-33</v>
      </c>
      <c r="E352" s="109">
        <f>VLOOKUP($A352,ANAGRAFICA!$B$1:$G$306,5,FALSE)</f>
        <v>3272025060</v>
      </c>
      <c r="F352" s="109">
        <f>VLOOKUP($A352,ANAGRAFICA!$B$1:$G$306,6,FALSE)</f>
        <v>2025</v>
      </c>
      <c r="G352" s="3">
        <v>1.0</v>
      </c>
      <c r="H352" s="3" t="s">
        <v>648</v>
      </c>
      <c r="I352" s="77">
        <v>45854.0</v>
      </c>
      <c r="J352" s="3" t="s">
        <v>695</v>
      </c>
      <c r="K352" s="11" t="b">
        <v>1</v>
      </c>
    </row>
    <row r="353">
      <c r="A353" s="3">
        <v>2.125026869E9</v>
      </c>
      <c r="B353" s="109" t="str">
        <f>VLOOKUP($A353,ANAGRAFICA!$B$1:$G$306,2,FALSE)</f>
        <v>NACCARI</v>
      </c>
      <c r="C353" s="109" t="str">
        <f>VLOOKUP($A353,ANAGRAFICA!$B$1:$G$306,3,FALSE)</f>
        <v>ROBERTO</v>
      </c>
      <c r="D353" s="109" t="str">
        <f>VLOOKUP($A353,ANAGRAFICA!$B$1:$G$306,4,FALSE)</f>
        <v>758-33</v>
      </c>
      <c r="E353" s="109">
        <f>VLOOKUP($A353,ANAGRAFICA!$B$1:$G$306,5,FALSE)</f>
        <v>3272025060</v>
      </c>
      <c r="F353" s="109">
        <f>VLOOKUP($A353,ANAGRAFICA!$B$1:$G$306,6,FALSE)</f>
        <v>2025</v>
      </c>
      <c r="G353" s="3">
        <v>1.0</v>
      </c>
      <c r="H353" s="3" t="s">
        <v>648</v>
      </c>
      <c r="I353" s="77">
        <v>45855.0</v>
      </c>
      <c r="J353" s="3" t="s">
        <v>92</v>
      </c>
      <c r="K353" s="11" t="b">
        <v>1</v>
      </c>
    </row>
    <row r="354">
      <c r="A354" s="3">
        <v>2.125026869E9</v>
      </c>
      <c r="B354" s="109" t="str">
        <f>VLOOKUP($A354,ANAGRAFICA!$B$1:$G$306,2,FALSE)</f>
        <v>NACCARI</v>
      </c>
      <c r="C354" s="109" t="str">
        <f>VLOOKUP($A354,ANAGRAFICA!$B$1:$G$306,3,FALSE)</f>
        <v>ROBERTO</v>
      </c>
      <c r="D354" s="109" t="str">
        <f>VLOOKUP($A354,ANAGRAFICA!$B$1:$G$306,4,FALSE)</f>
        <v>758-33</v>
      </c>
      <c r="E354" s="109">
        <f>VLOOKUP($A354,ANAGRAFICA!$B$1:$G$306,5,FALSE)</f>
        <v>3272025060</v>
      </c>
      <c r="F354" s="109">
        <f>VLOOKUP($A354,ANAGRAFICA!$B$1:$G$306,6,FALSE)</f>
        <v>2025</v>
      </c>
      <c r="G354" s="3">
        <v>1.0</v>
      </c>
      <c r="H354" s="3" t="s">
        <v>648</v>
      </c>
      <c r="I354" s="77">
        <v>45856.0</v>
      </c>
      <c r="J354" s="3" t="s">
        <v>794</v>
      </c>
      <c r="K354" s="11" t="b">
        <v>1</v>
      </c>
    </row>
    <row r="355">
      <c r="A355" s="3">
        <v>2.125026869E9</v>
      </c>
      <c r="B355" s="109" t="str">
        <f>VLOOKUP($A355,ANAGRAFICA!$B$1:$G$306,2,FALSE)</f>
        <v>NACCARI</v>
      </c>
      <c r="C355" s="109" t="str">
        <f>VLOOKUP($A355,ANAGRAFICA!$B$1:$G$306,3,FALSE)</f>
        <v>ROBERTO</v>
      </c>
      <c r="D355" s="109" t="str">
        <f>VLOOKUP($A355,ANAGRAFICA!$B$1:$G$306,4,FALSE)</f>
        <v>758-33</v>
      </c>
      <c r="E355" s="109">
        <f>VLOOKUP($A355,ANAGRAFICA!$B$1:$G$306,5,FALSE)</f>
        <v>3272025060</v>
      </c>
      <c r="F355" s="109">
        <f>VLOOKUP($A355,ANAGRAFICA!$B$1:$G$306,6,FALSE)</f>
        <v>2025</v>
      </c>
      <c r="G355" s="3">
        <v>1.0</v>
      </c>
      <c r="H355" s="3" t="s">
        <v>648</v>
      </c>
      <c r="I355" s="77">
        <v>45857.0</v>
      </c>
      <c r="J355" s="3" t="s">
        <v>795</v>
      </c>
      <c r="K355" s="11" t="b">
        <v>1</v>
      </c>
    </row>
    <row r="356">
      <c r="A356" s="3">
        <v>2.125026869E9</v>
      </c>
      <c r="B356" s="109" t="str">
        <f>VLOOKUP($A356,ANAGRAFICA!$B$1:$G$306,2,FALSE)</f>
        <v>NACCARI</v>
      </c>
      <c r="C356" s="109" t="str">
        <f>VLOOKUP($A356,ANAGRAFICA!$B$1:$G$306,3,FALSE)</f>
        <v>ROBERTO</v>
      </c>
      <c r="D356" s="109" t="str">
        <f>VLOOKUP($A356,ANAGRAFICA!$B$1:$G$306,4,FALSE)</f>
        <v>758-33</v>
      </c>
      <c r="E356" s="109">
        <f>VLOOKUP($A356,ANAGRAFICA!$B$1:$G$306,5,FALSE)</f>
        <v>3272025060</v>
      </c>
      <c r="F356" s="109">
        <f>VLOOKUP($A356,ANAGRAFICA!$B$1:$G$306,6,FALSE)</f>
        <v>2025</v>
      </c>
      <c r="G356" s="3">
        <v>1.0</v>
      </c>
      <c r="H356" s="3" t="s">
        <v>648</v>
      </c>
      <c r="I356" s="77">
        <v>45858.0</v>
      </c>
      <c r="J356" s="3" t="s">
        <v>796</v>
      </c>
      <c r="K356" s="11" t="b">
        <v>1</v>
      </c>
    </row>
    <row r="357">
      <c r="A357" s="3">
        <v>2.125026869E9</v>
      </c>
      <c r="B357" s="109" t="str">
        <f>VLOOKUP($A357,ANAGRAFICA!$B$1:$G$306,2,FALSE)</f>
        <v>NACCARI</v>
      </c>
      <c r="C357" s="109" t="str">
        <f>VLOOKUP($A357,ANAGRAFICA!$B$1:$G$306,3,FALSE)</f>
        <v>ROBERTO</v>
      </c>
      <c r="D357" s="109" t="str">
        <f>VLOOKUP($A357,ANAGRAFICA!$B$1:$G$306,4,FALSE)</f>
        <v>758-33</v>
      </c>
      <c r="E357" s="109">
        <f>VLOOKUP($A357,ANAGRAFICA!$B$1:$G$306,5,FALSE)</f>
        <v>3272025060</v>
      </c>
      <c r="F357" s="109">
        <f>VLOOKUP($A357,ANAGRAFICA!$B$1:$G$306,6,FALSE)</f>
        <v>2025</v>
      </c>
      <c r="G357" s="3">
        <v>1.0</v>
      </c>
      <c r="H357" s="3" t="s">
        <v>648</v>
      </c>
      <c r="I357" s="77">
        <v>45859.0</v>
      </c>
      <c r="J357" s="3" t="s">
        <v>797</v>
      </c>
      <c r="K357" s="11" t="b">
        <v>1</v>
      </c>
    </row>
    <row r="358">
      <c r="A358" s="3">
        <v>2.125026869E9</v>
      </c>
      <c r="B358" s="109" t="str">
        <f>VLOOKUP($A358,ANAGRAFICA!$B$1:$G$306,2,FALSE)</f>
        <v>NACCARI</v>
      </c>
      <c r="C358" s="109" t="str">
        <f>VLOOKUP($A358,ANAGRAFICA!$B$1:$G$306,3,FALSE)</f>
        <v>ROBERTO</v>
      </c>
      <c r="D358" s="109" t="str">
        <f>VLOOKUP($A358,ANAGRAFICA!$B$1:$G$306,4,FALSE)</f>
        <v>758-33</v>
      </c>
      <c r="E358" s="109">
        <f>VLOOKUP($A358,ANAGRAFICA!$B$1:$G$306,5,FALSE)</f>
        <v>3272025060</v>
      </c>
      <c r="F358" s="109">
        <f>VLOOKUP($A358,ANAGRAFICA!$B$1:$G$306,6,FALSE)</f>
        <v>2025</v>
      </c>
      <c r="G358" s="3">
        <v>1.0</v>
      </c>
      <c r="H358" s="3" t="s">
        <v>648</v>
      </c>
      <c r="I358" s="77">
        <v>45860.0</v>
      </c>
      <c r="J358" s="3" t="s">
        <v>798</v>
      </c>
      <c r="K358" s="11" t="b">
        <v>1</v>
      </c>
    </row>
    <row r="359">
      <c r="A359" s="3">
        <v>2.125026869E9</v>
      </c>
      <c r="B359" s="109" t="str">
        <f>VLOOKUP($A359,ANAGRAFICA!$B$1:$G$306,2,FALSE)</f>
        <v>NACCARI</v>
      </c>
      <c r="C359" s="109" t="str">
        <f>VLOOKUP($A359,ANAGRAFICA!$B$1:$G$306,3,FALSE)</f>
        <v>ROBERTO</v>
      </c>
      <c r="D359" s="109" t="str">
        <f>VLOOKUP($A359,ANAGRAFICA!$B$1:$G$306,4,FALSE)</f>
        <v>758-33</v>
      </c>
      <c r="E359" s="109">
        <f>VLOOKUP($A359,ANAGRAFICA!$B$1:$G$306,5,FALSE)</f>
        <v>3272025060</v>
      </c>
      <c r="F359" s="109">
        <f>VLOOKUP($A359,ANAGRAFICA!$B$1:$G$306,6,FALSE)</f>
        <v>2025</v>
      </c>
      <c r="G359" s="3">
        <v>1.0</v>
      </c>
      <c r="H359" s="3" t="s">
        <v>648</v>
      </c>
      <c r="I359" s="77">
        <v>45861.0</v>
      </c>
      <c r="J359" s="3" t="s">
        <v>779</v>
      </c>
      <c r="K359" s="11" t="b">
        <v>1</v>
      </c>
    </row>
    <row r="360">
      <c r="A360" s="3">
        <v>2.125026869E9</v>
      </c>
      <c r="B360" s="109" t="str">
        <f>VLOOKUP($A360,ANAGRAFICA!$B$1:$G$306,2,FALSE)</f>
        <v>NACCARI</v>
      </c>
      <c r="C360" s="109" t="str">
        <f>VLOOKUP($A360,ANAGRAFICA!$B$1:$G$306,3,FALSE)</f>
        <v>ROBERTO</v>
      </c>
      <c r="D360" s="109" t="str">
        <f>VLOOKUP($A360,ANAGRAFICA!$B$1:$G$306,4,FALSE)</f>
        <v>758-33</v>
      </c>
      <c r="E360" s="109">
        <f>VLOOKUP($A360,ANAGRAFICA!$B$1:$G$306,5,FALSE)</f>
        <v>3272025060</v>
      </c>
      <c r="F360" s="109">
        <f>VLOOKUP($A360,ANAGRAFICA!$B$1:$G$306,6,FALSE)</f>
        <v>2025</v>
      </c>
      <c r="G360" s="3">
        <v>1.0</v>
      </c>
      <c r="H360" s="3" t="s">
        <v>614</v>
      </c>
      <c r="I360" s="148">
        <v>45861.0</v>
      </c>
      <c r="J360" s="3" t="s">
        <v>799</v>
      </c>
      <c r="K360" s="11" t="b">
        <v>1</v>
      </c>
    </row>
    <row r="361">
      <c r="A361" s="3">
        <v>2.125026869E9</v>
      </c>
      <c r="B361" s="109" t="str">
        <f>VLOOKUP($A361,ANAGRAFICA!$B$1:$G$306,2,FALSE)</f>
        <v>NACCARI</v>
      </c>
      <c r="C361" s="109" t="str">
        <f>VLOOKUP($A361,ANAGRAFICA!$B$1:$G$306,3,FALSE)</f>
        <v>ROBERTO</v>
      </c>
      <c r="D361" s="109" t="str">
        <f>VLOOKUP($A361,ANAGRAFICA!$B$1:$G$306,4,FALSE)</f>
        <v>758-33</v>
      </c>
      <c r="E361" s="109">
        <f>VLOOKUP($A361,ANAGRAFICA!$B$1:$G$306,5,FALSE)</f>
        <v>3272025060</v>
      </c>
      <c r="F361" s="109">
        <f>VLOOKUP($A361,ANAGRAFICA!$B$1:$G$306,6,FALSE)</f>
        <v>2025</v>
      </c>
      <c r="G361" s="3">
        <v>1.0</v>
      </c>
      <c r="H361" s="3" t="s">
        <v>613</v>
      </c>
      <c r="I361" s="148">
        <v>45861.0</v>
      </c>
      <c r="J361" s="3" t="s">
        <v>799</v>
      </c>
      <c r="K361" s="11" t="b">
        <v>1</v>
      </c>
    </row>
    <row r="362">
      <c r="A362" s="3">
        <v>2.125026869E9</v>
      </c>
      <c r="B362" s="154" t="s">
        <v>250</v>
      </c>
      <c r="C362" s="154" t="s">
        <v>33</v>
      </c>
      <c r="D362" s="154" t="s">
        <v>251</v>
      </c>
      <c r="E362" s="109">
        <f>VLOOKUP($A362,ANAGRAFICA!$B$1:$G$306,5,FALSE)</f>
        <v>3272025060</v>
      </c>
      <c r="F362" s="109">
        <f>VLOOKUP($A362,ANAGRAFICA!$B$1:$G$306,6,FALSE)</f>
        <v>2025</v>
      </c>
      <c r="G362" s="3">
        <v>1.0</v>
      </c>
      <c r="H362" s="3" t="s">
        <v>648</v>
      </c>
      <c r="I362" s="148">
        <v>45863.0</v>
      </c>
      <c r="J362" s="3" t="s">
        <v>54</v>
      </c>
      <c r="K362" s="11" t="b">
        <v>1</v>
      </c>
    </row>
    <row r="363">
      <c r="A363" s="3">
        <v>2.125026869E9</v>
      </c>
      <c r="B363" s="154" t="s">
        <v>250</v>
      </c>
      <c r="C363" s="154" t="s">
        <v>33</v>
      </c>
      <c r="D363" s="154" t="s">
        <v>251</v>
      </c>
      <c r="E363" s="109">
        <f>VLOOKUP($A363,ANAGRAFICA!$B$1:$G$306,5,FALSE)</f>
        <v>3272025060</v>
      </c>
      <c r="F363" s="109">
        <f>VLOOKUP($A363,ANAGRAFICA!$B$1:$G$306,6,FALSE)</f>
        <v>2025</v>
      </c>
      <c r="G363" s="3">
        <v>1.0</v>
      </c>
      <c r="H363" s="3" t="s">
        <v>648</v>
      </c>
      <c r="I363" s="148">
        <v>45866.0</v>
      </c>
      <c r="J363" s="3" t="s">
        <v>287</v>
      </c>
      <c r="K363" s="11" t="b">
        <v>1</v>
      </c>
    </row>
    <row r="364">
      <c r="A364" s="3">
        <v>2.125026869E9</v>
      </c>
      <c r="B364" s="154" t="s">
        <v>250</v>
      </c>
      <c r="C364" s="154" t="s">
        <v>33</v>
      </c>
      <c r="D364" s="154" t="s">
        <v>251</v>
      </c>
      <c r="E364" s="109">
        <f>VLOOKUP($A364,ANAGRAFICA!$B$1:$G$306,5,FALSE)</f>
        <v>3272025060</v>
      </c>
      <c r="F364" s="109">
        <f>VLOOKUP($A364,ANAGRAFICA!$B$1:$G$306,6,FALSE)</f>
        <v>2025</v>
      </c>
      <c r="G364" s="3">
        <v>1.0</v>
      </c>
      <c r="H364" s="3" t="s">
        <v>648</v>
      </c>
      <c r="I364" s="148">
        <v>45868.0</v>
      </c>
      <c r="J364" s="3" t="s">
        <v>800</v>
      </c>
      <c r="K364" s="11" t="b">
        <v>1</v>
      </c>
    </row>
    <row r="365">
      <c r="A365" s="3">
        <v>2.125026869E9</v>
      </c>
      <c r="B365" s="154" t="s">
        <v>250</v>
      </c>
      <c r="C365" s="154" t="s">
        <v>33</v>
      </c>
      <c r="D365" s="154" t="s">
        <v>251</v>
      </c>
      <c r="E365" s="109">
        <f>VLOOKUP($A365,ANAGRAFICA!$B$1:$G$306,5,FALSE)</f>
        <v>3272025060</v>
      </c>
      <c r="F365" s="109">
        <f>VLOOKUP($A365,ANAGRAFICA!$B$1:$G$306,6,FALSE)</f>
        <v>2025</v>
      </c>
      <c r="G365" s="3">
        <v>1.0</v>
      </c>
      <c r="H365" s="3" t="s">
        <v>648</v>
      </c>
      <c r="I365" s="148">
        <v>45869.0</v>
      </c>
      <c r="J365" s="3" t="s">
        <v>695</v>
      </c>
      <c r="K365" s="11" t="b">
        <v>1</v>
      </c>
    </row>
    <row r="366">
      <c r="A366" s="3">
        <v>2.125026869E9</v>
      </c>
      <c r="B366" s="154" t="s">
        <v>250</v>
      </c>
      <c r="C366" s="154" t="s">
        <v>33</v>
      </c>
      <c r="D366" s="154" t="s">
        <v>251</v>
      </c>
      <c r="E366" s="109">
        <f>VLOOKUP($A366,ANAGRAFICA!$B$1:$G$306,5,FALSE)</f>
        <v>3272025060</v>
      </c>
      <c r="F366" s="109">
        <f>VLOOKUP($A366,ANAGRAFICA!$B$1:$G$306,6,FALSE)</f>
        <v>2025</v>
      </c>
      <c r="G366" s="3">
        <v>1.0</v>
      </c>
      <c r="H366" s="3" t="s">
        <v>648</v>
      </c>
      <c r="I366" s="148">
        <v>45870.0</v>
      </c>
      <c r="J366" s="3" t="s">
        <v>801</v>
      </c>
      <c r="K366" s="11" t="b">
        <v>1</v>
      </c>
    </row>
    <row r="367">
      <c r="A367" s="3">
        <v>2.125026869E9</v>
      </c>
      <c r="B367" s="154" t="s">
        <v>250</v>
      </c>
      <c r="C367" s="154" t="s">
        <v>33</v>
      </c>
      <c r="D367" s="154" t="s">
        <v>251</v>
      </c>
      <c r="E367" s="109">
        <f>VLOOKUP($A367,ANAGRAFICA!$B$1:$G$306,5,FALSE)</f>
        <v>3272025060</v>
      </c>
      <c r="F367" s="109">
        <f>VLOOKUP($A367,ANAGRAFICA!$B$1:$G$306,6,FALSE)</f>
        <v>2025</v>
      </c>
      <c r="G367" s="3">
        <v>1.0</v>
      </c>
      <c r="H367" s="3" t="s">
        <v>648</v>
      </c>
      <c r="I367" s="148">
        <v>45871.0</v>
      </c>
      <c r="J367" s="3" t="s">
        <v>802</v>
      </c>
      <c r="K367" s="11" t="b">
        <v>1</v>
      </c>
    </row>
    <row r="368">
      <c r="A368" s="3">
        <v>2.125026869E9</v>
      </c>
      <c r="B368" s="154" t="s">
        <v>250</v>
      </c>
      <c r="C368" s="154" t="s">
        <v>33</v>
      </c>
      <c r="D368" s="154" t="s">
        <v>251</v>
      </c>
      <c r="E368" s="109">
        <f>VLOOKUP($A368,ANAGRAFICA!$B$1:$G$306,5,FALSE)</f>
        <v>3272025060</v>
      </c>
      <c r="F368" s="109">
        <f>VLOOKUP($A368,ANAGRAFICA!$B$1:$G$306,6,FALSE)</f>
        <v>2025</v>
      </c>
      <c r="G368" s="3">
        <v>1.0</v>
      </c>
      <c r="H368" s="3" t="s">
        <v>648</v>
      </c>
      <c r="I368" s="148">
        <v>45873.0</v>
      </c>
      <c r="J368" s="3" t="s">
        <v>803</v>
      </c>
      <c r="K368" s="11" t="b">
        <v>1</v>
      </c>
    </row>
    <row r="369">
      <c r="A369" s="3">
        <v>2.125026869E9</v>
      </c>
      <c r="B369" s="154" t="s">
        <v>250</v>
      </c>
      <c r="C369" s="154" t="s">
        <v>33</v>
      </c>
      <c r="D369" s="154" t="s">
        <v>251</v>
      </c>
      <c r="E369" s="109">
        <f>VLOOKUP($A369,ANAGRAFICA!$B$1:$G$306,5,FALSE)</f>
        <v>3272025060</v>
      </c>
      <c r="F369" s="109">
        <f>VLOOKUP($A369,ANAGRAFICA!$B$1:$G$306,6,FALSE)</f>
        <v>2025</v>
      </c>
      <c r="G369" s="3">
        <v>1.0</v>
      </c>
      <c r="H369" s="3" t="s">
        <v>648</v>
      </c>
      <c r="I369" s="148">
        <v>45875.0</v>
      </c>
      <c r="J369" s="3" t="s">
        <v>779</v>
      </c>
      <c r="K369" s="11" t="b">
        <v>1</v>
      </c>
    </row>
    <row r="370">
      <c r="A370" s="3">
        <v>2.125026869E9</v>
      </c>
      <c r="B370" s="154" t="s">
        <v>250</v>
      </c>
      <c r="C370" s="154" t="s">
        <v>33</v>
      </c>
      <c r="D370" s="154" t="s">
        <v>251</v>
      </c>
      <c r="E370" s="109">
        <f>VLOOKUP($A370,ANAGRAFICA!$B$1:$G$306,5,FALSE)</f>
        <v>3272025060</v>
      </c>
      <c r="F370" s="109">
        <f>VLOOKUP($A370,ANAGRAFICA!$B$1:$G$306,6,FALSE)</f>
        <v>2025</v>
      </c>
      <c r="G370" s="3">
        <v>1.0</v>
      </c>
      <c r="H370" s="3" t="s">
        <v>648</v>
      </c>
      <c r="I370" s="148">
        <v>45876.0</v>
      </c>
      <c r="J370" s="3" t="s">
        <v>804</v>
      </c>
      <c r="K370" s="11" t="b">
        <v>1</v>
      </c>
    </row>
    <row r="371">
      <c r="A371" s="3">
        <v>2.125026869E9</v>
      </c>
      <c r="B371" s="154" t="s">
        <v>250</v>
      </c>
      <c r="C371" s="154" t="s">
        <v>33</v>
      </c>
      <c r="D371" s="154" t="s">
        <v>251</v>
      </c>
      <c r="E371" s="109">
        <f>VLOOKUP($A371,ANAGRAFICA!$B$1:$G$306,5,FALSE)</f>
        <v>3272025060</v>
      </c>
      <c r="F371" s="109">
        <f>VLOOKUP($A371,ANAGRAFICA!$B$1:$G$306,6,FALSE)</f>
        <v>2025</v>
      </c>
      <c r="G371" s="3">
        <v>1.0</v>
      </c>
      <c r="H371" s="3" t="s">
        <v>648</v>
      </c>
      <c r="I371" s="148">
        <v>45877.0</v>
      </c>
      <c r="J371" s="3" t="s">
        <v>695</v>
      </c>
      <c r="K371" s="11" t="b">
        <v>1</v>
      </c>
    </row>
    <row r="372">
      <c r="A372" s="3">
        <v>2.125026869E9</v>
      </c>
      <c r="B372" s="154" t="s">
        <v>250</v>
      </c>
      <c r="C372" s="154" t="s">
        <v>33</v>
      </c>
      <c r="D372" s="154" t="s">
        <v>251</v>
      </c>
      <c r="E372" s="109">
        <f>VLOOKUP($A372,ANAGRAFICA!$B$1:$G$306,5,FALSE)</f>
        <v>3272025060</v>
      </c>
      <c r="F372" s="109">
        <f>VLOOKUP($A372,ANAGRAFICA!$B$1:$G$306,6,FALSE)</f>
        <v>2025</v>
      </c>
      <c r="G372" s="3">
        <v>1.0</v>
      </c>
      <c r="H372" s="3" t="s">
        <v>648</v>
      </c>
      <c r="I372" s="148">
        <v>45878.0</v>
      </c>
      <c r="J372" s="3" t="s">
        <v>805</v>
      </c>
      <c r="K372" s="11" t="b">
        <v>1</v>
      </c>
    </row>
    <row r="373">
      <c r="A373" s="3">
        <v>2.125026869E9</v>
      </c>
      <c r="B373" s="154" t="s">
        <v>250</v>
      </c>
      <c r="C373" s="154" t="s">
        <v>33</v>
      </c>
      <c r="D373" s="154" t="s">
        <v>251</v>
      </c>
      <c r="E373" s="109">
        <f>VLOOKUP($A373,ANAGRAFICA!$B$1:$G$306,5,FALSE)</f>
        <v>3272025060</v>
      </c>
      <c r="F373" s="109">
        <f>VLOOKUP($A373,ANAGRAFICA!$B$1:$G$306,6,FALSE)</f>
        <v>2025</v>
      </c>
      <c r="G373" s="3">
        <v>1.0</v>
      </c>
      <c r="H373" s="3" t="s">
        <v>648</v>
      </c>
      <c r="I373" s="148">
        <v>45879.0</v>
      </c>
      <c r="J373" s="3" t="s">
        <v>806</v>
      </c>
      <c r="K373" s="11" t="b">
        <v>1</v>
      </c>
    </row>
    <row r="374">
      <c r="A374" s="3">
        <v>2.125026869E9</v>
      </c>
      <c r="B374" s="154" t="s">
        <v>250</v>
      </c>
      <c r="C374" s="154" t="s">
        <v>33</v>
      </c>
      <c r="D374" s="154" t="s">
        <v>251</v>
      </c>
      <c r="E374" s="3">
        <v>3.27202506E9</v>
      </c>
      <c r="F374" s="109">
        <f>VLOOKUP($A374,ANAGRAFICA!$B$1:$G$306,6,FALSE)</f>
        <v>2025</v>
      </c>
      <c r="G374" s="3">
        <v>1.0</v>
      </c>
      <c r="H374" s="3" t="s">
        <v>648</v>
      </c>
      <c r="I374" s="148">
        <v>45880.0</v>
      </c>
      <c r="J374" s="3" t="s">
        <v>104</v>
      </c>
      <c r="K374" s="11" t="b">
        <v>1</v>
      </c>
    </row>
    <row r="375">
      <c r="A375" s="3">
        <v>2.125026869E9</v>
      </c>
      <c r="B375" s="154" t="s">
        <v>250</v>
      </c>
      <c r="C375" s="154" t="s">
        <v>33</v>
      </c>
      <c r="D375" s="154" t="s">
        <v>251</v>
      </c>
      <c r="E375" s="109">
        <f>VLOOKUP($A375,ANAGRAFICA!$B$1:$G$306,5,FALSE)</f>
        <v>3272025060</v>
      </c>
      <c r="F375" s="109">
        <f>VLOOKUP($A375,ANAGRAFICA!$B$1:$G$306,6,FALSE)</f>
        <v>2025</v>
      </c>
      <c r="G375" s="3">
        <v>1.0</v>
      </c>
      <c r="H375" s="3" t="s">
        <v>648</v>
      </c>
      <c r="I375" s="148">
        <v>45882.0</v>
      </c>
      <c r="J375" s="3" t="s">
        <v>287</v>
      </c>
      <c r="K375" s="11" t="b">
        <v>1</v>
      </c>
    </row>
    <row r="376">
      <c r="A376" s="3">
        <v>2.125032902E9</v>
      </c>
      <c r="B376" s="109" t="str">
        <f>VLOOKUP($A376,ANAGRAFICA!$B$1:$G$306,2,FALSE)</f>
        <v>BRAIDA</v>
      </c>
      <c r="C376" s="109" t="str">
        <f>VLOOKUP($A376,ANAGRAFICA!$B$1:$G$306,3,FALSE)</f>
        <v>ILARIO</v>
      </c>
      <c r="D376" s="109" t="str">
        <f>VLOOKUP($A376,ANAGRAFICA!$B$1:$G$306,4,FALSE)</f>
        <v>758-37</v>
      </c>
      <c r="E376" s="3">
        <v>3.272025063E9</v>
      </c>
      <c r="F376" s="109">
        <f>VLOOKUP($A376,ANAGRAFICA!$B$1:$G$306,6,FALSE)</f>
        <v>2025</v>
      </c>
      <c r="G376" s="3">
        <v>1.0</v>
      </c>
      <c r="H376" s="3" t="s">
        <v>648</v>
      </c>
      <c r="I376" s="148">
        <v>45870.0</v>
      </c>
      <c r="J376" s="3" t="s">
        <v>807</v>
      </c>
      <c r="K376" s="11" t="b">
        <v>1</v>
      </c>
    </row>
    <row r="377">
      <c r="A377" s="3">
        <v>2.125032902E9</v>
      </c>
      <c r="B377" s="109" t="str">
        <f>VLOOKUP($A377,ANAGRAFICA!$B$1:$G$306,2,FALSE)</f>
        <v>BRAIDA</v>
      </c>
      <c r="C377" s="109" t="str">
        <f>VLOOKUP($A377,ANAGRAFICA!$B$1:$G$306,3,FALSE)</f>
        <v>ILARIO</v>
      </c>
      <c r="D377" s="109" t="str">
        <f>VLOOKUP($A377,ANAGRAFICA!$B$1:$G$306,4,FALSE)</f>
        <v>758-37</v>
      </c>
      <c r="E377" s="3">
        <v>3.272025063E9</v>
      </c>
      <c r="F377" s="109">
        <f>VLOOKUP($A377,ANAGRAFICA!$B$1:$G$306,6,FALSE)</f>
        <v>2025</v>
      </c>
      <c r="G377" s="3">
        <v>1.0</v>
      </c>
      <c r="H377" s="3" t="s">
        <v>648</v>
      </c>
      <c r="I377" s="148">
        <v>45871.0</v>
      </c>
      <c r="J377" s="3" t="s">
        <v>765</v>
      </c>
      <c r="K377" s="11" t="b">
        <v>1</v>
      </c>
    </row>
    <row r="378">
      <c r="A378" s="3">
        <v>2.125032902E9</v>
      </c>
      <c r="B378" s="109" t="str">
        <f>VLOOKUP($A378,ANAGRAFICA!$B$1:$G$306,2,FALSE)</f>
        <v>BRAIDA</v>
      </c>
      <c r="C378" s="109" t="str">
        <f>VLOOKUP($A378,ANAGRAFICA!$B$1:$G$306,3,FALSE)</f>
        <v>ILARIO</v>
      </c>
      <c r="D378" s="109" t="str">
        <f>VLOOKUP($A378,ANAGRAFICA!$B$1:$G$306,4,FALSE)</f>
        <v>758-37</v>
      </c>
      <c r="E378" s="3">
        <v>3.272025063E9</v>
      </c>
      <c r="F378" s="109">
        <f>VLOOKUP($A378,ANAGRAFICA!$B$1:$G$306,6,FALSE)</f>
        <v>2025</v>
      </c>
      <c r="G378" s="3">
        <v>1.0</v>
      </c>
      <c r="H378" s="3" t="s">
        <v>648</v>
      </c>
      <c r="I378" s="148">
        <v>45872.0</v>
      </c>
      <c r="J378" s="3" t="s">
        <v>275</v>
      </c>
      <c r="K378" s="11" t="b">
        <v>1</v>
      </c>
    </row>
    <row r="379">
      <c r="A379" s="3">
        <v>2.125032902E9</v>
      </c>
      <c r="B379" s="109" t="str">
        <f>VLOOKUP($A379,ANAGRAFICA!$B$1:$G$306,2,FALSE)</f>
        <v>BRAIDA</v>
      </c>
      <c r="C379" s="109" t="str">
        <f>VLOOKUP($A379,ANAGRAFICA!$B$1:$G$306,3,FALSE)</f>
        <v>ILARIO</v>
      </c>
      <c r="D379" s="109" t="str">
        <f>VLOOKUP($A379,ANAGRAFICA!$B$1:$G$306,4,FALSE)</f>
        <v>758-37</v>
      </c>
      <c r="E379" s="3">
        <v>3.272025063E9</v>
      </c>
      <c r="F379" s="109">
        <f>VLOOKUP($A379,ANAGRAFICA!$B$1:$G$306,6,FALSE)</f>
        <v>2025</v>
      </c>
      <c r="G379" s="3">
        <v>1.0</v>
      </c>
      <c r="H379" s="3" t="s">
        <v>640</v>
      </c>
      <c r="I379" s="148">
        <v>45870.0</v>
      </c>
      <c r="J379" s="3" t="s">
        <v>696</v>
      </c>
      <c r="K379" s="11" t="b">
        <v>0</v>
      </c>
    </row>
    <row r="380">
      <c r="A380" s="3">
        <v>2.125032653E9</v>
      </c>
      <c r="B380" s="109" t="str">
        <f>VLOOKUP($A380,ANAGRAFICA!$B$1:$G$306,2,FALSE)</f>
        <v>BAIOCCO</v>
      </c>
      <c r="C380" s="109" t="str">
        <f>VLOOKUP($A380,ANAGRAFICA!$B$1:$G$306,3,FALSE)</f>
        <v>RICCARDO</v>
      </c>
      <c r="D380" s="109" t="str">
        <f>VLOOKUP($A380,ANAGRAFICA!$B$1:$G$306,4,FALSE)</f>
        <v/>
      </c>
      <c r="E380" s="3">
        <v>3.272025064E9</v>
      </c>
      <c r="F380" s="109">
        <f>VLOOKUP($A380,ANAGRAFICA!$B$1:$G$306,6,FALSE)</f>
        <v>2025</v>
      </c>
      <c r="G380" s="3">
        <v>1.0</v>
      </c>
      <c r="H380" s="3" t="s">
        <v>648</v>
      </c>
      <c r="I380" s="148">
        <v>45870.0</v>
      </c>
      <c r="J380" s="3" t="s">
        <v>808</v>
      </c>
      <c r="K380" s="11" t="b">
        <v>1</v>
      </c>
    </row>
    <row r="381">
      <c r="A381" s="3">
        <v>2.125032653E9</v>
      </c>
      <c r="B381" s="109" t="str">
        <f>VLOOKUP($A381,ANAGRAFICA!$B$1:$G$306,2,FALSE)</f>
        <v>BAIOCCO</v>
      </c>
      <c r="C381" s="109" t="str">
        <f>VLOOKUP($A381,ANAGRAFICA!$B$1:$G$306,3,FALSE)</f>
        <v>RICCARDO</v>
      </c>
      <c r="D381" s="109" t="str">
        <f>VLOOKUP($A381,ANAGRAFICA!$B$1:$G$306,4,FALSE)</f>
        <v/>
      </c>
      <c r="E381" s="3">
        <v>3.272025064E9</v>
      </c>
      <c r="F381" s="109">
        <f>VLOOKUP($A381,ANAGRAFICA!$B$1:$G$306,6,FALSE)</f>
        <v>2025</v>
      </c>
      <c r="G381" s="3">
        <v>1.0</v>
      </c>
      <c r="H381" s="3" t="s">
        <v>614</v>
      </c>
      <c r="I381" s="148">
        <v>45870.0</v>
      </c>
      <c r="J381" s="3" t="s">
        <v>658</v>
      </c>
      <c r="K381" s="11" t="b">
        <v>1</v>
      </c>
    </row>
    <row r="382">
      <c r="A382" s="3">
        <v>2.125032653E9</v>
      </c>
      <c r="B382" s="109" t="str">
        <f>VLOOKUP($A382,ANAGRAFICA!$B$1:$G$306,2,FALSE)</f>
        <v>BAIOCCO</v>
      </c>
      <c r="C382" s="109" t="str">
        <f>VLOOKUP($A382,ANAGRAFICA!$B$1:$G$306,3,FALSE)</f>
        <v>RICCARDO</v>
      </c>
      <c r="D382" s="109" t="str">
        <f>VLOOKUP($A382,ANAGRAFICA!$B$1:$G$306,4,FALSE)</f>
        <v/>
      </c>
      <c r="E382" s="3">
        <v>3.272025064E9</v>
      </c>
      <c r="F382" s="109">
        <f>VLOOKUP($A382,ANAGRAFICA!$B$1:$G$306,6,FALSE)</f>
        <v>2025</v>
      </c>
      <c r="G382" s="3">
        <v>1.0</v>
      </c>
      <c r="H382" s="3" t="s">
        <v>635</v>
      </c>
      <c r="I382" s="148">
        <v>45870.0</v>
      </c>
      <c r="J382" s="3" t="s">
        <v>28</v>
      </c>
      <c r="K382" s="11" t="b">
        <v>1</v>
      </c>
    </row>
    <row r="383">
      <c r="A383" s="3">
        <v>2.125032653E9</v>
      </c>
      <c r="B383" s="109" t="str">
        <f>VLOOKUP($A383,ANAGRAFICA!$B$1:$G$306,2,FALSE)</f>
        <v>BAIOCCO</v>
      </c>
      <c r="C383" s="109" t="str">
        <f>VLOOKUP($A383,ANAGRAFICA!$B$1:$G$306,3,FALSE)</f>
        <v>RICCARDO</v>
      </c>
      <c r="D383" s="109" t="str">
        <f>VLOOKUP($A383,ANAGRAFICA!$B$1:$G$306,4,FALSE)</f>
        <v/>
      </c>
      <c r="E383" s="3">
        <v>3.272025064E9</v>
      </c>
      <c r="F383" s="109">
        <f>VLOOKUP($A383,ANAGRAFICA!$B$1:$G$306,6,FALSE)</f>
        <v>2025</v>
      </c>
      <c r="G383" s="3">
        <v>1.0</v>
      </c>
      <c r="H383" s="3" t="s">
        <v>648</v>
      </c>
      <c r="I383" s="148">
        <v>45871.0</v>
      </c>
      <c r="J383" s="3" t="s">
        <v>809</v>
      </c>
      <c r="K383" s="11" t="b">
        <v>1</v>
      </c>
    </row>
    <row r="384">
      <c r="A384" s="3">
        <v>2.125032653E9</v>
      </c>
      <c r="B384" s="109" t="str">
        <f>VLOOKUP($A384,ANAGRAFICA!$B$1:$G$306,2,FALSE)</f>
        <v>BAIOCCO</v>
      </c>
      <c r="C384" s="109" t="str">
        <f>VLOOKUP($A384,ANAGRAFICA!$B$1:$G$306,3,FALSE)</f>
        <v>RICCARDO</v>
      </c>
      <c r="D384" s="109" t="str">
        <f>VLOOKUP($A384,ANAGRAFICA!$B$1:$G$306,4,FALSE)</f>
        <v/>
      </c>
      <c r="E384" s="3">
        <v>3.272025064E9</v>
      </c>
      <c r="F384" s="109">
        <f>VLOOKUP($A384,ANAGRAFICA!$B$1:$G$306,6,FALSE)</f>
        <v>2025</v>
      </c>
      <c r="G384" s="3">
        <v>1.0</v>
      </c>
      <c r="H384" s="3" t="s">
        <v>648</v>
      </c>
      <c r="I384" s="148">
        <v>45872.0</v>
      </c>
      <c r="J384" s="3" t="s">
        <v>444</v>
      </c>
      <c r="K384" s="11" t="b">
        <v>1</v>
      </c>
    </row>
    <row r="385">
      <c r="A385" s="3">
        <v>2.125037955E9</v>
      </c>
      <c r="B385" s="109" t="str">
        <f>VLOOKUP($A385,ANAGRAFICA!$B$1:$G$306,2,FALSE)</f>
        <v>MANNINO</v>
      </c>
      <c r="C385" s="109" t="str">
        <f>VLOOKUP($A385,ANAGRAFICA!$B$1:$G$306,3,FALSE)</f>
        <v>ANDREA</v>
      </c>
      <c r="D385" s="109" t="str">
        <f>VLOOKUP($A385,ANAGRAFICA!$B$1:$G$306,4,FALSE)</f>
        <v>758-39</v>
      </c>
      <c r="E385" s="3">
        <v>3.272025066E9</v>
      </c>
      <c r="F385" s="109">
        <f>VLOOKUP($A385,ANAGRAFICA!$B$1:$G$306,6,FALSE)</f>
        <v>2025</v>
      </c>
      <c r="G385" s="3">
        <v>1.0</v>
      </c>
      <c r="H385" s="3" t="s">
        <v>635</v>
      </c>
      <c r="I385" s="148">
        <v>45913.0</v>
      </c>
      <c r="J385" s="3" t="s">
        <v>761</v>
      </c>
      <c r="K385" s="11" t="b">
        <v>1</v>
      </c>
    </row>
    <row r="386">
      <c r="A386" s="3">
        <v>2.125037955E9</v>
      </c>
      <c r="B386" s="109" t="str">
        <f>VLOOKUP($A386,ANAGRAFICA!$B$1:$G$306,2,FALSE)</f>
        <v>MANNINO</v>
      </c>
      <c r="C386" s="109" t="str">
        <f>VLOOKUP($A386,ANAGRAFICA!$B$1:$G$306,3,FALSE)</f>
        <v>ANDREA</v>
      </c>
      <c r="D386" s="109" t="str">
        <f>VLOOKUP($A386,ANAGRAFICA!$B$1:$G$306,4,FALSE)</f>
        <v>758-39</v>
      </c>
      <c r="E386" s="3">
        <v>3.272025066E9</v>
      </c>
      <c r="F386" s="109">
        <f>VLOOKUP($A386,ANAGRAFICA!$B$1:$G$306,6,FALSE)</f>
        <v>2025</v>
      </c>
      <c r="G386" s="3">
        <v>1.0</v>
      </c>
      <c r="H386" s="3" t="s">
        <v>614</v>
      </c>
      <c r="I386" s="148">
        <v>45913.0</v>
      </c>
      <c r="J386" s="3" t="s">
        <v>761</v>
      </c>
      <c r="K386" s="11" t="b">
        <v>1</v>
      </c>
    </row>
    <row r="387">
      <c r="A387" s="3">
        <v>2.125037955E9</v>
      </c>
      <c r="B387" s="109" t="str">
        <f>VLOOKUP($A387,ANAGRAFICA!$B$1:$G$306,2,FALSE)</f>
        <v>MANNINO</v>
      </c>
      <c r="C387" s="109" t="str">
        <f>VLOOKUP($A387,ANAGRAFICA!$B$1:$G$306,3,FALSE)</f>
        <v>ANDREA</v>
      </c>
      <c r="D387" s="109" t="str">
        <f>VLOOKUP($A387,ANAGRAFICA!$B$1:$G$306,4,FALSE)</f>
        <v>758-39</v>
      </c>
      <c r="E387" s="3">
        <v>3.272025066E9</v>
      </c>
      <c r="F387" s="109">
        <f>VLOOKUP($A387,ANAGRAFICA!$B$1:$G$306,6,FALSE)</f>
        <v>2025</v>
      </c>
      <c r="G387" s="3">
        <v>1.0</v>
      </c>
      <c r="H387" s="3" t="s">
        <v>648</v>
      </c>
      <c r="I387" s="148">
        <v>45913.0</v>
      </c>
      <c r="J387" s="3" t="s">
        <v>810</v>
      </c>
      <c r="K387" s="11" t="b">
        <v>1</v>
      </c>
    </row>
    <row r="388">
      <c r="A388" s="3">
        <v>2.125037955E9</v>
      </c>
      <c r="B388" s="109" t="str">
        <f>VLOOKUP($A388,ANAGRAFICA!$B$1:$G$306,2,FALSE)</f>
        <v>MANNINO</v>
      </c>
      <c r="C388" s="109" t="str">
        <f>VLOOKUP($A388,ANAGRAFICA!$B$1:$G$306,3,FALSE)</f>
        <v>ANDREA</v>
      </c>
      <c r="D388" s="109" t="str">
        <f>VLOOKUP($A388,ANAGRAFICA!$B$1:$G$306,4,FALSE)</f>
        <v>758-39</v>
      </c>
      <c r="E388" s="3">
        <v>3.272025066E9</v>
      </c>
      <c r="F388" s="109">
        <f>VLOOKUP($A388,ANAGRAFICA!$B$1:$G$306,6,FALSE)</f>
        <v>2025</v>
      </c>
      <c r="G388" s="3">
        <v>1.0</v>
      </c>
      <c r="H388" s="3" t="s">
        <v>618</v>
      </c>
      <c r="I388" s="148">
        <v>45914.0</v>
      </c>
      <c r="J388" s="3" t="s">
        <v>499</v>
      </c>
      <c r="K388" s="11" t="b">
        <v>1</v>
      </c>
    </row>
    <row r="389">
      <c r="A389" s="3">
        <v>2.125037955E9</v>
      </c>
      <c r="B389" s="109" t="str">
        <f>VLOOKUP($A389,ANAGRAFICA!$B$1:$G$306,2,FALSE)</f>
        <v>MANNINO</v>
      </c>
      <c r="C389" s="109" t="str">
        <f>VLOOKUP($A389,ANAGRAFICA!$B$1:$G$306,3,FALSE)</f>
        <v>ANDREA</v>
      </c>
      <c r="D389" s="109" t="str">
        <f>VLOOKUP($A389,ANAGRAFICA!$B$1:$G$306,4,FALSE)</f>
        <v>758-39</v>
      </c>
      <c r="E389" s="3">
        <v>3.272025066E9</v>
      </c>
      <c r="F389" s="109">
        <f>VLOOKUP($A389,ANAGRAFICA!$B$1:$G$306,6,FALSE)</f>
        <v>2025</v>
      </c>
      <c r="G389" s="3">
        <v>1.0</v>
      </c>
      <c r="H389" s="3" t="s">
        <v>648</v>
      </c>
      <c r="I389" s="148">
        <v>45914.0</v>
      </c>
      <c r="J389" s="3" t="s">
        <v>728</v>
      </c>
      <c r="K389" s="11" t="b">
        <v>1</v>
      </c>
    </row>
    <row r="390">
      <c r="A390" s="3">
        <v>2.125037955E9</v>
      </c>
      <c r="B390" s="109" t="str">
        <f>VLOOKUP($A390,ANAGRAFICA!$B$1:$G$306,2,FALSE)</f>
        <v>MANNINO</v>
      </c>
      <c r="C390" s="109" t="str">
        <f>VLOOKUP($A390,ANAGRAFICA!$B$1:$G$306,3,FALSE)</f>
        <v>ANDREA</v>
      </c>
      <c r="D390" s="109" t="str">
        <f>VLOOKUP($A390,ANAGRAFICA!$B$1:$G$306,4,FALSE)</f>
        <v>758-39</v>
      </c>
      <c r="E390" s="3">
        <v>3.272025066E9</v>
      </c>
      <c r="F390" s="109">
        <f>VLOOKUP($A390,ANAGRAFICA!$B$1:$G$306,6,FALSE)</f>
        <v>2025</v>
      </c>
      <c r="G390" s="3">
        <v>1.0</v>
      </c>
      <c r="H390" s="3" t="s">
        <v>648</v>
      </c>
      <c r="I390" s="148">
        <v>45914.0</v>
      </c>
      <c r="J390" s="3" t="s">
        <v>811</v>
      </c>
      <c r="K390" s="11" t="b">
        <v>1</v>
      </c>
    </row>
    <row r="391">
      <c r="A391" s="3">
        <v>2.125037955E9</v>
      </c>
      <c r="B391" s="109" t="str">
        <f>VLOOKUP($A391,ANAGRAFICA!$B$1:$G$306,2,FALSE)</f>
        <v>MANNINO</v>
      </c>
      <c r="C391" s="109" t="str">
        <f>VLOOKUP($A391,ANAGRAFICA!$B$1:$G$306,3,FALSE)</f>
        <v>ANDREA</v>
      </c>
      <c r="D391" s="109" t="str">
        <f>VLOOKUP($A391,ANAGRAFICA!$B$1:$G$306,4,FALSE)</f>
        <v>758-39</v>
      </c>
      <c r="E391" s="3">
        <v>3.272025066E9</v>
      </c>
      <c r="F391" s="109">
        <f>VLOOKUP($A391,ANAGRAFICA!$B$1:$G$306,6,FALSE)</f>
        <v>2025</v>
      </c>
      <c r="G391" s="3">
        <v>2.0</v>
      </c>
      <c r="H391" s="3" t="s">
        <v>648</v>
      </c>
      <c r="I391" s="148">
        <v>45916.0</v>
      </c>
      <c r="J391" s="3" t="s">
        <v>726</v>
      </c>
      <c r="K391" s="11" t="b">
        <v>1</v>
      </c>
    </row>
    <row r="392">
      <c r="A392" s="3">
        <v>2.125037955E9</v>
      </c>
      <c r="B392" s="109" t="str">
        <f>VLOOKUP($A392,ANAGRAFICA!$B$1:$G$306,2,FALSE)</f>
        <v>MANNINO</v>
      </c>
      <c r="C392" s="109" t="str">
        <f>VLOOKUP($A392,ANAGRAFICA!$B$1:$G$306,3,FALSE)</f>
        <v>ANDREA</v>
      </c>
      <c r="D392" s="109" t="str">
        <f>VLOOKUP($A392,ANAGRAFICA!$B$1:$G$306,4,FALSE)</f>
        <v>758-39</v>
      </c>
      <c r="E392" s="3">
        <v>3.272025066E9</v>
      </c>
      <c r="F392" s="109">
        <f>VLOOKUP($A392,ANAGRAFICA!$B$1:$G$306,6,FALSE)</f>
        <v>2025</v>
      </c>
      <c r="G392" s="3">
        <v>2.0</v>
      </c>
      <c r="H392" s="3" t="s">
        <v>648</v>
      </c>
      <c r="I392" s="148">
        <v>45917.0</v>
      </c>
      <c r="J392" s="3" t="s">
        <v>780</v>
      </c>
      <c r="K392" s="11" t="b">
        <v>1</v>
      </c>
    </row>
    <row r="393">
      <c r="A393" s="3">
        <v>2.125037955E9</v>
      </c>
      <c r="B393" s="109" t="str">
        <f>VLOOKUP($A393,ANAGRAFICA!$B$1:$G$306,2,FALSE)</f>
        <v>MANNINO</v>
      </c>
      <c r="C393" s="109" t="str">
        <f>VLOOKUP($A393,ANAGRAFICA!$B$1:$G$306,3,FALSE)</f>
        <v>ANDREA</v>
      </c>
      <c r="D393" s="109" t="str">
        <f>VLOOKUP($A393,ANAGRAFICA!$B$1:$G$306,4,FALSE)</f>
        <v>758-39</v>
      </c>
      <c r="E393" s="3">
        <v>3.272025066E9</v>
      </c>
      <c r="F393" s="109">
        <f>VLOOKUP($A393,ANAGRAFICA!$B$1:$G$306,6,FALSE)</f>
        <v>2025</v>
      </c>
      <c r="G393" s="3">
        <v>2.0</v>
      </c>
      <c r="H393" s="3"/>
      <c r="I393" s="148">
        <v>45917.0</v>
      </c>
      <c r="J393" s="3" t="s">
        <v>87</v>
      </c>
      <c r="K393" s="11" t="b">
        <v>0</v>
      </c>
      <c r="L393" s="3" t="s">
        <v>812</v>
      </c>
    </row>
    <row r="394">
      <c r="A394" s="3">
        <v>2.125037782E9</v>
      </c>
      <c r="B394" s="109" t="str">
        <f>VLOOKUP($A394,ANAGRAFICA!$B$1:$G$306,2,FALSE)</f>
        <v>GILARDI</v>
      </c>
      <c r="C394" s="109" t="str">
        <f>VLOOKUP($A394,ANAGRAFICA!$B$1:$G$306,3,FALSE)</f>
        <v>CARLO VIRGINIO</v>
      </c>
      <c r="D394" s="109" t="str">
        <f>VLOOKUP($A394,ANAGRAFICA!$B$1:$G$306,4,FALSE)</f>
        <v>758-38</v>
      </c>
      <c r="E394" s="3">
        <v>3.262025065E9</v>
      </c>
      <c r="F394" s="109">
        <f>VLOOKUP($A394,ANAGRAFICA!$B$1:$G$306,6,FALSE)</f>
        <v>2025</v>
      </c>
      <c r="G394" s="3">
        <v>1.0</v>
      </c>
      <c r="H394" s="3" t="s">
        <v>607</v>
      </c>
      <c r="I394" s="148">
        <v>45912.0</v>
      </c>
      <c r="K394" s="11" t="b">
        <v>0</v>
      </c>
    </row>
    <row r="395">
      <c r="A395" s="3">
        <v>2.125037782E9</v>
      </c>
      <c r="B395" s="109" t="str">
        <f>VLOOKUP($A395,ANAGRAFICA!$B$1:$G$306,2,FALSE)</f>
        <v>GILARDI</v>
      </c>
      <c r="C395" s="109" t="str">
        <f>VLOOKUP($A395,ANAGRAFICA!$B$1:$G$306,3,FALSE)</f>
        <v>CARLO VIRGINIO</v>
      </c>
      <c r="D395" s="109" t="str">
        <f>VLOOKUP($A395,ANAGRAFICA!$B$1:$G$306,4,FALSE)</f>
        <v>758-38</v>
      </c>
      <c r="E395" s="3">
        <v>3.262025065E9</v>
      </c>
      <c r="F395" s="109">
        <f>VLOOKUP($A395,ANAGRAFICA!$B$1:$G$306,6,FALSE)</f>
        <v>2025</v>
      </c>
      <c r="G395" s="3">
        <v>1.0</v>
      </c>
      <c r="H395" s="3" t="s">
        <v>648</v>
      </c>
      <c r="I395" s="148">
        <v>45912.0</v>
      </c>
      <c r="K395" s="11" t="b">
        <v>1</v>
      </c>
    </row>
    <row r="396">
      <c r="A396" s="3">
        <v>2.125040106E9</v>
      </c>
      <c r="B396" s="109" t="str">
        <f>VLOOKUP($A396,ANAGRAFICA!$B$1:$G$306,2,FALSE)</f>
        <v>COLNAGHI</v>
      </c>
      <c r="C396" s="109" t="str">
        <f>VLOOKUP($A396,ANAGRAFICA!$B$1:$G$306,3,FALSE)</f>
        <v>EUGENIO PIERO</v>
      </c>
      <c r="D396" s="109" t="str">
        <f>VLOOKUP($A396,ANAGRAFICA!$B$1:$G$306,4,FALSE)</f>
        <v>758-41</v>
      </c>
      <c r="E396" s="3">
        <v>3.272025068E9</v>
      </c>
      <c r="F396" s="109">
        <f>VLOOKUP($A396,ANAGRAFICA!$B$1:$G$306,6,FALSE)</f>
        <v>2025</v>
      </c>
      <c r="G396" s="3">
        <v>1.0</v>
      </c>
      <c r="H396" s="3" t="s">
        <v>648</v>
      </c>
      <c r="I396" s="148">
        <v>45927.0</v>
      </c>
      <c r="J396" s="3" t="s">
        <v>813</v>
      </c>
      <c r="K396" s="11" t="b">
        <v>1</v>
      </c>
    </row>
    <row r="397">
      <c r="A397" s="3">
        <v>2.125040106E9</v>
      </c>
      <c r="B397" s="109" t="str">
        <f>VLOOKUP($A397,ANAGRAFICA!$B$1:$G$306,2,FALSE)</f>
        <v>COLNAGHI</v>
      </c>
      <c r="C397" s="109" t="str">
        <f>VLOOKUP($A397,ANAGRAFICA!$B$1:$G$306,3,FALSE)</f>
        <v>EUGENIO PIERO</v>
      </c>
      <c r="D397" s="109" t="str">
        <f>VLOOKUP($A397,ANAGRAFICA!$B$1:$G$306,4,FALSE)</f>
        <v>758-41</v>
      </c>
      <c r="E397" s="3">
        <v>3.272025068E9</v>
      </c>
      <c r="F397" s="109">
        <f>VLOOKUP($A397,ANAGRAFICA!$B$1:$G$306,6,FALSE)</f>
        <v>2025</v>
      </c>
      <c r="G397" s="3">
        <v>1.0</v>
      </c>
      <c r="H397" s="3" t="s">
        <v>648</v>
      </c>
      <c r="I397" s="148">
        <v>45927.0</v>
      </c>
      <c r="J397" s="3" t="s">
        <v>814</v>
      </c>
      <c r="K397" s="11" t="b">
        <v>1</v>
      </c>
    </row>
    <row r="398">
      <c r="A398" s="3">
        <v>2.125040106E9</v>
      </c>
      <c r="B398" s="109" t="str">
        <f>VLOOKUP($A398,ANAGRAFICA!$B$1:$G$306,2,FALSE)</f>
        <v>COLNAGHI</v>
      </c>
      <c r="C398" s="109" t="str">
        <f>VLOOKUP($A398,ANAGRAFICA!$B$1:$G$306,3,FALSE)</f>
        <v>EUGENIO PIERO</v>
      </c>
      <c r="D398" s="109" t="str">
        <f>VLOOKUP($A398,ANAGRAFICA!$B$1:$G$306,4,FALSE)</f>
        <v>758-41</v>
      </c>
      <c r="E398" s="3">
        <v>3.272025068E9</v>
      </c>
      <c r="F398" s="109">
        <f>VLOOKUP($A398,ANAGRAFICA!$B$1:$G$306,6,FALSE)</f>
        <v>2025</v>
      </c>
      <c r="G398" s="3">
        <v>1.0</v>
      </c>
      <c r="H398" s="3" t="s">
        <v>648</v>
      </c>
      <c r="I398" s="148">
        <v>45928.0</v>
      </c>
      <c r="J398" s="3" t="s">
        <v>815</v>
      </c>
      <c r="K398" s="11" t="b">
        <v>1</v>
      </c>
    </row>
    <row r="399">
      <c r="A399" s="3">
        <v>2.125040106E9</v>
      </c>
      <c r="B399" s="109" t="str">
        <f>VLOOKUP($A399,ANAGRAFICA!$B$1:$G$306,2,FALSE)</f>
        <v>COLNAGHI</v>
      </c>
      <c r="C399" s="109" t="str">
        <f>VLOOKUP($A399,ANAGRAFICA!$B$1:$G$306,3,FALSE)</f>
        <v>EUGENIO PIERO</v>
      </c>
      <c r="D399" s="109" t="str">
        <f>VLOOKUP($A399,ANAGRAFICA!$B$1:$G$306,4,FALSE)</f>
        <v>758-41</v>
      </c>
      <c r="E399" s="3">
        <v>3.272025068E9</v>
      </c>
      <c r="F399" s="109">
        <f>VLOOKUP($A399,ANAGRAFICA!$B$1:$G$306,6,FALSE)</f>
        <v>2025</v>
      </c>
      <c r="G399" s="3">
        <v>1.0</v>
      </c>
      <c r="H399" s="3" t="s">
        <v>648</v>
      </c>
      <c r="I399" s="148">
        <v>45929.0</v>
      </c>
      <c r="J399" s="3" t="s">
        <v>816</v>
      </c>
      <c r="K399" s="11" t="b">
        <v>1</v>
      </c>
    </row>
    <row r="400">
      <c r="A400" s="3">
        <v>2.125040106E9</v>
      </c>
      <c r="B400" s="109" t="str">
        <f>VLOOKUP($A400,ANAGRAFICA!$B$1:$G$306,2,FALSE)</f>
        <v>COLNAGHI</v>
      </c>
      <c r="C400" s="109" t="str">
        <f>VLOOKUP($A400,ANAGRAFICA!$B$1:$G$306,3,FALSE)</f>
        <v>EUGENIO PIERO</v>
      </c>
      <c r="D400" s="109" t="str">
        <f>VLOOKUP($A400,ANAGRAFICA!$B$1:$G$306,4,FALSE)</f>
        <v>758-41</v>
      </c>
      <c r="E400" s="3">
        <v>3.272025068E9</v>
      </c>
      <c r="F400" s="109">
        <f>VLOOKUP($A400,ANAGRAFICA!$B$1:$G$306,6,FALSE)</f>
        <v>2025</v>
      </c>
      <c r="G400" s="3">
        <v>1.0</v>
      </c>
      <c r="H400" s="3" t="s">
        <v>648</v>
      </c>
      <c r="I400" s="77">
        <v>45930.0</v>
      </c>
      <c r="J400" s="3" t="s">
        <v>628</v>
      </c>
      <c r="K400" s="11" t="b">
        <v>1</v>
      </c>
    </row>
    <row r="401">
      <c r="A401" s="3">
        <v>2.125040106E9</v>
      </c>
      <c r="B401" s="109" t="str">
        <f>VLOOKUP($A401,ANAGRAFICA!$B$1:$G$306,2,FALSE)</f>
        <v>COLNAGHI</v>
      </c>
      <c r="C401" s="109" t="str">
        <f>VLOOKUP($A401,ANAGRAFICA!$B$1:$G$306,3,FALSE)</f>
        <v>EUGENIO PIERO</v>
      </c>
      <c r="D401" s="109" t="str">
        <f>VLOOKUP($A401,ANAGRAFICA!$B$1:$G$306,4,FALSE)</f>
        <v>758-41</v>
      </c>
      <c r="E401" s="3">
        <v>3.272025068E9</v>
      </c>
      <c r="F401" s="109">
        <f>VLOOKUP($A401,ANAGRAFICA!$B$1:$G$306,6,FALSE)</f>
        <v>2025</v>
      </c>
      <c r="G401" s="3">
        <v>1.0</v>
      </c>
      <c r="H401" s="3" t="s">
        <v>648</v>
      </c>
      <c r="I401" s="148">
        <v>45931.0</v>
      </c>
      <c r="J401" s="3" t="s">
        <v>817</v>
      </c>
      <c r="K401" s="11" t="b">
        <v>1</v>
      </c>
    </row>
    <row r="402">
      <c r="A402" s="3">
        <v>2.125040106E9</v>
      </c>
      <c r="B402" s="109" t="str">
        <f>VLOOKUP($A402,ANAGRAFICA!$B$1:$G$306,2,FALSE)</f>
        <v>COLNAGHI</v>
      </c>
      <c r="C402" s="109" t="str">
        <f>VLOOKUP($A402,ANAGRAFICA!$B$1:$G$306,3,FALSE)</f>
        <v>EUGENIO PIERO</v>
      </c>
      <c r="D402" s="109" t="str">
        <f>VLOOKUP($A402,ANAGRAFICA!$B$1:$G$306,4,FALSE)</f>
        <v>758-41</v>
      </c>
      <c r="E402" s="3">
        <v>3.272025068E9</v>
      </c>
      <c r="F402" s="109">
        <f>VLOOKUP($A402,ANAGRAFICA!$B$1:$G$306,6,FALSE)</f>
        <v>2025</v>
      </c>
      <c r="G402" s="3">
        <v>1.0</v>
      </c>
      <c r="H402" s="3" t="s">
        <v>648</v>
      </c>
      <c r="I402" s="77">
        <v>45931.0</v>
      </c>
      <c r="J402" s="3" t="s">
        <v>818</v>
      </c>
      <c r="K402" s="11" t="b">
        <v>1</v>
      </c>
    </row>
    <row r="403">
      <c r="A403" s="3">
        <v>2.125040106E9</v>
      </c>
      <c r="B403" s="109" t="str">
        <f>VLOOKUP($A403,ANAGRAFICA!$B$1:$G$306,2,FALSE)</f>
        <v>COLNAGHI</v>
      </c>
      <c r="C403" s="109" t="str">
        <f>VLOOKUP($A403,ANAGRAFICA!$B$1:$G$306,3,FALSE)</f>
        <v>EUGENIO PIERO</v>
      </c>
      <c r="D403" s="109" t="str">
        <f>VLOOKUP($A403,ANAGRAFICA!$B$1:$G$306,4,FALSE)</f>
        <v>758-41</v>
      </c>
      <c r="E403" s="3">
        <v>3.272025068E9</v>
      </c>
      <c r="F403" s="109">
        <f>VLOOKUP($A403,ANAGRAFICA!$B$1:$G$306,6,FALSE)</f>
        <v>2025</v>
      </c>
      <c r="G403" s="3">
        <v>1.0</v>
      </c>
      <c r="H403" s="3" t="s">
        <v>648</v>
      </c>
      <c r="I403" s="148">
        <v>45932.0</v>
      </c>
      <c r="J403" s="3" t="s">
        <v>802</v>
      </c>
      <c r="K403" s="11" t="b">
        <v>1</v>
      </c>
    </row>
    <row r="404">
      <c r="A404" s="3">
        <v>2.125040106E9</v>
      </c>
      <c r="B404" s="109" t="str">
        <f>VLOOKUP($A404,ANAGRAFICA!$B$1:$G$306,2,FALSE)</f>
        <v>COLNAGHI</v>
      </c>
      <c r="C404" s="109" t="str">
        <f>VLOOKUP($A404,ANAGRAFICA!$B$1:$G$306,3,FALSE)</f>
        <v>EUGENIO PIERO</v>
      </c>
      <c r="D404" s="109" t="str">
        <f>VLOOKUP($A404,ANAGRAFICA!$B$1:$G$306,4,FALSE)</f>
        <v>758-41</v>
      </c>
      <c r="E404" s="3">
        <v>3.272025068E9</v>
      </c>
      <c r="F404" s="109">
        <f>VLOOKUP($A404,ANAGRAFICA!$B$1:$G$306,6,FALSE)</f>
        <v>2025</v>
      </c>
      <c r="G404" s="3">
        <v>1.0</v>
      </c>
      <c r="H404" s="3" t="s">
        <v>648</v>
      </c>
      <c r="I404" s="148">
        <v>45932.0</v>
      </c>
      <c r="J404" s="3" t="s">
        <v>819</v>
      </c>
      <c r="K404" s="11" t="b">
        <v>1</v>
      </c>
    </row>
    <row r="405">
      <c r="A405" s="3">
        <v>2.125040106E9</v>
      </c>
      <c r="B405" s="109" t="str">
        <f>VLOOKUP($A405,ANAGRAFICA!$B$1:$G$306,2,FALSE)</f>
        <v>COLNAGHI</v>
      </c>
      <c r="C405" s="109" t="str">
        <f>VLOOKUP($A405,ANAGRAFICA!$B$1:$G$306,3,FALSE)</f>
        <v>EUGENIO PIERO</v>
      </c>
      <c r="D405" s="109" t="str">
        <f>VLOOKUP($A405,ANAGRAFICA!$B$1:$G$306,4,FALSE)</f>
        <v>758-41</v>
      </c>
      <c r="E405" s="3">
        <v>3.272025068E9</v>
      </c>
      <c r="F405" s="109">
        <f>VLOOKUP($A405,ANAGRAFICA!$B$1:$G$306,6,FALSE)</f>
        <v>2025</v>
      </c>
      <c r="G405" s="3">
        <v>1.0</v>
      </c>
      <c r="H405" s="3" t="s">
        <v>648</v>
      </c>
      <c r="I405" s="148">
        <v>45933.0</v>
      </c>
      <c r="J405" s="3" t="s">
        <v>780</v>
      </c>
      <c r="K405" s="11" t="b">
        <v>1</v>
      </c>
    </row>
    <row r="406">
      <c r="A406" s="3">
        <v>2.125040106E9</v>
      </c>
      <c r="B406" s="109" t="str">
        <f>VLOOKUP($A406,ANAGRAFICA!$B$1:$G$306,2,FALSE)</f>
        <v>COLNAGHI</v>
      </c>
      <c r="C406" s="109" t="str">
        <f>VLOOKUP($A406,ANAGRAFICA!$B$1:$G$306,3,FALSE)</f>
        <v>EUGENIO PIERO</v>
      </c>
      <c r="D406" s="109" t="str">
        <f>VLOOKUP($A406,ANAGRAFICA!$B$1:$G$306,4,FALSE)</f>
        <v>758-41</v>
      </c>
      <c r="E406" s="3">
        <v>3.272025068E9</v>
      </c>
      <c r="F406" s="109">
        <f>VLOOKUP($A406,ANAGRAFICA!$B$1:$G$306,6,FALSE)</f>
        <v>2025</v>
      </c>
      <c r="G406" s="3">
        <v>1.0</v>
      </c>
      <c r="H406" s="3" t="s">
        <v>648</v>
      </c>
      <c r="I406" s="148">
        <v>45934.0</v>
      </c>
      <c r="J406" s="3" t="s">
        <v>287</v>
      </c>
      <c r="K406" s="11" t="b">
        <v>1</v>
      </c>
    </row>
    <row r="407">
      <c r="A407" s="3">
        <v>2.125040106E9</v>
      </c>
      <c r="B407" s="109" t="str">
        <f>VLOOKUP($A407,ANAGRAFICA!$B$1:$G$306,2,FALSE)</f>
        <v>COLNAGHI</v>
      </c>
      <c r="C407" s="109" t="str">
        <f>VLOOKUP($A407,ANAGRAFICA!$B$1:$G$306,3,FALSE)</f>
        <v>EUGENIO PIERO</v>
      </c>
      <c r="D407" s="109" t="str">
        <f>VLOOKUP($A407,ANAGRAFICA!$B$1:$G$306,4,FALSE)</f>
        <v>758-41</v>
      </c>
      <c r="E407" s="3">
        <v>3.272025068E9</v>
      </c>
      <c r="F407" s="109">
        <f>VLOOKUP($A407,ANAGRAFICA!$B$1:$G$306,6,FALSE)</f>
        <v>2025</v>
      </c>
      <c r="G407" s="3">
        <v>1.0</v>
      </c>
      <c r="H407" s="3" t="s">
        <v>648</v>
      </c>
      <c r="I407" s="148">
        <v>45935.0</v>
      </c>
      <c r="J407" s="3" t="s">
        <v>694</v>
      </c>
      <c r="K407" s="11" t="b">
        <v>1</v>
      </c>
    </row>
    <row r="408">
      <c r="A408" s="3">
        <v>2.125040106E9</v>
      </c>
      <c r="B408" s="109" t="str">
        <f>VLOOKUP($A408,ANAGRAFICA!$B$1:$G$306,2,FALSE)</f>
        <v>COLNAGHI</v>
      </c>
      <c r="C408" s="109" t="str">
        <f>VLOOKUP($A408,ANAGRAFICA!$B$1:$G$306,3,FALSE)</f>
        <v>EUGENIO PIERO</v>
      </c>
      <c r="D408" s="109" t="str">
        <f>VLOOKUP($A408,ANAGRAFICA!$B$1:$G$306,4,FALSE)</f>
        <v>758-41</v>
      </c>
      <c r="E408" s="3">
        <v>3.272025068E9</v>
      </c>
      <c r="F408" s="109">
        <f>VLOOKUP($A408,ANAGRAFICA!$B$1:$G$306,6,FALSE)</f>
        <v>2025</v>
      </c>
      <c r="G408" s="3">
        <v>1.0</v>
      </c>
      <c r="H408" s="3" t="s">
        <v>648</v>
      </c>
      <c r="I408" s="148">
        <v>45936.0</v>
      </c>
      <c r="J408" s="3" t="s">
        <v>765</v>
      </c>
      <c r="K408" s="11" t="b">
        <v>1</v>
      </c>
    </row>
    <row r="409">
      <c r="A409" s="3">
        <v>2.125040106E9</v>
      </c>
      <c r="B409" s="109" t="str">
        <f>VLOOKUP($A409,ANAGRAFICA!$B$1:$G$306,2,FALSE)</f>
        <v>COLNAGHI</v>
      </c>
      <c r="C409" s="109" t="str">
        <f>VLOOKUP($A409,ANAGRAFICA!$B$1:$G$306,3,FALSE)</f>
        <v>EUGENIO PIERO</v>
      </c>
      <c r="D409" s="109" t="str">
        <f>VLOOKUP($A409,ANAGRAFICA!$B$1:$G$306,4,FALSE)</f>
        <v>758-41</v>
      </c>
      <c r="E409" s="3">
        <v>3.272025068E9</v>
      </c>
      <c r="F409" s="109">
        <f>VLOOKUP($A409,ANAGRAFICA!$B$1:$G$306,6,FALSE)</f>
        <v>2025</v>
      </c>
      <c r="G409" s="3">
        <v>1.0</v>
      </c>
      <c r="H409" s="3" t="s">
        <v>648</v>
      </c>
      <c r="I409" s="148">
        <v>45937.0</v>
      </c>
      <c r="J409" s="3" t="s">
        <v>763</v>
      </c>
      <c r="K409" s="11" t="b">
        <v>1</v>
      </c>
    </row>
    <row r="410">
      <c r="A410" s="3">
        <v>2.125040106E9</v>
      </c>
      <c r="B410" s="109" t="str">
        <f>VLOOKUP($A410,ANAGRAFICA!$B$1:$G$306,2,FALSE)</f>
        <v>COLNAGHI</v>
      </c>
      <c r="C410" s="109" t="str">
        <f>VLOOKUP($A410,ANAGRAFICA!$B$1:$G$306,3,FALSE)</f>
        <v>EUGENIO PIERO</v>
      </c>
      <c r="D410" s="109" t="str">
        <f>VLOOKUP($A410,ANAGRAFICA!$B$1:$G$306,4,FALSE)</f>
        <v>758-41</v>
      </c>
      <c r="E410" s="3">
        <v>3.272025068E9</v>
      </c>
      <c r="F410" s="109">
        <f>VLOOKUP($A410,ANAGRAFICA!$B$1:$G$306,6,FALSE)</f>
        <v>2025</v>
      </c>
      <c r="G410" s="3">
        <v>1.0</v>
      </c>
      <c r="H410" s="3" t="s">
        <v>648</v>
      </c>
      <c r="I410" s="148">
        <v>45939.0</v>
      </c>
      <c r="J410" s="3" t="s">
        <v>820</v>
      </c>
      <c r="K410" s="11" t="b">
        <v>1</v>
      </c>
    </row>
    <row r="411">
      <c r="A411" s="3">
        <v>2.125040106E9</v>
      </c>
      <c r="B411" s="109" t="str">
        <f>VLOOKUP($A411,ANAGRAFICA!$B$1:$G$306,2,FALSE)</f>
        <v>COLNAGHI</v>
      </c>
      <c r="C411" s="109" t="str">
        <f>VLOOKUP($A411,ANAGRAFICA!$B$1:$G$306,3,FALSE)</f>
        <v>EUGENIO PIERO</v>
      </c>
      <c r="D411" s="109" t="str">
        <f>VLOOKUP($A411,ANAGRAFICA!$B$1:$G$306,4,FALSE)</f>
        <v>758-41</v>
      </c>
      <c r="E411" s="3">
        <v>3.272025068E9</v>
      </c>
      <c r="F411" s="109">
        <f>VLOOKUP($A411,ANAGRAFICA!$B$1:$G$306,6,FALSE)</f>
        <v>2025</v>
      </c>
      <c r="G411" s="3">
        <v>1.0</v>
      </c>
      <c r="H411" s="3" t="s">
        <v>607</v>
      </c>
      <c r="I411" s="148">
        <v>45939.0</v>
      </c>
      <c r="J411" s="3" t="s">
        <v>820</v>
      </c>
      <c r="K411" s="11" t="b">
        <v>1</v>
      </c>
    </row>
    <row r="412">
      <c r="A412" s="3">
        <v>2.125040106E9</v>
      </c>
      <c r="B412" s="109" t="str">
        <f>VLOOKUP($A412,ANAGRAFICA!$B$1:$G$306,2,FALSE)</f>
        <v>COLNAGHI</v>
      </c>
      <c r="C412" s="109" t="str">
        <f>VLOOKUP($A412,ANAGRAFICA!$B$1:$G$306,3,FALSE)</f>
        <v>EUGENIO PIERO</v>
      </c>
      <c r="D412" s="109" t="str">
        <f>VLOOKUP($A412,ANAGRAFICA!$B$1:$G$306,4,FALSE)</f>
        <v>758-41</v>
      </c>
      <c r="E412" s="3">
        <v>3.272025068E9</v>
      </c>
      <c r="F412" s="109">
        <f>VLOOKUP($A412,ANAGRAFICA!$B$1:$G$306,6,FALSE)</f>
        <v>2025</v>
      </c>
      <c r="G412" s="3">
        <v>1.0</v>
      </c>
      <c r="H412" s="3" t="s">
        <v>607</v>
      </c>
      <c r="I412" s="77">
        <v>45930.0</v>
      </c>
      <c r="J412" s="3" t="s">
        <v>821</v>
      </c>
      <c r="K412" s="11" t="b">
        <v>1</v>
      </c>
    </row>
    <row r="413">
      <c r="A413" s="3">
        <v>2.125040052E9</v>
      </c>
      <c r="B413" s="109" t="str">
        <f>VLOOKUP($A413,ANAGRAFICA!$B$1:$G$306,2,FALSE)</f>
        <v>TODESCATO</v>
      </c>
      <c r="C413" s="109" t="str">
        <f>VLOOKUP($A413,ANAGRAFICA!$B$1:$G$306,3,FALSE)</f>
        <v>GIANLUCA</v>
      </c>
      <c r="D413" s="109" t="str">
        <f>VLOOKUP($A413,ANAGRAFICA!$B$1:$G$306,4,FALSE)</f>
        <v>758-40</v>
      </c>
      <c r="E413" s="3">
        <v>3.272025067E9</v>
      </c>
      <c r="F413" s="109">
        <f>VLOOKUP($A413,ANAGRAFICA!$B$1:$G$306,6,FALSE)</f>
        <v>2025</v>
      </c>
      <c r="G413" s="3">
        <v>1.0</v>
      </c>
      <c r="H413" s="3" t="s">
        <v>648</v>
      </c>
      <c r="I413" s="148">
        <v>45927.0</v>
      </c>
      <c r="J413" s="3" t="s">
        <v>822</v>
      </c>
      <c r="K413" s="11" t="b">
        <v>1</v>
      </c>
    </row>
    <row r="414">
      <c r="A414" s="3">
        <v>2.125040052E9</v>
      </c>
      <c r="B414" s="109" t="str">
        <f>VLOOKUP($A414,ANAGRAFICA!$B$1:$G$306,2,FALSE)</f>
        <v>TODESCATO</v>
      </c>
      <c r="C414" s="109" t="str">
        <f>VLOOKUP($A414,ANAGRAFICA!$B$1:$G$306,3,FALSE)</f>
        <v>GIANLUCA</v>
      </c>
      <c r="D414" s="109" t="str">
        <f>VLOOKUP($A414,ANAGRAFICA!$B$1:$G$306,4,FALSE)</f>
        <v>758-40</v>
      </c>
      <c r="E414" s="3">
        <v>3.272025067E9</v>
      </c>
      <c r="F414" s="109">
        <f>VLOOKUP($A414,ANAGRAFICA!$B$1:$G$306,6,FALSE)</f>
        <v>2025</v>
      </c>
      <c r="G414" s="3">
        <v>1.0</v>
      </c>
      <c r="H414" s="3" t="s">
        <v>648</v>
      </c>
      <c r="I414" s="148">
        <v>45928.0</v>
      </c>
      <c r="J414" s="3" t="s">
        <v>734</v>
      </c>
      <c r="K414" s="11" t="b">
        <v>1</v>
      </c>
    </row>
    <row r="415">
      <c r="A415" s="3">
        <v>2.125040052E9</v>
      </c>
      <c r="B415" s="109" t="str">
        <f>VLOOKUP($A415,ANAGRAFICA!$B$1:$G$306,2,FALSE)</f>
        <v>TODESCATO</v>
      </c>
      <c r="C415" s="109" t="str">
        <f>VLOOKUP($A415,ANAGRAFICA!$B$1:$G$306,3,FALSE)</f>
        <v>GIANLUCA</v>
      </c>
      <c r="D415" s="109" t="str">
        <f>VLOOKUP($A415,ANAGRAFICA!$B$1:$G$306,4,FALSE)</f>
        <v>758-40</v>
      </c>
      <c r="E415" s="3">
        <v>3.272025067E9</v>
      </c>
      <c r="F415" s="109">
        <f>VLOOKUP($A415,ANAGRAFICA!$B$1:$G$306,6,FALSE)</f>
        <v>2025</v>
      </c>
      <c r="G415" s="3">
        <v>1.0</v>
      </c>
      <c r="H415" s="3" t="s">
        <v>648</v>
      </c>
      <c r="I415" s="148">
        <v>45929.0</v>
      </c>
      <c r="J415" s="3" t="s">
        <v>729</v>
      </c>
      <c r="K415" s="11" t="b">
        <v>1</v>
      </c>
    </row>
    <row r="416">
      <c r="A416" s="3">
        <v>2.125040052E9</v>
      </c>
      <c r="B416" s="109" t="str">
        <f>VLOOKUP($A416,ANAGRAFICA!$B$1:$G$306,2,FALSE)</f>
        <v>TODESCATO</v>
      </c>
      <c r="C416" s="109" t="str">
        <f>VLOOKUP($A416,ANAGRAFICA!$B$1:$G$306,3,FALSE)</f>
        <v>GIANLUCA</v>
      </c>
      <c r="D416" s="109" t="str">
        <f>VLOOKUP($A416,ANAGRAFICA!$B$1:$G$306,4,FALSE)</f>
        <v>758-40</v>
      </c>
      <c r="E416" s="3">
        <v>3.272025067E9</v>
      </c>
      <c r="F416" s="109">
        <f>VLOOKUP($A416,ANAGRAFICA!$B$1:$G$306,6,FALSE)</f>
        <v>2025</v>
      </c>
      <c r="G416" s="3">
        <v>1.0</v>
      </c>
      <c r="H416" s="3" t="s">
        <v>648</v>
      </c>
      <c r="I416" s="148">
        <v>45930.0</v>
      </c>
      <c r="J416" s="3" t="s">
        <v>823</v>
      </c>
      <c r="K416" s="11" t="b">
        <v>1</v>
      </c>
    </row>
    <row r="417">
      <c r="A417" s="3">
        <v>2.125040052E9</v>
      </c>
      <c r="B417" s="109" t="str">
        <f>VLOOKUP($A417,ANAGRAFICA!$B$1:$G$306,2,FALSE)</f>
        <v>TODESCATO</v>
      </c>
      <c r="C417" s="109" t="str">
        <f>VLOOKUP($A417,ANAGRAFICA!$B$1:$G$306,3,FALSE)</f>
        <v>GIANLUCA</v>
      </c>
      <c r="D417" s="109" t="str">
        <f>VLOOKUP($A417,ANAGRAFICA!$B$1:$G$306,4,FALSE)</f>
        <v>758-40</v>
      </c>
      <c r="E417" s="3">
        <v>3.272025067E9</v>
      </c>
      <c r="F417" s="109">
        <f>VLOOKUP($A417,ANAGRAFICA!$B$1:$G$306,6,FALSE)</f>
        <v>2025</v>
      </c>
      <c r="G417" s="3">
        <v>1.0</v>
      </c>
      <c r="H417" s="3" t="s">
        <v>648</v>
      </c>
      <c r="I417" s="148">
        <v>45932.0</v>
      </c>
      <c r="J417" s="3" t="s">
        <v>763</v>
      </c>
      <c r="K417" s="11" t="b">
        <v>1</v>
      </c>
    </row>
    <row r="418">
      <c r="A418" s="3">
        <v>2.125040052E9</v>
      </c>
      <c r="B418" s="109" t="str">
        <f>VLOOKUP($A418,ANAGRAFICA!$B$1:$G$306,2,FALSE)</f>
        <v>TODESCATO</v>
      </c>
      <c r="C418" s="109" t="str">
        <f>VLOOKUP($A418,ANAGRAFICA!$B$1:$G$306,3,FALSE)</f>
        <v>GIANLUCA</v>
      </c>
      <c r="D418" s="109" t="str">
        <f>VLOOKUP($A418,ANAGRAFICA!$B$1:$G$306,4,FALSE)</f>
        <v>758-40</v>
      </c>
      <c r="E418" s="3">
        <v>3.272025067E9</v>
      </c>
      <c r="F418" s="109">
        <f>VLOOKUP($A418,ANAGRAFICA!$B$1:$G$306,6,FALSE)</f>
        <v>2025</v>
      </c>
      <c r="G418" s="3">
        <v>1.0</v>
      </c>
      <c r="H418" s="3" t="s">
        <v>648</v>
      </c>
      <c r="I418" s="148">
        <v>45933.0</v>
      </c>
      <c r="J418" s="3" t="s">
        <v>745</v>
      </c>
      <c r="K418" s="11" t="b">
        <v>1</v>
      </c>
    </row>
    <row r="419">
      <c r="A419" s="3">
        <v>2.125040052E9</v>
      </c>
      <c r="B419" s="109" t="str">
        <f>VLOOKUP($A419,ANAGRAFICA!$B$1:$G$306,2,FALSE)</f>
        <v>TODESCATO</v>
      </c>
      <c r="C419" s="109" t="str">
        <f>VLOOKUP($A419,ANAGRAFICA!$B$1:$G$306,3,FALSE)</f>
        <v>GIANLUCA</v>
      </c>
      <c r="D419" s="109" t="str">
        <f>VLOOKUP($A419,ANAGRAFICA!$B$1:$G$306,4,FALSE)</f>
        <v>758-40</v>
      </c>
      <c r="E419" s="3">
        <v>3.272025067E9</v>
      </c>
      <c r="F419" s="109">
        <f>VLOOKUP($A419,ANAGRAFICA!$B$1:$G$306,6,FALSE)</f>
        <v>2025</v>
      </c>
      <c r="G419" s="3">
        <v>1.0</v>
      </c>
      <c r="H419" s="3" t="s">
        <v>648</v>
      </c>
      <c r="I419" s="148">
        <v>45933.0</v>
      </c>
      <c r="J419" s="3" t="s">
        <v>824</v>
      </c>
      <c r="K419" s="11" t="b">
        <v>1</v>
      </c>
    </row>
    <row r="420">
      <c r="A420" s="3">
        <v>2.125040052E9</v>
      </c>
      <c r="B420" s="109" t="str">
        <f>VLOOKUP($A420,ANAGRAFICA!$B$1:$G$306,2,FALSE)</f>
        <v>TODESCATO</v>
      </c>
      <c r="C420" s="109" t="str">
        <f>VLOOKUP($A420,ANAGRAFICA!$B$1:$G$306,3,FALSE)</f>
        <v>GIANLUCA</v>
      </c>
      <c r="D420" s="109" t="str">
        <f>VLOOKUP($A420,ANAGRAFICA!$B$1:$G$306,4,FALSE)</f>
        <v>758-40</v>
      </c>
      <c r="E420" s="3">
        <v>3.272025067E9</v>
      </c>
      <c r="F420" s="109">
        <f>VLOOKUP($A420,ANAGRAFICA!$B$1:$G$306,6,FALSE)</f>
        <v>2025</v>
      </c>
      <c r="G420" s="3">
        <v>1.0</v>
      </c>
      <c r="H420" s="3" t="s">
        <v>648</v>
      </c>
      <c r="I420" s="148">
        <v>45934.0</v>
      </c>
      <c r="J420" s="3" t="s">
        <v>745</v>
      </c>
      <c r="K420" s="11" t="b">
        <v>1</v>
      </c>
    </row>
    <row r="421">
      <c r="A421" s="3">
        <v>2.125040052E9</v>
      </c>
      <c r="B421" s="109" t="str">
        <f>VLOOKUP($A421,ANAGRAFICA!$B$1:$G$306,2,FALSE)</f>
        <v>TODESCATO</v>
      </c>
      <c r="C421" s="109" t="str">
        <f>VLOOKUP($A421,ANAGRAFICA!$B$1:$G$306,3,FALSE)</f>
        <v>GIANLUCA</v>
      </c>
      <c r="D421" s="109" t="str">
        <f>VLOOKUP($A421,ANAGRAFICA!$B$1:$G$306,4,FALSE)</f>
        <v>758-40</v>
      </c>
      <c r="E421" s="3">
        <v>3.272025067E9</v>
      </c>
      <c r="F421" s="109">
        <f>VLOOKUP($A421,ANAGRAFICA!$B$1:$G$306,6,FALSE)</f>
        <v>2025</v>
      </c>
      <c r="G421" s="3">
        <v>1.0</v>
      </c>
      <c r="H421" s="3" t="s">
        <v>648</v>
      </c>
      <c r="I421" s="77">
        <v>45936.0</v>
      </c>
      <c r="J421" s="3" t="s">
        <v>825</v>
      </c>
      <c r="K421" s="11" t="b">
        <v>1</v>
      </c>
    </row>
    <row r="422">
      <c r="A422" s="3">
        <v>2.125040052E9</v>
      </c>
      <c r="B422" s="109" t="str">
        <f>VLOOKUP($A422,ANAGRAFICA!$B$1:$G$306,2,FALSE)</f>
        <v>TODESCATO</v>
      </c>
      <c r="C422" s="109" t="str">
        <f>VLOOKUP($A422,ANAGRAFICA!$B$1:$G$306,3,FALSE)</f>
        <v>GIANLUCA</v>
      </c>
      <c r="D422" s="109" t="str">
        <f>VLOOKUP($A422,ANAGRAFICA!$B$1:$G$306,4,FALSE)</f>
        <v>758-40</v>
      </c>
      <c r="E422" s="3">
        <v>3.272025067E9</v>
      </c>
      <c r="F422" s="109">
        <f>VLOOKUP($A422,ANAGRAFICA!$B$1:$G$306,6,FALSE)</f>
        <v>2025</v>
      </c>
      <c r="G422" s="3">
        <v>1.0</v>
      </c>
      <c r="H422" s="3" t="s">
        <v>648</v>
      </c>
      <c r="I422" s="148">
        <v>45937.0</v>
      </c>
      <c r="J422" s="3" t="s">
        <v>745</v>
      </c>
      <c r="K422" s="11" t="b">
        <v>1</v>
      </c>
    </row>
    <row r="423">
      <c r="A423" s="3">
        <v>2.125040052E9</v>
      </c>
      <c r="B423" s="109" t="str">
        <f>VLOOKUP($A423,ANAGRAFICA!$B$1:$G$306,2,FALSE)</f>
        <v>TODESCATO</v>
      </c>
      <c r="C423" s="109" t="str">
        <f>VLOOKUP($A423,ANAGRAFICA!$B$1:$G$306,3,FALSE)</f>
        <v>GIANLUCA</v>
      </c>
      <c r="D423" s="109" t="str">
        <f>VLOOKUP($A423,ANAGRAFICA!$B$1:$G$306,4,FALSE)</f>
        <v>758-40</v>
      </c>
      <c r="E423" s="3">
        <v>3.272025067E9</v>
      </c>
      <c r="F423" s="109">
        <f>VLOOKUP($A423,ANAGRAFICA!$B$1:$G$306,6,FALSE)</f>
        <v>2025</v>
      </c>
      <c r="G423" s="3">
        <v>1.0</v>
      </c>
      <c r="H423" s="3" t="s">
        <v>648</v>
      </c>
      <c r="I423" s="148">
        <v>45938.0</v>
      </c>
      <c r="J423" s="3" t="s">
        <v>451</v>
      </c>
      <c r="K423" s="11" t="b">
        <v>1</v>
      </c>
    </row>
    <row r="424">
      <c r="A424" s="3">
        <v>2.125040052E9</v>
      </c>
      <c r="B424" s="109" t="str">
        <f>VLOOKUP($A424,ANAGRAFICA!$B$1:$G$306,2,FALSE)</f>
        <v>TODESCATO</v>
      </c>
      <c r="C424" s="109" t="str">
        <f>VLOOKUP($A424,ANAGRAFICA!$B$1:$G$306,3,FALSE)</f>
        <v>GIANLUCA</v>
      </c>
      <c r="D424" s="109" t="str">
        <f>VLOOKUP($A424,ANAGRAFICA!$B$1:$G$306,4,FALSE)</f>
        <v>758-40</v>
      </c>
      <c r="E424" s="3">
        <v>3.272025067E9</v>
      </c>
      <c r="F424" s="109">
        <f>VLOOKUP($A424,ANAGRAFICA!$B$1:$G$306,6,FALSE)</f>
        <v>2025</v>
      </c>
      <c r="G424" s="3">
        <v>1.0</v>
      </c>
      <c r="H424" s="3" t="s">
        <v>648</v>
      </c>
      <c r="I424" s="148">
        <v>45939.0</v>
      </c>
      <c r="J424" s="3" t="s">
        <v>826</v>
      </c>
      <c r="K424" s="11" t="b">
        <v>1</v>
      </c>
    </row>
    <row r="425">
      <c r="A425" s="3">
        <v>2.125040052E9</v>
      </c>
      <c r="B425" s="109" t="str">
        <f>VLOOKUP($A425,ANAGRAFICA!$B$1:$G$306,2,FALSE)</f>
        <v>TODESCATO</v>
      </c>
      <c r="C425" s="109" t="str">
        <f>VLOOKUP($A425,ANAGRAFICA!$B$1:$G$306,3,FALSE)</f>
        <v>GIANLUCA</v>
      </c>
      <c r="D425" s="109" t="str">
        <f>VLOOKUP($A425,ANAGRAFICA!$B$1:$G$306,4,FALSE)</f>
        <v>758-40</v>
      </c>
      <c r="E425" s="3">
        <v>3.272025067E9</v>
      </c>
      <c r="F425" s="109">
        <f>VLOOKUP($A425,ANAGRAFICA!$B$1:$G$306,6,FALSE)</f>
        <v>2025</v>
      </c>
      <c r="G425" s="3">
        <v>1.0</v>
      </c>
      <c r="H425" s="3" t="s">
        <v>648</v>
      </c>
      <c r="I425" s="148">
        <v>45941.0</v>
      </c>
      <c r="J425" s="3" t="s">
        <v>827</v>
      </c>
      <c r="K425" s="11" t="b">
        <v>1</v>
      </c>
    </row>
    <row r="426">
      <c r="A426" s="3">
        <v>2.125040052E9</v>
      </c>
      <c r="B426" s="109" t="str">
        <f>VLOOKUP($A426,ANAGRAFICA!$B$1:$G$306,2,FALSE)</f>
        <v>TODESCATO</v>
      </c>
      <c r="C426" s="109" t="str">
        <f>VLOOKUP($A426,ANAGRAFICA!$B$1:$G$306,3,FALSE)</f>
        <v>GIANLUCA</v>
      </c>
      <c r="D426" s="109" t="str">
        <f>VLOOKUP($A426,ANAGRAFICA!$B$1:$G$306,4,FALSE)</f>
        <v>758-40</v>
      </c>
      <c r="E426" s="3">
        <v>3.272025067E9</v>
      </c>
      <c r="F426" s="109">
        <f>VLOOKUP($A426,ANAGRAFICA!$B$1:$G$306,6,FALSE)</f>
        <v>2025</v>
      </c>
      <c r="G426" s="3">
        <v>1.0</v>
      </c>
      <c r="H426" s="3" t="s">
        <v>648</v>
      </c>
      <c r="I426" s="148">
        <v>45943.0</v>
      </c>
      <c r="J426" s="3" t="s">
        <v>828</v>
      </c>
      <c r="K426" s="11" t="b">
        <v>1</v>
      </c>
    </row>
    <row r="427">
      <c r="A427" s="3">
        <v>2.125040052E9</v>
      </c>
      <c r="B427" s="109" t="str">
        <f>VLOOKUP($A427,ANAGRAFICA!$B$1:$G$306,2,FALSE)</f>
        <v>TODESCATO</v>
      </c>
      <c r="C427" s="109" t="str">
        <f>VLOOKUP($A427,ANAGRAFICA!$B$1:$G$306,3,FALSE)</f>
        <v>GIANLUCA</v>
      </c>
      <c r="D427" s="109" t="str">
        <f>VLOOKUP($A427,ANAGRAFICA!$B$1:$G$306,4,FALSE)</f>
        <v>758-40</v>
      </c>
      <c r="E427" s="3">
        <v>3.272025067E9</v>
      </c>
      <c r="F427" s="109">
        <f>VLOOKUP($A427,ANAGRAFICA!$B$1:$G$306,6,FALSE)</f>
        <v>2025</v>
      </c>
      <c r="G427" s="3">
        <v>1.0</v>
      </c>
      <c r="H427" s="3" t="s">
        <v>648</v>
      </c>
      <c r="I427" s="148">
        <v>45944.0</v>
      </c>
      <c r="J427" s="3" t="s">
        <v>829</v>
      </c>
      <c r="K427" s="11" t="b">
        <v>1</v>
      </c>
    </row>
    <row r="428">
      <c r="A428" s="3">
        <v>2.125040052E9</v>
      </c>
      <c r="B428" s="109" t="str">
        <f>VLOOKUP($A428,ANAGRAFICA!$B$1:$G$306,2,FALSE)</f>
        <v>TODESCATO</v>
      </c>
      <c r="C428" s="109" t="str">
        <f>VLOOKUP($A428,ANAGRAFICA!$B$1:$G$306,3,FALSE)</f>
        <v>GIANLUCA</v>
      </c>
      <c r="D428" s="109" t="str">
        <f>VLOOKUP($A428,ANAGRAFICA!$B$1:$G$306,4,FALSE)</f>
        <v>758-40</v>
      </c>
      <c r="E428" s="3">
        <v>3.272025067E9</v>
      </c>
      <c r="F428" s="109">
        <f>VLOOKUP($A428,ANAGRAFICA!$B$1:$G$306,6,FALSE)</f>
        <v>2025</v>
      </c>
      <c r="G428" s="3">
        <v>1.0</v>
      </c>
      <c r="H428" s="3" t="s">
        <v>648</v>
      </c>
      <c r="I428" s="148">
        <v>45946.0</v>
      </c>
      <c r="J428" s="3" t="s">
        <v>779</v>
      </c>
      <c r="K428" s="11" t="b">
        <v>1</v>
      </c>
    </row>
    <row r="429">
      <c r="A429" s="3">
        <v>2.125040052E9</v>
      </c>
      <c r="B429" s="109" t="str">
        <f>VLOOKUP($A429,ANAGRAFICA!$B$1:$G$306,2,FALSE)</f>
        <v>TODESCATO</v>
      </c>
      <c r="C429" s="109" t="str">
        <f>VLOOKUP($A429,ANAGRAFICA!$B$1:$G$306,3,FALSE)</f>
        <v>GIANLUCA</v>
      </c>
      <c r="D429" s="109" t="str">
        <f>VLOOKUP($A429,ANAGRAFICA!$B$1:$G$306,4,FALSE)</f>
        <v>758-40</v>
      </c>
      <c r="E429" s="3">
        <v>3.272025067E9</v>
      </c>
      <c r="F429" s="109">
        <f>VLOOKUP($A429,ANAGRAFICA!$B$1:$G$306,6,FALSE)</f>
        <v>2025</v>
      </c>
      <c r="G429" s="3">
        <v>1.0</v>
      </c>
      <c r="H429" s="3" t="s">
        <v>607</v>
      </c>
      <c r="I429" s="148">
        <v>45926.0</v>
      </c>
      <c r="J429" s="3" t="s">
        <v>830</v>
      </c>
      <c r="K429" s="11" t="b">
        <v>1</v>
      </c>
    </row>
    <row r="430">
      <c r="A430" s="3">
        <v>2.125040052E9</v>
      </c>
      <c r="B430" s="109" t="str">
        <f>VLOOKUP($A430,ANAGRAFICA!$B$1:$G$306,2,FALSE)</f>
        <v>TODESCATO</v>
      </c>
      <c r="C430" s="109" t="str">
        <f>VLOOKUP($A430,ANAGRAFICA!$B$1:$G$306,3,FALSE)</f>
        <v>GIANLUCA</v>
      </c>
      <c r="D430" s="109" t="str">
        <f>VLOOKUP($A430,ANAGRAFICA!$B$1:$G$306,4,FALSE)</f>
        <v>758-40</v>
      </c>
      <c r="E430" s="3">
        <v>3.272025067E9</v>
      </c>
      <c r="F430" s="109">
        <f>VLOOKUP($A430,ANAGRAFICA!$B$1:$G$306,6,FALSE)</f>
        <v>2025</v>
      </c>
      <c r="G430" s="3">
        <v>1.0</v>
      </c>
      <c r="H430" s="3" t="s">
        <v>612</v>
      </c>
      <c r="I430" s="148">
        <v>45926.0</v>
      </c>
      <c r="J430" s="3" t="s">
        <v>831</v>
      </c>
      <c r="K430" s="11" t="b">
        <v>1</v>
      </c>
    </row>
    <row r="431">
      <c r="A431" s="3">
        <v>2.125040052E9</v>
      </c>
      <c r="B431" s="109" t="str">
        <f>VLOOKUP($A431,ANAGRAFICA!$B$1:$G$306,2,FALSE)</f>
        <v>TODESCATO</v>
      </c>
      <c r="C431" s="109" t="str">
        <f>VLOOKUP($A431,ANAGRAFICA!$B$1:$G$306,3,FALSE)</f>
        <v>GIANLUCA</v>
      </c>
      <c r="D431" s="109" t="str">
        <f>VLOOKUP($A431,ANAGRAFICA!$B$1:$G$306,4,FALSE)</f>
        <v>758-40</v>
      </c>
      <c r="E431" s="3">
        <v>3.272025067E9</v>
      </c>
      <c r="F431" s="109">
        <f>VLOOKUP($A431,ANAGRAFICA!$B$1:$G$306,6,FALSE)</f>
        <v>2025</v>
      </c>
      <c r="G431" s="3">
        <v>1.0</v>
      </c>
      <c r="H431" s="3" t="s">
        <v>612</v>
      </c>
      <c r="I431" s="148">
        <v>45935.0</v>
      </c>
      <c r="J431" s="3" t="s">
        <v>832</v>
      </c>
      <c r="K431" s="11" t="b">
        <v>1</v>
      </c>
    </row>
    <row r="432">
      <c r="A432" s="3">
        <v>2.125040052E9</v>
      </c>
      <c r="B432" s="109" t="str">
        <f>VLOOKUP($A432,ANAGRAFICA!$B$1:$G$306,2,FALSE)</f>
        <v>TODESCATO</v>
      </c>
      <c r="C432" s="109" t="str">
        <f>VLOOKUP($A432,ANAGRAFICA!$B$1:$G$306,3,FALSE)</f>
        <v>GIANLUCA</v>
      </c>
      <c r="D432" s="109" t="str">
        <f>VLOOKUP($A432,ANAGRAFICA!$B$1:$G$306,4,FALSE)</f>
        <v>758-40</v>
      </c>
      <c r="E432" s="3">
        <v>3.272025067E9</v>
      </c>
      <c r="F432" s="109">
        <f>VLOOKUP($A432,ANAGRAFICA!$B$1:$G$306,6,FALSE)</f>
        <v>2025</v>
      </c>
      <c r="G432" s="3">
        <v>1.0</v>
      </c>
      <c r="H432" s="3" t="s">
        <v>623</v>
      </c>
      <c r="I432" s="148">
        <v>45926.0</v>
      </c>
      <c r="J432" s="3" t="s">
        <v>833</v>
      </c>
      <c r="K432" s="11" t="b">
        <v>1</v>
      </c>
    </row>
    <row r="433">
      <c r="A433" s="3">
        <v>2.125040052E9</v>
      </c>
      <c r="B433" s="109" t="str">
        <f>VLOOKUP($A433,ANAGRAFICA!$B$1:$G$306,2,FALSE)</f>
        <v>TODESCATO</v>
      </c>
      <c r="C433" s="109" t="str">
        <f>VLOOKUP($A433,ANAGRAFICA!$B$1:$G$306,3,FALSE)</f>
        <v>GIANLUCA</v>
      </c>
      <c r="D433" s="109" t="str">
        <f>VLOOKUP($A433,ANAGRAFICA!$B$1:$G$306,4,FALSE)</f>
        <v>758-40</v>
      </c>
      <c r="E433" s="3">
        <v>3.272025067E9</v>
      </c>
      <c r="F433" s="109">
        <f>VLOOKUP($A433,ANAGRAFICA!$B$1:$G$306,6,FALSE)</f>
        <v>2025</v>
      </c>
      <c r="G433" s="3">
        <v>1.0</v>
      </c>
      <c r="H433" s="3" t="s">
        <v>613</v>
      </c>
      <c r="I433" s="148">
        <v>45926.0</v>
      </c>
      <c r="J433" s="3" t="s">
        <v>833</v>
      </c>
      <c r="K433" s="11" t="b">
        <v>1</v>
      </c>
    </row>
    <row r="434">
      <c r="A434" s="3">
        <v>2.125040052E9</v>
      </c>
      <c r="B434" s="109" t="str">
        <f>VLOOKUP($A434,ANAGRAFICA!$B$1:$G$306,2,FALSE)</f>
        <v>TODESCATO</v>
      </c>
      <c r="C434" s="109" t="str">
        <f>VLOOKUP($A434,ANAGRAFICA!$B$1:$G$306,3,FALSE)</f>
        <v>GIANLUCA</v>
      </c>
      <c r="D434" s="109" t="str">
        <f>VLOOKUP($A434,ANAGRAFICA!$B$1:$G$306,4,FALSE)</f>
        <v>758-40</v>
      </c>
      <c r="E434" s="3">
        <v>3.272025067E9</v>
      </c>
      <c r="F434" s="109">
        <f>VLOOKUP($A434,ANAGRAFICA!$B$1:$G$306,6,FALSE)</f>
        <v>2025</v>
      </c>
      <c r="G434" s="3">
        <v>1.0</v>
      </c>
      <c r="H434" s="3" t="s">
        <v>633</v>
      </c>
      <c r="I434" s="148">
        <v>45937.0</v>
      </c>
      <c r="J434" s="3" t="s">
        <v>28</v>
      </c>
      <c r="K434" s="11" t="b">
        <v>0</v>
      </c>
    </row>
    <row r="435">
      <c r="A435" s="3">
        <v>2.125040052E9</v>
      </c>
      <c r="B435" s="109" t="str">
        <f>VLOOKUP($A435,ANAGRAFICA!$B$1:$G$306,2,FALSE)</f>
        <v>TODESCATO</v>
      </c>
      <c r="C435" s="109" t="str">
        <f>VLOOKUP($A435,ANAGRAFICA!$B$1:$G$306,3,FALSE)</f>
        <v>GIANLUCA</v>
      </c>
      <c r="D435" s="109" t="str">
        <f>VLOOKUP($A435,ANAGRAFICA!$B$1:$G$306,4,FALSE)</f>
        <v>758-40</v>
      </c>
      <c r="E435" s="3">
        <v>3.272025067E9</v>
      </c>
      <c r="F435" s="109">
        <f>VLOOKUP($A435,ANAGRAFICA!$B$1:$G$306,6,FALSE)</f>
        <v>2025</v>
      </c>
      <c r="G435" s="3">
        <v>1.0</v>
      </c>
      <c r="H435" s="3" t="s">
        <v>606</v>
      </c>
      <c r="I435" s="148">
        <v>45933.0</v>
      </c>
      <c r="J435" s="3" t="s">
        <v>538</v>
      </c>
      <c r="K435" s="11" t="b">
        <v>0</v>
      </c>
    </row>
    <row r="436">
      <c r="A436" s="3">
        <v>2.125040052E9</v>
      </c>
      <c r="B436" s="109" t="str">
        <f>VLOOKUP($A436,ANAGRAFICA!$B$1:$G$306,2,FALSE)</f>
        <v>TODESCATO</v>
      </c>
      <c r="C436" s="109" t="str">
        <f>VLOOKUP($A436,ANAGRAFICA!$B$1:$G$306,3,FALSE)</f>
        <v>GIANLUCA</v>
      </c>
      <c r="D436" s="109" t="str">
        <f>VLOOKUP($A436,ANAGRAFICA!$B$1:$G$306,4,FALSE)</f>
        <v>758-40</v>
      </c>
      <c r="E436" s="3">
        <v>3.272025067E9</v>
      </c>
      <c r="F436" s="109">
        <f>VLOOKUP($A436,ANAGRAFICA!$B$1:$G$306,6,FALSE)</f>
        <v>2025</v>
      </c>
      <c r="G436" s="3">
        <v>1.0</v>
      </c>
      <c r="H436" s="3" t="s">
        <v>640</v>
      </c>
      <c r="I436" s="77">
        <v>45927.0</v>
      </c>
      <c r="J436" s="3" t="s">
        <v>28</v>
      </c>
      <c r="K436" s="11" t="b">
        <v>0</v>
      </c>
    </row>
    <row r="437">
      <c r="A437" s="3">
        <v>2.125040052E9</v>
      </c>
      <c r="B437" s="109" t="str">
        <f>VLOOKUP($A437,ANAGRAFICA!$B$1:$G$306,2,FALSE)</f>
        <v>TODESCATO</v>
      </c>
      <c r="C437" s="109" t="str">
        <f>VLOOKUP($A437,ANAGRAFICA!$B$1:$G$306,3,FALSE)</f>
        <v>GIANLUCA</v>
      </c>
      <c r="D437" s="109" t="str">
        <f>VLOOKUP($A437,ANAGRAFICA!$B$1:$G$306,4,FALSE)</f>
        <v>758-40</v>
      </c>
      <c r="E437" s="3">
        <v>3.272025067E9</v>
      </c>
      <c r="F437" s="109">
        <f>VLOOKUP($A437,ANAGRAFICA!$B$1:$G$306,6,FALSE)</f>
        <v>2025</v>
      </c>
      <c r="G437" s="3">
        <v>1.0</v>
      </c>
      <c r="H437" s="3" t="s">
        <v>605</v>
      </c>
      <c r="I437" s="148">
        <v>45926.0</v>
      </c>
      <c r="J437" s="3" t="s">
        <v>292</v>
      </c>
      <c r="K437" s="11" t="b">
        <v>0</v>
      </c>
    </row>
    <row r="438">
      <c r="A438" s="3">
        <v>2.125040052E9</v>
      </c>
      <c r="B438" s="109" t="str">
        <f>VLOOKUP($A438,ANAGRAFICA!$B$1:$G$306,2,FALSE)</f>
        <v>TODESCATO</v>
      </c>
      <c r="C438" s="109" t="str">
        <f>VLOOKUP($A438,ANAGRAFICA!$B$1:$G$306,3,FALSE)</f>
        <v>GIANLUCA</v>
      </c>
      <c r="D438" s="109" t="str">
        <f>VLOOKUP($A438,ANAGRAFICA!$B$1:$G$306,4,FALSE)</f>
        <v>758-40</v>
      </c>
      <c r="E438" s="3">
        <v>3.272025067E9</v>
      </c>
      <c r="F438" s="109">
        <f>VLOOKUP($A438,ANAGRAFICA!$B$1:$G$306,6,FALSE)</f>
        <v>2025</v>
      </c>
      <c r="G438" s="3">
        <v>1.0</v>
      </c>
      <c r="H438" s="3" t="s">
        <v>609</v>
      </c>
      <c r="I438" s="148">
        <v>45935.0</v>
      </c>
      <c r="K438" s="11" t="b">
        <v>0</v>
      </c>
    </row>
    <row r="439">
      <c r="A439" s="3">
        <v>2.125040835E9</v>
      </c>
      <c r="B439" s="109" t="str">
        <f>VLOOKUP($A439,ANAGRAFICA!$B$1:$G$306,2,FALSE)</f>
        <v>PESACANE</v>
      </c>
      <c r="C439" s="109" t="str">
        <f>VLOOKUP($A439,ANAGRAFICA!$B$1:$G$306,3,FALSE)</f>
        <v>MATTEO VALERIO</v>
      </c>
      <c r="D439" s="109" t="str">
        <f>VLOOKUP($A439,ANAGRAFICA!$B$1:$G$306,4,FALSE)</f>
        <v>758-42</v>
      </c>
      <c r="E439" s="3">
        <v>3.272025069E9</v>
      </c>
      <c r="F439" s="109">
        <f>VLOOKUP($A439,ANAGRAFICA!$B$1:$G$306,6,FALSE)</f>
        <v>2025</v>
      </c>
      <c r="G439" s="3">
        <v>1.0</v>
      </c>
      <c r="H439" s="3" t="s">
        <v>648</v>
      </c>
      <c r="I439" s="148">
        <v>45931.0</v>
      </c>
      <c r="J439" s="3" t="s">
        <v>834</v>
      </c>
      <c r="K439" s="11" t="b">
        <v>1</v>
      </c>
    </row>
    <row r="440">
      <c r="A440" s="3">
        <v>2.125040835E9</v>
      </c>
      <c r="B440" s="109" t="str">
        <f>VLOOKUP($A440,ANAGRAFICA!$B$1:$G$306,2,FALSE)</f>
        <v>PESACANE</v>
      </c>
      <c r="C440" s="109" t="str">
        <f>VLOOKUP($A440,ANAGRAFICA!$B$1:$G$306,3,FALSE)</f>
        <v>MATTEO VALERIO</v>
      </c>
      <c r="D440" s="109" t="str">
        <f>VLOOKUP($A440,ANAGRAFICA!$B$1:$G$306,4,FALSE)</f>
        <v>758-42</v>
      </c>
      <c r="E440" s="3">
        <v>3.272025069E9</v>
      </c>
      <c r="F440" s="109">
        <f>VLOOKUP($A440,ANAGRAFICA!$B$1:$G$306,6,FALSE)</f>
        <v>2025</v>
      </c>
      <c r="G440" s="3">
        <v>1.0</v>
      </c>
      <c r="H440" s="3" t="s">
        <v>648</v>
      </c>
      <c r="I440" s="148">
        <v>45933.0</v>
      </c>
      <c r="J440" s="3" t="s">
        <v>451</v>
      </c>
      <c r="K440" s="11" t="b">
        <v>1</v>
      </c>
    </row>
    <row r="441">
      <c r="A441" s="3">
        <v>2.125040835E9</v>
      </c>
      <c r="B441" s="109" t="str">
        <f>VLOOKUP($A441,ANAGRAFICA!$B$1:$G$306,2,FALSE)</f>
        <v>PESACANE</v>
      </c>
      <c r="C441" s="109" t="str">
        <f>VLOOKUP($A441,ANAGRAFICA!$B$1:$G$306,3,FALSE)</f>
        <v>MATTEO VALERIO</v>
      </c>
      <c r="D441" s="109" t="str">
        <f>VLOOKUP($A441,ANAGRAFICA!$B$1:$G$306,4,FALSE)</f>
        <v>758-42</v>
      </c>
      <c r="E441" s="3">
        <v>3.272025069E9</v>
      </c>
      <c r="F441" s="109">
        <f>VLOOKUP($A441,ANAGRAFICA!$B$1:$G$306,6,FALSE)</f>
        <v>2025</v>
      </c>
      <c r="G441" s="3">
        <v>1.0</v>
      </c>
      <c r="H441" s="3" t="s">
        <v>648</v>
      </c>
      <c r="I441" s="148">
        <v>45933.0</v>
      </c>
      <c r="J441" s="3" t="s">
        <v>465</v>
      </c>
      <c r="K441" s="11" t="b">
        <v>1</v>
      </c>
    </row>
    <row r="442">
      <c r="A442" s="3">
        <v>2.125040835E9</v>
      </c>
      <c r="B442" s="109" t="str">
        <f>VLOOKUP($A442,ANAGRAFICA!$B$1:$G$306,2,FALSE)</f>
        <v>PESACANE</v>
      </c>
      <c r="C442" s="109" t="str">
        <f>VLOOKUP($A442,ANAGRAFICA!$B$1:$G$306,3,FALSE)</f>
        <v>MATTEO VALERIO</v>
      </c>
      <c r="D442" s="109" t="str">
        <f>VLOOKUP($A442,ANAGRAFICA!$B$1:$G$306,4,FALSE)</f>
        <v>758-42</v>
      </c>
      <c r="E442" s="3">
        <v>3.272025069E9</v>
      </c>
      <c r="F442" s="109">
        <f>VLOOKUP($A442,ANAGRAFICA!$B$1:$G$306,6,FALSE)</f>
        <v>2025</v>
      </c>
      <c r="G442" s="3">
        <v>1.0</v>
      </c>
      <c r="H442" s="3" t="s">
        <v>648</v>
      </c>
      <c r="I442" s="148">
        <v>45934.0</v>
      </c>
      <c r="J442" s="3" t="s">
        <v>709</v>
      </c>
      <c r="K442" s="11" t="b">
        <v>1</v>
      </c>
    </row>
    <row r="443">
      <c r="A443" s="3">
        <v>2.125040835E9</v>
      </c>
      <c r="B443" s="109" t="str">
        <f>VLOOKUP($A443,ANAGRAFICA!$B$1:$G$306,2,FALSE)</f>
        <v>PESACANE</v>
      </c>
      <c r="C443" s="109" t="str">
        <f>VLOOKUP($A443,ANAGRAFICA!$B$1:$G$306,3,FALSE)</f>
        <v>MATTEO VALERIO</v>
      </c>
      <c r="D443" s="109" t="str">
        <f>VLOOKUP($A443,ANAGRAFICA!$B$1:$G$306,4,FALSE)</f>
        <v>758-42</v>
      </c>
      <c r="E443" s="3">
        <v>3.272025069E9</v>
      </c>
      <c r="F443" s="109">
        <f>VLOOKUP($A443,ANAGRAFICA!$B$1:$G$306,6,FALSE)</f>
        <v>2025</v>
      </c>
      <c r="G443" s="3">
        <v>1.0</v>
      </c>
      <c r="H443" s="3" t="s">
        <v>607</v>
      </c>
      <c r="I443" s="148">
        <v>45931.0</v>
      </c>
      <c r="J443" s="3" t="s">
        <v>835</v>
      </c>
      <c r="K443" s="11" t="b">
        <v>1</v>
      </c>
    </row>
    <row r="444">
      <c r="A444" s="3">
        <v>2.125040835E9</v>
      </c>
      <c r="B444" s="109" t="str">
        <f>VLOOKUP($A444,ANAGRAFICA!$B$1:$G$306,2,FALSE)</f>
        <v>PESACANE</v>
      </c>
      <c r="C444" s="109" t="str">
        <f>VLOOKUP($A444,ANAGRAFICA!$B$1:$G$306,3,FALSE)</f>
        <v>MATTEO VALERIO</v>
      </c>
      <c r="D444" s="109" t="str">
        <f>VLOOKUP($A444,ANAGRAFICA!$B$1:$G$306,4,FALSE)</f>
        <v>758-42</v>
      </c>
      <c r="E444" s="3">
        <v>3.272025069E9</v>
      </c>
      <c r="F444" s="109">
        <f>VLOOKUP($A444,ANAGRAFICA!$B$1:$G$306,6,FALSE)</f>
        <v>2025</v>
      </c>
      <c r="G444" s="3">
        <v>1.0</v>
      </c>
      <c r="H444" s="3" t="s">
        <v>613</v>
      </c>
      <c r="I444" s="148">
        <v>45934.0</v>
      </c>
      <c r="J444" s="3" t="s">
        <v>836</v>
      </c>
      <c r="K444" s="11" t="b">
        <v>1</v>
      </c>
    </row>
    <row r="445">
      <c r="A445" s="3">
        <v>2.125040835E9</v>
      </c>
      <c r="B445" s="109" t="str">
        <f>VLOOKUP($A445,ANAGRAFICA!$B$1:$G$306,2,FALSE)</f>
        <v>PESACANE</v>
      </c>
      <c r="C445" s="109" t="str">
        <f>VLOOKUP($A445,ANAGRAFICA!$B$1:$G$306,3,FALSE)</f>
        <v>MATTEO VALERIO</v>
      </c>
      <c r="D445" s="109" t="str">
        <f>VLOOKUP($A445,ANAGRAFICA!$B$1:$G$306,4,FALSE)</f>
        <v>758-42</v>
      </c>
      <c r="E445" s="3">
        <v>3.272025069E9</v>
      </c>
      <c r="F445" s="109">
        <f>VLOOKUP($A445,ANAGRAFICA!$B$1:$G$306,6,FALSE)</f>
        <v>2025</v>
      </c>
      <c r="G445" s="3">
        <v>1.0</v>
      </c>
      <c r="H445" s="3" t="s">
        <v>614</v>
      </c>
      <c r="I445" s="148">
        <v>45934.0</v>
      </c>
      <c r="J445" s="3" t="s">
        <v>836</v>
      </c>
      <c r="K445" s="11" t="b">
        <v>1</v>
      </c>
    </row>
    <row r="446">
      <c r="A446" s="3">
        <v>2.125040835E9</v>
      </c>
      <c r="B446" s="109" t="str">
        <f>VLOOKUP($A446,ANAGRAFICA!$B$1:$G$306,2,FALSE)</f>
        <v>PESACANE</v>
      </c>
      <c r="C446" s="109" t="str">
        <f>VLOOKUP($A446,ANAGRAFICA!$B$1:$G$306,3,FALSE)</f>
        <v>MATTEO VALERIO</v>
      </c>
      <c r="D446" s="109" t="str">
        <f>VLOOKUP($A446,ANAGRAFICA!$B$1:$G$306,4,FALSE)</f>
        <v>758-42</v>
      </c>
      <c r="E446" s="3">
        <v>3.272025069E9</v>
      </c>
      <c r="F446" s="109">
        <f>VLOOKUP($A446,ANAGRAFICA!$B$1:$G$306,6,FALSE)</f>
        <v>2025</v>
      </c>
      <c r="G446" s="3">
        <v>1.0</v>
      </c>
      <c r="H446" s="3" t="s">
        <v>609</v>
      </c>
      <c r="I446" s="148">
        <v>45932.0</v>
      </c>
      <c r="K446" s="11" t="b">
        <v>0</v>
      </c>
    </row>
    <row r="447">
      <c r="A447" s="3">
        <v>2.125040835E9</v>
      </c>
      <c r="B447" s="109" t="str">
        <f>VLOOKUP($A447,ANAGRAFICA!$B$1:$G$306,2,FALSE)</f>
        <v>PESACANE</v>
      </c>
      <c r="C447" s="109" t="str">
        <f>VLOOKUP($A447,ANAGRAFICA!$B$1:$G$306,3,FALSE)</f>
        <v>MATTEO VALERIO</v>
      </c>
      <c r="D447" s="109" t="str">
        <f>VLOOKUP($A447,ANAGRAFICA!$B$1:$G$306,4,FALSE)</f>
        <v>758-42</v>
      </c>
      <c r="E447" s="3">
        <v>3.272025069E9</v>
      </c>
      <c r="F447" s="109">
        <f>VLOOKUP($A447,ANAGRAFICA!$B$1:$G$306,6,FALSE)</f>
        <v>2025</v>
      </c>
      <c r="G447" s="3">
        <v>1.0</v>
      </c>
      <c r="H447" s="3" t="s">
        <v>609</v>
      </c>
      <c r="I447" s="148">
        <v>45933.0</v>
      </c>
      <c r="K447" s="11" t="b">
        <v>0</v>
      </c>
    </row>
    <row r="448">
      <c r="A448" s="3">
        <v>2.125040835E9</v>
      </c>
      <c r="B448" s="109" t="str">
        <f>VLOOKUP($A448,ANAGRAFICA!$B$1:$G$306,2,FALSE)</f>
        <v>PESACANE</v>
      </c>
      <c r="C448" s="109" t="str">
        <f>VLOOKUP($A448,ANAGRAFICA!$B$1:$G$306,3,FALSE)</f>
        <v>MATTEO VALERIO</v>
      </c>
      <c r="D448" s="109" t="str">
        <f>VLOOKUP($A448,ANAGRAFICA!$B$1:$G$306,4,FALSE)</f>
        <v>758-42</v>
      </c>
      <c r="E448" s="3">
        <v>3.272025069E9</v>
      </c>
      <c r="F448" s="109">
        <f>VLOOKUP($A448,ANAGRAFICA!$B$1:$G$306,6,FALSE)</f>
        <v>2025</v>
      </c>
      <c r="G448" s="3">
        <v>1.0</v>
      </c>
      <c r="H448" s="3" t="s">
        <v>609</v>
      </c>
      <c r="I448" s="148">
        <v>45934.0</v>
      </c>
      <c r="J448" s="3" t="s">
        <v>491</v>
      </c>
      <c r="K448" s="11" t="b">
        <v>1</v>
      </c>
    </row>
    <row r="449">
      <c r="A449" s="3">
        <v>2.125042368E9</v>
      </c>
      <c r="B449" s="109" t="str">
        <f>VLOOKUP($A449,ANAGRAFICA!$B$1:$G$306,2,FALSE)</f>
        <v>MARKOVIC</v>
      </c>
      <c r="C449" s="109" t="str">
        <f>VLOOKUP($A449,ANAGRAFICA!$B$1:$G$306,3,FALSE)</f>
        <v>BRANKO</v>
      </c>
      <c r="D449" s="109" t="str">
        <f>VLOOKUP($A449,ANAGRAFICA!$B$1:$G$306,4,FALSE)</f>
        <v>758-43</v>
      </c>
      <c r="E449" s="3">
        <v>3.27202507E9</v>
      </c>
      <c r="F449" s="57">
        <v>2025.0</v>
      </c>
      <c r="G449" s="3">
        <v>1.0</v>
      </c>
      <c r="H449" s="3" t="s">
        <v>609</v>
      </c>
      <c r="I449" s="148">
        <v>45941.0</v>
      </c>
      <c r="J449" s="3" t="s">
        <v>837</v>
      </c>
      <c r="K449" s="11" t="b">
        <v>0</v>
      </c>
    </row>
    <row r="450">
      <c r="A450" s="3">
        <v>2.125042368E9</v>
      </c>
      <c r="B450" s="109" t="str">
        <f>VLOOKUP($A450,ANAGRAFICA!$B$1:$G$306,2,FALSE)</f>
        <v>MARKOVIC</v>
      </c>
      <c r="C450" s="109" t="str">
        <f>VLOOKUP($A450,ANAGRAFICA!$B$1:$G$306,3,FALSE)</f>
        <v>BRANKO</v>
      </c>
      <c r="D450" s="109" t="str">
        <f>VLOOKUP($A450,ANAGRAFICA!$B$1:$G$306,4,FALSE)</f>
        <v>758-43</v>
      </c>
      <c r="E450" s="3">
        <v>3.27202507E9</v>
      </c>
      <c r="F450" s="57">
        <v>2025.0</v>
      </c>
      <c r="G450" s="3">
        <v>1.0</v>
      </c>
      <c r="H450" s="3" t="s">
        <v>648</v>
      </c>
      <c r="I450" s="148">
        <v>45941.0</v>
      </c>
      <c r="J450" s="3" t="s">
        <v>838</v>
      </c>
      <c r="K450" s="11" t="b">
        <v>1</v>
      </c>
    </row>
    <row r="451">
      <c r="A451" s="3">
        <v>2.125042368E9</v>
      </c>
      <c r="B451" s="109" t="str">
        <f>VLOOKUP($A451,ANAGRAFICA!$B$1:$G$306,2,FALSE)</f>
        <v>MARKOVIC</v>
      </c>
      <c r="C451" s="109" t="str">
        <f>VLOOKUP($A451,ANAGRAFICA!$B$1:$G$306,3,FALSE)</f>
        <v>BRANKO</v>
      </c>
      <c r="D451" s="109" t="str">
        <f>VLOOKUP($A451,ANAGRAFICA!$B$1:$G$306,4,FALSE)</f>
        <v>758-43</v>
      </c>
      <c r="E451" s="3">
        <v>3.27202507E9</v>
      </c>
      <c r="F451" s="57">
        <v>2025.0</v>
      </c>
      <c r="G451" s="3">
        <v>1.0</v>
      </c>
      <c r="H451" s="3" t="s">
        <v>648</v>
      </c>
      <c r="I451" s="148">
        <v>45942.0</v>
      </c>
      <c r="J451" s="3" t="s">
        <v>839</v>
      </c>
      <c r="K451" s="11" t="b">
        <v>1</v>
      </c>
    </row>
    <row r="452">
      <c r="A452" s="3">
        <v>2.125042368E9</v>
      </c>
      <c r="B452" s="109" t="str">
        <f>VLOOKUP($A452,ANAGRAFICA!$B$1:$G$306,2,FALSE)</f>
        <v>MARKOVIC</v>
      </c>
      <c r="C452" s="109" t="str">
        <f>VLOOKUP($A452,ANAGRAFICA!$B$1:$G$306,3,FALSE)</f>
        <v>BRANKO</v>
      </c>
      <c r="D452" s="109" t="str">
        <f>VLOOKUP($A452,ANAGRAFICA!$B$1:$G$306,4,FALSE)</f>
        <v>758-43</v>
      </c>
      <c r="E452" s="3">
        <v>3.27202507E9</v>
      </c>
      <c r="F452" s="57">
        <v>2025.0</v>
      </c>
      <c r="G452" s="3">
        <v>1.0</v>
      </c>
      <c r="H452" s="3" t="s">
        <v>648</v>
      </c>
      <c r="I452" s="148">
        <v>45943.0</v>
      </c>
      <c r="J452" s="3" t="s">
        <v>137</v>
      </c>
      <c r="K452" s="11" t="b">
        <v>1</v>
      </c>
    </row>
    <row r="453">
      <c r="A453" s="3">
        <v>2.125042368E9</v>
      </c>
      <c r="B453" s="109" t="str">
        <f>VLOOKUP($A453,ANAGRAFICA!$B$1:$G$306,2,FALSE)</f>
        <v>MARKOVIC</v>
      </c>
      <c r="C453" s="109" t="str">
        <f>VLOOKUP($A453,ANAGRAFICA!$B$1:$G$306,3,FALSE)</f>
        <v>BRANKO</v>
      </c>
      <c r="D453" s="109" t="str">
        <f>VLOOKUP($A453,ANAGRAFICA!$B$1:$G$306,4,FALSE)</f>
        <v>758-43</v>
      </c>
      <c r="E453" s="3">
        <v>3.27202507E9</v>
      </c>
      <c r="F453" s="57">
        <v>2025.0</v>
      </c>
      <c r="G453" s="3">
        <v>1.0</v>
      </c>
      <c r="H453" s="3" t="s">
        <v>648</v>
      </c>
      <c r="I453" s="148">
        <v>45944.0</v>
      </c>
      <c r="J453" s="3" t="s">
        <v>840</v>
      </c>
      <c r="K453" s="11" t="b">
        <v>1</v>
      </c>
    </row>
    <row r="454">
      <c r="A454" s="3">
        <v>2.125042368E9</v>
      </c>
      <c r="B454" s="109" t="str">
        <f>VLOOKUP($A454,ANAGRAFICA!$B$1:$G$306,2,FALSE)</f>
        <v>MARKOVIC</v>
      </c>
      <c r="C454" s="109" t="str">
        <f>VLOOKUP($A454,ANAGRAFICA!$B$1:$G$306,3,FALSE)</f>
        <v>BRANKO</v>
      </c>
      <c r="D454" s="109" t="str">
        <f>VLOOKUP($A454,ANAGRAFICA!$B$1:$G$306,4,FALSE)</f>
        <v>758-43</v>
      </c>
      <c r="E454" s="3">
        <v>3.27202507E9</v>
      </c>
      <c r="F454" s="57">
        <v>2025.0</v>
      </c>
      <c r="G454" s="3">
        <v>1.0</v>
      </c>
      <c r="H454" s="3" t="s">
        <v>648</v>
      </c>
      <c r="I454" s="148">
        <v>45945.0</v>
      </c>
      <c r="J454" s="3" t="s">
        <v>717</v>
      </c>
      <c r="K454" s="11" t="b">
        <v>1</v>
      </c>
    </row>
    <row r="455">
      <c r="A455" s="3">
        <v>2.125046195E9</v>
      </c>
      <c r="B455" s="109" t="str">
        <f>VLOOKUP($A455,ANAGRAFICA!$B$1:$G$306,2,FALSE)</f>
        <v>CASILLO</v>
      </c>
      <c r="C455" s="109" t="str">
        <f>VLOOKUP($A455,ANAGRAFICA!$B$1:$G$306,3,FALSE)</f>
        <v>SALVATORE</v>
      </c>
      <c r="D455" s="109" t="str">
        <f>VLOOKUP($A455,ANAGRAFICA!$B$1:$G$306,4,FALSE)</f>
        <v>758-44</v>
      </c>
      <c r="E455" s="3">
        <v>3.272025071E9</v>
      </c>
      <c r="F455" s="57">
        <v>2025.0</v>
      </c>
      <c r="G455" s="3">
        <v>1.0</v>
      </c>
      <c r="H455" s="3" t="s">
        <v>618</v>
      </c>
      <c r="I455" s="148">
        <v>45964.0</v>
      </c>
      <c r="J455" s="3" t="s">
        <v>88</v>
      </c>
      <c r="K455" s="11" t="b">
        <v>0</v>
      </c>
    </row>
    <row r="456">
      <c r="A456" s="3">
        <v>2.125046195E9</v>
      </c>
      <c r="B456" s="109" t="str">
        <f>VLOOKUP($A456,ANAGRAFICA!$B$1:$G$306,2,FALSE)</f>
        <v>CASILLO</v>
      </c>
      <c r="C456" s="109" t="str">
        <f>VLOOKUP($A456,ANAGRAFICA!$B$1:$G$306,3,FALSE)</f>
        <v>SALVATORE</v>
      </c>
      <c r="D456" s="109" t="str">
        <f>VLOOKUP($A456,ANAGRAFICA!$B$1:$G$306,4,FALSE)</f>
        <v>758-44</v>
      </c>
      <c r="E456" s="3">
        <v>3.272025071E9</v>
      </c>
      <c r="F456" s="57">
        <v>2025.0</v>
      </c>
      <c r="G456" s="3">
        <v>1.0</v>
      </c>
      <c r="H456" s="3" t="s">
        <v>648</v>
      </c>
      <c r="I456" s="148">
        <v>45964.0</v>
      </c>
      <c r="J456" s="3" t="s">
        <v>841</v>
      </c>
      <c r="K456" s="11" t="b">
        <v>1</v>
      </c>
    </row>
    <row r="457">
      <c r="A457" s="3">
        <v>2.125046195E9</v>
      </c>
      <c r="B457" s="109" t="str">
        <f>VLOOKUP($A457,ANAGRAFICA!$B$1:$G$306,2,FALSE)</f>
        <v>CASILLO</v>
      </c>
      <c r="C457" s="109" t="str">
        <f>VLOOKUP($A457,ANAGRAFICA!$B$1:$G$306,3,FALSE)</f>
        <v>SALVATORE</v>
      </c>
      <c r="D457" s="109" t="str">
        <f>VLOOKUP($A457,ANAGRAFICA!$B$1:$G$306,4,FALSE)</f>
        <v>758-44</v>
      </c>
      <c r="E457" s="3">
        <v>3.272025071E9</v>
      </c>
      <c r="F457" s="57">
        <v>2025.0</v>
      </c>
      <c r="G457" s="3">
        <v>1.0</v>
      </c>
      <c r="H457" s="3" t="s">
        <v>609</v>
      </c>
      <c r="I457" s="148">
        <v>45965.0</v>
      </c>
      <c r="J457" s="3" t="s">
        <v>87</v>
      </c>
      <c r="K457" s="11" t="b">
        <v>0</v>
      </c>
    </row>
    <row r="458">
      <c r="A458" s="3">
        <v>2.125046195E9</v>
      </c>
      <c r="B458" s="109" t="str">
        <f>VLOOKUP($A458,ANAGRAFICA!$B$1:$G$306,2,FALSE)</f>
        <v>CASILLO</v>
      </c>
      <c r="C458" s="109" t="str">
        <f>VLOOKUP($A458,ANAGRAFICA!$B$1:$G$306,3,FALSE)</f>
        <v>SALVATORE</v>
      </c>
      <c r="D458" s="109" t="str">
        <f>VLOOKUP($A458,ANAGRAFICA!$B$1:$G$306,4,FALSE)</f>
        <v>758-44</v>
      </c>
      <c r="E458" s="3">
        <v>3.272025071E9</v>
      </c>
      <c r="F458" s="57">
        <v>2025.0</v>
      </c>
      <c r="G458" s="3">
        <v>1.0</v>
      </c>
      <c r="H458" s="3" t="s">
        <v>613</v>
      </c>
      <c r="I458" s="148">
        <v>45966.0</v>
      </c>
      <c r="J458" s="3" t="s">
        <v>842</v>
      </c>
      <c r="K458" s="11" t="b">
        <v>0</v>
      </c>
    </row>
    <row r="459">
      <c r="A459" s="3">
        <v>2.125046195E9</v>
      </c>
      <c r="B459" s="109" t="str">
        <f>VLOOKUP($A459,ANAGRAFICA!$B$1:$G$306,2,FALSE)</f>
        <v>CASILLO</v>
      </c>
      <c r="C459" s="109" t="str">
        <f>VLOOKUP($A459,ANAGRAFICA!$B$1:$G$306,3,FALSE)</f>
        <v>SALVATORE</v>
      </c>
      <c r="D459" s="109" t="str">
        <f>VLOOKUP($A459,ANAGRAFICA!$B$1:$G$306,4,FALSE)</f>
        <v>758-44</v>
      </c>
      <c r="E459" s="3">
        <v>3.272025071E9</v>
      </c>
      <c r="F459" s="57">
        <v>2025.0</v>
      </c>
      <c r="G459" s="3">
        <v>1.0</v>
      </c>
      <c r="H459" s="3" t="s">
        <v>623</v>
      </c>
      <c r="I459" s="148">
        <v>45966.0</v>
      </c>
      <c r="J459" s="3" t="s">
        <v>842</v>
      </c>
      <c r="K459" s="11" t="b">
        <v>0</v>
      </c>
    </row>
    <row r="460">
      <c r="A460" s="3">
        <v>2.125046195E9</v>
      </c>
      <c r="B460" s="109" t="str">
        <f>VLOOKUP($A460,ANAGRAFICA!$B$1:$G$306,2,FALSE)</f>
        <v>CASILLO</v>
      </c>
      <c r="C460" s="109" t="str">
        <f>VLOOKUP($A460,ANAGRAFICA!$B$1:$G$306,3,FALSE)</f>
        <v>SALVATORE</v>
      </c>
      <c r="D460" s="109" t="str">
        <f>VLOOKUP($A460,ANAGRAFICA!$B$1:$G$306,4,FALSE)</f>
        <v>758-44</v>
      </c>
      <c r="E460" s="3">
        <v>3.272025071E9</v>
      </c>
      <c r="F460" s="57">
        <v>2025.0</v>
      </c>
      <c r="G460" s="3">
        <v>1.0</v>
      </c>
      <c r="H460" s="3" t="s">
        <v>603</v>
      </c>
      <c r="I460" s="148">
        <v>45964.0</v>
      </c>
      <c r="J460" s="3" t="s">
        <v>128</v>
      </c>
      <c r="K460" s="11" t="b">
        <v>1</v>
      </c>
    </row>
    <row r="461">
      <c r="A461" s="3">
        <v>2.125051424E9</v>
      </c>
      <c r="B461" s="109" t="str">
        <f>VLOOKUP($A461,ANAGRAFICA!$B$1:$G$306,2,FALSE)</f>
        <v>CASABURI</v>
      </c>
      <c r="C461" s="109" t="str">
        <f>VLOOKUP($A461,ANAGRAFICA!$B$1:$G$306,3,FALSE)</f>
        <v>ERRICO</v>
      </c>
      <c r="D461" s="109" t="str">
        <f>VLOOKUP($A461,ANAGRAFICA!$B$1:$G$306,4,FALSE)</f>
        <v>758-45</v>
      </c>
      <c r="E461" s="3">
        <v>3.272025072E9</v>
      </c>
      <c r="F461" s="57">
        <v>2025.0</v>
      </c>
      <c r="G461" s="3">
        <v>1.0</v>
      </c>
      <c r="H461" s="3" t="s">
        <v>613</v>
      </c>
      <c r="I461" s="148">
        <v>45999.0</v>
      </c>
      <c r="J461" s="3" t="s">
        <v>843</v>
      </c>
      <c r="K461" s="11" t="b">
        <v>1</v>
      </c>
    </row>
    <row r="462">
      <c r="A462" s="3">
        <v>2.125051424E9</v>
      </c>
      <c r="B462" s="109" t="str">
        <f>VLOOKUP($A462,ANAGRAFICA!$B$1:$G$306,2,FALSE)</f>
        <v>CASABURI</v>
      </c>
      <c r="C462" s="109" t="str">
        <f>VLOOKUP($A462,ANAGRAFICA!$B$1:$G$306,3,FALSE)</f>
        <v>ERRICO</v>
      </c>
      <c r="D462" s="109" t="str">
        <f>VLOOKUP($A462,ANAGRAFICA!$B$1:$G$306,4,FALSE)</f>
        <v>758-45</v>
      </c>
      <c r="E462" s="3">
        <v>3.272025072E9</v>
      </c>
      <c r="F462" s="3">
        <v>2025.0</v>
      </c>
      <c r="G462" s="3">
        <v>1.0</v>
      </c>
      <c r="H462" s="3" t="s">
        <v>614</v>
      </c>
      <c r="I462" s="148">
        <v>45999.0</v>
      </c>
      <c r="J462" s="3" t="s">
        <v>843</v>
      </c>
      <c r="K462" s="11" t="b">
        <v>1</v>
      </c>
    </row>
    <row r="463">
      <c r="A463" s="3">
        <v>2.125051424E9</v>
      </c>
      <c r="B463" s="109" t="str">
        <f>VLOOKUP($A463,ANAGRAFICA!$B$1:$G$306,2,FALSE)</f>
        <v>CASABURI</v>
      </c>
      <c r="C463" s="109" t="str">
        <f>VLOOKUP($A463,ANAGRAFICA!$B$1:$G$306,3,FALSE)</f>
        <v>ERRICO</v>
      </c>
      <c r="D463" s="109" t="str">
        <f>VLOOKUP($A463,ANAGRAFICA!$B$1:$G$306,4,FALSE)</f>
        <v>758-45</v>
      </c>
      <c r="E463" s="3">
        <v>3.272025072E9</v>
      </c>
      <c r="F463" s="3">
        <v>2025.0</v>
      </c>
      <c r="G463" s="3">
        <v>1.0</v>
      </c>
      <c r="H463" s="3" t="s">
        <v>648</v>
      </c>
      <c r="I463" s="148">
        <v>46000.0</v>
      </c>
      <c r="J463" s="3" t="s">
        <v>844</v>
      </c>
      <c r="K463" s="11" t="b">
        <v>1</v>
      </c>
    </row>
    <row r="464">
      <c r="A464" s="3">
        <v>2.125051424E9</v>
      </c>
      <c r="B464" s="109" t="str">
        <f>VLOOKUP($A464,ANAGRAFICA!$B$1:$G$306,2,FALSE)</f>
        <v>CASABURI</v>
      </c>
      <c r="C464" s="109" t="str">
        <f>VLOOKUP($A464,ANAGRAFICA!$B$1:$G$306,3,FALSE)</f>
        <v>ERRICO</v>
      </c>
      <c r="D464" s="109" t="str">
        <f>VLOOKUP($A464,ANAGRAFICA!$B$1:$G$306,4,FALSE)</f>
        <v>758-45</v>
      </c>
      <c r="E464" s="3">
        <v>3.272025072E9</v>
      </c>
      <c r="F464" s="3">
        <v>2025.0</v>
      </c>
      <c r="G464" s="3">
        <v>1.0</v>
      </c>
      <c r="H464" s="3" t="s">
        <v>607</v>
      </c>
      <c r="I464" s="148">
        <v>46000.0</v>
      </c>
      <c r="J464" s="3" t="s">
        <v>473</v>
      </c>
      <c r="K464" s="11" t="b">
        <v>1</v>
      </c>
    </row>
    <row r="465">
      <c r="A465" s="3">
        <v>2.125051424E9</v>
      </c>
      <c r="B465" s="109" t="str">
        <f>VLOOKUP($A465,ANAGRAFICA!$B$1:$G$306,2,FALSE)</f>
        <v>CASABURI</v>
      </c>
      <c r="C465" s="109" t="str">
        <f>VLOOKUP($A465,ANAGRAFICA!$B$1:$G$306,3,FALSE)</f>
        <v>ERRICO</v>
      </c>
      <c r="D465" s="109" t="str">
        <f>VLOOKUP($A465,ANAGRAFICA!$B$1:$G$306,4,FALSE)</f>
        <v>758-45</v>
      </c>
      <c r="E465" s="3">
        <v>3.272025072E9</v>
      </c>
      <c r="F465" s="3">
        <v>2025.0</v>
      </c>
      <c r="G465" s="3">
        <v>1.0</v>
      </c>
      <c r="H465" s="3" t="s">
        <v>648</v>
      </c>
      <c r="I465" s="148">
        <v>46000.0</v>
      </c>
      <c r="J465" s="3" t="s">
        <v>845</v>
      </c>
      <c r="K465" s="11" t="b">
        <v>1</v>
      </c>
    </row>
    <row r="466">
      <c r="A466" s="3">
        <v>2.125051424E9</v>
      </c>
      <c r="B466" s="109" t="str">
        <f>VLOOKUP($A466,ANAGRAFICA!$B$1:$G$306,2,FALSE)</f>
        <v>CASABURI</v>
      </c>
      <c r="C466" s="109" t="str">
        <f>VLOOKUP($A466,ANAGRAFICA!$B$1:$G$306,3,FALSE)</f>
        <v>ERRICO</v>
      </c>
      <c r="D466" s="109" t="str">
        <f>VLOOKUP($A466,ANAGRAFICA!$B$1:$G$306,4,FALSE)</f>
        <v>758-45</v>
      </c>
      <c r="E466" s="3">
        <v>3.272025072E9</v>
      </c>
      <c r="F466" s="3">
        <v>2025.0</v>
      </c>
      <c r="G466" s="3">
        <v>1.0</v>
      </c>
      <c r="H466" s="3" t="s">
        <v>648</v>
      </c>
      <c r="I466" s="148">
        <v>46001.0</v>
      </c>
      <c r="J466" s="3" t="s">
        <v>695</v>
      </c>
      <c r="K466" s="11" t="b">
        <v>1</v>
      </c>
    </row>
    <row r="467">
      <c r="A467" s="3">
        <v>2.125051424E9</v>
      </c>
      <c r="B467" s="109" t="str">
        <f>VLOOKUP($A467,ANAGRAFICA!$B$1:$G$306,2,FALSE)</f>
        <v>CASABURI</v>
      </c>
      <c r="C467" s="109" t="str">
        <f>VLOOKUP($A467,ANAGRAFICA!$B$1:$G$306,3,FALSE)</f>
        <v>ERRICO</v>
      </c>
      <c r="D467" s="109" t="str">
        <f>VLOOKUP($A467,ANAGRAFICA!$B$1:$G$306,4,FALSE)</f>
        <v>758-45</v>
      </c>
      <c r="E467" s="3">
        <v>3.272025072E9</v>
      </c>
      <c r="F467" s="3">
        <v>2025.0</v>
      </c>
      <c r="G467" s="3">
        <v>1.0</v>
      </c>
      <c r="H467" s="3" t="s">
        <v>648</v>
      </c>
      <c r="I467" s="148">
        <v>46002.0</v>
      </c>
      <c r="J467" s="3" t="s">
        <v>540</v>
      </c>
      <c r="K467" s="11" t="b">
        <v>1</v>
      </c>
    </row>
    <row r="468">
      <c r="A468" s="3">
        <v>2.125051424E9</v>
      </c>
      <c r="B468" s="109" t="str">
        <f>VLOOKUP($A468,ANAGRAFICA!$B$1:$G$306,2,FALSE)</f>
        <v>CASABURI</v>
      </c>
      <c r="C468" s="109" t="str">
        <f>VLOOKUP($A468,ANAGRAFICA!$B$1:$G$306,3,FALSE)</f>
        <v>ERRICO</v>
      </c>
      <c r="D468" s="109" t="str">
        <f>VLOOKUP($A468,ANAGRAFICA!$B$1:$G$306,4,FALSE)</f>
        <v>758-45</v>
      </c>
      <c r="E468" s="3">
        <v>3.272025072E9</v>
      </c>
      <c r="F468" s="3">
        <v>2025.0</v>
      </c>
      <c r="G468" s="3">
        <v>1.0</v>
      </c>
      <c r="H468" s="3" t="s">
        <v>648</v>
      </c>
      <c r="I468" s="148">
        <v>46003.0</v>
      </c>
      <c r="J468" s="3" t="s">
        <v>695</v>
      </c>
      <c r="K468" s="11" t="b">
        <v>1</v>
      </c>
    </row>
    <row r="469">
      <c r="A469" s="3">
        <v>2.125051424E9</v>
      </c>
      <c r="B469" s="109" t="str">
        <f>VLOOKUP($A469,ANAGRAFICA!$B$1:$G$306,2,FALSE)</f>
        <v>CASABURI</v>
      </c>
      <c r="C469" s="109" t="str">
        <f>VLOOKUP($A469,ANAGRAFICA!$B$1:$G$306,3,FALSE)</f>
        <v>ERRICO</v>
      </c>
      <c r="D469" s="109" t="str">
        <f>VLOOKUP($A469,ANAGRAFICA!$B$1:$G$306,4,FALSE)</f>
        <v>758-45</v>
      </c>
      <c r="E469" s="3">
        <v>3.272025072E9</v>
      </c>
      <c r="F469" s="3">
        <v>2025.0</v>
      </c>
      <c r="G469" s="3">
        <v>1.0</v>
      </c>
      <c r="H469" s="3" t="s">
        <v>613</v>
      </c>
      <c r="I469" s="148">
        <v>46003.0</v>
      </c>
      <c r="J469" s="3" t="s">
        <v>846</v>
      </c>
      <c r="K469" s="11" t="b">
        <v>1</v>
      </c>
    </row>
    <row r="470">
      <c r="A470" s="3">
        <v>2.125051424E9</v>
      </c>
      <c r="B470" s="109" t="str">
        <f>VLOOKUP($A470,ANAGRAFICA!$B$1:$G$306,2,FALSE)</f>
        <v>CASABURI</v>
      </c>
      <c r="C470" s="109" t="str">
        <f>VLOOKUP($A470,ANAGRAFICA!$B$1:$G$306,3,FALSE)</f>
        <v>ERRICO</v>
      </c>
      <c r="D470" s="109" t="str">
        <f>VLOOKUP($A470,ANAGRAFICA!$B$1:$G$306,4,FALSE)</f>
        <v>758-45</v>
      </c>
      <c r="E470" s="3">
        <v>3.272025072E9</v>
      </c>
      <c r="F470" s="3">
        <v>2025.0</v>
      </c>
      <c r="G470" s="3">
        <v>1.0</v>
      </c>
      <c r="H470" s="3" t="s">
        <v>614</v>
      </c>
      <c r="I470" s="148">
        <v>46003.0</v>
      </c>
      <c r="J470" s="3" t="s">
        <v>846</v>
      </c>
      <c r="K470" s="11" t="b">
        <v>1</v>
      </c>
    </row>
    <row r="471">
      <c r="A471" s="3">
        <v>2.1250527E9</v>
      </c>
      <c r="B471" s="109" t="str">
        <f>VLOOKUP($A471,ANAGRAFICA!$B$1:$G$306,2,FALSE)</f>
        <v>GADDA</v>
      </c>
      <c r="C471" s="109" t="str">
        <f>VLOOKUP($A471,ANAGRAFICA!$B$1:$G$306,3,FALSE)</f>
        <v>LILIANA</v>
      </c>
      <c r="D471" s="109" t="str">
        <f>VLOOKUP($A471,ANAGRAFICA!$B$1:$G$306,4,FALSE)</f>
        <v>758-46</v>
      </c>
      <c r="E471" s="3">
        <v>3.272025073E9</v>
      </c>
      <c r="F471" s="3">
        <v>2025.0</v>
      </c>
      <c r="G471" s="3">
        <v>1.0</v>
      </c>
      <c r="H471" s="3" t="s">
        <v>648</v>
      </c>
      <c r="I471" s="148">
        <v>46006.0</v>
      </c>
      <c r="J471" s="3" t="s">
        <v>847</v>
      </c>
      <c r="K471" s="11" t="b">
        <v>1</v>
      </c>
    </row>
    <row r="472">
      <c r="A472" s="3">
        <v>2.1250527E9</v>
      </c>
      <c r="B472" s="109" t="str">
        <f>VLOOKUP($A472,ANAGRAFICA!$B$1:$G$306,2,FALSE)</f>
        <v>GADDA</v>
      </c>
      <c r="C472" s="109" t="str">
        <f>VLOOKUP($A472,ANAGRAFICA!$B$1:$G$306,3,FALSE)</f>
        <v>LILIANA</v>
      </c>
      <c r="D472" s="109" t="str">
        <f>VLOOKUP($A472,ANAGRAFICA!$B$1:$G$306,4,FALSE)</f>
        <v>758-46</v>
      </c>
      <c r="E472" s="3">
        <v>3.272025073E9</v>
      </c>
      <c r="F472" s="3">
        <v>2025.0</v>
      </c>
      <c r="G472" s="3">
        <v>1.0</v>
      </c>
      <c r="H472" s="3" t="s">
        <v>613</v>
      </c>
      <c r="I472" s="148">
        <v>46006.0</v>
      </c>
      <c r="J472" s="3" t="s">
        <v>848</v>
      </c>
      <c r="K472" s="11" t="b">
        <v>1</v>
      </c>
    </row>
    <row r="473">
      <c r="A473" s="3">
        <v>2.1250527E9</v>
      </c>
      <c r="B473" s="109" t="str">
        <f>VLOOKUP($A473,ANAGRAFICA!$B$1:$G$306,2,FALSE)</f>
        <v>GADDA</v>
      </c>
      <c r="C473" s="109" t="str">
        <f>VLOOKUP($A473,ANAGRAFICA!$B$1:$G$306,3,FALSE)</f>
        <v>LILIANA</v>
      </c>
      <c r="D473" s="109" t="str">
        <f>VLOOKUP($A473,ANAGRAFICA!$B$1:$G$306,4,FALSE)</f>
        <v>758-46</v>
      </c>
      <c r="E473" s="3">
        <v>3.272025073E9</v>
      </c>
      <c r="F473" s="3">
        <v>2025.0</v>
      </c>
      <c r="G473" s="3">
        <v>1.0</v>
      </c>
      <c r="H473" s="3" t="s">
        <v>612</v>
      </c>
      <c r="I473" s="148">
        <v>46006.0</v>
      </c>
      <c r="J473" s="3" t="s">
        <v>849</v>
      </c>
      <c r="K473" s="11" t="b">
        <v>1</v>
      </c>
    </row>
    <row r="474">
      <c r="A474" s="3">
        <v>2.1250527E9</v>
      </c>
      <c r="B474" s="109" t="str">
        <f>VLOOKUP($A474,ANAGRAFICA!$B$1:$G$306,2,FALSE)</f>
        <v>GADDA</v>
      </c>
      <c r="C474" s="109" t="str">
        <f>VLOOKUP($A474,ANAGRAFICA!$B$1:$G$306,3,FALSE)</f>
        <v>LILIANA</v>
      </c>
      <c r="D474" s="109" t="str">
        <f>VLOOKUP($A474,ANAGRAFICA!$B$1:$G$306,4,FALSE)</f>
        <v>758-46</v>
      </c>
      <c r="E474" s="3">
        <v>3.272025073E9</v>
      </c>
      <c r="F474" s="3">
        <v>2025.0</v>
      </c>
      <c r="G474" s="3">
        <v>1.0</v>
      </c>
      <c r="H474" s="3" t="s">
        <v>613</v>
      </c>
      <c r="I474" s="148">
        <v>46006.0</v>
      </c>
      <c r="J474" s="3" t="s">
        <v>850</v>
      </c>
      <c r="K474" s="11" t="b">
        <v>1</v>
      </c>
    </row>
    <row r="475">
      <c r="A475" s="3">
        <v>2.1250527E9</v>
      </c>
      <c r="B475" s="109" t="str">
        <f>VLOOKUP($A475,ANAGRAFICA!$B$1:$G$306,2,FALSE)</f>
        <v>GADDA</v>
      </c>
      <c r="C475" s="109" t="str">
        <f>VLOOKUP($A475,ANAGRAFICA!$B$1:$G$306,3,FALSE)</f>
        <v>LILIANA</v>
      </c>
      <c r="D475" s="109" t="str">
        <f>VLOOKUP($A475,ANAGRAFICA!$B$1:$G$306,4,FALSE)</f>
        <v>758-46</v>
      </c>
      <c r="E475" s="3">
        <v>3.272025073E9</v>
      </c>
      <c r="F475" s="3">
        <v>2025.0</v>
      </c>
      <c r="G475" s="3">
        <v>1.0</v>
      </c>
      <c r="H475" s="3" t="s">
        <v>614</v>
      </c>
      <c r="I475" s="148">
        <v>46006.0</v>
      </c>
      <c r="J475" s="3" t="s">
        <v>850</v>
      </c>
      <c r="K475" s="11" t="b">
        <v>1</v>
      </c>
    </row>
    <row r="476">
      <c r="A476" s="3">
        <v>2.1250527E9</v>
      </c>
      <c r="B476" s="109" t="str">
        <f>VLOOKUP($A476,ANAGRAFICA!$B$1:$G$306,2,FALSE)</f>
        <v>GADDA</v>
      </c>
      <c r="C476" s="109" t="str">
        <f>VLOOKUP($A476,ANAGRAFICA!$B$1:$G$306,3,FALSE)</f>
        <v>LILIANA</v>
      </c>
      <c r="D476" s="109" t="str">
        <f>VLOOKUP($A476,ANAGRAFICA!$B$1:$G$306,4,FALSE)</f>
        <v>758-46</v>
      </c>
      <c r="E476" s="3">
        <v>3.272025073E9</v>
      </c>
      <c r="F476" s="3">
        <v>2025.0</v>
      </c>
      <c r="G476" s="3">
        <v>1.0</v>
      </c>
      <c r="H476" s="3" t="s">
        <v>851</v>
      </c>
      <c r="I476" s="148">
        <v>46007.0</v>
      </c>
      <c r="J476" s="3" t="s">
        <v>852</v>
      </c>
      <c r="K476" s="11" t="b">
        <v>1</v>
      </c>
    </row>
    <row r="477">
      <c r="A477" s="3">
        <v>2.1250527E9</v>
      </c>
      <c r="B477" s="109" t="str">
        <f>VLOOKUP($A477,ANAGRAFICA!$B$1:$G$306,2,FALSE)</f>
        <v>GADDA</v>
      </c>
      <c r="C477" s="109" t="str">
        <f>VLOOKUP($A477,ANAGRAFICA!$B$1:$G$306,3,FALSE)</f>
        <v>LILIANA</v>
      </c>
      <c r="D477" s="109" t="str">
        <f>VLOOKUP($A477,ANAGRAFICA!$B$1:$G$306,4,FALSE)</f>
        <v>758-46</v>
      </c>
      <c r="E477" s="3">
        <v>3.272025073E9</v>
      </c>
      <c r="F477" s="3">
        <v>2025.0</v>
      </c>
      <c r="G477" s="3">
        <v>1.0</v>
      </c>
      <c r="H477" s="3" t="s">
        <v>648</v>
      </c>
      <c r="I477" s="148">
        <v>46007.0</v>
      </c>
      <c r="J477" s="3" t="s">
        <v>454</v>
      </c>
      <c r="K477" s="11" t="b">
        <v>1</v>
      </c>
    </row>
    <row r="478">
      <c r="A478" s="3">
        <v>2.1250527E9</v>
      </c>
      <c r="B478" s="109" t="str">
        <f>VLOOKUP($A478,ANAGRAFICA!$B$1:$G$306,2,FALSE)</f>
        <v>GADDA</v>
      </c>
      <c r="C478" s="109" t="str">
        <f>VLOOKUP($A478,ANAGRAFICA!$B$1:$G$306,3,FALSE)</f>
        <v>LILIANA</v>
      </c>
      <c r="D478" s="109" t="str">
        <f>VLOOKUP($A478,ANAGRAFICA!$B$1:$G$306,4,FALSE)</f>
        <v>758-46</v>
      </c>
      <c r="E478" s="3">
        <v>3.272025073E9</v>
      </c>
      <c r="F478" s="3">
        <v>2025.0</v>
      </c>
      <c r="G478" s="3">
        <v>1.0</v>
      </c>
      <c r="H478" s="3" t="s">
        <v>674</v>
      </c>
      <c r="I478" s="148">
        <v>46007.0</v>
      </c>
      <c r="J478" s="3" t="s">
        <v>853</v>
      </c>
      <c r="K478" s="11" t="b">
        <v>1</v>
      </c>
    </row>
    <row r="479">
      <c r="A479" s="3">
        <v>2.1250527E9</v>
      </c>
      <c r="B479" s="109" t="str">
        <f>VLOOKUP($A479,ANAGRAFICA!$B$1:$G$306,2,FALSE)</f>
        <v>GADDA</v>
      </c>
      <c r="C479" s="109" t="str">
        <f>VLOOKUP($A479,ANAGRAFICA!$B$1:$G$306,3,FALSE)</f>
        <v>LILIANA</v>
      </c>
      <c r="D479" s="109" t="str">
        <f>VLOOKUP($A479,ANAGRAFICA!$B$1:$G$306,4,FALSE)</f>
        <v>758-46</v>
      </c>
      <c r="E479" s="3">
        <v>3.272025073E9</v>
      </c>
      <c r="F479" s="3">
        <v>2025.0</v>
      </c>
      <c r="G479" s="3">
        <v>1.0</v>
      </c>
      <c r="H479" s="3" t="s">
        <v>613</v>
      </c>
      <c r="I479" s="148">
        <v>46007.0</v>
      </c>
      <c r="J479" s="3" t="s">
        <v>426</v>
      </c>
      <c r="K479" s="11" t="b">
        <v>1</v>
      </c>
    </row>
    <row r="480">
      <c r="A480" s="3">
        <v>2.1250527E9</v>
      </c>
      <c r="B480" s="109" t="str">
        <f>VLOOKUP($A480,ANAGRAFICA!$B$1:$G$306,2,FALSE)</f>
        <v>GADDA</v>
      </c>
      <c r="C480" s="109" t="str">
        <f>VLOOKUP($A480,ANAGRAFICA!$B$1:$G$306,3,FALSE)</f>
        <v>LILIANA</v>
      </c>
      <c r="D480" s="109" t="str">
        <f>VLOOKUP($A480,ANAGRAFICA!$B$1:$G$306,4,FALSE)</f>
        <v>758-46</v>
      </c>
      <c r="E480" s="3">
        <v>3.272025073E9</v>
      </c>
      <c r="F480" s="3">
        <v>2025.0</v>
      </c>
      <c r="G480" s="3">
        <v>1.0</v>
      </c>
      <c r="H480" s="3" t="s">
        <v>756</v>
      </c>
      <c r="I480" s="148">
        <v>46007.0</v>
      </c>
      <c r="J480" s="3" t="s">
        <v>426</v>
      </c>
      <c r="K480" s="11" t="b">
        <v>1</v>
      </c>
    </row>
    <row r="481">
      <c r="A481" s="3">
        <v>2.1250527E9</v>
      </c>
      <c r="B481" s="109" t="str">
        <f>VLOOKUP($A481,ANAGRAFICA!$B$1:$G$306,2,FALSE)</f>
        <v>GADDA</v>
      </c>
      <c r="C481" s="109" t="str">
        <f>VLOOKUP($A481,ANAGRAFICA!$B$1:$G$306,3,FALSE)</f>
        <v>LILIANA</v>
      </c>
      <c r="D481" s="109" t="str">
        <f>VLOOKUP($A481,ANAGRAFICA!$B$1:$G$306,4,FALSE)</f>
        <v>758-46</v>
      </c>
      <c r="E481" s="3">
        <v>3.272025073E9</v>
      </c>
      <c r="F481" s="3">
        <v>2025.0</v>
      </c>
      <c r="G481" s="3">
        <v>1.0</v>
      </c>
      <c r="H481" s="3" t="s">
        <v>648</v>
      </c>
      <c r="I481" s="148">
        <v>46008.0</v>
      </c>
      <c r="J481" s="3" t="s">
        <v>726</v>
      </c>
      <c r="K481" s="11" t="b">
        <v>1</v>
      </c>
    </row>
    <row r="482">
      <c r="A482" s="3">
        <v>2.125053097E9</v>
      </c>
      <c r="B482" s="109" t="str">
        <f>VLOOKUP($A482,ANAGRAFICA!$B$1:$G$306,2,FALSE)</f>
        <v>LISSONI</v>
      </c>
      <c r="C482" s="109" t="str">
        <f>VLOOKUP($A482,ANAGRAFICA!$B$1:$G$306,3,FALSE)</f>
        <v>ALESSANDRA</v>
      </c>
      <c r="D482" s="109" t="str">
        <f>VLOOKUP($A482,ANAGRAFICA!$B$1:$G$306,4,FALSE)</f>
        <v>758-47</v>
      </c>
      <c r="E482" s="3">
        <v>3.272025074E9</v>
      </c>
      <c r="F482" s="3">
        <v>2025.0</v>
      </c>
      <c r="G482" s="3">
        <v>1.0</v>
      </c>
      <c r="H482" s="3" t="s">
        <v>648</v>
      </c>
      <c r="I482" s="148">
        <v>46010.0</v>
      </c>
      <c r="J482" s="3" t="s">
        <v>854</v>
      </c>
      <c r="K482" s="11" t="b">
        <v>1</v>
      </c>
    </row>
    <row r="483">
      <c r="A483" s="3">
        <v>2.125053097E9</v>
      </c>
      <c r="B483" s="109" t="str">
        <f>VLOOKUP($A483,ANAGRAFICA!$B$1:$G$306,2,FALSE)</f>
        <v>LISSONI</v>
      </c>
      <c r="C483" s="109" t="str">
        <f>VLOOKUP($A483,ANAGRAFICA!$B$1:$G$306,3,FALSE)</f>
        <v>ALESSANDRA</v>
      </c>
      <c r="D483" s="109" t="str">
        <f>VLOOKUP($A483,ANAGRAFICA!$B$1:$G$306,4,FALSE)</f>
        <v>758-47</v>
      </c>
      <c r="E483" s="3">
        <v>3.272025074E9</v>
      </c>
      <c r="F483" s="3">
        <v>2025.0</v>
      </c>
      <c r="G483" s="3">
        <v>1.0</v>
      </c>
      <c r="H483" s="3" t="s">
        <v>648</v>
      </c>
      <c r="I483" s="148">
        <v>46011.0</v>
      </c>
      <c r="J483" s="3" t="s">
        <v>724</v>
      </c>
      <c r="K483" s="11" t="b">
        <v>1</v>
      </c>
    </row>
    <row r="484">
      <c r="A484" s="3">
        <v>2.125053097E9</v>
      </c>
      <c r="B484" s="109" t="str">
        <f>VLOOKUP($A484,ANAGRAFICA!$B$1:$G$306,2,FALSE)</f>
        <v>LISSONI</v>
      </c>
      <c r="C484" s="109" t="str">
        <f>VLOOKUP($A484,ANAGRAFICA!$B$1:$G$306,3,FALSE)</f>
        <v>ALESSANDRA</v>
      </c>
      <c r="D484" s="109" t="str">
        <f>VLOOKUP($A484,ANAGRAFICA!$B$1:$G$306,4,FALSE)</f>
        <v>758-47</v>
      </c>
      <c r="E484" s="3">
        <v>3.272025074E9</v>
      </c>
      <c r="F484" s="3">
        <v>2025.0</v>
      </c>
      <c r="G484" s="3">
        <v>1.0</v>
      </c>
      <c r="H484" s="3" t="s">
        <v>648</v>
      </c>
      <c r="I484" s="148">
        <v>46012.0</v>
      </c>
      <c r="J484" s="3" t="s">
        <v>817</v>
      </c>
      <c r="K484" s="11" t="b">
        <v>1</v>
      </c>
    </row>
    <row r="485">
      <c r="A485" s="3">
        <v>2.125053097E9</v>
      </c>
      <c r="B485" s="109" t="str">
        <f>VLOOKUP($A485,ANAGRAFICA!$B$1:$G$306,2,FALSE)</f>
        <v>LISSONI</v>
      </c>
      <c r="C485" s="109" t="str">
        <f>VLOOKUP($A485,ANAGRAFICA!$B$1:$G$306,3,FALSE)</f>
        <v>ALESSANDRA</v>
      </c>
      <c r="D485" s="109" t="str">
        <f>VLOOKUP($A485,ANAGRAFICA!$B$1:$G$306,4,FALSE)</f>
        <v>758-47</v>
      </c>
      <c r="E485" s="3">
        <v>3.272025074E9</v>
      </c>
      <c r="F485" s="3">
        <v>2025.0</v>
      </c>
      <c r="G485" s="3">
        <v>1.0</v>
      </c>
      <c r="H485" s="3" t="s">
        <v>648</v>
      </c>
      <c r="I485" s="148" t="s">
        <v>855</v>
      </c>
      <c r="J485" s="3" t="s">
        <v>856</v>
      </c>
      <c r="K485" s="11" t="b">
        <v>1</v>
      </c>
    </row>
    <row r="486">
      <c r="A486" s="3">
        <v>2.125053097E9</v>
      </c>
      <c r="B486" s="109" t="str">
        <f>VLOOKUP($A486,ANAGRAFICA!$B$1:$G$306,2,FALSE)</f>
        <v>LISSONI</v>
      </c>
      <c r="C486" s="109" t="str">
        <f>VLOOKUP($A486,ANAGRAFICA!$B$1:$G$306,3,FALSE)</f>
        <v>ALESSANDRA</v>
      </c>
      <c r="D486" s="109" t="str">
        <f>VLOOKUP($A486,ANAGRAFICA!$B$1:$G$306,4,FALSE)</f>
        <v>758-47</v>
      </c>
      <c r="E486" s="3">
        <v>3.272025074E9</v>
      </c>
      <c r="F486" s="3">
        <v>2025.0</v>
      </c>
      <c r="G486" s="3">
        <v>1.0</v>
      </c>
      <c r="H486" s="3" t="s">
        <v>648</v>
      </c>
      <c r="I486" s="148">
        <v>46015.0</v>
      </c>
      <c r="J486" s="3" t="s">
        <v>857</v>
      </c>
      <c r="K486" s="11" t="b">
        <v>1</v>
      </c>
    </row>
    <row r="487">
      <c r="A487" s="3">
        <v>2.125053097E9</v>
      </c>
      <c r="B487" s="109" t="str">
        <f>VLOOKUP($A487,ANAGRAFICA!$B$1:$G$306,2,FALSE)</f>
        <v>LISSONI</v>
      </c>
      <c r="C487" s="109" t="str">
        <f>VLOOKUP($A487,ANAGRAFICA!$B$1:$G$306,3,FALSE)</f>
        <v>ALESSANDRA</v>
      </c>
      <c r="D487" s="109" t="str">
        <f>VLOOKUP($A487,ANAGRAFICA!$B$1:$G$306,4,FALSE)</f>
        <v>758-47</v>
      </c>
      <c r="E487" s="3">
        <v>3.272025074E9</v>
      </c>
      <c r="F487" s="3">
        <v>2025.0</v>
      </c>
      <c r="G487" s="3">
        <v>1.0</v>
      </c>
      <c r="H487" s="3" t="s">
        <v>648</v>
      </c>
      <c r="I487" s="148">
        <v>46016.0</v>
      </c>
      <c r="J487" s="3" t="s">
        <v>720</v>
      </c>
      <c r="K487" s="11" t="b">
        <v>1</v>
      </c>
    </row>
    <row r="488">
      <c r="A488" s="3">
        <v>2.125053097E9</v>
      </c>
      <c r="B488" s="109" t="str">
        <f>VLOOKUP($A488,ANAGRAFICA!$B$1:$G$306,2,FALSE)</f>
        <v>LISSONI</v>
      </c>
      <c r="C488" s="109" t="str">
        <f>VLOOKUP($A488,ANAGRAFICA!$B$1:$G$306,3,FALSE)</f>
        <v>ALESSANDRA</v>
      </c>
      <c r="D488" s="109" t="str">
        <f>VLOOKUP($A488,ANAGRAFICA!$B$1:$G$306,4,FALSE)</f>
        <v>758-47</v>
      </c>
      <c r="E488" s="3">
        <v>3.272025074E9</v>
      </c>
      <c r="F488" s="3">
        <v>2025.0</v>
      </c>
      <c r="G488" s="3">
        <v>1.0</v>
      </c>
      <c r="H488" s="3" t="s">
        <v>648</v>
      </c>
      <c r="I488" s="148">
        <v>46020.0</v>
      </c>
      <c r="J488" s="3" t="s">
        <v>104</v>
      </c>
      <c r="K488" s="11" t="b">
        <v>1</v>
      </c>
    </row>
    <row r="489">
      <c r="A489" s="3">
        <v>2.125053097E9</v>
      </c>
      <c r="B489" s="109" t="str">
        <f>VLOOKUP($A489,ANAGRAFICA!$B$1:$G$306,2,FALSE)</f>
        <v>LISSONI</v>
      </c>
      <c r="C489" s="109" t="str">
        <f>VLOOKUP($A489,ANAGRAFICA!$B$1:$G$306,3,FALSE)</f>
        <v>ALESSANDRA</v>
      </c>
      <c r="D489" s="109" t="str">
        <f>VLOOKUP($A489,ANAGRAFICA!$B$1:$G$306,4,FALSE)</f>
        <v>758-47</v>
      </c>
      <c r="E489" s="3">
        <v>3.272025074E9</v>
      </c>
      <c r="F489" s="3">
        <v>2025.0</v>
      </c>
      <c r="G489" s="3">
        <v>1.0</v>
      </c>
      <c r="H489" s="3" t="s">
        <v>648</v>
      </c>
      <c r="I489" s="148">
        <v>46019.0</v>
      </c>
      <c r="J489" s="3" t="s">
        <v>739</v>
      </c>
      <c r="K489" s="11" t="b">
        <v>1</v>
      </c>
    </row>
    <row r="490">
      <c r="A490" s="3">
        <v>2.125053097E9</v>
      </c>
      <c r="B490" s="109" t="str">
        <f>VLOOKUP($A490,ANAGRAFICA!$B$1:$G$306,2,FALSE)</f>
        <v>LISSONI</v>
      </c>
      <c r="C490" s="109" t="str">
        <f>VLOOKUP($A490,ANAGRAFICA!$B$1:$G$306,3,FALSE)</f>
        <v>ALESSANDRA</v>
      </c>
      <c r="D490" s="109" t="str">
        <f>VLOOKUP($A490,ANAGRAFICA!$B$1:$G$306,4,FALSE)</f>
        <v>758-47</v>
      </c>
      <c r="E490" s="3">
        <v>3.272025074E9</v>
      </c>
      <c r="F490" s="3">
        <v>2025.0</v>
      </c>
      <c r="G490" s="3">
        <v>1.0</v>
      </c>
      <c r="H490" s="3" t="s">
        <v>635</v>
      </c>
      <c r="I490" s="148">
        <v>46010.0</v>
      </c>
      <c r="J490" s="3" t="s">
        <v>858</v>
      </c>
      <c r="K490" s="11" t="b">
        <v>1</v>
      </c>
    </row>
    <row r="491">
      <c r="A491" s="3">
        <v>2.125053097E9</v>
      </c>
      <c r="B491" s="109" t="str">
        <f>VLOOKUP($A491,ANAGRAFICA!$B$1:$G$306,2,FALSE)</f>
        <v>LISSONI</v>
      </c>
      <c r="C491" s="109" t="str">
        <f>VLOOKUP($A491,ANAGRAFICA!$B$1:$G$306,3,FALSE)</f>
        <v>ALESSANDRA</v>
      </c>
      <c r="D491" s="109" t="str">
        <f>VLOOKUP($A491,ANAGRAFICA!$B$1:$G$306,4,FALSE)</f>
        <v>758-47</v>
      </c>
      <c r="E491" s="3">
        <v>3.272025074E9</v>
      </c>
      <c r="F491" s="3">
        <v>2025.0</v>
      </c>
      <c r="G491" s="3">
        <v>1.0</v>
      </c>
      <c r="H491" s="3" t="s">
        <v>859</v>
      </c>
      <c r="I491" s="76">
        <v>46010.0</v>
      </c>
      <c r="J491" s="3" t="s">
        <v>860</v>
      </c>
      <c r="K491" s="11" t="b">
        <v>1</v>
      </c>
    </row>
    <row r="492">
      <c r="A492" s="3">
        <v>2.125053097E9</v>
      </c>
      <c r="B492" s="109" t="str">
        <f>VLOOKUP($A492,ANAGRAFICA!$B$1:$G$306,2,FALSE)</f>
        <v>LISSONI</v>
      </c>
      <c r="C492" s="109" t="str">
        <f>VLOOKUP($A492,ANAGRAFICA!$B$1:$G$306,3,FALSE)</f>
        <v>ALESSANDRA</v>
      </c>
      <c r="D492" s="109" t="str">
        <f>VLOOKUP($A492,ANAGRAFICA!$B$1:$G$306,4,FALSE)</f>
        <v>758-47</v>
      </c>
      <c r="E492" s="3">
        <v>3.272025074E9</v>
      </c>
      <c r="F492" s="3">
        <v>2025.0</v>
      </c>
      <c r="G492" s="3">
        <v>1.0</v>
      </c>
      <c r="H492" s="3" t="s">
        <v>635</v>
      </c>
      <c r="I492" s="148">
        <v>46011.0</v>
      </c>
      <c r="J492" s="3" t="s">
        <v>765</v>
      </c>
      <c r="K492" s="11" t="b">
        <v>1</v>
      </c>
    </row>
    <row r="493">
      <c r="A493" s="3">
        <v>2.125053097E9</v>
      </c>
      <c r="B493" s="109" t="str">
        <f>VLOOKUP($A493,ANAGRAFICA!$B$1:$G$306,2,FALSE)</f>
        <v>LISSONI</v>
      </c>
      <c r="C493" s="109" t="str">
        <f>VLOOKUP($A493,ANAGRAFICA!$B$1:$G$306,3,FALSE)</f>
        <v>ALESSANDRA</v>
      </c>
      <c r="D493" s="109" t="str">
        <f>VLOOKUP($A493,ANAGRAFICA!$B$1:$G$306,4,FALSE)</f>
        <v>758-47</v>
      </c>
      <c r="E493" s="3">
        <v>3.272025074E9</v>
      </c>
      <c r="F493" s="3">
        <v>2025.0</v>
      </c>
      <c r="G493" s="3">
        <v>1.0</v>
      </c>
      <c r="H493" s="3" t="s">
        <v>613</v>
      </c>
      <c r="I493" s="76">
        <v>46013.0</v>
      </c>
      <c r="J493" s="3" t="s">
        <v>861</v>
      </c>
      <c r="K493" s="11" t="b">
        <v>1</v>
      </c>
    </row>
    <row r="494">
      <c r="A494" s="3">
        <v>2.125053097E9</v>
      </c>
      <c r="B494" s="109" t="str">
        <f>VLOOKUP($A494,ANAGRAFICA!$B$1:$G$306,2,FALSE)</f>
        <v>LISSONI</v>
      </c>
      <c r="C494" s="109" t="str">
        <f>VLOOKUP($A494,ANAGRAFICA!$B$1:$G$306,3,FALSE)</f>
        <v>ALESSANDRA</v>
      </c>
      <c r="D494" s="109" t="str">
        <f>VLOOKUP($A494,ANAGRAFICA!$B$1:$G$306,4,FALSE)</f>
        <v>758-47</v>
      </c>
      <c r="E494" s="3">
        <v>3.272025074E9</v>
      </c>
      <c r="F494" s="3">
        <v>2025.0</v>
      </c>
      <c r="G494" s="3">
        <v>1.0</v>
      </c>
      <c r="H494" s="3" t="s">
        <v>614</v>
      </c>
      <c r="I494" s="148">
        <v>46013.0</v>
      </c>
      <c r="J494" s="3" t="s">
        <v>861</v>
      </c>
      <c r="K494" s="11" t="b">
        <v>1</v>
      </c>
    </row>
    <row r="495">
      <c r="A495" s="3">
        <v>2.125053097E9</v>
      </c>
      <c r="B495" s="109" t="str">
        <f>VLOOKUP($A495,ANAGRAFICA!$B$1:$G$306,2,FALSE)</f>
        <v>LISSONI</v>
      </c>
      <c r="C495" s="109" t="str">
        <f>VLOOKUP($A495,ANAGRAFICA!$B$1:$G$306,3,FALSE)</f>
        <v>ALESSANDRA</v>
      </c>
      <c r="D495" s="109" t="str">
        <f>VLOOKUP($A495,ANAGRAFICA!$B$1:$G$306,4,FALSE)</f>
        <v>758-47</v>
      </c>
      <c r="E495" s="3">
        <v>3.272025074E9</v>
      </c>
      <c r="F495" s="3">
        <v>2025.0</v>
      </c>
      <c r="G495" s="3">
        <v>1.0</v>
      </c>
      <c r="H495" s="3" t="s">
        <v>612</v>
      </c>
      <c r="I495" s="148">
        <v>46013.0</v>
      </c>
      <c r="J495" s="3" t="s">
        <v>861</v>
      </c>
      <c r="K495" s="11" t="b">
        <v>1</v>
      </c>
    </row>
    <row r="496">
      <c r="A496" s="3">
        <v>2.125053097E9</v>
      </c>
      <c r="B496" s="109" t="str">
        <f>VLOOKUP($A496,ANAGRAFICA!$B$1:$G$306,2,FALSE)</f>
        <v>LISSONI</v>
      </c>
      <c r="C496" s="109" t="str">
        <f>VLOOKUP($A496,ANAGRAFICA!$B$1:$G$306,3,FALSE)</f>
        <v>ALESSANDRA</v>
      </c>
      <c r="D496" s="109" t="str">
        <f>VLOOKUP($A496,ANAGRAFICA!$B$1:$G$306,4,FALSE)</f>
        <v>758-47</v>
      </c>
      <c r="E496" s="3">
        <v>3.272025074E9</v>
      </c>
      <c r="F496" s="3">
        <v>2025.0</v>
      </c>
      <c r="G496" s="3">
        <v>1.0</v>
      </c>
      <c r="H496" s="3" t="s">
        <v>674</v>
      </c>
      <c r="I496" s="148">
        <v>46015.0</v>
      </c>
      <c r="J496" s="3" t="s">
        <v>862</v>
      </c>
      <c r="K496" s="11" t="b">
        <v>1</v>
      </c>
    </row>
    <row r="497">
      <c r="A497" s="3">
        <v>2.125053097E9</v>
      </c>
      <c r="B497" s="109" t="str">
        <f>VLOOKUP($A497,ANAGRAFICA!$B$1:$G$306,2,FALSE)</f>
        <v>LISSONI</v>
      </c>
      <c r="C497" s="109" t="str">
        <f>VLOOKUP($A497,ANAGRAFICA!$B$1:$G$306,3,FALSE)</f>
        <v>ALESSANDRA</v>
      </c>
      <c r="D497" s="109" t="str">
        <f>VLOOKUP($A497,ANAGRAFICA!$B$1:$G$306,4,FALSE)</f>
        <v>758-47</v>
      </c>
      <c r="E497" s="3">
        <v>3.272025074E9</v>
      </c>
      <c r="F497" s="3">
        <v>2025.0</v>
      </c>
      <c r="G497" s="3">
        <v>1.0</v>
      </c>
      <c r="H497" s="3" t="s">
        <v>618</v>
      </c>
      <c r="I497" s="148">
        <v>46009.0</v>
      </c>
      <c r="J497" s="3" t="s">
        <v>349</v>
      </c>
      <c r="K497" s="11" t="b">
        <v>1</v>
      </c>
    </row>
    <row r="498">
      <c r="A498" s="3">
        <v>2.125053589E9</v>
      </c>
      <c r="B498" s="109" t="str">
        <f>VLOOKUP($A498,ANAGRAFICA!$B$1:$G$306,2,FALSE)</f>
        <v>HU</v>
      </c>
      <c r="C498" s="109" t="str">
        <f>VLOOKUP($A498,ANAGRAFICA!$B$1:$G$306,3,FALSE)</f>
        <v>LIBEI</v>
      </c>
      <c r="D498" s="109" t="str">
        <f>VLOOKUP($A498,ANAGRAFICA!$B$1:$G$306,4,FALSE)</f>
        <v>758-48</v>
      </c>
      <c r="F498" s="3">
        <v>2025.0</v>
      </c>
      <c r="H498" s="117"/>
      <c r="I498" s="148"/>
      <c r="K498" s="11" t="b">
        <v>0</v>
      </c>
    </row>
    <row r="499">
      <c r="A499" s="3">
        <v>2.126005799E9</v>
      </c>
      <c r="B499" s="109" t="str">
        <f>VLOOKUP($A499,ANAGRAFICA!$B$1:$G$306,2,FALSE)</f>
        <v>MAIORANO</v>
      </c>
      <c r="C499" s="109" t="str">
        <f>VLOOKUP($A499,ANAGRAFICA!$B$1:$G$306,3,FALSE)</f>
        <v>IOLANDA MARIA</v>
      </c>
      <c r="D499" s="109" t="str">
        <f>VLOOKUP($A499,ANAGRAFICA!$B$1:$G$306,4,FALSE)</f>
        <v>758-56</v>
      </c>
      <c r="F499" s="3">
        <v>2026.0</v>
      </c>
      <c r="G499" s="3">
        <v>1.0</v>
      </c>
      <c r="H499" s="3" t="s">
        <v>648</v>
      </c>
      <c r="I499" s="148">
        <v>46064.0</v>
      </c>
      <c r="K499" s="11" t="b">
        <v>0</v>
      </c>
    </row>
    <row r="500">
      <c r="A500" s="3">
        <v>2.126002771E9</v>
      </c>
      <c r="B500" s="109" t="str">
        <f>VLOOKUP($A500,ANAGRAFICA!$B$1:$G$306,2,FALSE)</f>
        <v>LONGOBARDI</v>
      </c>
      <c r="C500" s="109" t="str">
        <f>VLOOKUP($A500,ANAGRAFICA!$B$1:$G$306,3,FALSE)</f>
        <v>FRANCESCO</v>
      </c>
      <c r="D500" s="109" t="str">
        <f>VLOOKUP($A500,ANAGRAFICA!$B$1:$G$306,4,FALSE)</f>
        <v>758-52</v>
      </c>
      <c r="F500" s="3">
        <v>2026.0</v>
      </c>
      <c r="G500" s="3">
        <v>1.0</v>
      </c>
      <c r="H500" s="3" t="s">
        <v>612</v>
      </c>
      <c r="I500" s="148">
        <v>46046.0</v>
      </c>
      <c r="J500" s="3" t="s">
        <v>863</v>
      </c>
      <c r="K500" s="11" t="b">
        <v>1</v>
      </c>
    </row>
    <row r="501">
      <c r="A501" s="3">
        <v>2.126001104E9</v>
      </c>
      <c r="B501" s="109" t="str">
        <f>VLOOKUP($A501,ANAGRAFICA!$B$1:$G$306,2,FALSE)</f>
        <v>LOREGGIA</v>
      </c>
      <c r="C501" s="109" t="str">
        <f>VLOOKUP($A501,ANAGRAFICA!$B$1:$G$306,3,FALSE)</f>
        <v>GIAN MARCO</v>
      </c>
      <c r="D501" s="109" t="str">
        <f>VLOOKUP($A501,ANAGRAFICA!$B$1:$G$306,4,FALSE)</f>
        <v>758-51</v>
      </c>
      <c r="F501" s="3">
        <v>2026.0</v>
      </c>
      <c r="G501" s="3">
        <v>1.0</v>
      </c>
      <c r="H501" s="3" t="s">
        <v>618</v>
      </c>
      <c r="I501" s="148">
        <v>46033.0</v>
      </c>
      <c r="J501" s="3" t="s">
        <v>864</v>
      </c>
      <c r="K501" s="11" t="b">
        <v>1</v>
      </c>
    </row>
    <row r="502">
      <c r="A502" s="3">
        <v>2.126001104E9</v>
      </c>
      <c r="B502" s="109" t="str">
        <f>VLOOKUP($A502,ANAGRAFICA!$B$1:$G$306,2,FALSE)</f>
        <v>LOREGGIA</v>
      </c>
      <c r="C502" s="109" t="str">
        <f>VLOOKUP($A502,ANAGRAFICA!$B$1:$G$306,3,FALSE)</f>
        <v>GIAN MARCO</v>
      </c>
      <c r="D502" s="109" t="str">
        <f>VLOOKUP($A502,ANAGRAFICA!$B$1:$G$306,4,FALSE)</f>
        <v>758-51</v>
      </c>
      <c r="F502" s="3">
        <v>2026.0</v>
      </c>
      <c r="G502" s="3">
        <v>1.0</v>
      </c>
      <c r="H502" s="3" t="s">
        <v>648</v>
      </c>
      <c r="I502" s="148">
        <v>46033.0</v>
      </c>
      <c r="J502" s="3" t="s">
        <v>865</v>
      </c>
      <c r="K502" s="11" t="b">
        <v>1</v>
      </c>
    </row>
    <row r="503">
      <c r="A503" s="3">
        <v>2.126001104E9</v>
      </c>
      <c r="B503" s="109" t="str">
        <f>VLOOKUP($A503,ANAGRAFICA!$B$1:$G$306,2,FALSE)</f>
        <v>LOREGGIA</v>
      </c>
      <c r="C503" s="109" t="str">
        <f>VLOOKUP($A503,ANAGRAFICA!$B$1:$G$306,3,FALSE)</f>
        <v>GIAN MARCO</v>
      </c>
      <c r="D503" s="109" t="str">
        <f>VLOOKUP($A503,ANAGRAFICA!$B$1:$G$306,4,FALSE)</f>
        <v>758-51</v>
      </c>
      <c r="F503" s="3">
        <v>2026.0</v>
      </c>
      <c r="G503" s="3">
        <v>1.0</v>
      </c>
      <c r="H503" s="3" t="s">
        <v>648</v>
      </c>
      <c r="I503" s="148">
        <v>46034.0</v>
      </c>
      <c r="J503" s="3" t="s">
        <v>760</v>
      </c>
      <c r="K503" s="11" t="b">
        <v>1</v>
      </c>
    </row>
    <row r="504">
      <c r="A504" s="3"/>
      <c r="B504" s="109" t="str">
        <f>VLOOKUP($A504,ANAGRAFICA!$B$1:$G$306,2,FALSE)</f>
        <v>#N/A</v>
      </c>
      <c r="C504" s="109" t="str">
        <f>VLOOKUP($A504,ANAGRAFICA!$B$1:$G$306,3,FALSE)</f>
        <v>#N/A</v>
      </c>
      <c r="D504" s="109" t="str">
        <f>VLOOKUP($A504,ANAGRAFICA!$B$1:$G$306,4,FALSE)</f>
        <v>#N/A</v>
      </c>
      <c r="H504" s="3"/>
      <c r="I504" s="155"/>
      <c r="K504" s="11" t="b">
        <v>0</v>
      </c>
    </row>
    <row r="505">
      <c r="A505" s="3"/>
      <c r="B505" s="109" t="str">
        <f>VLOOKUP($A505,ANAGRAFICA!$B$1:$G$306,2,FALSE)</f>
        <v>#N/A</v>
      </c>
      <c r="C505" s="109" t="str">
        <f>VLOOKUP($A505,ANAGRAFICA!$B$1:$G$306,3,FALSE)</f>
        <v>#N/A</v>
      </c>
      <c r="D505" s="109" t="str">
        <f>VLOOKUP($A505,ANAGRAFICA!$B$1:$G$306,4,FALSE)</f>
        <v>#N/A</v>
      </c>
      <c r="H505" s="3"/>
      <c r="I505" s="155"/>
      <c r="K505" s="11" t="b">
        <v>0</v>
      </c>
    </row>
    <row r="506">
      <c r="A506" s="3"/>
      <c r="B506" s="109" t="str">
        <f>VLOOKUP($A506,ANAGRAFICA!$B$1:$G$306,2,FALSE)</f>
        <v>#N/A</v>
      </c>
      <c r="C506" s="109" t="str">
        <f>VLOOKUP($A506,ANAGRAFICA!$B$1:$G$306,3,FALSE)</f>
        <v>#N/A</v>
      </c>
      <c r="D506" s="109" t="str">
        <f>VLOOKUP($A506,ANAGRAFICA!$B$1:$G$306,4,FALSE)</f>
        <v>#N/A</v>
      </c>
      <c r="H506" s="3"/>
      <c r="I506" s="155"/>
      <c r="K506" s="11" t="b">
        <v>0</v>
      </c>
    </row>
    <row r="507">
      <c r="A507" s="3"/>
      <c r="B507" s="109" t="str">
        <f>VLOOKUP($A507,ANAGRAFICA!$B$1:$G$306,2,FALSE)</f>
        <v>#N/A</v>
      </c>
      <c r="C507" s="109" t="str">
        <f>VLOOKUP($A507,ANAGRAFICA!$B$1:$G$306,3,FALSE)</f>
        <v>#N/A</v>
      </c>
      <c r="D507" s="109" t="str">
        <f>VLOOKUP($A507,ANAGRAFICA!$B$1:$G$306,4,FALSE)</f>
        <v>#N/A</v>
      </c>
      <c r="H507" s="3"/>
      <c r="I507" s="155"/>
      <c r="K507" s="11" t="b">
        <v>0</v>
      </c>
    </row>
    <row r="508">
      <c r="A508" s="3"/>
      <c r="B508" s="109" t="str">
        <f>VLOOKUP($A508,ANAGRAFICA!$B$1:$G$306,2,FALSE)</f>
        <v>#N/A</v>
      </c>
      <c r="C508" s="109" t="str">
        <f>VLOOKUP($A508,ANAGRAFICA!$B$1:$G$306,3,FALSE)</f>
        <v>#N/A</v>
      </c>
      <c r="D508" s="109" t="str">
        <f>VLOOKUP($A508,ANAGRAFICA!$B$1:$G$306,4,FALSE)</f>
        <v>#N/A</v>
      </c>
      <c r="H508" s="3"/>
      <c r="I508" s="155"/>
      <c r="K508" s="11" t="b">
        <v>0</v>
      </c>
    </row>
    <row r="509">
      <c r="A509" s="3"/>
      <c r="B509" s="109" t="str">
        <f>VLOOKUP($A509,ANAGRAFICA!$B$1:$G$306,2,FALSE)</f>
        <v>#N/A</v>
      </c>
      <c r="C509" s="109" t="str">
        <f>VLOOKUP($A509,ANAGRAFICA!$B$1:$G$306,3,FALSE)</f>
        <v>#N/A</v>
      </c>
      <c r="D509" s="109" t="str">
        <f>VLOOKUP($A509,ANAGRAFICA!$B$1:$G$306,4,FALSE)</f>
        <v>#N/A</v>
      </c>
      <c r="H509" s="3"/>
      <c r="I509" s="155"/>
      <c r="K509" s="11" t="b">
        <v>0</v>
      </c>
    </row>
    <row r="510">
      <c r="A510" s="3"/>
      <c r="B510" s="109" t="str">
        <f>VLOOKUP($A510,ANAGRAFICA!$B$1:$G$306,2,FALSE)</f>
        <v>#N/A</v>
      </c>
      <c r="C510" s="109" t="str">
        <f>VLOOKUP($A510,ANAGRAFICA!$B$1:$G$306,3,FALSE)</f>
        <v>#N/A</v>
      </c>
      <c r="D510" s="109" t="str">
        <f>VLOOKUP($A510,ANAGRAFICA!$B$1:$G$306,4,FALSE)</f>
        <v>#N/A</v>
      </c>
      <c r="H510" s="3"/>
      <c r="I510" s="155"/>
      <c r="K510" s="11" t="b">
        <v>0</v>
      </c>
    </row>
    <row r="511">
      <c r="A511" s="3"/>
      <c r="B511" s="109" t="str">
        <f>VLOOKUP($A511,ANAGRAFICA!$B$1:$G$306,2,FALSE)</f>
        <v>#N/A</v>
      </c>
      <c r="C511" s="109" t="str">
        <f>VLOOKUP($A511,ANAGRAFICA!$B$1:$G$306,3,FALSE)</f>
        <v>#N/A</v>
      </c>
      <c r="D511" s="109" t="str">
        <f>VLOOKUP($A511,ANAGRAFICA!$B$1:$G$306,4,FALSE)</f>
        <v>#N/A</v>
      </c>
      <c r="H511" s="3"/>
      <c r="I511" s="155"/>
      <c r="K511" s="11" t="b">
        <v>0</v>
      </c>
    </row>
    <row r="512">
      <c r="A512" s="3"/>
      <c r="B512" s="109" t="str">
        <f>VLOOKUP($A512,ANAGRAFICA!$B$1:$G$306,2,FALSE)</f>
        <v>#N/A</v>
      </c>
      <c r="C512" s="109" t="str">
        <f>VLOOKUP($A512,ANAGRAFICA!$B$1:$G$306,3,FALSE)</f>
        <v>#N/A</v>
      </c>
      <c r="D512" s="109" t="str">
        <f>VLOOKUP($A512,ANAGRAFICA!$B$1:$G$306,4,FALSE)</f>
        <v>#N/A</v>
      </c>
      <c r="H512" s="3"/>
      <c r="I512" s="155"/>
      <c r="K512" s="11" t="b">
        <v>0</v>
      </c>
    </row>
    <row r="513">
      <c r="A513" s="3"/>
      <c r="B513" s="109" t="str">
        <f>VLOOKUP($A513,ANAGRAFICA!$B$1:$G$306,2,FALSE)</f>
        <v>#N/A</v>
      </c>
      <c r="C513" s="109" t="str">
        <f>VLOOKUP($A513,ANAGRAFICA!$B$1:$G$306,3,FALSE)</f>
        <v>#N/A</v>
      </c>
      <c r="D513" s="109" t="str">
        <f>VLOOKUP($A513,ANAGRAFICA!$B$1:$G$306,4,FALSE)</f>
        <v>#N/A</v>
      </c>
      <c r="H513" s="3"/>
      <c r="I513" s="155"/>
      <c r="K513" s="11" t="b">
        <v>0</v>
      </c>
    </row>
    <row r="514">
      <c r="D514" s="109" t="str">
        <f>VLOOKUP($A514,ANAGRAFICA!$B$1:$G$306,4,FALSE)</f>
        <v>#N/A</v>
      </c>
      <c r="H514" s="3"/>
      <c r="I514" s="155"/>
      <c r="K514" s="11" t="b">
        <v>0</v>
      </c>
    </row>
    <row r="515">
      <c r="D515" s="109" t="str">
        <f>VLOOKUP($A515,ANAGRAFICA!$B$1:$G$306,4,FALSE)</f>
        <v>#N/A</v>
      </c>
      <c r="H515" s="3"/>
      <c r="I515" s="155"/>
      <c r="K515" s="11" t="b">
        <v>0</v>
      </c>
    </row>
    <row r="516">
      <c r="D516" s="109" t="str">
        <f>VLOOKUP($A516,ANAGRAFICA!$B$1:$G$306,4,FALSE)</f>
        <v>#N/A</v>
      </c>
      <c r="H516" s="3"/>
      <c r="I516" s="155"/>
      <c r="K516" s="11" t="b">
        <v>0</v>
      </c>
    </row>
    <row r="517">
      <c r="D517" s="109" t="str">
        <f>VLOOKUP($A517,ANAGRAFICA!$B$1:$G$306,4,FALSE)</f>
        <v>#N/A</v>
      </c>
      <c r="H517" s="3"/>
      <c r="I517" s="155"/>
      <c r="K517" s="11" t="b">
        <v>0</v>
      </c>
    </row>
    <row r="518">
      <c r="D518" s="109" t="str">
        <f>VLOOKUP($A518,ANAGRAFICA!$B$1:$G$306,4,FALSE)</f>
        <v>#N/A</v>
      </c>
      <c r="H518" s="3"/>
      <c r="I518" s="155"/>
      <c r="K518" s="11" t="b">
        <v>0</v>
      </c>
    </row>
    <row r="519">
      <c r="H519" s="3"/>
      <c r="I519" s="155"/>
      <c r="K519" s="11" t="b">
        <v>0</v>
      </c>
    </row>
    <row r="520">
      <c r="H520" s="3"/>
      <c r="I520" s="155"/>
      <c r="K520" s="11" t="b">
        <v>0</v>
      </c>
    </row>
    <row r="521">
      <c r="H521" s="3"/>
      <c r="I521" s="155"/>
      <c r="K521" s="11" t="b">
        <v>0</v>
      </c>
    </row>
    <row r="522">
      <c r="H522" s="3"/>
      <c r="I522" s="155"/>
      <c r="K522" s="11" t="b">
        <v>0</v>
      </c>
    </row>
    <row r="523">
      <c r="H523" s="3"/>
      <c r="I523" s="155"/>
      <c r="K523" s="11" t="b">
        <v>0</v>
      </c>
    </row>
    <row r="524">
      <c r="H524" s="3"/>
      <c r="I524" s="155"/>
      <c r="K524" s="11" t="b">
        <v>0</v>
      </c>
    </row>
    <row r="525">
      <c r="H525" s="3"/>
      <c r="I525" s="155"/>
      <c r="K525" s="11" t="b">
        <v>0</v>
      </c>
    </row>
    <row r="526">
      <c r="H526" s="3"/>
      <c r="I526" s="155"/>
      <c r="K526" s="11" t="b">
        <v>0</v>
      </c>
    </row>
    <row r="527">
      <c r="H527" s="3"/>
      <c r="I527" s="155"/>
      <c r="K527" s="11" t="b">
        <v>0</v>
      </c>
    </row>
    <row r="528">
      <c r="H528" s="3"/>
      <c r="I528" s="155"/>
      <c r="K528" s="11" t="b">
        <v>0</v>
      </c>
    </row>
    <row r="529">
      <c r="H529" s="3"/>
      <c r="I529" s="155"/>
      <c r="K529" s="11" t="b">
        <v>0</v>
      </c>
    </row>
    <row r="530">
      <c r="H530" s="3"/>
      <c r="I530" s="155"/>
      <c r="K530" s="11" t="b">
        <v>0</v>
      </c>
    </row>
    <row r="531">
      <c r="H531" s="3"/>
      <c r="I531" s="155"/>
      <c r="K531" s="11" t="b">
        <v>0</v>
      </c>
    </row>
    <row r="532">
      <c r="H532" s="3"/>
      <c r="I532" s="155"/>
      <c r="K532" s="11" t="b">
        <v>0</v>
      </c>
    </row>
    <row r="533">
      <c r="H533" s="3"/>
      <c r="I533" s="155"/>
      <c r="K533" s="11" t="b">
        <v>0</v>
      </c>
    </row>
    <row r="534">
      <c r="H534" s="3"/>
      <c r="I534" s="155"/>
      <c r="K534" s="11" t="b">
        <v>0</v>
      </c>
    </row>
    <row r="535">
      <c r="H535" s="3"/>
      <c r="I535" s="155"/>
      <c r="K535" s="11" t="b">
        <v>0</v>
      </c>
    </row>
    <row r="536">
      <c r="H536" s="3"/>
      <c r="I536" s="155"/>
      <c r="K536" s="11" t="b">
        <v>0</v>
      </c>
    </row>
    <row r="537">
      <c r="H537" s="3"/>
      <c r="I537" s="155"/>
      <c r="K537" s="11" t="b">
        <v>0</v>
      </c>
    </row>
    <row r="538">
      <c r="H538" s="3"/>
      <c r="I538" s="155"/>
      <c r="K538" s="11" t="b">
        <v>0</v>
      </c>
    </row>
    <row r="539">
      <c r="H539" s="3"/>
      <c r="I539" s="155"/>
      <c r="K539" s="11" t="b">
        <v>0</v>
      </c>
    </row>
    <row r="540">
      <c r="H540" s="3"/>
      <c r="I540" s="155"/>
      <c r="K540" s="11" t="b">
        <v>0</v>
      </c>
    </row>
    <row r="541">
      <c r="H541" s="3"/>
      <c r="I541" s="155"/>
      <c r="K541" s="11" t="b">
        <v>0</v>
      </c>
    </row>
    <row r="542">
      <c r="H542" s="3"/>
      <c r="I542" s="155"/>
      <c r="K542" s="11" t="b">
        <v>0</v>
      </c>
    </row>
    <row r="543">
      <c r="H543" s="3"/>
      <c r="I543" s="155"/>
      <c r="K543" s="11" t="b">
        <v>0</v>
      </c>
    </row>
    <row r="544">
      <c r="H544" s="3"/>
      <c r="I544" s="155"/>
      <c r="K544" s="11" t="b">
        <v>0</v>
      </c>
    </row>
    <row r="545">
      <c r="H545" s="3"/>
      <c r="I545" s="155"/>
      <c r="K545" s="11" t="b">
        <v>0</v>
      </c>
    </row>
    <row r="546">
      <c r="H546" s="3"/>
      <c r="I546" s="155"/>
      <c r="K546" s="11" t="b">
        <v>0</v>
      </c>
    </row>
    <row r="547">
      <c r="H547" s="3"/>
      <c r="I547" s="155"/>
      <c r="K547" s="11" t="b">
        <v>0</v>
      </c>
    </row>
    <row r="548">
      <c r="H548" s="3"/>
      <c r="I548" s="155"/>
      <c r="K548" s="11" t="b">
        <v>0</v>
      </c>
    </row>
    <row r="549">
      <c r="H549" s="3"/>
      <c r="I549" s="155"/>
      <c r="K549" s="11" t="b">
        <v>0</v>
      </c>
    </row>
    <row r="550">
      <c r="H550" s="3"/>
      <c r="I550" s="155"/>
      <c r="K550" s="11" t="b">
        <v>0</v>
      </c>
    </row>
    <row r="551">
      <c r="H551" s="3"/>
      <c r="I551" s="155"/>
      <c r="K551" s="11" t="b">
        <v>0</v>
      </c>
    </row>
    <row r="552">
      <c r="H552" s="3"/>
      <c r="I552" s="155"/>
      <c r="K552" s="11" t="b">
        <v>0</v>
      </c>
    </row>
    <row r="553">
      <c r="H553" s="3"/>
      <c r="I553" s="155"/>
      <c r="K553" s="11" t="b">
        <v>0</v>
      </c>
    </row>
    <row r="554">
      <c r="H554" s="3"/>
      <c r="I554" s="155"/>
      <c r="K554" s="11" t="b">
        <v>0</v>
      </c>
    </row>
    <row r="555">
      <c r="H555" s="3"/>
      <c r="I555" s="155"/>
      <c r="K555" s="11" t="b">
        <v>0</v>
      </c>
    </row>
    <row r="556">
      <c r="H556" s="3"/>
      <c r="I556" s="155"/>
      <c r="K556" s="11" t="b">
        <v>0</v>
      </c>
    </row>
    <row r="557">
      <c r="H557" s="3"/>
      <c r="I557" s="155"/>
      <c r="K557" s="11" t="b">
        <v>0</v>
      </c>
    </row>
    <row r="558">
      <c r="H558" s="3"/>
      <c r="I558" s="155"/>
      <c r="K558" s="11" t="b">
        <v>0</v>
      </c>
    </row>
    <row r="559">
      <c r="H559" s="3"/>
      <c r="I559" s="155"/>
      <c r="K559" s="11" t="b">
        <v>0</v>
      </c>
    </row>
    <row r="560">
      <c r="H560" s="3"/>
      <c r="I560" s="155"/>
      <c r="K560" s="11" t="b">
        <v>0</v>
      </c>
    </row>
    <row r="561">
      <c r="H561" s="3"/>
      <c r="I561" s="155"/>
      <c r="K561" s="11" t="b">
        <v>0</v>
      </c>
    </row>
    <row r="562">
      <c r="H562" s="3"/>
      <c r="I562" s="155"/>
      <c r="K562" s="11" t="b">
        <v>0</v>
      </c>
    </row>
    <row r="563">
      <c r="I563" s="155"/>
      <c r="K563" s="11" t="b">
        <v>0</v>
      </c>
    </row>
    <row r="564">
      <c r="I564" s="155"/>
      <c r="K564" s="11" t="b">
        <v>0</v>
      </c>
    </row>
    <row r="565">
      <c r="I565" s="155"/>
      <c r="K565" s="11" t="b">
        <v>0</v>
      </c>
    </row>
    <row r="566">
      <c r="I566" s="155"/>
      <c r="K566" s="11" t="b">
        <v>0</v>
      </c>
    </row>
    <row r="567">
      <c r="I567" s="155"/>
      <c r="K567" s="11" t="b">
        <v>0</v>
      </c>
    </row>
    <row r="568">
      <c r="I568" s="155"/>
      <c r="K568" s="11" t="b">
        <v>0</v>
      </c>
    </row>
    <row r="569">
      <c r="I569" s="155"/>
      <c r="K569" s="11" t="b">
        <v>0</v>
      </c>
    </row>
    <row r="570">
      <c r="I570" s="155"/>
      <c r="K570" s="11" t="b">
        <v>0</v>
      </c>
    </row>
    <row r="571">
      <c r="I571" s="155"/>
      <c r="K571" s="11" t="b">
        <v>0</v>
      </c>
    </row>
    <row r="572">
      <c r="I572" s="155"/>
      <c r="K572" s="11" t="b">
        <v>0</v>
      </c>
    </row>
    <row r="573">
      <c r="I573" s="155"/>
      <c r="K573" s="11" t="b">
        <v>0</v>
      </c>
    </row>
    <row r="574">
      <c r="I574" s="155"/>
      <c r="K574" s="11" t="b">
        <v>0</v>
      </c>
    </row>
    <row r="575">
      <c r="I575" s="155"/>
      <c r="K575" s="11" t="b">
        <v>0</v>
      </c>
    </row>
    <row r="576">
      <c r="I576" s="155"/>
      <c r="K576" s="11" t="b">
        <v>0</v>
      </c>
    </row>
    <row r="577">
      <c r="I577" s="155"/>
      <c r="K577" s="11" t="b">
        <v>0</v>
      </c>
    </row>
    <row r="578">
      <c r="I578" s="155"/>
      <c r="K578" s="11" t="b">
        <v>0</v>
      </c>
    </row>
    <row r="579">
      <c r="I579" s="155"/>
      <c r="K579" s="11" t="b">
        <v>0</v>
      </c>
    </row>
    <row r="580">
      <c r="I580" s="155"/>
      <c r="K580" s="11" t="b">
        <v>0</v>
      </c>
    </row>
    <row r="581">
      <c r="I581" s="155"/>
      <c r="K581" s="11" t="b">
        <v>0</v>
      </c>
    </row>
    <row r="582">
      <c r="I582" s="155"/>
      <c r="K582" s="11" t="b">
        <v>0</v>
      </c>
    </row>
    <row r="583">
      <c r="I583" s="155"/>
      <c r="K583" s="11" t="b">
        <v>0</v>
      </c>
    </row>
    <row r="584">
      <c r="I584" s="155"/>
      <c r="K584" s="11" t="b">
        <v>0</v>
      </c>
    </row>
    <row r="585">
      <c r="I585" s="155"/>
      <c r="K585" s="11" t="b">
        <v>0</v>
      </c>
    </row>
    <row r="586">
      <c r="I586" s="155"/>
      <c r="K586" s="11" t="b">
        <v>0</v>
      </c>
    </row>
    <row r="587">
      <c r="I587" s="155"/>
      <c r="K587" s="11" t="b">
        <v>0</v>
      </c>
    </row>
    <row r="588">
      <c r="I588" s="155"/>
      <c r="K588" s="11" t="b">
        <v>0</v>
      </c>
    </row>
    <row r="589">
      <c r="I589" s="155"/>
      <c r="K589" s="11" t="b">
        <v>0</v>
      </c>
    </row>
    <row r="590">
      <c r="I590" s="155"/>
      <c r="K590" s="11" t="b">
        <v>0</v>
      </c>
    </row>
    <row r="591">
      <c r="I591" s="155"/>
      <c r="K591" s="11" t="b">
        <v>0</v>
      </c>
    </row>
    <row r="592">
      <c r="I592" s="155"/>
      <c r="K592" s="11" t="b">
        <v>0</v>
      </c>
    </row>
    <row r="593">
      <c r="I593" s="155"/>
      <c r="K593" s="11" t="b">
        <v>0</v>
      </c>
    </row>
    <row r="594">
      <c r="I594" s="155"/>
      <c r="K594" s="11" t="b">
        <v>0</v>
      </c>
    </row>
    <row r="595">
      <c r="I595" s="155"/>
      <c r="K595" s="11" t="b">
        <v>0</v>
      </c>
    </row>
    <row r="596">
      <c r="I596" s="155"/>
      <c r="K596" s="11" t="b">
        <v>0</v>
      </c>
    </row>
    <row r="597">
      <c r="I597" s="155"/>
      <c r="K597" s="11" t="b">
        <v>0</v>
      </c>
    </row>
    <row r="598">
      <c r="I598" s="155"/>
      <c r="K598" s="11" t="b">
        <v>0</v>
      </c>
    </row>
    <row r="599">
      <c r="I599" s="155"/>
      <c r="K599" s="11" t="b">
        <v>0</v>
      </c>
    </row>
    <row r="600">
      <c r="I600" s="155"/>
      <c r="K600" s="11" t="b">
        <v>0</v>
      </c>
    </row>
    <row r="601">
      <c r="I601" s="155"/>
    </row>
    <row r="602">
      <c r="I602" s="155"/>
    </row>
    <row r="603">
      <c r="I603" s="155"/>
    </row>
    <row r="604">
      <c r="I604" s="155"/>
    </row>
    <row r="605">
      <c r="I605" s="155"/>
    </row>
    <row r="606">
      <c r="I606" s="155"/>
    </row>
    <row r="607">
      <c r="I607" s="155"/>
    </row>
    <row r="608">
      <c r="I608" s="155"/>
    </row>
    <row r="609">
      <c r="I609" s="155"/>
    </row>
    <row r="610">
      <c r="I610" s="155"/>
    </row>
    <row r="611">
      <c r="I611" s="155"/>
    </row>
    <row r="612">
      <c r="I612" s="155"/>
    </row>
    <row r="613">
      <c r="I613" s="155"/>
    </row>
    <row r="614">
      <c r="I614" s="155"/>
    </row>
    <row r="615">
      <c r="I615" s="155"/>
    </row>
    <row r="616">
      <c r="I616" s="155"/>
    </row>
    <row r="617">
      <c r="I617" s="155"/>
    </row>
    <row r="618">
      <c r="I618" s="155"/>
    </row>
    <row r="619">
      <c r="I619" s="155"/>
    </row>
    <row r="620">
      <c r="I620" s="155"/>
    </row>
    <row r="621">
      <c r="I621" s="155"/>
    </row>
    <row r="622">
      <c r="I622" s="155"/>
    </row>
    <row r="623">
      <c r="I623" s="155"/>
    </row>
    <row r="624">
      <c r="I624" s="155"/>
    </row>
    <row r="625">
      <c r="I625" s="155"/>
    </row>
    <row r="626">
      <c r="I626" s="155"/>
    </row>
    <row r="627">
      <c r="I627" s="155"/>
    </row>
    <row r="628">
      <c r="I628" s="155"/>
    </row>
    <row r="629">
      <c r="I629" s="155"/>
    </row>
    <row r="630">
      <c r="I630" s="155"/>
    </row>
    <row r="631">
      <c r="I631" s="155"/>
    </row>
    <row r="632">
      <c r="I632" s="155"/>
    </row>
    <row r="633">
      <c r="I633" s="155"/>
    </row>
    <row r="634">
      <c r="I634" s="155"/>
    </row>
    <row r="635">
      <c r="I635" s="155"/>
    </row>
    <row r="636">
      <c r="I636" s="155"/>
    </row>
    <row r="637">
      <c r="I637" s="155"/>
    </row>
    <row r="638">
      <c r="I638" s="155"/>
    </row>
    <row r="639">
      <c r="I639" s="155"/>
    </row>
    <row r="640">
      <c r="I640" s="155"/>
    </row>
    <row r="641">
      <c r="I641" s="155"/>
    </row>
    <row r="642">
      <c r="I642" s="155"/>
    </row>
    <row r="643">
      <c r="I643" s="155"/>
    </row>
    <row r="644">
      <c r="I644" s="155"/>
    </row>
    <row r="645">
      <c r="I645" s="155"/>
    </row>
    <row r="646">
      <c r="I646" s="155"/>
    </row>
    <row r="647">
      <c r="I647" s="155"/>
    </row>
    <row r="648">
      <c r="I648" s="155"/>
    </row>
    <row r="649">
      <c r="I649" s="155"/>
    </row>
    <row r="650">
      <c r="I650" s="155"/>
    </row>
    <row r="651">
      <c r="I651" s="155"/>
    </row>
    <row r="652">
      <c r="I652" s="155"/>
    </row>
    <row r="653">
      <c r="I653" s="155"/>
    </row>
    <row r="654">
      <c r="I654" s="155"/>
    </row>
    <row r="655">
      <c r="I655" s="155"/>
    </row>
    <row r="656">
      <c r="I656" s="155"/>
    </row>
    <row r="657">
      <c r="I657" s="155"/>
    </row>
    <row r="658">
      <c r="I658" s="155"/>
    </row>
    <row r="659">
      <c r="I659" s="155"/>
    </row>
    <row r="660">
      <c r="I660" s="155"/>
    </row>
    <row r="661">
      <c r="I661" s="155"/>
    </row>
    <row r="662">
      <c r="I662" s="155"/>
    </row>
    <row r="663">
      <c r="I663" s="155"/>
    </row>
    <row r="664">
      <c r="I664" s="155"/>
    </row>
    <row r="665">
      <c r="I665" s="155"/>
    </row>
    <row r="666">
      <c r="I666" s="155"/>
    </row>
    <row r="667">
      <c r="I667" s="155"/>
    </row>
    <row r="668">
      <c r="I668" s="155"/>
    </row>
    <row r="669">
      <c r="I669" s="155"/>
    </row>
    <row r="670">
      <c r="I670" s="155"/>
    </row>
    <row r="671">
      <c r="I671" s="155"/>
    </row>
    <row r="672">
      <c r="I672" s="155"/>
    </row>
    <row r="673">
      <c r="I673" s="155"/>
    </row>
    <row r="674">
      <c r="I674" s="155"/>
    </row>
    <row r="675">
      <c r="I675" s="155"/>
    </row>
    <row r="676">
      <c r="I676" s="155"/>
    </row>
    <row r="677">
      <c r="I677" s="155"/>
    </row>
    <row r="678">
      <c r="I678" s="155"/>
    </row>
    <row r="679">
      <c r="I679" s="155"/>
    </row>
    <row r="680">
      <c r="I680" s="155"/>
    </row>
    <row r="681">
      <c r="I681" s="155"/>
    </row>
    <row r="682">
      <c r="I682" s="155"/>
    </row>
    <row r="683">
      <c r="I683" s="155"/>
    </row>
    <row r="684">
      <c r="I684" s="155"/>
    </row>
    <row r="685">
      <c r="I685" s="155"/>
    </row>
    <row r="686">
      <c r="I686" s="155"/>
    </row>
    <row r="687">
      <c r="I687" s="155"/>
    </row>
    <row r="688">
      <c r="I688" s="155"/>
    </row>
    <row r="689">
      <c r="I689" s="155"/>
    </row>
    <row r="690">
      <c r="I690" s="155"/>
    </row>
    <row r="691">
      <c r="I691" s="155"/>
    </row>
    <row r="692">
      <c r="I692" s="155"/>
    </row>
    <row r="693">
      <c r="I693" s="155"/>
    </row>
    <row r="694">
      <c r="I694" s="155"/>
    </row>
    <row r="695">
      <c r="I695" s="155"/>
    </row>
    <row r="696">
      <c r="I696" s="155"/>
    </row>
    <row r="697">
      <c r="I697" s="155"/>
    </row>
    <row r="698">
      <c r="I698" s="155"/>
    </row>
    <row r="699">
      <c r="I699" s="155"/>
    </row>
    <row r="700">
      <c r="I700" s="155"/>
    </row>
    <row r="701">
      <c r="I701" s="155"/>
    </row>
    <row r="702">
      <c r="I702" s="155"/>
    </row>
    <row r="703">
      <c r="I703" s="155"/>
    </row>
    <row r="704">
      <c r="I704" s="155"/>
    </row>
    <row r="705">
      <c r="I705" s="155"/>
    </row>
    <row r="706">
      <c r="I706" s="155"/>
    </row>
    <row r="707">
      <c r="I707" s="155"/>
    </row>
    <row r="708">
      <c r="I708" s="155"/>
    </row>
    <row r="709">
      <c r="I709" s="155"/>
    </row>
    <row r="710">
      <c r="I710" s="155"/>
    </row>
    <row r="711">
      <c r="I711" s="155"/>
    </row>
    <row r="712">
      <c r="I712" s="155"/>
    </row>
    <row r="713">
      <c r="I713" s="155"/>
    </row>
    <row r="714">
      <c r="I714" s="155"/>
    </row>
    <row r="715">
      <c r="I715" s="155"/>
    </row>
    <row r="716">
      <c r="I716" s="155"/>
    </row>
    <row r="717">
      <c r="I717" s="155"/>
    </row>
    <row r="718">
      <c r="I718" s="155"/>
    </row>
    <row r="719">
      <c r="I719" s="155"/>
    </row>
    <row r="720">
      <c r="I720" s="155"/>
    </row>
    <row r="721">
      <c r="I721" s="155"/>
    </row>
    <row r="722">
      <c r="I722" s="155"/>
    </row>
    <row r="723">
      <c r="I723" s="155"/>
    </row>
    <row r="724">
      <c r="I724" s="155"/>
    </row>
    <row r="725">
      <c r="I725" s="155"/>
    </row>
    <row r="726">
      <c r="I726" s="155"/>
    </row>
    <row r="727">
      <c r="I727" s="155"/>
    </row>
    <row r="728">
      <c r="I728" s="155"/>
    </row>
    <row r="729">
      <c r="I729" s="155"/>
    </row>
    <row r="730">
      <c r="I730" s="155"/>
    </row>
    <row r="731">
      <c r="I731" s="155"/>
    </row>
    <row r="732">
      <c r="I732" s="155"/>
    </row>
    <row r="733">
      <c r="I733" s="155"/>
    </row>
    <row r="734">
      <c r="I734" s="155"/>
    </row>
    <row r="735">
      <c r="I735" s="155"/>
    </row>
    <row r="736">
      <c r="I736" s="155"/>
    </row>
    <row r="737">
      <c r="I737" s="155"/>
    </row>
    <row r="738">
      <c r="I738" s="155"/>
    </row>
    <row r="739">
      <c r="I739" s="155"/>
    </row>
    <row r="740">
      <c r="I740" s="155"/>
    </row>
    <row r="741">
      <c r="I741" s="155"/>
    </row>
    <row r="742">
      <c r="I742" s="155"/>
    </row>
    <row r="743">
      <c r="I743" s="155"/>
    </row>
    <row r="744">
      <c r="I744" s="155"/>
    </row>
    <row r="745">
      <c r="I745" s="155"/>
    </row>
    <row r="746">
      <c r="I746" s="155"/>
    </row>
    <row r="747">
      <c r="I747" s="155"/>
    </row>
    <row r="748">
      <c r="I748" s="155"/>
    </row>
    <row r="749">
      <c r="I749" s="155"/>
    </row>
    <row r="750">
      <c r="I750" s="155"/>
    </row>
    <row r="751">
      <c r="I751" s="155"/>
    </row>
    <row r="752">
      <c r="I752" s="155"/>
    </row>
    <row r="753">
      <c r="I753" s="155"/>
    </row>
    <row r="754">
      <c r="I754" s="155"/>
    </row>
    <row r="755">
      <c r="I755" s="155"/>
    </row>
    <row r="756">
      <c r="I756" s="155"/>
    </row>
    <row r="757">
      <c r="I757" s="155"/>
    </row>
    <row r="758">
      <c r="I758" s="155"/>
    </row>
    <row r="759">
      <c r="I759" s="155"/>
    </row>
    <row r="760">
      <c r="I760" s="155"/>
    </row>
    <row r="761">
      <c r="I761" s="155"/>
    </row>
    <row r="762">
      <c r="I762" s="155"/>
    </row>
    <row r="763">
      <c r="I763" s="155"/>
    </row>
    <row r="764">
      <c r="I764" s="155"/>
    </row>
    <row r="765">
      <c r="I765" s="155"/>
    </row>
    <row r="766">
      <c r="I766" s="155"/>
    </row>
    <row r="767">
      <c r="I767" s="155"/>
    </row>
    <row r="768">
      <c r="I768" s="155"/>
    </row>
    <row r="769">
      <c r="I769" s="155"/>
    </row>
    <row r="770">
      <c r="I770" s="155"/>
    </row>
    <row r="771">
      <c r="I771" s="155"/>
    </row>
    <row r="772">
      <c r="I772" s="155"/>
    </row>
    <row r="773">
      <c r="I773" s="155"/>
    </row>
    <row r="774">
      <c r="I774" s="155"/>
    </row>
    <row r="775">
      <c r="I775" s="155"/>
    </row>
    <row r="776">
      <c r="I776" s="155"/>
    </row>
    <row r="777">
      <c r="I777" s="155"/>
    </row>
    <row r="778">
      <c r="I778" s="155"/>
    </row>
    <row r="779">
      <c r="I779" s="155"/>
    </row>
    <row r="780">
      <c r="I780" s="155"/>
    </row>
    <row r="781">
      <c r="I781" s="155"/>
    </row>
    <row r="782">
      <c r="I782" s="155"/>
    </row>
    <row r="783">
      <c r="I783" s="155"/>
    </row>
    <row r="784">
      <c r="I784" s="155"/>
    </row>
    <row r="785">
      <c r="I785" s="155"/>
    </row>
    <row r="786">
      <c r="I786" s="155"/>
    </row>
    <row r="787">
      <c r="I787" s="155"/>
    </row>
    <row r="788">
      <c r="I788" s="155"/>
    </row>
    <row r="789">
      <c r="I789" s="155"/>
    </row>
    <row r="790">
      <c r="I790" s="155"/>
    </row>
    <row r="791">
      <c r="I791" s="155"/>
    </row>
    <row r="792">
      <c r="I792" s="155"/>
    </row>
    <row r="793">
      <c r="I793" s="155"/>
    </row>
    <row r="794">
      <c r="I794" s="155"/>
    </row>
    <row r="795">
      <c r="I795" s="155"/>
    </row>
    <row r="796">
      <c r="I796" s="155"/>
    </row>
    <row r="797">
      <c r="I797" s="155"/>
    </row>
    <row r="798">
      <c r="I798" s="155"/>
    </row>
    <row r="799">
      <c r="I799" s="155"/>
    </row>
    <row r="800">
      <c r="I800" s="155"/>
    </row>
    <row r="801">
      <c r="I801" s="155"/>
    </row>
    <row r="802">
      <c r="I802" s="155"/>
    </row>
    <row r="803">
      <c r="I803" s="155"/>
    </row>
    <row r="804">
      <c r="I804" s="155"/>
    </row>
    <row r="805">
      <c r="I805" s="155"/>
    </row>
    <row r="806">
      <c r="I806" s="155"/>
    </row>
    <row r="807">
      <c r="I807" s="155"/>
    </row>
    <row r="808">
      <c r="I808" s="155"/>
    </row>
    <row r="809">
      <c r="I809" s="155"/>
    </row>
    <row r="810">
      <c r="I810" s="155"/>
    </row>
    <row r="811">
      <c r="I811" s="155"/>
    </row>
    <row r="812">
      <c r="I812" s="155"/>
    </row>
    <row r="813">
      <c r="I813" s="155"/>
    </row>
    <row r="814">
      <c r="I814" s="155"/>
    </row>
    <row r="815">
      <c r="I815" s="155"/>
    </row>
    <row r="816">
      <c r="I816" s="155"/>
    </row>
    <row r="817">
      <c r="I817" s="155"/>
    </row>
    <row r="818">
      <c r="I818" s="155"/>
    </row>
    <row r="819">
      <c r="I819" s="155"/>
    </row>
    <row r="820">
      <c r="I820" s="155"/>
    </row>
    <row r="821">
      <c r="I821" s="155"/>
    </row>
    <row r="822">
      <c r="I822" s="155"/>
    </row>
    <row r="823">
      <c r="I823" s="155"/>
    </row>
    <row r="824">
      <c r="I824" s="155"/>
    </row>
    <row r="825">
      <c r="I825" s="155"/>
    </row>
    <row r="826">
      <c r="I826" s="155"/>
    </row>
    <row r="827">
      <c r="I827" s="155"/>
    </row>
    <row r="828">
      <c r="I828" s="155"/>
    </row>
    <row r="829">
      <c r="I829" s="155"/>
    </row>
    <row r="830">
      <c r="I830" s="155"/>
    </row>
    <row r="831">
      <c r="I831" s="155"/>
    </row>
    <row r="832">
      <c r="I832" s="155"/>
    </row>
    <row r="833">
      <c r="I833" s="155"/>
    </row>
    <row r="834">
      <c r="I834" s="155"/>
    </row>
    <row r="835">
      <c r="I835" s="155"/>
    </row>
    <row r="836">
      <c r="I836" s="155"/>
    </row>
    <row r="837">
      <c r="I837" s="155"/>
    </row>
    <row r="838">
      <c r="I838" s="155"/>
    </row>
    <row r="839">
      <c r="I839" s="155"/>
    </row>
    <row r="840">
      <c r="I840" s="155"/>
    </row>
    <row r="841">
      <c r="I841" s="155"/>
    </row>
    <row r="842">
      <c r="I842" s="155"/>
    </row>
    <row r="843">
      <c r="I843" s="155"/>
    </row>
    <row r="844">
      <c r="I844" s="155"/>
    </row>
    <row r="845">
      <c r="I845" s="155"/>
    </row>
    <row r="846">
      <c r="I846" s="155"/>
    </row>
    <row r="847">
      <c r="I847" s="155"/>
    </row>
    <row r="848">
      <c r="I848" s="155"/>
    </row>
    <row r="849">
      <c r="I849" s="155"/>
    </row>
    <row r="850">
      <c r="I850" s="155"/>
    </row>
    <row r="851">
      <c r="I851" s="155"/>
    </row>
    <row r="852">
      <c r="I852" s="155"/>
    </row>
    <row r="853">
      <c r="I853" s="155"/>
    </row>
    <row r="854">
      <c r="I854" s="155"/>
    </row>
    <row r="855">
      <c r="I855" s="155"/>
    </row>
    <row r="856">
      <c r="I856" s="155"/>
    </row>
    <row r="857">
      <c r="I857" s="155"/>
    </row>
    <row r="858">
      <c r="I858" s="155"/>
    </row>
    <row r="859">
      <c r="I859" s="155"/>
    </row>
    <row r="860">
      <c r="I860" s="155"/>
    </row>
    <row r="861">
      <c r="I861" s="155"/>
    </row>
    <row r="862">
      <c r="I862" s="155"/>
    </row>
    <row r="863">
      <c r="I863" s="155"/>
    </row>
    <row r="864">
      <c r="I864" s="155"/>
    </row>
    <row r="865">
      <c r="I865" s="155"/>
    </row>
    <row r="866">
      <c r="I866" s="155"/>
    </row>
    <row r="867">
      <c r="I867" s="155"/>
    </row>
    <row r="868">
      <c r="I868" s="155"/>
    </row>
    <row r="869">
      <c r="I869" s="155"/>
    </row>
    <row r="870">
      <c r="I870" s="155"/>
    </row>
    <row r="871">
      <c r="I871" s="155"/>
    </row>
    <row r="872">
      <c r="I872" s="155"/>
    </row>
    <row r="873">
      <c r="I873" s="155"/>
    </row>
    <row r="874">
      <c r="I874" s="155"/>
    </row>
    <row r="875">
      <c r="I875" s="155"/>
    </row>
    <row r="876">
      <c r="I876" s="155"/>
    </row>
    <row r="877">
      <c r="I877" s="155"/>
    </row>
    <row r="878">
      <c r="I878" s="155"/>
    </row>
    <row r="879">
      <c r="I879" s="155"/>
    </row>
    <row r="880">
      <c r="I880" s="155"/>
    </row>
    <row r="881">
      <c r="I881" s="155"/>
    </row>
    <row r="882">
      <c r="I882" s="155"/>
    </row>
    <row r="883">
      <c r="I883" s="155"/>
    </row>
    <row r="884">
      <c r="I884" s="155"/>
    </row>
    <row r="885">
      <c r="I885" s="155"/>
    </row>
    <row r="886">
      <c r="I886" s="155"/>
    </row>
    <row r="887">
      <c r="I887" s="155"/>
    </row>
    <row r="888">
      <c r="I888" s="155"/>
    </row>
    <row r="889">
      <c r="I889" s="155"/>
    </row>
    <row r="890">
      <c r="I890" s="155"/>
    </row>
    <row r="891">
      <c r="I891" s="155"/>
    </row>
    <row r="892">
      <c r="I892" s="155"/>
    </row>
    <row r="893">
      <c r="I893" s="155"/>
    </row>
    <row r="894">
      <c r="I894" s="155"/>
    </row>
    <row r="895">
      <c r="I895" s="155"/>
    </row>
    <row r="896">
      <c r="I896" s="155"/>
    </row>
    <row r="897">
      <c r="I897" s="155"/>
    </row>
    <row r="898">
      <c r="I898" s="155"/>
    </row>
    <row r="899">
      <c r="I899" s="155"/>
    </row>
    <row r="900">
      <c r="I900" s="155"/>
    </row>
    <row r="901">
      <c r="I901" s="155"/>
    </row>
    <row r="902">
      <c r="I902" s="155"/>
    </row>
    <row r="903">
      <c r="I903" s="155"/>
    </row>
    <row r="904">
      <c r="I904" s="155"/>
    </row>
    <row r="905">
      <c r="I905" s="155"/>
    </row>
    <row r="906">
      <c r="I906" s="155"/>
    </row>
    <row r="907">
      <c r="I907" s="155"/>
    </row>
    <row r="908">
      <c r="I908" s="155"/>
    </row>
    <row r="909">
      <c r="I909" s="155"/>
    </row>
    <row r="910">
      <c r="I910" s="155"/>
    </row>
    <row r="911">
      <c r="I911" s="155"/>
    </row>
    <row r="912">
      <c r="I912" s="155"/>
    </row>
    <row r="913">
      <c r="I913" s="155"/>
    </row>
    <row r="914">
      <c r="I914" s="155"/>
    </row>
    <row r="915">
      <c r="I915" s="155"/>
    </row>
    <row r="916">
      <c r="I916" s="155"/>
    </row>
    <row r="917">
      <c r="I917" s="155"/>
    </row>
    <row r="918">
      <c r="I918" s="155"/>
    </row>
    <row r="919">
      <c r="I919" s="155"/>
    </row>
    <row r="920">
      <c r="I920" s="155"/>
    </row>
    <row r="921">
      <c r="I921" s="155"/>
    </row>
    <row r="922">
      <c r="I922" s="155"/>
    </row>
    <row r="923">
      <c r="I923" s="155"/>
    </row>
    <row r="924">
      <c r="I924" s="155"/>
    </row>
    <row r="925">
      <c r="I925" s="155"/>
    </row>
    <row r="926">
      <c r="I926" s="155"/>
    </row>
    <row r="927">
      <c r="I927" s="155"/>
    </row>
    <row r="928">
      <c r="I928" s="155"/>
    </row>
    <row r="929">
      <c r="I929" s="155"/>
    </row>
    <row r="930">
      <c r="I930" s="155"/>
    </row>
    <row r="931">
      <c r="I931" s="155"/>
    </row>
    <row r="932">
      <c r="I932" s="155"/>
    </row>
    <row r="933">
      <c r="I933" s="155"/>
    </row>
    <row r="934">
      <c r="I934" s="155"/>
    </row>
    <row r="935">
      <c r="I935" s="155"/>
    </row>
    <row r="936">
      <c r="I936" s="155"/>
    </row>
    <row r="937">
      <c r="I937" s="155"/>
    </row>
    <row r="938">
      <c r="I938" s="155"/>
    </row>
    <row r="939">
      <c r="I939" s="155"/>
    </row>
    <row r="940">
      <c r="I940" s="155"/>
    </row>
    <row r="941">
      <c r="I941" s="155"/>
    </row>
    <row r="942">
      <c r="I942" s="155"/>
    </row>
    <row r="943">
      <c r="I943" s="155"/>
    </row>
    <row r="944">
      <c r="I944" s="155"/>
    </row>
    <row r="945">
      <c r="I945" s="155"/>
    </row>
    <row r="946">
      <c r="I946" s="155"/>
    </row>
    <row r="947">
      <c r="I947" s="155"/>
    </row>
    <row r="948">
      <c r="I948" s="155"/>
    </row>
    <row r="949">
      <c r="I949" s="155"/>
    </row>
    <row r="950">
      <c r="I950" s="155"/>
    </row>
    <row r="951">
      <c r="I951" s="155"/>
    </row>
    <row r="952">
      <c r="I952" s="155"/>
    </row>
    <row r="953">
      <c r="I953" s="155"/>
    </row>
    <row r="954">
      <c r="I954" s="155"/>
    </row>
    <row r="955">
      <c r="I955" s="155"/>
    </row>
    <row r="956">
      <c r="I956" s="155"/>
    </row>
    <row r="957">
      <c r="I957" s="155"/>
    </row>
    <row r="958">
      <c r="I958" s="155"/>
    </row>
    <row r="959">
      <c r="I959" s="155"/>
    </row>
    <row r="960">
      <c r="I960" s="155"/>
    </row>
    <row r="961">
      <c r="I961" s="155"/>
    </row>
    <row r="962">
      <c r="I962" s="155"/>
    </row>
    <row r="963">
      <c r="I963" s="155"/>
    </row>
    <row r="964">
      <c r="I964" s="155"/>
    </row>
    <row r="965">
      <c r="I965" s="155"/>
    </row>
    <row r="966">
      <c r="I966" s="155"/>
    </row>
    <row r="967">
      <c r="I967" s="155"/>
    </row>
    <row r="968">
      <c r="I968" s="155"/>
    </row>
    <row r="969">
      <c r="I969" s="155"/>
    </row>
    <row r="970">
      <c r="I970" s="155"/>
    </row>
    <row r="971">
      <c r="I971" s="155"/>
    </row>
    <row r="972">
      <c r="I972" s="155"/>
    </row>
    <row r="973">
      <c r="I973" s="155"/>
    </row>
    <row r="974">
      <c r="I974" s="155"/>
    </row>
    <row r="975">
      <c r="I975" s="155"/>
    </row>
    <row r="976">
      <c r="I976" s="155"/>
    </row>
    <row r="977">
      <c r="I977" s="155"/>
    </row>
    <row r="978">
      <c r="I978" s="155"/>
    </row>
    <row r="979">
      <c r="I979" s="155"/>
    </row>
    <row r="980">
      <c r="I980" s="155"/>
    </row>
    <row r="981">
      <c r="I981" s="155"/>
    </row>
    <row r="982">
      <c r="I982" s="155"/>
    </row>
    <row r="983">
      <c r="I983" s="155"/>
    </row>
    <row r="984">
      <c r="I984" s="155"/>
    </row>
    <row r="985">
      <c r="I985" s="155"/>
    </row>
    <row r="986">
      <c r="I986" s="155"/>
    </row>
    <row r="987">
      <c r="I987" s="155"/>
    </row>
    <row r="988">
      <c r="I988" s="155"/>
    </row>
    <row r="989">
      <c r="I989" s="155"/>
    </row>
    <row r="990">
      <c r="I990" s="155"/>
    </row>
    <row r="991">
      <c r="I991" s="155"/>
    </row>
    <row r="992">
      <c r="I992" s="155"/>
    </row>
    <row r="993">
      <c r="I993" s="155"/>
    </row>
    <row r="994">
      <c r="I994" s="155"/>
    </row>
    <row r="995">
      <c r="I995" s="155"/>
    </row>
    <row r="996">
      <c r="I996" s="155"/>
    </row>
    <row r="997">
      <c r="I997" s="155"/>
    </row>
    <row r="998">
      <c r="I998" s="155"/>
    </row>
    <row r="999">
      <c r="I999" s="155"/>
    </row>
    <row r="1000">
      <c r="I1000" s="155"/>
    </row>
    <row r="1001">
      <c r="I1001" s="155"/>
    </row>
    <row r="1002">
      <c r="I1002" s="155"/>
    </row>
    <row r="1003">
      <c r="I1003" s="155"/>
    </row>
    <row r="1004">
      <c r="I1004" s="155"/>
    </row>
    <row r="1005">
      <c r="I1005" s="155"/>
    </row>
    <row r="1006">
      <c r="I1006" s="155"/>
    </row>
    <row r="1007">
      <c r="I1007" s="155"/>
    </row>
    <row r="1008">
      <c r="I1008" s="155"/>
    </row>
    <row r="1009">
      <c r="I1009" s="155"/>
    </row>
    <row r="1010">
      <c r="I1010" s="155"/>
    </row>
    <row r="1011">
      <c r="I1011" s="155"/>
    </row>
    <row r="1012">
      <c r="I1012" s="155"/>
    </row>
    <row r="1013">
      <c r="I1013" s="155"/>
    </row>
    <row r="1014">
      <c r="I1014" s="155"/>
    </row>
    <row r="1015">
      <c r="I1015" s="155"/>
    </row>
    <row r="1016">
      <c r="I1016" s="155"/>
    </row>
    <row r="1017">
      <c r="I1017" s="155"/>
    </row>
    <row r="1018">
      <c r="I1018" s="155"/>
    </row>
    <row r="1019">
      <c r="I1019" s="155"/>
    </row>
    <row r="1020">
      <c r="I1020" s="155"/>
    </row>
    <row r="1021">
      <c r="I1021" s="155"/>
    </row>
    <row r="1022">
      <c r="I1022" s="155"/>
    </row>
    <row r="1023">
      <c r="I1023" s="155"/>
    </row>
    <row r="1024">
      <c r="I1024" s="155"/>
    </row>
    <row r="1025">
      <c r="I1025" s="155"/>
    </row>
    <row r="1026">
      <c r="I1026" s="155"/>
    </row>
    <row r="1027">
      <c r="I1027" s="155"/>
    </row>
    <row r="1028">
      <c r="I1028" s="155"/>
    </row>
    <row r="1029">
      <c r="I1029" s="155"/>
    </row>
    <row r="1030">
      <c r="I1030" s="155"/>
    </row>
    <row r="1031">
      <c r="I1031" s="155"/>
    </row>
    <row r="1032">
      <c r="I1032" s="155"/>
    </row>
    <row r="1033">
      <c r="I1033" s="155"/>
    </row>
    <row r="1034">
      <c r="I1034" s="155"/>
    </row>
  </sheetData>
  <dataValidations>
    <dataValidation type="list" allowBlank="1" showErrorMessage="1" sqref="H2:H241 H243:H562">
      <formula1>'TENDINE SLIM'!$C$2:$C$75</formula1>
    </dataValidation>
    <dataValidation type="list" allowBlank="1" showErrorMessage="1" sqref="A2:A513">
      <formula1>ANAGRAFICA!$B$2:$B$506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8.38"/>
    <col customWidth="1" min="6" max="6" width="0.38"/>
    <col customWidth="1" min="8" max="8" width="23.25"/>
    <col customWidth="1" min="9" max="9" width="9.5"/>
    <col customWidth="1" min="10" max="10" width="4.25"/>
    <col customWidth="1" min="11" max="11" width="4.63"/>
    <col customWidth="1" min="12" max="12" width="5.88"/>
    <col customWidth="1" min="13" max="13" width="11.75"/>
    <col customWidth="1" min="14" max="14" width="4.25"/>
    <col customWidth="1" min="15" max="15" width="11.5"/>
    <col customWidth="1" min="16" max="16" width="3.63"/>
    <col customWidth="1" min="17" max="17" width="3.5"/>
    <col customWidth="1" min="18" max="18" width="5.88"/>
    <col customWidth="1" min="19" max="19" width="19.63"/>
    <col customWidth="1" min="20" max="20" width="8.63"/>
    <col customWidth="1" min="21" max="21" width="5.75"/>
    <col customWidth="1" min="22" max="22" width="3.63"/>
    <col customWidth="1" min="23" max="23" width="5.88"/>
    <col customWidth="1" min="24" max="24" width="7.5"/>
    <col customWidth="1" min="25" max="25" width="7.0"/>
    <col customWidth="1" min="26" max="26" width="5.5"/>
    <col customWidth="1" min="27" max="27" width="3.75"/>
    <col customWidth="1" min="28" max="28" width="19.75"/>
    <col customWidth="1" min="29" max="29" width="19.25"/>
    <col customWidth="1" min="30" max="30" width="4.63"/>
    <col customWidth="1" min="31" max="31" width="4.75"/>
    <col customWidth="1" min="32" max="32" width="4.88"/>
    <col customWidth="1" min="33" max="33" width="5.88"/>
    <col customWidth="1" min="34" max="34" width="3.75"/>
    <col customWidth="1" min="35" max="35" width="6.0"/>
    <col customWidth="1" min="36" max="36" width="5.63"/>
    <col customWidth="1" min="37" max="37" width="5.75"/>
    <col customWidth="1" min="38" max="38" width="6.25"/>
    <col customWidth="1" min="39" max="39" width="2.88"/>
  </cols>
  <sheetData>
    <row r="1">
      <c r="A1" s="156" t="s">
        <v>1</v>
      </c>
      <c r="B1" s="157" t="s">
        <v>2</v>
      </c>
      <c r="C1" s="156" t="s">
        <v>3</v>
      </c>
      <c r="D1" s="156" t="s">
        <v>4</v>
      </c>
      <c r="E1" s="156" t="s">
        <v>385</v>
      </c>
      <c r="F1" s="158" t="s">
        <v>6</v>
      </c>
      <c r="G1" s="156" t="s">
        <v>386</v>
      </c>
      <c r="H1" s="159" t="s">
        <v>866</v>
      </c>
      <c r="I1" s="156" t="s">
        <v>867</v>
      </c>
      <c r="J1" s="156" t="s">
        <v>868</v>
      </c>
      <c r="K1" s="156" t="s">
        <v>869</v>
      </c>
      <c r="L1" s="156" t="s">
        <v>870</v>
      </c>
      <c r="M1" s="156" t="s">
        <v>871</v>
      </c>
      <c r="N1" s="156" t="s">
        <v>872</v>
      </c>
      <c r="O1" s="156" t="s">
        <v>873</v>
      </c>
      <c r="P1" s="156" t="s">
        <v>874</v>
      </c>
      <c r="Q1" s="156" t="s">
        <v>875</v>
      </c>
      <c r="R1" s="160" t="s">
        <v>876</v>
      </c>
      <c r="S1" s="161" t="s">
        <v>877</v>
      </c>
      <c r="T1" s="161" t="s">
        <v>878</v>
      </c>
      <c r="U1" s="161" t="s">
        <v>879</v>
      </c>
      <c r="V1" s="161" t="s">
        <v>880</v>
      </c>
      <c r="W1" s="161" t="s">
        <v>881</v>
      </c>
      <c r="X1" s="161" t="s">
        <v>882</v>
      </c>
      <c r="Y1" s="161" t="s">
        <v>883</v>
      </c>
      <c r="Z1" s="161" t="s">
        <v>884</v>
      </c>
      <c r="AA1" s="162" t="s">
        <v>885</v>
      </c>
      <c r="AB1" s="163" t="s">
        <v>886</v>
      </c>
      <c r="AC1" s="163" t="s">
        <v>887</v>
      </c>
      <c r="AD1" s="163" t="s">
        <v>888</v>
      </c>
      <c r="AE1" s="163" t="s">
        <v>889</v>
      </c>
      <c r="AF1" s="163" t="s">
        <v>890</v>
      </c>
      <c r="AG1" s="163" t="s">
        <v>891</v>
      </c>
      <c r="AH1" s="163" t="s">
        <v>892</v>
      </c>
      <c r="AI1" s="163" t="s">
        <v>893</v>
      </c>
      <c r="AJ1" s="163" t="s">
        <v>894</v>
      </c>
      <c r="AK1" s="163" t="s">
        <v>895</v>
      </c>
      <c r="AL1" s="163" t="s">
        <v>896</v>
      </c>
      <c r="AM1" s="163" t="s">
        <v>897</v>
      </c>
    </row>
    <row r="2">
      <c r="A2" s="3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115">
        <v>1.0</v>
      </c>
      <c r="H2" s="164">
        <v>45487.0</v>
      </c>
      <c r="I2" s="11" t="s">
        <v>898</v>
      </c>
      <c r="J2" s="11" t="s">
        <v>899</v>
      </c>
      <c r="K2" s="11">
        <v>75.0</v>
      </c>
      <c r="L2" s="11">
        <v>104.0</v>
      </c>
      <c r="M2" s="11">
        <v>11.2</v>
      </c>
      <c r="N2" s="11">
        <v>8.9</v>
      </c>
      <c r="O2" s="11">
        <v>-14.9</v>
      </c>
      <c r="P2" s="11">
        <v>12.4</v>
      </c>
      <c r="Q2" s="11">
        <v>42.0</v>
      </c>
      <c r="R2" s="11">
        <v>85.3</v>
      </c>
      <c r="S2" s="115" t="s">
        <v>900</v>
      </c>
      <c r="T2" s="66"/>
      <c r="U2" s="66"/>
      <c r="V2" s="165"/>
      <c r="W2" s="66"/>
      <c r="X2" s="66"/>
      <c r="Y2" s="66"/>
      <c r="Z2" s="66"/>
      <c r="AA2" s="66"/>
      <c r="AB2" s="11" t="s">
        <v>516</v>
      </c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</row>
    <row r="3">
      <c r="A3" s="3">
        <v>2.124014461E9</v>
      </c>
      <c r="B3" s="109" t="str">
        <f>VLOOKUP($A3,ANAGRAFICA!$B$1:$G$306,2,FALSE)</f>
        <v>FUMAGALLI</v>
      </c>
      <c r="C3" s="109" t="str">
        <f>VLOOKUP($A3,ANAGRAFICA!$B$1:$G$306,3,FALSE)</f>
        <v>LUCA</v>
      </c>
      <c r="D3" s="109" t="str">
        <f>VLOOKUP($A3,ANAGRAFICA!$B$1:$G$306,4,FALSE)</f>
        <v>758-10</v>
      </c>
      <c r="E3" s="109">
        <f>VLOOKUP($A3,ANAGRAFICA!$B$1:$G$306,5,FALSE)</f>
        <v>3272024076</v>
      </c>
      <c r="F3" s="109">
        <f>VLOOKUP($A3,ANAGRAFICA!$B$1:$G$306,6,FALSE)</f>
        <v>2024</v>
      </c>
      <c r="G3" s="57">
        <v>1.0</v>
      </c>
      <c r="H3" s="110">
        <v>45524.0</v>
      </c>
      <c r="I3" s="57" t="s">
        <v>50</v>
      </c>
      <c r="J3" s="57">
        <v>7.32</v>
      </c>
      <c r="K3" s="57">
        <v>107.0</v>
      </c>
      <c r="L3" s="57">
        <v>36.0</v>
      </c>
      <c r="M3" s="57">
        <v>19.5</v>
      </c>
      <c r="N3" s="57">
        <v>10.5</v>
      </c>
      <c r="O3" s="57">
        <v>-7.6</v>
      </c>
      <c r="P3" s="57">
        <v>11.0</v>
      </c>
      <c r="Q3" s="57">
        <v>33.0</v>
      </c>
      <c r="R3" s="94"/>
      <c r="S3" s="110">
        <v>45524.0</v>
      </c>
      <c r="T3" s="57" t="s">
        <v>88</v>
      </c>
      <c r="U3" s="57" t="s">
        <v>901</v>
      </c>
      <c r="V3" s="57">
        <v>14.0</v>
      </c>
      <c r="W3" s="57">
        <v>6.0</v>
      </c>
      <c r="X3" s="57" t="s">
        <v>516</v>
      </c>
      <c r="Y3" s="57" t="s">
        <v>516</v>
      </c>
      <c r="Z3" s="57" t="s">
        <v>516</v>
      </c>
      <c r="AA3" s="57">
        <v>480.0</v>
      </c>
      <c r="AB3" s="110">
        <v>45524.0</v>
      </c>
      <c r="AC3" s="57" t="s">
        <v>71</v>
      </c>
      <c r="AD3" s="57">
        <v>55.0</v>
      </c>
      <c r="AE3" s="57">
        <v>38.0</v>
      </c>
      <c r="AF3" s="57">
        <v>44.0</v>
      </c>
      <c r="AG3" s="57">
        <v>38.0</v>
      </c>
      <c r="AH3" s="57">
        <v>2.7</v>
      </c>
      <c r="AI3" s="57" t="s">
        <v>516</v>
      </c>
      <c r="AJ3" s="57">
        <v>28.0</v>
      </c>
      <c r="AK3" s="57">
        <v>18.0</v>
      </c>
      <c r="AL3" s="57">
        <v>21.0</v>
      </c>
      <c r="AM3" s="57" t="s">
        <v>516</v>
      </c>
    </row>
    <row r="4">
      <c r="A4" s="3">
        <v>2.123023299E9</v>
      </c>
      <c r="B4" s="109" t="str">
        <f>VLOOKUP($A4,ANAGRAFICA!$B$1:$G$306,2,FALSE)</f>
        <v>BEATRICE</v>
      </c>
      <c r="C4" s="109" t="str">
        <f>VLOOKUP($A4,ANAGRAFICA!$B$1:$G$306,3,FALSE)</f>
        <v>GERARDINA</v>
      </c>
      <c r="D4" s="109" t="str">
        <f>VLOOKUP($A4,ANAGRAFICA!$B$1:$G$306,4,FALSE)</f>
        <v/>
      </c>
      <c r="E4" s="109">
        <f>VLOOKUP($A4,ANAGRAFICA!$B$1:$G$306,5,FALSE)</f>
        <v>3272024098</v>
      </c>
      <c r="F4" s="109">
        <f>VLOOKUP($A4,ANAGRAFICA!$B$1:$G$306,6,FALSE)</f>
        <v>2024</v>
      </c>
      <c r="G4" s="57">
        <v>1.0</v>
      </c>
      <c r="H4" s="110">
        <v>45292.0</v>
      </c>
      <c r="I4" s="57" t="s">
        <v>477</v>
      </c>
      <c r="J4" s="57">
        <v>7.37</v>
      </c>
      <c r="K4" s="57">
        <v>248.0</v>
      </c>
      <c r="L4" s="57">
        <v>37.0</v>
      </c>
      <c r="M4" s="57">
        <v>21.0</v>
      </c>
      <c r="N4" s="57">
        <v>13.7</v>
      </c>
      <c r="O4" s="57">
        <v>-15.9</v>
      </c>
      <c r="P4" s="57">
        <v>7.2</v>
      </c>
      <c r="Q4" s="57">
        <v>21.0</v>
      </c>
      <c r="R4" s="57">
        <v>98.0</v>
      </c>
      <c r="S4" s="110">
        <v>45292.0</v>
      </c>
      <c r="T4" s="57" t="s">
        <v>477</v>
      </c>
      <c r="U4" s="57" t="s">
        <v>901</v>
      </c>
      <c r="V4" s="57">
        <v>28.0</v>
      </c>
      <c r="W4" s="57">
        <v>8.0</v>
      </c>
      <c r="X4" s="94"/>
      <c r="Y4" s="94"/>
      <c r="Z4" s="94"/>
      <c r="AA4" s="57">
        <v>370.0</v>
      </c>
      <c r="AB4" s="110">
        <v>45292.0</v>
      </c>
      <c r="AC4" s="57" t="s">
        <v>477</v>
      </c>
      <c r="AD4" s="57">
        <v>74.0</v>
      </c>
      <c r="AE4" s="57">
        <v>46.0</v>
      </c>
      <c r="AF4" s="57">
        <v>34.0</v>
      </c>
      <c r="AG4" s="94"/>
      <c r="AH4" s="94"/>
      <c r="AI4" s="94"/>
      <c r="AJ4" s="94"/>
      <c r="AK4" s="94"/>
      <c r="AL4" s="94"/>
      <c r="AM4" s="94"/>
    </row>
    <row r="5">
      <c r="A5" s="3">
        <v>2.124000149E9</v>
      </c>
      <c r="B5" s="109" t="str">
        <f>VLOOKUP($A5,ANAGRAFICA!$B$1:$G$306,2,FALSE)</f>
        <v>MOTTA</v>
      </c>
      <c r="C5" s="109" t="str">
        <f>VLOOKUP($A5,ANAGRAFICA!$B$1:$G$306,3,FALSE)</f>
        <v>FABIO</v>
      </c>
      <c r="D5" s="109" t="str">
        <f>VLOOKUP($A5,ANAGRAFICA!$B$1:$G$306,4,FALSE)</f>
        <v/>
      </c>
      <c r="E5" s="109">
        <f>VLOOKUP($A5,ANAGRAFICA!$B$1:$G$306,5,FALSE)</f>
        <v>3272024051</v>
      </c>
      <c r="F5" s="109">
        <f>VLOOKUP($A5,ANAGRAFICA!$B$1:$G$306,6,FALSE)</f>
        <v>2024</v>
      </c>
      <c r="G5" s="57">
        <v>1.0</v>
      </c>
      <c r="H5" s="57" t="s">
        <v>516</v>
      </c>
      <c r="I5" s="57" t="s">
        <v>516</v>
      </c>
      <c r="J5" s="57" t="s">
        <v>516</v>
      </c>
      <c r="K5" s="57" t="s">
        <v>516</v>
      </c>
      <c r="L5" s="57" t="s">
        <v>516</v>
      </c>
      <c r="M5" s="57" t="s">
        <v>516</v>
      </c>
      <c r="N5" s="57" t="s">
        <v>516</v>
      </c>
      <c r="O5" s="57" t="s">
        <v>516</v>
      </c>
      <c r="P5" s="57" t="s">
        <v>516</v>
      </c>
      <c r="Q5" s="57" t="s">
        <v>516</v>
      </c>
      <c r="R5" s="57" t="s">
        <v>516</v>
      </c>
      <c r="S5" s="57" t="s">
        <v>516</v>
      </c>
      <c r="T5" s="57" t="s">
        <v>516</v>
      </c>
      <c r="U5" s="57" t="s">
        <v>516</v>
      </c>
      <c r="V5" s="57" t="s">
        <v>516</v>
      </c>
      <c r="W5" s="57" t="s">
        <v>516</v>
      </c>
      <c r="X5" s="57" t="s">
        <v>516</v>
      </c>
      <c r="Y5" s="57" t="s">
        <v>516</v>
      </c>
      <c r="Z5" s="57" t="s">
        <v>516</v>
      </c>
      <c r="AA5" s="57" t="s">
        <v>516</v>
      </c>
      <c r="AB5" s="57" t="s">
        <v>516</v>
      </c>
      <c r="AC5" s="57" t="s">
        <v>516</v>
      </c>
      <c r="AD5" s="57" t="s">
        <v>516</v>
      </c>
      <c r="AE5" s="57" t="s">
        <v>516</v>
      </c>
      <c r="AF5" s="57" t="s">
        <v>516</v>
      </c>
      <c r="AG5" s="57" t="s">
        <v>516</v>
      </c>
      <c r="AH5" s="57" t="s">
        <v>516</v>
      </c>
      <c r="AI5" s="57" t="s">
        <v>516</v>
      </c>
      <c r="AJ5" s="57" t="s">
        <v>516</v>
      </c>
      <c r="AK5" s="57" t="s">
        <v>516</v>
      </c>
      <c r="AL5" s="57" t="s">
        <v>516</v>
      </c>
      <c r="AM5" s="57" t="s">
        <v>516</v>
      </c>
    </row>
    <row r="6">
      <c r="A6" s="3">
        <v>2.124000241E9</v>
      </c>
      <c r="B6" s="109" t="str">
        <f>VLOOKUP($A6,ANAGRAFICA!$B$1:$G$306,2,FALSE)</f>
        <v>ISELLA</v>
      </c>
      <c r="C6" s="109" t="str">
        <f>VLOOKUP($A6,ANAGRAFICA!$B$1:$G$306,3,FALSE)</f>
        <v>VINCENZO</v>
      </c>
      <c r="D6" s="109" t="str">
        <f>VLOOKUP($A6,ANAGRAFICA!$B$1:$G$306,4,FALSE)</f>
        <v/>
      </c>
      <c r="E6" s="109">
        <f>VLOOKUP($A6,ANAGRAFICA!$B$1:$G$306,5,FALSE)</f>
        <v>3272024052</v>
      </c>
      <c r="F6" s="109">
        <f>VLOOKUP($A6,ANAGRAFICA!$B$1:$G$306,6,FALSE)</f>
        <v>2024</v>
      </c>
      <c r="G6" s="57">
        <v>1.0</v>
      </c>
      <c r="H6" s="110">
        <v>45296.0</v>
      </c>
      <c r="I6" s="57" t="s">
        <v>902</v>
      </c>
      <c r="J6" s="57">
        <v>6.9</v>
      </c>
      <c r="K6" s="57">
        <v>80.0</v>
      </c>
      <c r="L6" s="57"/>
      <c r="M6" s="57"/>
      <c r="N6" s="57">
        <v>8.7</v>
      </c>
      <c r="O6" s="57"/>
      <c r="P6" s="57"/>
      <c r="Q6" s="57"/>
      <c r="R6" s="57"/>
      <c r="S6" s="57" t="s">
        <v>516</v>
      </c>
      <c r="T6" s="57" t="s">
        <v>516</v>
      </c>
      <c r="U6" s="57" t="s">
        <v>516</v>
      </c>
      <c r="V6" s="57" t="s">
        <v>516</v>
      </c>
      <c r="W6" s="57" t="s">
        <v>516</v>
      </c>
      <c r="X6" s="57" t="s">
        <v>516</v>
      </c>
      <c r="Y6" s="57" t="s">
        <v>516</v>
      </c>
      <c r="Z6" s="57" t="s">
        <v>516</v>
      </c>
      <c r="AA6" s="57" t="s">
        <v>516</v>
      </c>
      <c r="AB6" s="57" t="s">
        <v>516</v>
      </c>
      <c r="AC6" s="57" t="s">
        <v>516</v>
      </c>
      <c r="AD6" s="57" t="s">
        <v>516</v>
      </c>
      <c r="AE6" s="57" t="s">
        <v>516</v>
      </c>
      <c r="AF6" s="57" t="s">
        <v>516</v>
      </c>
      <c r="AG6" s="57" t="s">
        <v>516</v>
      </c>
      <c r="AH6" s="57" t="s">
        <v>516</v>
      </c>
      <c r="AI6" s="57" t="s">
        <v>516</v>
      </c>
      <c r="AJ6" s="57" t="s">
        <v>516</v>
      </c>
      <c r="AK6" s="57" t="s">
        <v>516</v>
      </c>
      <c r="AL6" s="57" t="s">
        <v>516</v>
      </c>
      <c r="AM6" s="57" t="s">
        <v>516</v>
      </c>
    </row>
    <row r="7">
      <c r="A7" s="3">
        <v>2.124000328E9</v>
      </c>
      <c r="B7" s="109" t="str">
        <f>VLOOKUP($A7,ANAGRAFICA!$B$1:$G$306,2,FALSE)</f>
        <v>LAVANGA</v>
      </c>
      <c r="C7" s="109" t="str">
        <f>VLOOKUP($A7,ANAGRAFICA!$B$1:$G$306,3,FALSE)</f>
        <v>DONATO</v>
      </c>
      <c r="D7" s="109" t="str">
        <f>VLOOKUP($A7,ANAGRAFICA!$B$1:$G$306,4,FALSE)</f>
        <v/>
      </c>
      <c r="E7" s="109">
        <f>VLOOKUP($A7,ANAGRAFICA!$B$1:$G$306,5,FALSE)</f>
        <v>3272024053</v>
      </c>
      <c r="F7" s="109">
        <f>VLOOKUP($A7,ANAGRAFICA!$B$1:$G$306,6,FALSE)</f>
        <v>2024</v>
      </c>
      <c r="G7" s="57">
        <v>1.0</v>
      </c>
      <c r="H7" s="110">
        <v>45298.0</v>
      </c>
      <c r="I7" s="57" t="s">
        <v>903</v>
      </c>
      <c r="J7" s="57">
        <v>6.9</v>
      </c>
      <c r="K7" s="57">
        <v>60.7</v>
      </c>
      <c r="L7" s="57">
        <v>59.8</v>
      </c>
      <c r="M7" s="57">
        <v>11.5</v>
      </c>
      <c r="N7" s="57">
        <v>12.13</v>
      </c>
      <c r="O7" s="57">
        <v>-22.2</v>
      </c>
      <c r="P7" s="57">
        <v>16.2</v>
      </c>
      <c r="Q7" s="57">
        <v>48.0</v>
      </c>
      <c r="R7" s="57">
        <v>75.0</v>
      </c>
      <c r="S7" s="57" t="s">
        <v>516</v>
      </c>
      <c r="T7" s="57" t="s">
        <v>516</v>
      </c>
      <c r="U7" s="57" t="s">
        <v>516</v>
      </c>
      <c r="V7" s="57" t="s">
        <v>516</v>
      </c>
      <c r="W7" s="57" t="s">
        <v>516</v>
      </c>
      <c r="X7" s="57" t="s">
        <v>516</v>
      </c>
      <c r="Y7" s="57" t="s">
        <v>516</v>
      </c>
      <c r="Z7" s="57" t="s">
        <v>516</v>
      </c>
      <c r="AA7" s="57" t="s">
        <v>516</v>
      </c>
      <c r="AB7" s="57" t="s">
        <v>516</v>
      </c>
      <c r="AC7" s="57" t="s">
        <v>516</v>
      </c>
      <c r="AD7" s="57" t="s">
        <v>516</v>
      </c>
      <c r="AE7" s="57" t="s">
        <v>516</v>
      </c>
      <c r="AF7" s="57" t="s">
        <v>516</v>
      </c>
      <c r="AG7" s="57" t="s">
        <v>516</v>
      </c>
      <c r="AH7" s="57" t="s">
        <v>516</v>
      </c>
      <c r="AI7" s="57" t="s">
        <v>516</v>
      </c>
      <c r="AJ7" s="57" t="s">
        <v>516</v>
      </c>
      <c r="AK7" s="57" t="s">
        <v>516</v>
      </c>
      <c r="AL7" s="57" t="s">
        <v>516</v>
      </c>
      <c r="AM7" s="57" t="s">
        <v>516</v>
      </c>
    </row>
    <row r="8">
      <c r="A8" s="3">
        <v>2.124001121E9</v>
      </c>
      <c r="B8" s="109" t="str">
        <f>VLOOKUP($A8,ANAGRAFICA!$B$1:$G$306,2,FALSE)</f>
        <v>TIEGHI</v>
      </c>
      <c r="C8" s="109" t="str">
        <f>VLOOKUP($A8,ANAGRAFICA!$B$1:$G$306,3,FALSE)</f>
        <v>MASSIMO</v>
      </c>
      <c r="D8" s="109" t="str">
        <f>VLOOKUP($A8,ANAGRAFICA!$B$1:$G$306,4,FALSE)</f>
        <v/>
      </c>
      <c r="E8" s="109">
        <f>VLOOKUP($A8,ANAGRAFICA!$B$1:$G$306,5,FALSE)</f>
        <v>3272024054</v>
      </c>
      <c r="F8" s="109">
        <f>VLOOKUP($A8,ANAGRAFICA!$B$1:$G$306,6,FALSE)</f>
        <v>2024</v>
      </c>
      <c r="G8" s="57">
        <v>1.0</v>
      </c>
      <c r="H8" s="57" t="s">
        <v>516</v>
      </c>
      <c r="I8" s="57" t="s">
        <v>516</v>
      </c>
      <c r="J8" s="57" t="s">
        <v>516</v>
      </c>
      <c r="K8" s="57" t="s">
        <v>516</v>
      </c>
      <c r="L8" s="57" t="s">
        <v>516</v>
      </c>
      <c r="M8" s="57" t="s">
        <v>516</v>
      </c>
      <c r="N8" s="57" t="s">
        <v>516</v>
      </c>
      <c r="O8" s="57" t="s">
        <v>516</v>
      </c>
      <c r="P8" s="57" t="s">
        <v>516</v>
      </c>
      <c r="Q8" s="57" t="s">
        <v>516</v>
      </c>
      <c r="R8" s="57" t="s">
        <v>516</v>
      </c>
      <c r="S8" s="57" t="s">
        <v>516</v>
      </c>
      <c r="T8" s="57" t="s">
        <v>516</v>
      </c>
      <c r="U8" s="57" t="s">
        <v>516</v>
      </c>
      <c r="V8" s="57" t="s">
        <v>516</v>
      </c>
      <c r="W8" s="57" t="s">
        <v>516</v>
      </c>
      <c r="X8" s="57" t="s">
        <v>516</v>
      </c>
      <c r="Y8" s="57" t="s">
        <v>516</v>
      </c>
      <c r="Z8" s="57" t="s">
        <v>516</v>
      </c>
      <c r="AA8" s="57" t="s">
        <v>516</v>
      </c>
      <c r="AB8" s="57" t="s">
        <v>516</v>
      </c>
      <c r="AC8" s="57" t="s">
        <v>516</v>
      </c>
      <c r="AD8" s="57" t="s">
        <v>516</v>
      </c>
      <c r="AE8" s="57" t="s">
        <v>516</v>
      </c>
      <c r="AF8" s="57" t="s">
        <v>516</v>
      </c>
      <c r="AG8" s="57" t="s">
        <v>516</v>
      </c>
      <c r="AH8" s="57" t="s">
        <v>516</v>
      </c>
      <c r="AI8" s="57" t="s">
        <v>516</v>
      </c>
      <c r="AJ8" s="57" t="s">
        <v>516</v>
      </c>
      <c r="AK8" s="57" t="s">
        <v>516</v>
      </c>
      <c r="AL8" s="57" t="s">
        <v>516</v>
      </c>
      <c r="AM8" s="57" t="s">
        <v>516</v>
      </c>
    </row>
    <row r="9">
      <c r="A9" s="3">
        <v>2.124002215E9</v>
      </c>
      <c r="B9" s="109" t="str">
        <f>VLOOKUP($A9,ANAGRAFICA!$B$1:$G$306,2,FALSE)</f>
        <v>SCHIFANO</v>
      </c>
      <c r="C9" s="109" t="str">
        <f>VLOOKUP($A9,ANAGRAFICA!$B$1:$G$306,3,FALSE)</f>
        <v>FRANCESCO</v>
      </c>
      <c r="D9" s="109" t="str">
        <f>VLOOKUP($A9,ANAGRAFICA!$B$1:$G$306,4,FALSE)</f>
        <v/>
      </c>
      <c r="E9" s="109">
        <f>VLOOKUP($A9,ANAGRAFICA!$B$1:$G$306,5,FALSE)</f>
        <v>3272024055</v>
      </c>
      <c r="F9" s="109">
        <f>VLOOKUP($A9,ANAGRAFICA!$B$1:$G$306,6,FALSE)</f>
        <v>2024</v>
      </c>
      <c r="G9" s="57">
        <v>1.0</v>
      </c>
      <c r="H9" s="110">
        <v>45325.0</v>
      </c>
      <c r="I9" s="57" t="s">
        <v>904</v>
      </c>
      <c r="J9" s="57">
        <v>7.22</v>
      </c>
      <c r="K9" s="57">
        <v>95.0</v>
      </c>
      <c r="L9" s="57">
        <v>60.0</v>
      </c>
      <c r="M9" s="57">
        <v>26.4</v>
      </c>
      <c r="N9" s="57">
        <v>4.5</v>
      </c>
      <c r="O9" s="57">
        <v>-4.2</v>
      </c>
      <c r="P9" s="57">
        <v>14.1</v>
      </c>
      <c r="Q9" s="57">
        <v>42.0</v>
      </c>
      <c r="R9" s="57">
        <v>94.3</v>
      </c>
      <c r="S9" s="57" t="s">
        <v>905</v>
      </c>
      <c r="T9" s="94"/>
      <c r="U9" s="94"/>
      <c r="V9" s="94"/>
      <c r="W9" s="94"/>
      <c r="X9" s="94"/>
      <c r="Y9" s="94"/>
      <c r="Z9" s="94"/>
      <c r="AA9" s="94"/>
      <c r="AB9" s="57" t="s">
        <v>905</v>
      </c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</row>
    <row r="10">
      <c r="A10" s="3">
        <v>2.124202869E9</v>
      </c>
      <c r="B10" s="109" t="str">
        <f>VLOOKUP($A10,ANAGRAFICA!$B$1:$G$306,2,FALSE)</f>
        <v>VALSECCHI</v>
      </c>
      <c r="C10" s="109" t="str">
        <f>VLOOKUP($A10,ANAGRAFICA!$B$1:$G$306,3,FALSE)</f>
        <v>ANDREA</v>
      </c>
      <c r="D10" s="109" t="str">
        <f>VLOOKUP($A10,ANAGRAFICA!$B$1:$G$306,4,FALSE)</f>
        <v/>
      </c>
      <c r="E10" s="109">
        <f>VLOOKUP($A10,ANAGRAFICA!$B$1:$G$306,5,FALSE)</f>
        <v>3272024056</v>
      </c>
      <c r="F10" s="109">
        <f>VLOOKUP($A10,ANAGRAFICA!$B$1:$G$306,6,FALSE)</f>
        <v>2024</v>
      </c>
      <c r="G10" s="57">
        <v>1.0</v>
      </c>
      <c r="H10" s="110">
        <v>45336.0</v>
      </c>
      <c r="I10" s="57" t="s">
        <v>353</v>
      </c>
      <c r="J10" s="57">
        <v>7.43</v>
      </c>
      <c r="K10" s="57">
        <v>91.0</v>
      </c>
      <c r="L10" s="57">
        <v>45.0</v>
      </c>
      <c r="M10" s="57">
        <v>28.0</v>
      </c>
      <c r="N10" s="57">
        <v>1.4</v>
      </c>
      <c r="O10" s="57">
        <v>5.6</v>
      </c>
      <c r="P10" s="57">
        <v>8.7</v>
      </c>
      <c r="Q10" s="57">
        <v>26.0</v>
      </c>
      <c r="R10" s="57">
        <v>97.3</v>
      </c>
      <c r="S10" s="110">
        <v>45336.0</v>
      </c>
      <c r="T10" s="57" t="s">
        <v>353</v>
      </c>
      <c r="U10" s="57" t="s">
        <v>906</v>
      </c>
      <c r="V10" s="57">
        <v>26.0</v>
      </c>
      <c r="W10" s="57">
        <v>14.0</v>
      </c>
      <c r="X10" s="94"/>
      <c r="Y10" s="94"/>
      <c r="Z10" s="94"/>
      <c r="AA10" s="57">
        <v>500.0</v>
      </c>
      <c r="AB10" s="110">
        <v>45336.0</v>
      </c>
      <c r="AC10" s="57" t="s">
        <v>203</v>
      </c>
      <c r="AD10" s="57">
        <v>88.0</v>
      </c>
      <c r="AE10" s="57">
        <v>55.0</v>
      </c>
      <c r="AF10" s="57">
        <v>64.0</v>
      </c>
      <c r="AG10" s="57">
        <v>40.0</v>
      </c>
      <c r="AH10" s="57">
        <v>5.7</v>
      </c>
      <c r="AI10" s="94"/>
      <c r="AJ10" s="57">
        <v>40.0</v>
      </c>
      <c r="AK10" s="57">
        <v>26.0</v>
      </c>
      <c r="AL10" s="57">
        <v>31.0</v>
      </c>
      <c r="AM10" s="57">
        <v>2.6</v>
      </c>
    </row>
    <row r="11">
      <c r="A11" s="3">
        <v>2.124003531E9</v>
      </c>
      <c r="B11" s="109" t="str">
        <f>VLOOKUP($A11,ANAGRAFICA!$B$1:$G$306,2,FALSE)</f>
        <v>RASPANTI</v>
      </c>
      <c r="C11" s="109" t="str">
        <f>VLOOKUP($A11,ANAGRAFICA!$B$1:$G$306,3,FALSE)</f>
        <v>ANDREA</v>
      </c>
      <c r="D11" s="109" t="str">
        <f>VLOOKUP($A11,ANAGRAFICA!$B$1:$G$306,4,FALSE)</f>
        <v/>
      </c>
      <c r="E11" s="109">
        <f>VLOOKUP($A11,ANAGRAFICA!$B$1:$G$306,5,FALSE)</f>
        <v>3272024057</v>
      </c>
      <c r="F11" s="109">
        <f>VLOOKUP($A11,ANAGRAFICA!$B$1:$G$306,6,FALSE)</f>
        <v>2024</v>
      </c>
      <c r="G11" s="57">
        <v>1.0</v>
      </c>
      <c r="H11" s="110">
        <v>45343.0</v>
      </c>
      <c r="I11" s="57" t="s">
        <v>353</v>
      </c>
      <c r="J11" s="57">
        <v>7.35</v>
      </c>
      <c r="K11" s="57">
        <v>146.0</v>
      </c>
      <c r="L11" s="57">
        <v>31.0</v>
      </c>
      <c r="M11" s="57">
        <v>17.1</v>
      </c>
      <c r="N11" s="57">
        <v>7.6</v>
      </c>
      <c r="O11" s="57">
        <v>-7.4</v>
      </c>
      <c r="P11" s="57">
        <v>12.0</v>
      </c>
      <c r="Q11" s="57">
        <v>36.0</v>
      </c>
      <c r="R11" s="57">
        <v>97.9</v>
      </c>
      <c r="S11" s="110">
        <v>45343.0</v>
      </c>
      <c r="T11" s="57" t="s">
        <v>353</v>
      </c>
      <c r="U11" s="57" t="s">
        <v>906</v>
      </c>
      <c r="V11" s="57">
        <v>25.0</v>
      </c>
      <c r="W11" s="57">
        <v>4.0</v>
      </c>
      <c r="X11" s="94"/>
      <c r="Y11" s="94"/>
      <c r="Z11" s="94"/>
      <c r="AA11" s="57">
        <v>545.0</v>
      </c>
      <c r="AB11" s="110">
        <v>45343.0</v>
      </c>
      <c r="AC11" s="57" t="s">
        <v>353</v>
      </c>
      <c r="AD11" s="57">
        <v>68.0</v>
      </c>
      <c r="AE11" s="57">
        <v>42.0</v>
      </c>
      <c r="AF11" s="57">
        <v>51.0</v>
      </c>
      <c r="AG11" s="94"/>
      <c r="AH11" s="57">
        <v>5.0</v>
      </c>
      <c r="AI11" s="57"/>
      <c r="AJ11" s="57">
        <v>25.0</v>
      </c>
      <c r="AK11" s="57">
        <v>15.0</v>
      </c>
      <c r="AL11" s="57">
        <v>19.0</v>
      </c>
      <c r="AM11" s="94"/>
    </row>
    <row r="12">
      <c r="A12" s="3">
        <v>2.124203781E9</v>
      </c>
      <c r="B12" s="109" t="str">
        <f>VLOOKUP($A12,ANAGRAFICA!$B$1:$G$306,2,FALSE)</f>
        <v>CONCA</v>
      </c>
      <c r="C12" s="109" t="str">
        <f>VLOOKUP($A12,ANAGRAFICA!$B$1:$G$306,3,FALSE)</f>
        <v>CAMILLA</v>
      </c>
      <c r="D12" s="109" t="str">
        <f>VLOOKUP($A12,ANAGRAFICA!$B$1:$G$306,4,FALSE)</f>
        <v/>
      </c>
      <c r="E12" s="109">
        <f>VLOOKUP($A12,ANAGRAFICA!$B$1:$G$306,5,FALSE)</f>
        <v>3272024058</v>
      </c>
      <c r="F12" s="109">
        <f>VLOOKUP($A12,ANAGRAFICA!$B$1:$G$306,6,FALSE)</f>
        <v>2024</v>
      </c>
      <c r="G12" s="57">
        <v>1.0</v>
      </c>
      <c r="H12" s="110">
        <v>45351.0</v>
      </c>
      <c r="I12" s="57" t="s">
        <v>104</v>
      </c>
      <c r="J12" s="57">
        <v>7.36</v>
      </c>
      <c r="K12" s="57">
        <v>62.0</v>
      </c>
      <c r="L12" s="57">
        <v>53.0</v>
      </c>
      <c r="M12" s="57">
        <v>27.7</v>
      </c>
      <c r="N12" s="57">
        <v>1.2</v>
      </c>
      <c r="O12" s="57">
        <v>4.5</v>
      </c>
      <c r="P12" s="57">
        <v>9.5</v>
      </c>
      <c r="Q12" s="57">
        <v>29.0</v>
      </c>
      <c r="R12" s="57">
        <v>90.4</v>
      </c>
      <c r="S12" s="110">
        <v>45351.0</v>
      </c>
      <c r="T12" s="57" t="s">
        <v>28</v>
      </c>
      <c r="U12" s="57" t="s">
        <v>901</v>
      </c>
      <c r="V12" s="57">
        <v>20.0</v>
      </c>
      <c r="W12" s="57">
        <v>12.0</v>
      </c>
      <c r="X12" s="94"/>
      <c r="Y12" s="94"/>
      <c r="Z12" s="57">
        <v>22.0</v>
      </c>
      <c r="AA12" s="57">
        <v>440.0</v>
      </c>
      <c r="AB12" s="110">
        <v>45351.0</v>
      </c>
      <c r="AC12" s="57" t="s">
        <v>28</v>
      </c>
      <c r="AD12" s="57">
        <v>62.0</v>
      </c>
      <c r="AE12" s="57">
        <v>39.0</v>
      </c>
      <c r="AF12" s="57">
        <v>48.0</v>
      </c>
      <c r="AG12" s="94"/>
      <c r="AH12" s="94"/>
      <c r="AI12" s="94"/>
      <c r="AJ12" s="94"/>
      <c r="AK12" s="94"/>
      <c r="AL12" s="94"/>
      <c r="AM12" s="94"/>
    </row>
    <row r="13">
      <c r="A13" s="3">
        <v>2.124019725E9</v>
      </c>
      <c r="B13" s="109" t="str">
        <f>VLOOKUP($A13,ANAGRAFICA!$B$1:$G$306,2,FALSE)</f>
        <v>AMIWO</v>
      </c>
      <c r="C13" s="109" t="str">
        <f>VLOOKUP($A13,ANAGRAFICA!$B$1:$G$306,3,FALSE)</f>
        <v>REX STEVE</v>
      </c>
      <c r="D13" s="109" t="str">
        <f>VLOOKUP($A13,ANAGRAFICA!$B$1:$G$306,4,FALSE)</f>
        <v>758-18</v>
      </c>
      <c r="E13" s="109">
        <f>VLOOKUP($A13,ANAGRAFICA!$B$1:$G$306,5,FALSE)</f>
        <v>3272024084</v>
      </c>
      <c r="F13" s="109">
        <f>VLOOKUP($A13,ANAGRAFICA!$B$1:$G$306,6,FALSE)</f>
        <v>2024</v>
      </c>
      <c r="G13" s="57">
        <v>1.0</v>
      </c>
      <c r="H13" s="57" t="s">
        <v>516</v>
      </c>
      <c r="I13" s="57" t="s">
        <v>516</v>
      </c>
      <c r="J13" s="57" t="s">
        <v>516</v>
      </c>
      <c r="K13" s="57" t="s">
        <v>516</v>
      </c>
      <c r="L13" s="57" t="s">
        <v>516</v>
      </c>
      <c r="M13" s="57" t="s">
        <v>516</v>
      </c>
      <c r="N13" s="57" t="s">
        <v>516</v>
      </c>
      <c r="O13" s="57" t="s">
        <v>516</v>
      </c>
      <c r="P13" s="57" t="s">
        <v>516</v>
      </c>
      <c r="Q13" s="57" t="s">
        <v>516</v>
      </c>
      <c r="R13" s="57" t="s">
        <v>516</v>
      </c>
      <c r="S13" s="57" t="s">
        <v>516</v>
      </c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</row>
    <row r="14">
      <c r="A14" s="3">
        <v>2.12401869E9</v>
      </c>
      <c r="B14" s="109" t="str">
        <f>VLOOKUP($A14,ANAGRAFICA!$B$1:$G$306,2,FALSE)</f>
        <v>AVENIDO</v>
      </c>
      <c r="C14" s="109" t="str">
        <f>VLOOKUP($A14,ANAGRAFICA!$B$1:$G$306,3,FALSE)</f>
        <v>DELFIN</v>
      </c>
      <c r="D14" s="109" t="str">
        <f>VLOOKUP($A14,ANAGRAFICA!$B$1:$G$306,4,FALSE)</f>
        <v>758-16</v>
      </c>
      <c r="E14" s="109">
        <f>VLOOKUP($A14,ANAGRAFICA!$B$1:$G$306,5,FALSE)</f>
        <v>3272024082</v>
      </c>
      <c r="F14" s="109">
        <f>VLOOKUP($A14,ANAGRAFICA!$B$1:$G$306,6,FALSE)</f>
        <v>2024</v>
      </c>
      <c r="G14" s="57">
        <v>1.0</v>
      </c>
      <c r="H14" s="57" t="s">
        <v>516</v>
      </c>
      <c r="I14" s="57" t="s">
        <v>516</v>
      </c>
      <c r="J14" s="57" t="s">
        <v>516</v>
      </c>
      <c r="K14" s="57" t="s">
        <v>516</v>
      </c>
      <c r="L14" s="57" t="s">
        <v>516</v>
      </c>
      <c r="M14" s="57" t="s">
        <v>516</v>
      </c>
      <c r="N14" s="57" t="s">
        <v>516</v>
      </c>
      <c r="O14" s="57" t="s">
        <v>516</v>
      </c>
      <c r="P14" s="57" t="s">
        <v>516</v>
      </c>
      <c r="Q14" s="57" t="s">
        <v>516</v>
      </c>
      <c r="R14" s="57" t="s">
        <v>516</v>
      </c>
      <c r="S14" s="57" t="s">
        <v>516</v>
      </c>
      <c r="T14" s="57" t="s">
        <v>516</v>
      </c>
      <c r="U14" s="57" t="s">
        <v>516</v>
      </c>
      <c r="V14" s="57" t="s">
        <v>516</v>
      </c>
      <c r="W14" s="57" t="s">
        <v>516</v>
      </c>
      <c r="X14" s="57" t="s">
        <v>516</v>
      </c>
      <c r="Y14" s="57" t="s">
        <v>516</v>
      </c>
      <c r="Z14" s="57" t="s">
        <v>516</v>
      </c>
      <c r="AA14" s="57" t="s">
        <v>516</v>
      </c>
      <c r="AB14" s="57" t="s">
        <v>516</v>
      </c>
      <c r="AC14" s="57" t="s">
        <v>516</v>
      </c>
      <c r="AD14" s="57" t="s">
        <v>516</v>
      </c>
      <c r="AE14" s="57" t="s">
        <v>516</v>
      </c>
      <c r="AF14" s="57" t="s">
        <v>516</v>
      </c>
      <c r="AG14" s="57" t="s">
        <v>516</v>
      </c>
      <c r="AH14" s="57" t="s">
        <v>516</v>
      </c>
      <c r="AI14" s="57" t="s">
        <v>516</v>
      </c>
      <c r="AJ14" s="57" t="s">
        <v>516</v>
      </c>
      <c r="AK14" s="57" t="s">
        <v>516</v>
      </c>
      <c r="AL14" s="57" t="s">
        <v>516</v>
      </c>
      <c r="AM14" s="57" t="s">
        <v>516</v>
      </c>
    </row>
    <row r="15">
      <c r="A15" s="3">
        <v>2.124018637E9</v>
      </c>
      <c r="B15" s="109" t="str">
        <f>VLOOKUP($A15,ANAGRAFICA!$B$1:$G$306,2,FALSE)</f>
        <v>CARIBONI</v>
      </c>
      <c r="C15" s="109" t="str">
        <f>VLOOKUP($A15,ANAGRAFICA!$B$1:$G$306,3,FALSE)</f>
        <v>LORENZA</v>
      </c>
      <c r="D15" s="109" t="str">
        <f>VLOOKUP($A15,ANAGRAFICA!$B$1:$G$306,4,FALSE)</f>
        <v>758-15</v>
      </c>
      <c r="E15" s="109">
        <f>VLOOKUP($A15,ANAGRAFICA!$B$1:$G$306,5,FALSE)</f>
        <v>3272024081</v>
      </c>
      <c r="F15" s="109">
        <f>VLOOKUP($A15,ANAGRAFICA!$B$1:$G$306,6,FALSE)</f>
        <v>2024</v>
      </c>
      <c r="G15" s="57">
        <v>1.0</v>
      </c>
      <c r="H15" s="112">
        <v>45584.0</v>
      </c>
      <c r="I15" s="57" t="s">
        <v>679</v>
      </c>
      <c r="J15" s="114">
        <v>0.2923611111111111</v>
      </c>
      <c r="K15" s="57">
        <v>254.0</v>
      </c>
      <c r="L15" s="57">
        <v>33.0</v>
      </c>
      <c r="M15" s="57">
        <v>8.0</v>
      </c>
      <c r="N15" s="57">
        <v>13.5</v>
      </c>
      <c r="O15" s="57">
        <v>22.0</v>
      </c>
      <c r="P15" s="57">
        <v>11.2</v>
      </c>
      <c r="Q15" s="57">
        <v>34.0</v>
      </c>
      <c r="R15" s="57">
        <v>98.6</v>
      </c>
      <c r="S15" s="57" t="s">
        <v>516</v>
      </c>
      <c r="T15" s="57" t="s">
        <v>516</v>
      </c>
      <c r="U15" s="57" t="s">
        <v>516</v>
      </c>
      <c r="V15" s="57" t="s">
        <v>516</v>
      </c>
      <c r="W15" s="57" t="s">
        <v>516</v>
      </c>
      <c r="X15" s="57" t="s">
        <v>516</v>
      </c>
      <c r="Y15" s="57" t="s">
        <v>516</v>
      </c>
      <c r="Z15" s="57" t="s">
        <v>516</v>
      </c>
      <c r="AA15" s="57" t="s">
        <v>516</v>
      </c>
      <c r="AB15" s="57" t="s">
        <v>516</v>
      </c>
      <c r="AC15" s="57" t="s">
        <v>516</v>
      </c>
      <c r="AD15" s="57" t="s">
        <v>516</v>
      </c>
      <c r="AE15" s="57" t="s">
        <v>516</v>
      </c>
      <c r="AF15" s="57" t="s">
        <v>516</v>
      </c>
      <c r="AG15" s="57" t="s">
        <v>516</v>
      </c>
      <c r="AH15" s="57" t="s">
        <v>516</v>
      </c>
      <c r="AI15" s="57" t="s">
        <v>516</v>
      </c>
      <c r="AJ15" s="57" t="s">
        <v>516</v>
      </c>
      <c r="AK15" s="57" t="s">
        <v>516</v>
      </c>
      <c r="AL15" s="57" t="s">
        <v>516</v>
      </c>
      <c r="AM15" s="57" t="s">
        <v>516</v>
      </c>
    </row>
    <row r="16">
      <c r="A16" s="3">
        <v>2.124019184E9</v>
      </c>
      <c r="B16" s="109" t="str">
        <f>VLOOKUP($A16,ANAGRAFICA!$B$1:$G$306,2,FALSE)</f>
        <v>SERVIDIO</v>
      </c>
      <c r="C16" s="109" t="str">
        <f>VLOOKUP($A16,ANAGRAFICA!$B$1:$G$306,3,FALSE)</f>
        <v>GIOVANNI</v>
      </c>
      <c r="D16" s="109" t="str">
        <f>VLOOKUP($A16,ANAGRAFICA!$B$1:$G$306,4,FALSE)</f>
        <v>758-17</v>
      </c>
      <c r="E16" s="109">
        <f>VLOOKUP($A16,ANAGRAFICA!$B$1:$G$306,5,FALSE)</f>
        <v>3272024083</v>
      </c>
      <c r="F16" s="109">
        <f>VLOOKUP($A16,ANAGRAFICA!$B$1:$G$306,6,FALSE)</f>
        <v>2024</v>
      </c>
      <c r="G16" s="57">
        <v>1.0</v>
      </c>
      <c r="H16" s="112">
        <v>45594.0</v>
      </c>
      <c r="I16" s="57" t="s">
        <v>279</v>
      </c>
      <c r="J16" s="57">
        <v>7.37</v>
      </c>
      <c r="K16" s="57">
        <v>166.0</v>
      </c>
      <c r="L16" s="57">
        <v>44.0</v>
      </c>
      <c r="M16" s="57">
        <v>24.9</v>
      </c>
      <c r="N16" s="57">
        <v>1.3</v>
      </c>
      <c r="O16" s="57">
        <v>0.1</v>
      </c>
      <c r="P16" s="57">
        <v>10.3</v>
      </c>
      <c r="Q16" s="57">
        <v>32.0</v>
      </c>
      <c r="R16" s="94"/>
      <c r="S16" s="112">
        <v>45594.0</v>
      </c>
      <c r="T16" s="57" t="s">
        <v>45</v>
      </c>
      <c r="U16" s="57" t="s">
        <v>901</v>
      </c>
      <c r="V16" s="57">
        <v>12.0</v>
      </c>
      <c r="W16" s="57">
        <v>4.0</v>
      </c>
      <c r="X16" s="57" t="s">
        <v>516</v>
      </c>
      <c r="Y16" s="57" t="s">
        <v>516</v>
      </c>
      <c r="Z16" s="57" t="s">
        <v>516</v>
      </c>
      <c r="AA16" s="57">
        <v>490.0</v>
      </c>
      <c r="AB16" s="112">
        <v>45594.0</v>
      </c>
      <c r="AC16" s="57" t="s">
        <v>45</v>
      </c>
      <c r="AD16" s="57">
        <v>110.0</v>
      </c>
      <c r="AE16" s="57">
        <v>70.0</v>
      </c>
      <c r="AF16" s="57" t="s">
        <v>516</v>
      </c>
      <c r="AG16" s="57" t="s">
        <v>516</v>
      </c>
      <c r="AH16" s="57" t="s">
        <v>516</v>
      </c>
      <c r="AI16" s="57" t="s">
        <v>516</v>
      </c>
      <c r="AJ16" s="57" t="s">
        <v>516</v>
      </c>
      <c r="AK16" s="57" t="s">
        <v>516</v>
      </c>
      <c r="AL16" s="57" t="s">
        <v>516</v>
      </c>
      <c r="AM16" s="57" t="s">
        <v>516</v>
      </c>
    </row>
    <row r="17">
      <c r="A17" s="3">
        <v>2.124017757E9</v>
      </c>
      <c r="B17" s="109" t="str">
        <f>VLOOKUP($A17,ANAGRAFICA!$B$1:$G$306,2,FALSE)</f>
        <v>SALA</v>
      </c>
      <c r="C17" s="109" t="str">
        <f>VLOOKUP($A17,ANAGRAFICA!$B$1:$G$306,3,FALSE)</f>
        <v>FELICE</v>
      </c>
      <c r="D17" s="109" t="str">
        <f>VLOOKUP($A17,ANAGRAFICA!$B$1:$G$306,4,FALSE)</f>
        <v>758-14</v>
      </c>
      <c r="E17" s="109">
        <f>VLOOKUP($A17,ANAGRAFICA!$B$1:$G$306,5,FALSE)</f>
        <v>3272024080</v>
      </c>
      <c r="F17" s="109">
        <f>VLOOKUP($A17,ANAGRAFICA!$B$1:$G$306,6,FALSE)</f>
        <v>2024</v>
      </c>
      <c r="G17" s="57">
        <v>1.0</v>
      </c>
      <c r="H17" s="57" t="s">
        <v>516</v>
      </c>
      <c r="I17" s="57" t="s">
        <v>516</v>
      </c>
      <c r="J17" s="57" t="s">
        <v>516</v>
      </c>
      <c r="K17" s="57" t="s">
        <v>516</v>
      </c>
      <c r="L17" s="57" t="s">
        <v>516</v>
      </c>
      <c r="M17" s="57" t="s">
        <v>516</v>
      </c>
      <c r="N17" s="57" t="s">
        <v>516</v>
      </c>
      <c r="O17" s="57" t="s">
        <v>516</v>
      </c>
      <c r="P17" s="57" t="s">
        <v>516</v>
      </c>
      <c r="Q17" s="57" t="s">
        <v>516</v>
      </c>
      <c r="R17" s="57" t="s">
        <v>516</v>
      </c>
      <c r="S17" s="57" t="s">
        <v>516</v>
      </c>
      <c r="T17" s="57" t="s">
        <v>516</v>
      </c>
      <c r="U17" s="57" t="s">
        <v>516</v>
      </c>
      <c r="V17" s="57" t="s">
        <v>516</v>
      </c>
      <c r="W17" s="57" t="s">
        <v>516</v>
      </c>
      <c r="X17" s="57" t="s">
        <v>516</v>
      </c>
      <c r="Y17" s="57" t="s">
        <v>516</v>
      </c>
      <c r="Z17" s="57" t="s">
        <v>516</v>
      </c>
      <c r="AA17" s="57" t="s">
        <v>516</v>
      </c>
      <c r="AB17" s="57" t="s">
        <v>516</v>
      </c>
      <c r="AC17" s="57" t="s">
        <v>516</v>
      </c>
      <c r="AD17" s="57" t="s">
        <v>516</v>
      </c>
      <c r="AE17" s="57" t="s">
        <v>516</v>
      </c>
      <c r="AF17" s="57" t="s">
        <v>516</v>
      </c>
      <c r="AG17" s="57" t="s">
        <v>516</v>
      </c>
      <c r="AH17" s="57" t="s">
        <v>516</v>
      </c>
      <c r="AI17" s="57" t="s">
        <v>516</v>
      </c>
      <c r="AJ17" s="57" t="s">
        <v>516</v>
      </c>
      <c r="AK17" s="57" t="s">
        <v>516</v>
      </c>
      <c r="AL17" s="57" t="s">
        <v>516</v>
      </c>
      <c r="AM17" s="57" t="s">
        <v>516</v>
      </c>
    </row>
    <row r="18">
      <c r="A18" s="3">
        <v>2.124211722E9</v>
      </c>
      <c r="B18" s="109" t="str">
        <f>VLOOKUP($A18,ANAGRAFICA!$B$1:$G$306,2,FALSE)</f>
        <v>CORIO</v>
      </c>
      <c r="C18" s="109" t="str">
        <f>VLOOKUP($A18,ANAGRAFICA!$B$1:$G$306,3,FALSE)</f>
        <v>GIOVANNI</v>
      </c>
      <c r="D18" s="109" t="str">
        <f>VLOOKUP($A18,ANAGRAFICA!$B$1:$G$306,4,FALSE)</f>
        <v>758-13</v>
      </c>
      <c r="E18" s="109">
        <f>VLOOKUP($A18,ANAGRAFICA!$B$1:$G$306,5,FALSE)</f>
        <v>3272024079</v>
      </c>
      <c r="F18" s="109">
        <f>VLOOKUP($A18,ANAGRAFICA!$B$1:$G$306,6,FALSE)</f>
        <v>2024</v>
      </c>
      <c r="G18" s="57">
        <v>1.0</v>
      </c>
      <c r="H18" s="110">
        <v>45571.0</v>
      </c>
      <c r="I18" s="57" t="s">
        <v>353</v>
      </c>
      <c r="J18" s="57">
        <v>7.27</v>
      </c>
      <c r="K18" s="57">
        <v>80.0</v>
      </c>
      <c r="L18" s="57">
        <v>54.0</v>
      </c>
      <c r="M18" s="57">
        <v>22.6</v>
      </c>
      <c r="N18" s="57">
        <v>3.5</v>
      </c>
      <c r="O18" s="57">
        <v>-2.1</v>
      </c>
      <c r="P18" s="57">
        <v>13.5</v>
      </c>
      <c r="Q18" s="57">
        <v>41.0</v>
      </c>
      <c r="R18" s="57">
        <v>93.9</v>
      </c>
      <c r="S18" s="110">
        <v>45571.0</v>
      </c>
      <c r="T18" s="57" t="s">
        <v>353</v>
      </c>
      <c r="U18" s="57" t="s">
        <v>907</v>
      </c>
      <c r="V18" s="57" t="s">
        <v>516</v>
      </c>
      <c r="W18" s="57">
        <v>10.0</v>
      </c>
      <c r="X18" s="57" t="s">
        <v>516</v>
      </c>
      <c r="Y18" s="57" t="s">
        <v>516</v>
      </c>
      <c r="Z18" s="57" t="s">
        <v>516</v>
      </c>
      <c r="AA18" s="57" t="s">
        <v>516</v>
      </c>
      <c r="AB18" s="110">
        <v>45571.0</v>
      </c>
      <c r="AC18" s="57" t="s">
        <v>353</v>
      </c>
      <c r="AD18" s="57">
        <v>135.0</v>
      </c>
      <c r="AE18" s="57">
        <v>73.0</v>
      </c>
      <c r="AF18" s="57">
        <v>96.0</v>
      </c>
      <c r="AG18" s="57" t="s">
        <v>516</v>
      </c>
      <c r="AH18" s="57" t="s">
        <v>516</v>
      </c>
      <c r="AI18" s="57" t="s">
        <v>516</v>
      </c>
      <c r="AJ18" s="57" t="s">
        <v>516</v>
      </c>
      <c r="AK18" s="57" t="s">
        <v>516</v>
      </c>
      <c r="AL18" s="57" t="s">
        <v>516</v>
      </c>
      <c r="AM18" s="57" t="s">
        <v>516</v>
      </c>
    </row>
    <row r="19">
      <c r="A19" s="3">
        <v>2.124014334E9</v>
      </c>
      <c r="B19" s="109" t="str">
        <f>VLOOKUP($A19,ANAGRAFICA!$B$1:$G$306,2,FALSE)</f>
        <v>PONTIGGIA</v>
      </c>
      <c r="C19" s="109" t="str">
        <f>VLOOKUP($A19,ANAGRAFICA!$B$1:$G$306,3,FALSE)</f>
        <v>FLAVIO</v>
      </c>
      <c r="D19" s="109" t="str">
        <f>VLOOKUP($A19,ANAGRAFICA!$B$1:$G$306,4,FALSE)</f>
        <v>758-9</v>
      </c>
      <c r="E19" s="109">
        <f>VLOOKUP($A19,ANAGRAFICA!$B$1:$G$306,5,FALSE)</f>
        <v>3272024075</v>
      </c>
      <c r="F19" s="109">
        <f>VLOOKUP($A19,ANAGRAFICA!$B$1:$G$306,6,FALSE)</f>
        <v>2024</v>
      </c>
      <c r="G19" s="57">
        <v>1.0</v>
      </c>
      <c r="H19" s="57" t="s">
        <v>908</v>
      </c>
      <c r="I19" s="57" t="s">
        <v>909</v>
      </c>
      <c r="J19" s="57" t="s">
        <v>899</v>
      </c>
      <c r="K19" s="57" t="s">
        <v>910</v>
      </c>
      <c r="L19" s="57" t="s">
        <v>911</v>
      </c>
      <c r="M19" s="57">
        <v>9.0</v>
      </c>
      <c r="N19" s="57">
        <v>9.5</v>
      </c>
      <c r="O19" s="57">
        <v>-17.0</v>
      </c>
      <c r="P19" s="57">
        <v>13.8</v>
      </c>
      <c r="Q19" s="57">
        <v>41.0</v>
      </c>
      <c r="R19" s="57">
        <v>29.5</v>
      </c>
      <c r="S19" s="110">
        <v>45512.0</v>
      </c>
      <c r="T19" s="57" t="s">
        <v>516</v>
      </c>
      <c r="U19" s="57" t="s">
        <v>901</v>
      </c>
      <c r="V19" s="57">
        <v>10.0</v>
      </c>
      <c r="W19" s="57" t="s">
        <v>516</v>
      </c>
      <c r="X19" s="57" t="s">
        <v>516</v>
      </c>
      <c r="Y19" s="57" t="s">
        <v>516</v>
      </c>
      <c r="Z19" s="57" t="s">
        <v>516</v>
      </c>
      <c r="AA19" s="57">
        <v>500.0</v>
      </c>
      <c r="AB19" s="57" t="s">
        <v>516</v>
      </c>
      <c r="AC19" s="57" t="s">
        <v>516</v>
      </c>
      <c r="AD19" s="57" t="s">
        <v>516</v>
      </c>
      <c r="AE19" s="57" t="s">
        <v>516</v>
      </c>
      <c r="AF19" s="57" t="s">
        <v>516</v>
      </c>
      <c r="AG19" s="57" t="s">
        <v>516</v>
      </c>
      <c r="AH19" s="57" t="s">
        <v>516</v>
      </c>
      <c r="AI19" s="57" t="s">
        <v>516</v>
      </c>
      <c r="AJ19" s="57" t="s">
        <v>516</v>
      </c>
      <c r="AK19" s="57" t="s">
        <v>516</v>
      </c>
      <c r="AL19" s="57" t="s">
        <v>516</v>
      </c>
      <c r="AM19" s="57" t="s">
        <v>516</v>
      </c>
    </row>
    <row r="20">
      <c r="A20" s="3">
        <v>2.124013801E9</v>
      </c>
      <c r="B20" s="109" t="str">
        <f>VLOOKUP($A20,ANAGRAFICA!$B$1:$G$306,2,FALSE)</f>
        <v>SGOBBA</v>
      </c>
      <c r="C20" s="109" t="str">
        <f>VLOOKUP($A20,ANAGRAFICA!$B$1:$G$306,3,FALSE)</f>
        <v>ANNA</v>
      </c>
      <c r="D20" s="109" t="str">
        <f>VLOOKUP($A20,ANAGRAFICA!$B$1:$G$306,4,FALSE)</f>
        <v>758-8</v>
      </c>
      <c r="E20" s="109">
        <f>VLOOKUP($A20,ANAGRAFICA!$B$1:$G$306,5,FALSE)</f>
        <v>3272024074</v>
      </c>
      <c r="F20" s="109">
        <f>VLOOKUP($A20,ANAGRAFICA!$B$1:$G$306,6,FALSE)</f>
        <v>2024</v>
      </c>
      <c r="G20" s="57">
        <v>1.0</v>
      </c>
      <c r="H20" s="110">
        <v>45511.0</v>
      </c>
      <c r="I20" s="57" t="s">
        <v>912</v>
      </c>
      <c r="J20" s="114">
        <v>0.31180555555555556</v>
      </c>
      <c r="K20" s="57">
        <v>373.0</v>
      </c>
      <c r="L20" s="57">
        <v>29.0</v>
      </c>
      <c r="M20" s="57">
        <v>16.0</v>
      </c>
      <c r="N20" s="57" t="s">
        <v>913</v>
      </c>
      <c r="O20" s="57" t="s">
        <v>914</v>
      </c>
      <c r="P20" s="57" t="s">
        <v>915</v>
      </c>
      <c r="Q20" s="57">
        <v>25.0</v>
      </c>
      <c r="R20" s="57" t="s">
        <v>916</v>
      </c>
      <c r="S20" s="57" t="s">
        <v>516</v>
      </c>
      <c r="T20" s="57" t="s">
        <v>516</v>
      </c>
      <c r="U20" s="57" t="s">
        <v>516</v>
      </c>
      <c r="V20" s="57" t="s">
        <v>516</v>
      </c>
      <c r="W20" s="57" t="s">
        <v>516</v>
      </c>
      <c r="X20" s="57" t="s">
        <v>516</v>
      </c>
      <c r="Y20" s="57" t="s">
        <v>516</v>
      </c>
      <c r="Z20" s="57" t="s">
        <v>516</v>
      </c>
      <c r="AA20" s="57" t="s">
        <v>516</v>
      </c>
      <c r="AB20" s="57" t="s">
        <v>516</v>
      </c>
      <c r="AC20" s="57" t="s">
        <v>516</v>
      </c>
      <c r="AD20" s="57" t="s">
        <v>516</v>
      </c>
      <c r="AE20" s="57" t="s">
        <v>516</v>
      </c>
      <c r="AF20" s="57" t="s">
        <v>516</v>
      </c>
      <c r="AG20" s="57" t="s">
        <v>516</v>
      </c>
      <c r="AH20" s="57" t="s">
        <v>516</v>
      </c>
      <c r="AI20" s="57" t="s">
        <v>516</v>
      </c>
      <c r="AJ20" s="57" t="s">
        <v>516</v>
      </c>
      <c r="AK20" s="57" t="s">
        <v>516</v>
      </c>
      <c r="AL20" s="57" t="s">
        <v>516</v>
      </c>
      <c r="AM20" s="57" t="s">
        <v>516</v>
      </c>
    </row>
    <row r="21">
      <c r="A21" s="3">
        <v>2.124012915E9</v>
      </c>
      <c r="B21" s="109" t="str">
        <f>VLOOKUP($A21,ANAGRAFICA!$B$1:$G$306,2,FALSE)</f>
        <v>GARGIONI</v>
      </c>
      <c r="C21" s="109" t="str">
        <f>VLOOKUP($A21,ANAGRAFICA!$B$1:$G$306,3,FALSE)</f>
        <v>GIULIO</v>
      </c>
      <c r="D21" s="109" t="str">
        <f>VLOOKUP($A21,ANAGRAFICA!$B$1:$G$306,4,FALSE)</f>
        <v>758-6</v>
      </c>
      <c r="E21" s="109">
        <f>VLOOKUP($A21,ANAGRAFICA!$B$1:$G$306,5,FALSE)</f>
        <v>3272024072</v>
      </c>
      <c r="F21" s="109">
        <f>VLOOKUP($A21,ANAGRAFICA!$B$1:$G$306,6,FALSE)</f>
        <v>2024</v>
      </c>
      <c r="G21" s="57">
        <v>1.0</v>
      </c>
      <c r="H21" s="110">
        <v>45485.0</v>
      </c>
      <c r="I21" s="57" t="s">
        <v>917</v>
      </c>
      <c r="J21" s="57" t="s">
        <v>899</v>
      </c>
      <c r="K21" s="57">
        <v>52.0</v>
      </c>
      <c r="L21" s="57">
        <v>55.0</v>
      </c>
      <c r="M21" s="57" t="s">
        <v>918</v>
      </c>
      <c r="N21" s="57" t="s">
        <v>919</v>
      </c>
      <c r="O21" s="57" t="s">
        <v>920</v>
      </c>
      <c r="P21" s="57" t="s">
        <v>921</v>
      </c>
      <c r="Q21" s="57">
        <v>53.0</v>
      </c>
      <c r="R21" s="57" t="s">
        <v>922</v>
      </c>
      <c r="S21" s="57" t="s">
        <v>516</v>
      </c>
      <c r="T21" s="57" t="s">
        <v>516</v>
      </c>
      <c r="U21" s="57" t="s">
        <v>516</v>
      </c>
      <c r="V21" s="57" t="s">
        <v>516</v>
      </c>
      <c r="W21" s="57" t="s">
        <v>516</v>
      </c>
      <c r="X21" s="57" t="s">
        <v>516</v>
      </c>
      <c r="Y21" s="57" t="s">
        <v>516</v>
      </c>
      <c r="Z21" s="57" t="s">
        <v>516</v>
      </c>
      <c r="AA21" s="57" t="s">
        <v>516</v>
      </c>
      <c r="AB21" s="57" t="s">
        <v>516</v>
      </c>
      <c r="AC21" s="57" t="s">
        <v>516</v>
      </c>
      <c r="AD21" s="57" t="s">
        <v>516</v>
      </c>
      <c r="AE21" s="57" t="s">
        <v>516</v>
      </c>
      <c r="AF21" s="57" t="s">
        <v>516</v>
      </c>
      <c r="AG21" s="57" t="s">
        <v>516</v>
      </c>
      <c r="AH21" s="57" t="s">
        <v>516</v>
      </c>
      <c r="AI21" s="57" t="s">
        <v>516</v>
      </c>
      <c r="AJ21" s="57" t="s">
        <v>516</v>
      </c>
      <c r="AK21" s="57" t="s">
        <v>516</v>
      </c>
      <c r="AL21" s="57" t="s">
        <v>516</v>
      </c>
      <c r="AM21" s="57" t="s">
        <v>516</v>
      </c>
    </row>
    <row r="22">
      <c r="A22" s="3">
        <v>2.124208629E9</v>
      </c>
      <c r="B22" s="109" t="str">
        <f>VLOOKUP($A22,ANAGRAFICA!$B$1:$G$306,2,FALSE)</f>
        <v>D'ANDREA</v>
      </c>
      <c r="C22" s="109" t="str">
        <f>VLOOKUP($A22,ANAGRAFICA!$B$1:$G$306,3,FALSE)</f>
        <v>FERNANDO ANTONIO</v>
      </c>
      <c r="D22" s="109" t="str">
        <f>VLOOKUP($A22,ANAGRAFICA!$B$1:$G$306,4,FALSE)</f>
        <v>758-5</v>
      </c>
      <c r="E22" s="109">
        <f>VLOOKUP($A22,ANAGRAFICA!$B$1:$G$306,5,FALSE)</f>
        <v>3272024071</v>
      </c>
      <c r="F22" s="109">
        <f>VLOOKUP($A22,ANAGRAFICA!$B$1:$G$306,6,FALSE)</f>
        <v>2024</v>
      </c>
      <c r="G22" s="57">
        <v>1.0</v>
      </c>
      <c r="H22" s="110">
        <v>45470.0</v>
      </c>
      <c r="I22" s="57" t="s">
        <v>923</v>
      </c>
      <c r="J22" s="114">
        <v>0.30625</v>
      </c>
      <c r="K22" s="57">
        <v>59.0</v>
      </c>
      <c r="L22" s="57">
        <v>75.0</v>
      </c>
      <c r="M22" s="57" t="s">
        <v>924</v>
      </c>
      <c r="N22" s="57" t="s">
        <v>925</v>
      </c>
      <c r="O22" s="57" t="s">
        <v>926</v>
      </c>
      <c r="P22" s="57" t="s">
        <v>927</v>
      </c>
      <c r="Q22" s="57">
        <v>46.0</v>
      </c>
      <c r="R22" s="57" t="s">
        <v>928</v>
      </c>
      <c r="S22" s="57" t="s">
        <v>516</v>
      </c>
      <c r="T22" s="57" t="s">
        <v>516</v>
      </c>
      <c r="U22" s="57" t="s">
        <v>516</v>
      </c>
      <c r="V22" s="57" t="s">
        <v>516</v>
      </c>
      <c r="W22" s="57" t="s">
        <v>516</v>
      </c>
      <c r="X22" s="57" t="s">
        <v>516</v>
      </c>
      <c r="Y22" s="57" t="s">
        <v>516</v>
      </c>
      <c r="Z22" s="57" t="s">
        <v>516</v>
      </c>
      <c r="AA22" s="57" t="s">
        <v>516</v>
      </c>
      <c r="AB22" s="57" t="s">
        <v>516</v>
      </c>
      <c r="AC22" s="57" t="s">
        <v>516</v>
      </c>
      <c r="AD22" s="57" t="s">
        <v>516</v>
      </c>
      <c r="AE22" s="57" t="s">
        <v>516</v>
      </c>
      <c r="AF22" s="57" t="s">
        <v>516</v>
      </c>
      <c r="AG22" s="57" t="s">
        <v>516</v>
      </c>
      <c r="AH22" s="57" t="s">
        <v>516</v>
      </c>
      <c r="AI22" s="57" t="s">
        <v>516</v>
      </c>
      <c r="AJ22" s="57" t="s">
        <v>516</v>
      </c>
      <c r="AK22" s="57" t="s">
        <v>516</v>
      </c>
      <c r="AL22" s="57" t="s">
        <v>516</v>
      </c>
      <c r="AM22" s="57" t="s">
        <v>516</v>
      </c>
    </row>
    <row r="23">
      <c r="A23" s="3">
        <v>2.124011588E9</v>
      </c>
      <c r="B23" s="109" t="str">
        <f>VLOOKUP($A23,ANAGRAFICA!$B$1:$G$306,2,FALSE)</f>
        <v>FRATINO</v>
      </c>
      <c r="C23" s="109" t="str">
        <f>VLOOKUP($A23,ANAGRAFICA!$B$1:$G$306,3,FALSE)</f>
        <v>OLIVIERO</v>
      </c>
      <c r="D23" s="109" t="str">
        <f>VLOOKUP($A23,ANAGRAFICA!$B$1:$G$306,4,FALSE)</f>
        <v>758-4</v>
      </c>
      <c r="E23" s="109">
        <f>VLOOKUP($A23,ANAGRAFICA!$B$1:$G$306,5,FALSE)</f>
        <v>3272024070</v>
      </c>
      <c r="F23" s="109">
        <f>VLOOKUP($A23,ANAGRAFICA!$B$1:$G$306,6,FALSE)</f>
        <v>2024</v>
      </c>
      <c r="G23" s="57">
        <v>1.0</v>
      </c>
      <c r="H23" s="110">
        <v>45462.0</v>
      </c>
      <c r="I23" s="57" t="s">
        <v>929</v>
      </c>
      <c r="J23" s="57">
        <v>7.43</v>
      </c>
      <c r="K23" s="57">
        <v>112.0</v>
      </c>
      <c r="L23" s="57">
        <v>42.0</v>
      </c>
      <c r="M23" s="57">
        <v>27.0</v>
      </c>
      <c r="N23" s="57">
        <v>2.1</v>
      </c>
      <c r="O23" s="57">
        <v>2.9</v>
      </c>
      <c r="P23" s="57">
        <v>8.2</v>
      </c>
      <c r="Q23" s="57">
        <v>25.0</v>
      </c>
      <c r="R23" s="57">
        <v>97.0</v>
      </c>
      <c r="S23" s="110">
        <v>45462.0</v>
      </c>
      <c r="T23" s="57" t="s">
        <v>516</v>
      </c>
      <c r="U23" s="57" t="s">
        <v>901</v>
      </c>
      <c r="V23" s="57" t="s">
        <v>516</v>
      </c>
      <c r="W23" s="57">
        <v>10.0</v>
      </c>
      <c r="X23" s="57" t="s">
        <v>516</v>
      </c>
      <c r="Y23" s="57" t="s">
        <v>516</v>
      </c>
      <c r="Z23" s="57" t="s">
        <v>516</v>
      </c>
      <c r="AA23" s="57" t="s">
        <v>516</v>
      </c>
      <c r="AB23" s="57" t="s">
        <v>516</v>
      </c>
      <c r="AC23" s="57" t="s">
        <v>516</v>
      </c>
      <c r="AD23" s="57" t="s">
        <v>516</v>
      </c>
      <c r="AE23" s="57" t="s">
        <v>516</v>
      </c>
      <c r="AF23" s="57" t="s">
        <v>516</v>
      </c>
      <c r="AG23" s="57" t="s">
        <v>516</v>
      </c>
      <c r="AH23" s="57" t="s">
        <v>516</v>
      </c>
      <c r="AI23" s="57" t="s">
        <v>516</v>
      </c>
      <c r="AJ23" s="57" t="s">
        <v>516</v>
      </c>
      <c r="AK23" s="57" t="s">
        <v>516</v>
      </c>
      <c r="AL23" s="57" t="s">
        <v>516</v>
      </c>
      <c r="AM23" s="57" t="s">
        <v>516</v>
      </c>
    </row>
    <row r="24">
      <c r="A24" s="3">
        <v>2.1240107E9</v>
      </c>
      <c r="B24" s="109" t="str">
        <f>VLOOKUP($A24,ANAGRAFICA!$B$1:$G$306,2,FALSE)</f>
        <v>ORNAGHI</v>
      </c>
      <c r="C24" s="109" t="str">
        <f>VLOOKUP($A24,ANAGRAFICA!$B$1:$G$306,3,FALSE)</f>
        <v>LORENZO</v>
      </c>
      <c r="D24" s="109" t="str">
        <f>VLOOKUP($A24,ANAGRAFICA!$B$1:$G$306,4,FALSE)</f>
        <v>758-2</v>
      </c>
      <c r="E24" s="109">
        <f>VLOOKUP($A24,ANAGRAFICA!$B$1:$G$306,5,FALSE)</f>
        <v>3272024068</v>
      </c>
      <c r="F24" s="109">
        <f>VLOOKUP($A24,ANAGRAFICA!$B$1:$G$306,6,FALSE)</f>
        <v>2024</v>
      </c>
      <c r="G24" s="57">
        <v>1.0</v>
      </c>
      <c r="H24" s="57" t="s">
        <v>516</v>
      </c>
      <c r="I24" s="57" t="s">
        <v>516</v>
      </c>
      <c r="J24" s="57" t="s">
        <v>516</v>
      </c>
      <c r="K24" s="57" t="s">
        <v>516</v>
      </c>
      <c r="L24" s="57" t="s">
        <v>516</v>
      </c>
      <c r="M24" s="57" t="s">
        <v>516</v>
      </c>
      <c r="N24" s="57" t="s">
        <v>516</v>
      </c>
      <c r="O24" s="57" t="s">
        <v>516</v>
      </c>
      <c r="P24" s="57" t="s">
        <v>516</v>
      </c>
      <c r="Q24" s="57" t="s">
        <v>516</v>
      </c>
      <c r="R24" s="57" t="s">
        <v>516</v>
      </c>
      <c r="S24" s="57" t="s">
        <v>516</v>
      </c>
      <c r="T24" s="57" t="s">
        <v>516</v>
      </c>
      <c r="U24" s="57" t="s">
        <v>516</v>
      </c>
      <c r="V24" s="57" t="s">
        <v>516</v>
      </c>
      <c r="W24" s="57" t="s">
        <v>516</v>
      </c>
      <c r="X24" s="57" t="s">
        <v>516</v>
      </c>
      <c r="Y24" s="57" t="s">
        <v>516</v>
      </c>
      <c r="Z24" s="57" t="s">
        <v>516</v>
      </c>
      <c r="AA24" s="57" t="s">
        <v>516</v>
      </c>
      <c r="AB24" s="57" t="s">
        <v>516</v>
      </c>
      <c r="AC24" s="57" t="s">
        <v>516</v>
      </c>
      <c r="AD24" s="57" t="s">
        <v>516</v>
      </c>
      <c r="AE24" s="57" t="s">
        <v>516</v>
      </c>
      <c r="AF24" s="57" t="s">
        <v>516</v>
      </c>
      <c r="AG24" s="57" t="s">
        <v>516</v>
      </c>
      <c r="AH24" s="57" t="s">
        <v>516</v>
      </c>
      <c r="AI24" s="57" t="s">
        <v>516</v>
      </c>
      <c r="AJ24" s="57" t="s">
        <v>516</v>
      </c>
      <c r="AK24" s="57" t="s">
        <v>516</v>
      </c>
      <c r="AL24" s="57" t="s">
        <v>516</v>
      </c>
      <c r="AM24" s="57" t="s">
        <v>516</v>
      </c>
    </row>
    <row r="25">
      <c r="A25" s="3">
        <v>2.124009735E9</v>
      </c>
      <c r="B25" s="109" t="str">
        <f>VLOOKUP($A25,ANAGRAFICA!$B$1:$G$306,2,FALSE)</f>
        <v>BOSSI</v>
      </c>
      <c r="C25" s="109" t="str">
        <f>VLOOKUP($A25,ANAGRAFICA!$B$1:$G$306,3,FALSE)</f>
        <v>LUDOVICO</v>
      </c>
      <c r="D25" s="109" t="str">
        <f>VLOOKUP($A25,ANAGRAFICA!$B$1:$G$306,4,FALSE)</f>
        <v>758-1</v>
      </c>
      <c r="E25" s="109">
        <f>VLOOKUP($A25,ANAGRAFICA!$B$1:$G$306,5,FALSE)</f>
        <v>3272024067</v>
      </c>
      <c r="F25" s="109">
        <f>VLOOKUP($A25,ANAGRAFICA!$B$1:$G$306,6,FALSE)</f>
        <v>2024</v>
      </c>
      <c r="G25" s="57">
        <v>1.0</v>
      </c>
      <c r="H25" s="57" t="s">
        <v>516</v>
      </c>
      <c r="I25" s="57" t="s">
        <v>516</v>
      </c>
      <c r="J25" s="57" t="s">
        <v>516</v>
      </c>
      <c r="K25" s="57" t="s">
        <v>516</v>
      </c>
      <c r="L25" s="57" t="s">
        <v>516</v>
      </c>
      <c r="M25" s="57" t="s">
        <v>516</v>
      </c>
      <c r="N25" s="57" t="s">
        <v>516</v>
      </c>
      <c r="O25" s="57" t="s">
        <v>516</v>
      </c>
      <c r="P25" s="57" t="s">
        <v>516</v>
      </c>
      <c r="Q25" s="57" t="s">
        <v>516</v>
      </c>
      <c r="R25" s="57" t="s">
        <v>516</v>
      </c>
      <c r="S25" s="57" t="s">
        <v>516</v>
      </c>
      <c r="T25" s="57" t="s">
        <v>516</v>
      </c>
      <c r="U25" s="57" t="s">
        <v>516</v>
      </c>
      <c r="V25" s="57" t="s">
        <v>516</v>
      </c>
      <c r="W25" s="57" t="s">
        <v>516</v>
      </c>
      <c r="X25" s="57" t="s">
        <v>516</v>
      </c>
      <c r="Y25" s="57" t="s">
        <v>516</v>
      </c>
      <c r="Z25" s="57" t="s">
        <v>516</v>
      </c>
      <c r="AA25" s="57" t="s">
        <v>516</v>
      </c>
      <c r="AB25" s="57" t="s">
        <v>516</v>
      </c>
      <c r="AC25" s="57" t="s">
        <v>516</v>
      </c>
      <c r="AD25" s="57" t="s">
        <v>516</v>
      </c>
      <c r="AE25" s="57" t="s">
        <v>516</v>
      </c>
      <c r="AF25" s="57" t="s">
        <v>516</v>
      </c>
      <c r="AG25" s="57" t="s">
        <v>516</v>
      </c>
      <c r="AH25" s="57" t="s">
        <v>516</v>
      </c>
      <c r="AI25" s="57" t="s">
        <v>516</v>
      </c>
      <c r="AJ25" s="57" t="s">
        <v>516</v>
      </c>
      <c r="AK25" s="57" t="s">
        <v>516</v>
      </c>
      <c r="AL25" s="57" t="s">
        <v>516</v>
      </c>
      <c r="AM25" s="57" t="s">
        <v>516</v>
      </c>
    </row>
    <row r="26">
      <c r="A26" s="3">
        <v>2.124008291E9</v>
      </c>
      <c r="B26" s="109" t="str">
        <f>VLOOKUP($A26,ANAGRAFICA!$B$1:$G$306,2,FALSE)</f>
        <v>FUMAGALLI</v>
      </c>
      <c r="C26" s="109" t="str">
        <f>VLOOKUP($A26,ANAGRAFICA!$B$1:$G$306,3,FALSE)</f>
        <v>PIERO</v>
      </c>
      <c r="D26" s="109" t="str">
        <f>VLOOKUP($A26,ANAGRAFICA!$B$1:$G$306,4,FALSE)</f>
        <v/>
      </c>
      <c r="E26" s="109">
        <f>VLOOKUP($A26,ANAGRAFICA!$B$1:$G$306,5,FALSE)</f>
        <v>3272024065</v>
      </c>
      <c r="F26" s="109">
        <f>VLOOKUP($A26,ANAGRAFICA!$B$1:$G$306,6,FALSE)</f>
        <v>2024</v>
      </c>
      <c r="G26" s="57">
        <v>1.0</v>
      </c>
      <c r="H26" s="110">
        <v>45414.0</v>
      </c>
      <c r="I26" s="57" t="s">
        <v>730</v>
      </c>
      <c r="J26" s="114">
        <v>0.3173611111111111</v>
      </c>
      <c r="K26" s="57">
        <v>490.0</v>
      </c>
      <c r="L26" s="57">
        <v>12.0</v>
      </c>
      <c r="M26" s="57" t="s">
        <v>930</v>
      </c>
      <c r="N26" s="57">
        <v>14.0</v>
      </c>
      <c r="O26" s="57">
        <v>-16.0</v>
      </c>
      <c r="P26" s="57" t="s">
        <v>931</v>
      </c>
      <c r="Q26" s="57">
        <v>29.0</v>
      </c>
      <c r="R26" s="57" t="s">
        <v>932</v>
      </c>
      <c r="S26" s="57" t="s">
        <v>516</v>
      </c>
      <c r="T26" s="57" t="s">
        <v>516</v>
      </c>
      <c r="U26" s="57" t="s">
        <v>516</v>
      </c>
      <c r="V26" s="57" t="s">
        <v>516</v>
      </c>
      <c r="W26" s="57" t="s">
        <v>516</v>
      </c>
      <c r="X26" s="57" t="s">
        <v>516</v>
      </c>
      <c r="Y26" s="57" t="s">
        <v>516</v>
      </c>
      <c r="Z26" s="57" t="s">
        <v>516</v>
      </c>
      <c r="AA26" s="57" t="s">
        <v>516</v>
      </c>
      <c r="AB26" s="110">
        <v>45414.0</v>
      </c>
      <c r="AC26" s="57" t="s">
        <v>516</v>
      </c>
      <c r="AD26" s="57">
        <v>75.0</v>
      </c>
      <c r="AE26" s="57">
        <v>40.0</v>
      </c>
      <c r="AF26" s="57" t="s">
        <v>516</v>
      </c>
      <c r="AG26" s="57" t="s">
        <v>516</v>
      </c>
      <c r="AH26" s="57" t="s">
        <v>516</v>
      </c>
      <c r="AI26" s="57" t="s">
        <v>516</v>
      </c>
      <c r="AJ26" s="57" t="s">
        <v>516</v>
      </c>
      <c r="AK26" s="57" t="s">
        <v>516</v>
      </c>
      <c r="AL26" s="57" t="s">
        <v>516</v>
      </c>
      <c r="AM26" s="57" t="s">
        <v>516</v>
      </c>
    </row>
    <row r="27">
      <c r="A27" s="3">
        <v>2.124206072E9</v>
      </c>
      <c r="B27" s="109" t="str">
        <f>VLOOKUP($A27,ANAGRAFICA!$B$1:$G$306,2,FALSE)</f>
        <v>CONSONNI</v>
      </c>
      <c r="C27" s="109" t="str">
        <f>VLOOKUP($A27,ANAGRAFICA!$B$1:$G$306,3,FALSE)</f>
        <v>GIULIO</v>
      </c>
      <c r="D27" s="109" t="str">
        <f>VLOOKUP($A27,ANAGRAFICA!$B$1:$G$306,4,FALSE)</f>
        <v/>
      </c>
      <c r="E27" s="109">
        <f>VLOOKUP($A27,ANAGRAFICA!$B$1:$G$306,5,FALSE)</f>
        <v>3272024064</v>
      </c>
      <c r="F27" s="109">
        <f>VLOOKUP($A27,ANAGRAFICA!$B$1:$G$306,6,FALSE)</f>
        <v>2024</v>
      </c>
      <c r="G27" s="57">
        <v>1.0</v>
      </c>
      <c r="H27" s="57" t="s">
        <v>516</v>
      </c>
      <c r="I27" s="57" t="s">
        <v>516</v>
      </c>
      <c r="J27" s="57" t="s">
        <v>516</v>
      </c>
      <c r="K27" s="57" t="s">
        <v>516</v>
      </c>
      <c r="L27" s="57" t="s">
        <v>516</v>
      </c>
      <c r="M27" s="57" t="s">
        <v>516</v>
      </c>
      <c r="N27" s="57" t="s">
        <v>516</v>
      </c>
      <c r="O27" s="57" t="s">
        <v>516</v>
      </c>
      <c r="P27" s="57" t="s">
        <v>516</v>
      </c>
      <c r="Q27" s="57" t="s">
        <v>516</v>
      </c>
      <c r="R27" s="57" t="s">
        <v>516</v>
      </c>
      <c r="S27" s="57" t="s">
        <v>516</v>
      </c>
      <c r="T27" s="57" t="s">
        <v>516</v>
      </c>
      <c r="U27" s="57" t="s">
        <v>516</v>
      </c>
      <c r="V27" s="57" t="s">
        <v>516</v>
      </c>
      <c r="W27" s="57" t="s">
        <v>516</v>
      </c>
      <c r="X27" s="57" t="s">
        <v>516</v>
      </c>
      <c r="Y27" s="57" t="s">
        <v>516</v>
      </c>
      <c r="Z27" s="57" t="s">
        <v>516</v>
      </c>
      <c r="AA27" s="57" t="s">
        <v>516</v>
      </c>
      <c r="AB27" s="57" t="s">
        <v>516</v>
      </c>
      <c r="AC27" s="57" t="s">
        <v>516</v>
      </c>
      <c r="AD27" s="57" t="s">
        <v>516</v>
      </c>
      <c r="AE27" s="57" t="s">
        <v>516</v>
      </c>
      <c r="AF27" s="57" t="s">
        <v>516</v>
      </c>
      <c r="AG27" s="57" t="s">
        <v>516</v>
      </c>
      <c r="AH27" s="57" t="s">
        <v>516</v>
      </c>
      <c r="AI27" s="57" t="s">
        <v>516</v>
      </c>
      <c r="AJ27" s="57" t="s">
        <v>516</v>
      </c>
      <c r="AK27" s="57" t="s">
        <v>516</v>
      </c>
      <c r="AL27" s="57" t="s">
        <v>516</v>
      </c>
      <c r="AM27" s="57" t="s">
        <v>516</v>
      </c>
    </row>
    <row r="28">
      <c r="A28" s="3">
        <v>2.124007138E9</v>
      </c>
      <c r="B28" s="109" t="str">
        <f>VLOOKUP($A28,ANAGRAFICA!$B$1:$G$306,2,FALSE)</f>
        <v>TARTARELLI</v>
      </c>
      <c r="C28" s="109" t="str">
        <f>VLOOKUP($A28,ANAGRAFICA!$B$1:$G$306,3,FALSE)</f>
        <v>GIUSEPPE</v>
      </c>
      <c r="D28" s="109" t="str">
        <f>VLOOKUP($A28,ANAGRAFICA!$B$1:$G$306,4,FALSE)</f>
        <v/>
      </c>
      <c r="E28" s="109">
        <f>VLOOKUP($A28,ANAGRAFICA!$B$1:$G$306,5,FALSE)</f>
        <v>3272024063</v>
      </c>
      <c r="F28" s="109">
        <f>VLOOKUP($A28,ANAGRAFICA!$B$1:$G$306,6,FALSE)</f>
        <v>2024</v>
      </c>
      <c r="G28" s="57">
        <v>1.0</v>
      </c>
      <c r="H28" s="57" t="s">
        <v>516</v>
      </c>
      <c r="I28" s="57" t="s">
        <v>516</v>
      </c>
      <c r="J28" s="57" t="s">
        <v>516</v>
      </c>
      <c r="K28" s="57" t="s">
        <v>516</v>
      </c>
      <c r="L28" s="57" t="s">
        <v>516</v>
      </c>
      <c r="M28" s="57" t="s">
        <v>516</v>
      </c>
      <c r="N28" s="57" t="s">
        <v>516</v>
      </c>
      <c r="O28" s="57" t="s">
        <v>516</v>
      </c>
      <c r="P28" s="57" t="s">
        <v>516</v>
      </c>
      <c r="Q28" s="57" t="s">
        <v>516</v>
      </c>
      <c r="R28" s="57" t="s">
        <v>516</v>
      </c>
      <c r="S28" s="57" t="s">
        <v>516</v>
      </c>
      <c r="T28" s="57" t="s">
        <v>516</v>
      </c>
      <c r="U28" s="57" t="s">
        <v>516</v>
      </c>
      <c r="V28" s="57" t="s">
        <v>516</v>
      </c>
      <c r="W28" s="57" t="s">
        <v>516</v>
      </c>
      <c r="X28" s="57" t="s">
        <v>516</v>
      </c>
      <c r="Y28" s="57" t="s">
        <v>516</v>
      </c>
      <c r="Z28" s="57" t="s">
        <v>516</v>
      </c>
      <c r="AA28" s="57" t="s">
        <v>516</v>
      </c>
      <c r="AB28" s="57" t="s">
        <v>516</v>
      </c>
      <c r="AC28" s="57" t="s">
        <v>516</v>
      </c>
      <c r="AD28" s="57" t="s">
        <v>516</v>
      </c>
      <c r="AE28" s="57" t="s">
        <v>516</v>
      </c>
      <c r="AF28" s="57" t="s">
        <v>516</v>
      </c>
      <c r="AG28" s="57" t="s">
        <v>516</v>
      </c>
      <c r="AH28" s="57" t="s">
        <v>516</v>
      </c>
      <c r="AI28" s="57" t="s">
        <v>516</v>
      </c>
      <c r="AJ28" s="57" t="s">
        <v>516</v>
      </c>
      <c r="AK28" s="57" t="s">
        <v>516</v>
      </c>
      <c r="AL28" s="57" t="s">
        <v>516</v>
      </c>
      <c r="AM28" s="57" t="s">
        <v>516</v>
      </c>
    </row>
    <row r="29">
      <c r="A29" s="3">
        <v>2.124008603E9</v>
      </c>
      <c r="B29" s="109" t="str">
        <f>VLOOKUP($A29,ANAGRAFICA!$B$1:$G$306,2,FALSE)</f>
        <v>MARIANI</v>
      </c>
      <c r="C29" s="109" t="str">
        <f>VLOOKUP($A29,ANAGRAFICA!$B$1:$G$306,3,FALSE)</f>
        <v>MARCO</v>
      </c>
      <c r="D29" s="109" t="str">
        <f>VLOOKUP($A29,ANAGRAFICA!$B$1:$G$306,4,FALSE)</f>
        <v/>
      </c>
      <c r="E29" s="109">
        <f>VLOOKUP($A29,ANAGRAFICA!$B$1:$G$306,5,FALSE)</f>
        <v>3272024066</v>
      </c>
      <c r="F29" s="109">
        <f>VLOOKUP($A29,ANAGRAFICA!$B$1:$G$306,6,FALSE)</f>
        <v>2024</v>
      </c>
      <c r="G29" s="57">
        <v>1.0</v>
      </c>
      <c r="H29" s="110">
        <v>45425.0</v>
      </c>
      <c r="I29" s="57" t="s">
        <v>87</v>
      </c>
      <c r="J29" s="57">
        <v>7.32</v>
      </c>
      <c r="K29" s="57">
        <v>90.0</v>
      </c>
      <c r="L29" s="57">
        <v>47.0</v>
      </c>
      <c r="M29" s="57">
        <v>23.5</v>
      </c>
      <c r="N29" s="57">
        <v>1.15</v>
      </c>
      <c r="O29" s="57">
        <v>-1.9</v>
      </c>
      <c r="P29" s="57">
        <v>8.8</v>
      </c>
      <c r="Q29" s="57">
        <v>26.0</v>
      </c>
      <c r="R29" s="57">
        <v>96.2</v>
      </c>
      <c r="S29" s="110">
        <v>45425.0</v>
      </c>
      <c r="T29" s="57" t="s">
        <v>87</v>
      </c>
      <c r="U29" s="57" t="s">
        <v>901</v>
      </c>
      <c r="V29" s="57">
        <v>24.0</v>
      </c>
      <c r="W29" s="57">
        <v>7.0</v>
      </c>
      <c r="X29" s="57" t="s">
        <v>516</v>
      </c>
      <c r="Y29" s="57" t="s">
        <v>516</v>
      </c>
      <c r="Z29" s="57">
        <v>22.0</v>
      </c>
      <c r="AA29" s="57">
        <v>440.0</v>
      </c>
      <c r="AB29" s="110">
        <v>45425.0</v>
      </c>
      <c r="AC29" s="57" t="s">
        <v>324</v>
      </c>
      <c r="AD29" s="57">
        <v>107.0</v>
      </c>
      <c r="AE29" s="57">
        <v>42.0</v>
      </c>
      <c r="AF29" s="57">
        <v>59.0</v>
      </c>
      <c r="AG29" s="57">
        <v>65.0</v>
      </c>
      <c r="AH29" s="57">
        <v>5.0</v>
      </c>
      <c r="AI29" s="57" t="s">
        <v>933</v>
      </c>
      <c r="AJ29" s="57">
        <v>35.0</v>
      </c>
      <c r="AK29" s="57">
        <v>5.0</v>
      </c>
      <c r="AL29" s="57">
        <v>15.0</v>
      </c>
      <c r="AM29" s="57" t="s">
        <v>516</v>
      </c>
    </row>
    <row r="30">
      <c r="A30" s="3">
        <v>2.124015827E9</v>
      </c>
      <c r="B30" s="109" t="str">
        <f>VLOOKUP($A30,ANAGRAFICA!$B$1:$G$306,2,FALSE)</f>
        <v>SCHIAVON</v>
      </c>
      <c r="C30" s="109" t="str">
        <f>VLOOKUP($A30,ANAGRAFICA!$B$1:$G$306,3,FALSE)</f>
        <v>ELIO PAOLO</v>
      </c>
      <c r="D30" s="109" t="str">
        <f>VLOOKUP($A30,ANAGRAFICA!$B$1:$G$306,4,FALSE)</f>
        <v>758-11</v>
      </c>
      <c r="E30" s="109">
        <f>VLOOKUP($A30,ANAGRAFICA!$B$1:$G$306,5,FALSE)</f>
        <v>3272024077</v>
      </c>
      <c r="F30" s="109">
        <f>VLOOKUP($A30,ANAGRAFICA!$B$1:$G$306,6,FALSE)</f>
        <v>2024</v>
      </c>
      <c r="G30" s="57">
        <v>1.0</v>
      </c>
      <c r="H30" s="57" t="s">
        <v>516</v>
      </c>
      <c r="I30" s="57" t="s">
        <v>516</v>
      </c>
      <c r="J30" s="57" t="s">
        <v>516</v>
      </c>
      <c r="K30" s="57" t="s">
        <v>516</v>
      </c>
      <c r="L30" s="57" t="s">
        <v>516</v>
      </c>
      <c r="M30" s="57" t="s">
        <v>516</v>
      </c>
      <c r="N30" s="57" t="s">
        <v>516</v>
      </c>
      <c r="O30" s="57" t="s">
        <v>516</v>
      </c>
      <c r="P30" s="57" t="s">
        <v>516</v>
      </c>
      <c r="Q30" s="57" t="s">
        <v>516</v>
      </c>
      <c r="R30" s="57" t="s">
        <v>516</v>
      </c>
      <c r="S30" s="57" t="s">
        <v>516</v>
      </c>
      <c r="T30" s="57" t="s">
        <v>516</v>
      </c>
      <c r="U30" s="57" t="s">
        <v>516</v>
      </c>
      <c r="V30" s="57" t="s">
        <v>516</v>
      </c>
      <c r="W30" s="57" t="s">
        <v>516</v>
      </c>
      <c r="X30" s="57" t="s">
        <v>516</v>
      </c>
      <c r="Y30" s="57" t="s">
        <v>516</v>
      </c>
      <c r="Z30" s="57" t="s">
        <v>516</v>
      </c>
      <c r="AA30" s="57" t="s">
        <v>516</v>
      </c>
      <c r="AB30" s="57" t="s">
        <v>516</v>
      </c>
      <c r="AC30" s="57" t="s">
        <v>516</v>
      </c>
      <c r="AD30" s="57" t="s">
        <v>516</v>
      </c>
      <c r="AE30" s="57" t="s">
        <v>516</v>
      </c>
      <c r="AF30" s="57" t="s">
        <v>516</v>
      </c>
      <c r="AG30" s="57" t="s">
        <v>516</v>
      </c>
      <c r="AH30" s="57" t="s">
        <v>516</v>
      </c>
      <c r="AI30" s="57" t="s">
        <v>516</v>
      </c>
      <c r="AJ30" s="57" t="s">
        <v>516</v>
      </c>
      <c r="AK30" s="57" t="s">
        <v>516</v>
      </c>
      <c r="AL30" s="57" t="s">
        <v>516</v>
      </c>
      <c r="AM30" s="57" t="s">
        <v>516</v>
      </c>
    </row>
    <row r="31">
      <c r="A31" s="3">
        <v>2.12400578E9</v>
      </c>
      <c r="B31" s="109" t="str">
        <f>VLOOKUP($A31,ANAGRAFICA!$B$1:$G$306,2,FALSE)</f>
        <v>SAINCIUC</v>
      </c>
      <c r="C31" s="109" t="str">
        <f>VLOOKUP($A31,ANAGRAFICA!$B$1:$G$306,3,FALSE)</f>
        <v>AUREL</v>
      </c>
      <c r="D31" s="109" t="str">
        <f>VLOOKUP($A31,ANAGRAFICA!$B$1:$G$306,4,FALSE)</f>
        <v/>
      </c>
      <c r="E31" s="109">
        <f>VLOOKUP($A31,ANAGRAFICA!$B$1:$G$306,5,FALSE)</f>
        <v>3272024061</v>
      </c>
      <c r="F31" s="109">
        <f>VLOOKUP($A31,ANAGRAFICA!$B$1:$G$306,6,FALSE)</f>
        <v>2024</v>
      </c>
      <c r="G31" s="57">
        <v>1.0</v>
      </c>
      <c r="H31" s="57" t="s">
        <v>516</v>
      </c>
      <c r="I31" s="57" t="s">
        <v>516</v>
      </c>
      <c r="J31" s="57" t="s">
        <v>516</v>
      </c>
      <c r="K31" s="57" t="s">
        <v>516</v>
      </c>
      <c r="L31" s="57" t="s">
        <v>516</v>
      </c>
      <c r="M31" s="57" t="s">
        <v>516</v>
      </c>
      <c r="N31" s="57" t="s">
        <v>516</v>
      </c>
      <c r="O31" s="57" t="s">
        <v>516</v>
      </c>
      <c r="P31" s="57" t="s">
        <v>516</v>
      </c>
      <c r="Q31" s="57" t="s">
        <v>516</v>
      </c>
      <c r="R31" s="57" t="s">
        <v>516</v>
      </c>
      <c r="S31" s="57" t="s">
        <v>516</v>
      </c>
      <c r="T31" s="57" t="s">
        <v>516</v>
      </c>
      <c r="U31" s="57" t="s">
        <v>516</v>
      </c>
      <c r="V31" s="57" t="s">
        <v>516</v>
      </c>
      <c r="W31" s="57" t="s">
        <v>516</v>
      </c>
      <c r="X31" s="57" t="s">
        <v>516</v>
      </c>
      <c r="Y31" s="57" t="s">
        <v>516</v>
      </c>
      <c r="Z31" s="57" t="s">
        <v>516</v>
      </c>
      <c r="AA31" s="57" t="s">
        <v>516</v>
      </c>
      <c r="AB31" s="57" t="s">
        <v>516</v>
      </c>
      <c r="AC31" s="57" t="s">
        <v>516</v>
      </c>
      <c r="AD31" s="57" t="s">
        <v>516</v>
      </c>
      <c r="AE31" s="57" t="s">
        <v>516</v>
      </c>
      <c r="AF31" s="57" t="s">
        <v>516</v>
      </c>
      <c r="AG31" s="57" t="s">
        <v>516</v>
      </c>
      <c r="AH31" s="57" t="s">
        <v>516</v>
      </c>
      <c r="AI31" s="57" t="s">
        <v>516</v>
      </c>
      <c r="AJ31" s="57" t="s">
        <v>516</v>
      </c>
      <c r="AK31" s="57" t="s">
        <v>516</v>
      </c>
      <c r="AL31" s="57" t="s">
        <v>516</v>
      </c>
      <c r="AM31" s="57" t="s">
        <v>516</v>
      </c>
    </row>
    <row r="32">
      <c r="A32" s="3">
        <v>2.124006081E9</v>
      </c>
      <c r="B32" s="109" t="str">
        <f>VLOOKUP($A32,ANAGRAFICA!$B$1:$G$306,2,FALSE)</f>
        <v>DOSSI</v>
      </c>
      <c r="C32" s="109" t="str">
        <f>VLOOKUP($A32,ANAGRAFICA!$B$1:$G$306,3,FALSE)</f>
        <v>MAURIZIO ANTONIO</v>
      </c>
      <c r="D32" s="109" t="str">
        <f>VLOOKUP($A32,ANAGRAFICA!$B$1:$G$306,4,FALSE)</f>
        <v/>
      </c>
      <c r="E32" s="109">
        <f>VLOOKUP($A32,ANAGRAFICA!$B$1:$G$306,5,FALSE)</f>
        <v>3272024062</v>
      </c>
      <c r="F32" s="109">
        <f>VLOOKUP($A32,ANAGRAFICA!$B$1:$G$306,6,FALSE)</f>
        <v>2024</v>
      </c>
      <c r="G32" s="57">
        <v>1.0</v>
      </c>
      <c r="H32" s="110">
        <v>45387.0</v>
      </c>
      <c r="I32" s="57" t="s">
        <v>774</v>
      </c>
      <c r="J32" s="57">
        <v>7.47</v>
      </c>
      <c r="K32" s="57">
        <v>105.0</v>
      </c>
      <c r="L32" s="57">
        <v>40.0</v>
      </c>
      <c r="M32" s="57">
        <v>29.0</v>
      </c>
      <c r="N32" s="57">
        <v>0.8</v>
      </c>
      <c r="O32" s="57">
        <v>5.0</v>
      </c>
      <c r="P32" s="57">
        <v>8.1</v>
      </c>
      <c r="Q32" s="57">
        <v>24.0</v>
      </c>
      <c r="R32" s="57">
        <v>96.2</v>
      </c>
      <c r="S32" s="110">
        <v>45387.0</v>
      </c>
      <c r="T32" s="57" t="s">
        <v>516</v>
      </c>
      <c r="U32" s="57" t="s">
        <v>901</v>
      </c>
      <c r="V32" s="57">
        <v>17.0</v>
      </c>
      <c r="W32" s="57">
        <v>5.0</v>
      </c>
      <c r="X32" s="57" t="s">
        <v>516</v>
      </c>
      <c r="Y32" s="57" t="s">
        <v>516</v>
      </c>
      <c r="Z32" s="57" t="s">
        <v>516</v>
      </c>
      <c r="AA32" s="57">
        <v>450.0</v>
      </c>
      <c r="AB32" s="57" t="s">
        <v>516</v>
      </c>
      <c r="AC32" s="57" t="s">
        <v>516</v>
      </c>
      <c r="AD32" s="57" t="s">
        <v>516</v>
      </c>
      <c r="AE32" s="57" t="s">
        <v>516</v>
      </c>
      <c r="AF32" s="57" t="s">
        <v>516</v>
      </c>
      <c r="AG32" s="57" t="s">
        <v>516</v>
      </c>
      <c r="AH32" s="57" t="s">
        <v>516</v>
      </c>
      <c r="AI32" s="57" t="s">
        <v>516</v>
      </c>
      <c r="AJ32" s="57" t="s">
        <v>516</v>
      </c>
      <c r="AK32" s="57" t="s">
        <v>516</v>
      </c>
      <c r="AL32" s="57" t="s">
        <v>516</v>
      </c>
      <c r="AM32" s="57" t="s">
        <v>516</v>
      </c>
    </row>
    <row r="33">
      <c r="A33" s="3">
        <v>2.124004761E9</v>
      </c>
      <c r="B33" s="109" t="str">
        <f>VLOOKUP($A33,ANAGRAFICA!$B$1:$G$306,2,FALSE)</f>
        <v>TRAMPOLIN</v>
      </c>
      <c r="C33" s="109" t="str">
        <f>VLOOKUP($A33,ANAGRAFICA!$B$1:$G$306,3,FALSE)</f>
        <v>FABIO</v>
      </c>
      <c r="D33" s="109" t="str">
        <f>VLOOKUP($A33,ANAGRAFICA!$B$1:$G$306,4,FALSE)</f>
        <v/>
      </c>
      <c r="E33" s="109">
        <f>VLOOKUP($A33,ANAGRAFICA!$B$1:$G$306,5,FALSE)</f>
        <v>3272024060</v>
      </c>
      <c r="F33" s="109">
        <f>VLOOKUP($A33,ANAGRAFICA!$B$1:$G$306,6,FALSE)</f>
        <v>2024</v>
      </c>
      <c r="G33" s="57">
        <v>1.0</v>
      </c>
      <c r="H33" s="57" t="s">
        <v>516</v>
      </c>
      <c r="I33" s="57" t="s">
        <v>516</v>
      </c>
      <c r="J33" s="57" t="s">
        <v>516</v>
      </c>
      <c r="K33" s="57" t="s">
        <v>516</v>
      </c>
      <c r="L33" s="57" t="s">
        <v>516</v>
      </c>
      <c r="M33" s="57" t="s">
        <v>516</v>
      </c>
      <c r="N33" s="57" t="s">
        <v>516</v>
      </c>
      <c r="O33" s="57" t="s">
        <v>516</v>
      </c>
      <c r="P33" s="57" t="s">
        <v>516</v>
      </c>
      <c r="Q33" s="57" t="s">
        <v>516</v>
      </c>
      <c r="R33" s="57" t="s">
        <v>516</v>
      </c>
      <c r="S33" s="57" t="s">
        <v>516</v>
      </c>
      <c r="T33" s="57" t="s">
        <v>516</v>
      </c>
      <c r="U33" s="57" t="s">
        <v>901</v>
      </c>
      <c r="V33" s="57">
        <v>10.0</v>
      </c>
      <c r="W33" s="57" t="s">
        <v>516</v>
      </c>
      <c r="X33" s="57" t="s">
        <v>516</v>
      </c>
      <c r="Y33" s="57" t="s">
        <v>516</v>
      </c>
      <c r="Z33" s="57" t="s">
        <v>516</v>
      </c>
      <c r="AA33" s="57">
        <v>500.0</v>
      </c>
      <c r="AB33" s="57" t="s">
        <v>516</v>
      </c>
      <c r="AC33" s="57" t="s">
        <v>516</v>
      </c>
      <c r="AD33" s="57" t="s">
        <v>516</v>
      </c>
      <c r="AE33" s="57" t="s">
        <v>516</v>
      </c>
      <c r="AF33" s="57" t="s">
        <v>516</v>
      </c>
      <c r="AG33" s="57" t="s">
        <v>516</v>
      </c>
      <c r="AH33" s="57" t="s">
        <v>516</v>
      </c>
      <c r="AI33" s="57" t="s">
        <v>516</v>
      </c>
      <c r="AJ33" s="57" t="s">
        <v>516</v>
      </c>
      <c r="AK33" s="57" t="s">
        <v>516</v>
      </c>
      <c r="AL33" s="57" t="s">
        <v>516</v>
      </c>
      <c r="AM33" s="57" t="s">
        <v>516</v>
      </c>
    </row>
    <row r="34">
      <c r="A34" s="3">
        <v>2.124003924E9</v>
      </c>
      <c r="B34" s="109" t="str">
        <f>VLOOKUP($A34,ANAGRAFICA!$B$1:$G$306,2,FALSE)</f>
        <v>MUHAMMAD</v>
      </c>
      <c r="C34" s="109" t="str">
        <f>VLOOKUP($A34,ANAGRAFICA!$B$1:$G$306,3,FALSE)</f>
        <v>SHARIF</v>
      </c>
      <c r="D34" s="109" t="str">
        <f>VLOOKUP($A34,ANAGRAFICA!$B$1:$G$306,4,FALSE)</f>
        <v/>
      </c>
      <c r="E34" s="109">
        <f>VLOOKUP($A34,ANAGRAFICA!$B$1:$G$306,5,FALSE)</f>
        <v>3272024059</v>
      </c>
      <c r="F34" s="109">
        <f>VLOOKUP($A34,ANAGRAFICA!$B$1:$G$306,6,FALSE)</f>
        <v>2024</v>
      </c>
      <c r="G34" s="57">
        <v>1.0</v>
      </c>
      <c r="H34" s="57" t="s">
        <v>516</v>
      </c>
      <c r="I34" s="57" t="s">
        <v>516</v>
      </c>
      <c r="J34" s="57" t="s">
        <v>516</v>
      </c>
      <c r="K34" s="57" t="s">
        <v>516</v>
      </c>
      <c r="L34" s="57" t="s">
        <v>934</v>
      </c>
      <c r="M34" s="57" t="s">
        <v>516</v>
      </c>
      <c r="N34" s="57" t="s">
        <v>516</v>
      </c>
      <c r="O34" s="57" t="s">
        <v>516</v>
      </c>
      <c r="P34" s="57" t="s">
        <v>516</v>
      </c>
      <c r="Q34" s="57" t="s">
        <v>516</v>
      </c>
      <c r="R34" s="57" t="s">
        <v>516</v>
      </c>
      <c r="S34" s="57" t="s">
        <v>516</v>
      </c>
      <c r="T34" s="57" t="s">
        <v>516</v>
      </c>
      <c r="U34" s="57" t="s">
        <v>516</v>
      </c>
      <c r="V34" s="57" t="s">
        <v>516</v>
      </c>
      <c r="W34" s="57" t="s">
        <v>516</v>
      </c>
      <c r="X34" s="57" t="s">
        <v>516</v>
      </c>
      <c r="Y34" s="57" t="s">
        <v>516</v>
      </c>
      <c r="Z34" s="57" t="s">
        <v>516</v>
      </c>
      <c r="AA34" s="57" t="s">
        <v>516</v>
      </c>
      <c r="AB34" s="110">
        <v>45349.0</v>
      </c>
      <c r="AC34" s="57" t="s">
        <v>516</v>
      </c>
      <c r="AD34" s="57" t="s">
        <v>935</v>
      </c>
      <c r="AE34" s="57" t="s">
        <v>516</v>
      </c>
      <c r="AF34" s="57" t="s">
        <v>516</v>
      </c>
      <c r="AG34" s="57" t="s">
        <v>516</v>
      </c>
      <c r="AH34" s="57" t="s">
        <v>516</v>
      </c>
      <c r="AI34" s="57" t="s">
        <v>516</v>
      </c>
      <c r="AJ34" s="57" t="s">
        <v>516</v>
      </c>
      <c r="AK34" s="57" t="s">
        <v>516</v>
      </c>
      <c r="AL34" s="57" t="s">
        <v>516</v>
      </c>
      <c r="AM34" s="57" t="s">
        <v>516</v>
      </c>
    </row>
    <row r="35">
      <c r="A35" s="3">
        <v>2.124206072E9</v>
      </c>
      <c r="B35" s="109" t="str">
        <f>VLOOKUP($A35,ANAGRAFICA!$B$1:$G$306,2,FALSE)</f>
        <v>CONSONNI</v>
      </c>
      <c r="C35" s="109" t="str">
        <f>VLOOKUP($A35,ANAGRAFICA!$B$1:$G$306,3,FALSE)</f>
        <v>GIULIO</v>
      </c>
      <c r="D35" s="109" t="str">
        <f>VLOOKUP($A35,ANAGRAFICA!$B$1:$G$306,4,FALSE)</f>
        <v/>
      </c>
      <c r="E35" s="109">
        <f>VLOOKUP($A35,ANAGRAFICA!$B$1:$G$306,5,FALSE)</f>
        <v>3272024064</v>
      </c>
      <c r="F35" s="109">
        <f>VLOOKUP($A35,ANAGRAFICA!$B$1:$G$306,6,FALSE)</f>
        <v>2024</v>
      </c>
      <c r="G35" s="57">
        <v>2.0</v>
      </c>
      <c r="H35" s="110">
        <v>45416.0</v>
      </c>
      <c r="I35" s="57" t="s">
        <v>936</v>
      </c>
      <c r="J35" s="57">
        <v>7.46</v>
      </c>
      <c r="K35" s="57">
        <v>112.0</v>
      </c>
      <c r="L35" s="57">
        <v>33.0</v>
      </c>
      <c r="M35" s="57">
        <v>23.5</v>
      </c>
      <c r="N35" s="57">
        <v>1.2</v>
      </c>
      <c r="O35" s="57">
        <v>-0.3</v>
      </c>
      <c r="P35" s="57">
        <v>8.4</v>
      </c>
      <c r="Q35" s="57">
        <v>25.0</v>
      </c>
      <c r="R35" s="57">
        <v>97.1</v>
      </c>
      <c r="S35" s="110">
        <v>45416.0</v>
      </c>
      <c r="T35" s="57" t="s">
        <v>264</v>
      </c>
      <c r="U35" s="57" t="s">
        <v>937</v>
      </c>
      <c r="V35" s="57">
        <v>22.0</v>
      </c>
      <c r="W35" s="57">
        <v>10.0</v>
      </c>
      <c r="X35" s="57" t="s">
        <v>516</v>
      </c>
      <c r="Y35" s="57" t="s">
        <v>516</v>
      </c>
      <c r="Z35" s="57" t="s">
        <v>516</v>
      </c>
      <c r="AA35" s="57">
        <v>550.0</v>
      </c>
      <c r="AB35" s="110">
        <v>45416.0</v>
      </c>
      <c r="AC35" s="57" t="s">
        <v>264</v>
      </c>
      <c r="AD35" s="57">
        <v>121.0</v>
      </c>
      <c r="AE35" s="57">
        <v>49.0</v>
      </c>
      <c r="AF35" s="57">
        <v>66.0</v>
      </c>
      <c r="AG35" s="57" t="s">
        <v>516</v>
      </c>
      <c r="AH35" s="57">
        <v>4.4</v>
      </c>
      <c r="AI35" s="3" t="s">
        <v>516</v>
      </c>
      <c r="AJ35" s="57">
        <v>26.0</v>
      </c>
      <c r="AK35" s="57">
        <v>14.0</v>
      </c>
      <c r="AL35" s="57">
        <v>16.0</v>
      </c>
      <c r="AM35" s="57" t="s">
        <v>516</v>
      </c>
    </row>
    <row r="36">
      <c r="A36" s="3">
        <v>2.124023603E9</v>
      </c>
      <c r="B36" s="109" t="str">
        <f>VLOOKUP($A36,ANAGRAFICA!$B$1:$G$306,2,FALSE)</f>
        <v>MAZZARDIS </v>
      </c>
      <c r="C36" s="109" t="str">
        <f>VLOOKUP($A36,ANAGRAFICA!$B$1:$G$306,3,FALSE)</f>
        <v>DAVIDE</v>
      </c>
      <c r="D36" s="109" t="str">
        <f>VLOOKUP($A36,ANAGRAFICA!$B$1:$G$306,4,FALSE)</f>
        <v>758-19</v>
      </c>
      <c r="E36" s="109">
        <f>VLOOKUP($A36,ANAGRAFICA!$B$1:$G$306,5,FALSE)</f>
        <v>3272024085</v>
      </c>
      <c r="F36" s="109">
        <f>VLOOKUP($A36,ANAGRAFICA!$B$1:$G$306,6,FALSE)</f>
        <v>2024</v>
      </c>
      <c r="G36" s="57">
        <v>1.0</v>
      </c>
      <c r="H36" s="112">
        <v>45622.0</v>
      </c>
      <c r="I36" s="57" t="s">
        <v>938</v>
      </c>
      <c r="J36" s="57" t="s">
        <v>939</v>
      </c>
      <c r="K36" s="57">
        <v>58.0</v>
      </c>
      <c r="L36" s="57">
        <v>107.0</v>
      </c>
      <c r="M36" s="57" t="s">
        <v>940</v>
      </c>
      <c r="N36" s="57" t="s">
        <v>941</v>
      </c>
      <c r="O36" s="57" t="s">
        <v>940</v>
      </c>
      <c r="P36" s="57">
        <v>16.0</v>
      </c>
      <c r="Q36" s="57">
        <v>48.0</v>
      </c>
      <c r="R36" s="57">
        <v>60.0</v>
      </c>
      <c r="S36" s="112">
        <v>45622.0</v>
      </c>
      <c r="T36" s="57" t="s">
        <v>516</v>
      </c>
      <c r="U36" s="57" t="s">
        <v>901</v>
      </c>
      <c r="V36" s="57" t="s">
        <v>516</v>
      </c>
      <c r="W36" s="57">
        <v>10.0</v>
      </c>
      <c r="X36" s="57" t="s">
        <v>516</v>
      </c>
      <c r="Y36" s="57" t="s">
        <v>516</v>
      </c>
      <c r="Z36" s="57" t="s">
        <v>516</v>
      </c>
      <c r="AA36" s="57" t="s">
        <v>516</v>
      </c>
      <c r="AB36" s="57" t="s">
        <v>516</v>
      </c>
      <c r="AC36" s="57" t="s">
        <v>516</v>
      </c>
      <c r="AD36" s="57" t="s">
        <v>516</v>
      </c>
      <c r="AE36" s="57" t="s">
        <v>516</v>
      </c>
      <c r="AF36" s="57" t="s">
        <v>516</v>
      </c>
      <c r="AG36" s="57" t="s">
        <v>516</v>
      </c>
      <c r="AH36" s="57" t="s">
        <v>516</v>
      </c>
      <c r="AI36" s="57" t="s">
        <v>516</v>
      </c>
      <c r="AJ36" s="57" t="s">
        <v>516</v>
      </c>
      <c r="AK36" s="57" t="s">
        <v>516</v>
      </c>
      <c r="AL36" s="57" t="s">
        <v>516</v>
      </c>
      <c r="AM36" s="57" t="s">
        <v>516</v>
      </c>
    </row>
    <row r="37">
      <c r="A37" s="3">
        <v>2.124016781E9</v>
      </c>
      <c r="B37" s="109" t="str">
        <f>VLOOKUP($A37,ANAGRAFICA!$B$1:$G$306,2,FALSE)</f>
        <v>TURNO ARTHEMALLE</v>
      </c>
      <c r="C37" s="109" t="str">
        <f>VLOOKUP($A37,ANAGRAFICA!$B$1:$G$306,3,FALSE)</f>
        <v>ALICE</v>
      </c>
      <c r="D37" s="109" t="str">
        <f>VLOOKUP($A37,ANAGRAFICA!$B$1:$G$306,4,FALSE)</f>
        <v>758-12</v>
      </c>
      <c r="E37" s="109">
        <f>VLOOKUP($A37,ANAGRAFICA!$B$1:$G$306,5,FALSE)</f>
        <v>3272024078</v>
      </c>
      <c r="F37" s="109">
        <f>VLOOKUP($A37,ANAGRAFICA!$B$1:$G$306,6,FALSE)</f>
        <v>2024</v>
      </c>
      <c r="G37" s="57">
        <v>1.0</v>
      </c>
      <c r="H37" s="57" t="s">
        <v>942</v>
      </c>
      <c r="I37" s="57" t="s">
        <v>324</v>
      </c>
      <c r="J37" s="57">
        <v>7.31</v>
      </c>
      <c r="K37" s="57">
        <v>53.0</v>
      </c>
      <c r="L37" s="57">
        <v>49.0</v>
      </c>
      <c r="M37" s="57">
        <v>20.0</v>
      </c>
      <c r="N37" s="57">
        <v>2.1</v>
      </c>
      <c r="O37" s="57">
        <v>-6.2</v>
      </c>
      <c r="P37" s="57">
        <v>9.2</v>
      </c>
      <c r="Q37" s="57">
        <v>28.0</v>
      </c>
      <c r="R37" s="57">
        <v>78.0</v>
      </c>
      <c r="S37" s="110">
        <v>45561.0</v>
      </c>
      <c r="T37" s="57" t="s">
        <v>324</v>
      </c>
      <c r="U37" s="57" t="s">
        <v>901</v>
      </c>
      <c r="V37" s="57">
        <v>18.0</v>
      </c>
      <c r="W37" s="57">
        <v>8.0</v>
      </c>
      <c r="X37" s="57" t="s">
        <v>516</v>
      </c>
      <c r="Y37" s="57" t="s">
        <v>934</v>
      </c>
      <c r="Z37" s="57" t="s">
        <v>516</v>
      </c>
      <c r="AA37" s="57">
        <v>380.0</v>
      </c>
      <c r="AB37" s="110">
        <v>45561.0</v>
      </c>
      <c r="AC37" s="57" t="s">
        <v>59</v>
      </c>
      <c r="AD37" s="57">
        <v>139.0</v>
      </c>
      <c r="AE37" s="57">
        <v>59.0</v>
      </c>
      <c r="AF37" s="57">
        <v>84.0</v>
      </c>
      <c r="AG37" s="57" t="s">
        <v>516</v>
      </c>
      <c r="AH37" s="57" t="s">
        <v>516</v>
      </c>
      <c r="AI37" s="57" t="s">
        <v>516</v>
      </c>
      <c r="AJ37" s="57" t="s">
        <v>516</v>
      </c>
      <c r="AK37" s="57" t="s">
        <v>516</v>
      </c>
      <c r="AL37" s="57" t="s">
        <v>516</v>
      </c>
      <c r="AM37" s="57" t="s">
        <v>516</v>
      </c>
    </row>
    <row r="38">
      <c r="A38" s="3">
        <v>2.124011236E9</v>
      </c>
      <c r="B38" s="109" t="str">
        <f>VLOOKUP($A38,ANAGRAFICA!$B$1:$G$306,2,FALSE)</f>
        <v>BERETTA</v>
      </c>
      <c r="C38" s="109" t="str">
        <f>VLOOKUP($A38,ANAGRAFICA!$B$1:$G$306,3,FALSE)</f>
        <v>ENZO LUCIANO</v>
      </c>
      <c r="D38" s="109" t="str">
        <f>VLOOKUP($A38,ANAGRAFICA!$B$1:$G$306,4,FALSE)</f>
        <v>758-3</v>
      </c>
      <c r="E38" s="109">
        <f>VLOOKUP($A38,ANAGRAFICA!$B$1:$G$306,5,FALSE)</f>
        <v>3272024069</v>
      </c>
      <c r="F38" s="109">
        <f>VLOOKUP($A38,ANAGRAFICA!$B$1:$G$306,6,FALSE)</f>
        <v>2024</v>
      </c>
      <c r="G38" s="57">
        <v>1.0</v>
      </c>
      <c r="H38" s="57" t="s">
        <v>516</v>
      </c>
      <c r="I38" s="57" t="s">
        <v>516</v>
      </c>
      <c r="J38" s="57" t="s">
        <v>516</v>
      </c>
      <c r="K38" s="57" t="s">
        <v>516</v>
      </c>
      <c r="L38" s="57" t="s">
        <v>516</v>
      </c>
      <c r="M38" s="57" t="s">
        <v>516</v>
      </c>
      <c r="N38" s="57" t="s">
        <v>516</v>
      </c>
      <c r="O38" s="57" t="s">
        <v>516</v>
      </c>
      <c r="P38" s="57" t="s">
        <v>516</v>
      </c>
      <c r="Q38" s="57" t="s">
        <v>516</v>
      </c>
      <c r="R38" s="57" t="s">
        <v>516</v>
      </c>
      <c r="S38" s="110">
        <v>45461.0</v>
      </c>
      <c r="T38" s="57" t="s">
        <v>516</v>
      </c>
      <c r="U38" s="57" t="s">
        <v>943</v>
      </c>
      <c r="V38" s="57" t="s">
        <v>516</v>
      </c>
      <c r="W38" s="57" t="s">
        <v>516</v>
      </c>
      <c r="X38" s="57" t="s">
        <v>516</v>
      </c>
      <c r="Y38" s="57" t="s">
        <v>516</v>
      </c>
      <c r="Z38" s="57" t="s">
        <v>516</v>
      </c>
      <c r="AA38" s="57" t="s">
        <v>516</v>
      </c>
      <c r="AB38" s="57" t="s">
        <v>516</v>
      </c>
      <c r="AC38" s="57" t="s">
        <v>516</v>
      </c>
      <c r="AD38" s="57" t="s">
        <v>516</v>
      </c>
      <c r="AE38" s="57" t="s">
        <v>516</v>
      </c>
      <c r="AF38" s="57" t="s">
        <v>516</v>
      </c>
      <c r="AG38" s="57" t="s">
        <v>516</v>
      </c>
      <c r="AH38" s="57" t="s">
        <v>516</v>
      </c>
      <c r="AI38" s="57" t="s">
        <v>516</v>
      </c>
      <c r="AJ38" s="57" t="s">
        <v>516</v>
      </c>
      <c r="AK38" s="57" t="s">
        <v>516</v>
      </c>
      <c r="AL38" s="57" t="s">
        <v>516</v>
      </c>
      <c r="AM38" s="57" t="s">
        <v>516</v>
      </c>
    </row>
    <row r="39">
      <c r="A39" s="3">
        <v>2.124024078E9</v>
      </c>
      <c r="B39" s="109" t="str">
        <f>VLOOKUP($A39,ANAGRAFICA!$B$1:$G$306,2,FALSE)</f>
        <v>ROVARIS</v>
      </c>
      <c r="C39" s="109" t="str">
        <f>VLOOKUP($A39,ANAGRAFICA!$B$1:$G$306,3,FALSE)</f>
        <v>ANGELO FELICE</v>
      </c>
      <c r="D39" s="109" t="str">
        <f>VLOOKUP($A39,ANAGRAFICA!$B$1:$G$306,4,FALSE)</f>
        <v>758-20</v>
      </c>
      <c r="E39" s="109">
        <f>VLOOKUP($A39,ANAGRAFICA!$B$1:$G$306,5,FALSE)</f>
        <v>3272024086</v>
      </c>
      <c r="F39" s="109">
        <f>VLOOKUP($A39,ANAGRAFICA!$B$1:$G$306,6,FALSE)</f>
        <v>2024</v>
      </c>
      <c r="G39" s="57">
        <v>1.0</v>
      </c>
      <c r="H39" s="112">
        <v>45624.0</v>
      </c>
      <c r="I39" s="57" t="s">
        <v>944</v>
      </c>
      <c r="J39" s="57">
        <v>7.41</v>
      </c>
      <c r="K39" s="57">
        <v>117.0</v>
      </c>
      <c r="L39" s="57">
        <v>12.0</v>
      </c>
      <c r="M39" s="57">
        <v>14.0</v>
      </c>
      <c r="N39" s="57">
        <v>9.0</v>
      </c>
      <c r="O39" s="57">
        <v>-17.0</v>
      </c>
      <c r="P39" s="57">
        <v>13.2</v>
      </c>
      <c r="Q39" s="57">
        <v>40.0</v>
      </c>
      <c r="R39" s="57">
        <v>96.8</v>
      </c>
      <c r="S39" s="57" t="s">
        <v>516</v>
      </c>
      <c r="T39" s="57" t="s">
        <v>516</v>
      </c>
      <c r="U39" s="57" t="s">
        <v>516</v>
      </c>
      <c r="V39" s="57" t="s">
        <v>516</v>
      </c>
      <c r="W39" s="57" t="s">
        <v>516</v>
      </c>
      <c r="X39" s="57" t="s">
        <v>516</v>
      </c>
      <c r="Y39" s="57" t="s">
        <v>516</v>
      </c>
      <c r="Z39" s="57" t="s">
        <v>516</v>
      </c>
      <c r="AA39" s="57" t="s">
        <v>516</v>
      </c>
      <c r="AB39" s="112">
        <v>45624.0</v>
      </c>
      <c r="AC39" s="57" t="s">
        <v>516</v>
      </c>
      <c r="AD39" s="57">
        <v>65.0</v>
      </c>
      <c r="AE39" s="57">
        <v>40.0</v>
      </c>
      <c r="AF39" s="57" t="s">
        <v>516</v>
      </c>
      <c r="AG39" s="57" t="s">
        <v>516</v>
      </c>
      <c r="AH39" s="57" t="s">
        <v>516</v>
      </c>
      <c r="AI39" s="57" t="s">
        <v>516</v>
      </c>
      <c r="AJ39" s="57" t="s">
        <v>516</v>
      </c>
      <c r="AK39" s="57" t="s">
        <v>516</v>
      </c>
      <c r="AL39" s="57" t="s">
        <v>516</v>
      </c>
      <c r="AM39" s="57" t="s">
        <v>516</v>
      </c>
    </row>
    <row r="40">
      <c r="A40" s="3">
        <v>2.124025195E9</v>
      </c>
      <c r="B40" s="109" t="str">
        <f>VLOOKUP($A40,ANAGRAFICA!$B$1:$G$306,2,FALSE)</f>
        <v>FAZIO</v>
      </c>
      <c r="C40" s="109" t="str">
        <f>VLOOKUP($A40,ANAGRAFICA!$B$1:$G$306,3,FALSE)</f>
        <v>FRANCESCO ANTONIO</v>
      </c>
      <c r="D40" s="109" t="str">
        <f>VLOOKUP($A40,ANAGRAFICA!$B$1:$G$306,4,FALSE)</f>
        <v>758-21</v>
      </c>
      <c r="E40" s="109">
        <f>VLOOKUP($A40,ANAGRAFICA!$B$1:$G$306,5,FALSE)</f>
        <v>3272024087</v>
      </c>
      <c r="F40" s="109">
        <f>VLOOKUP($A40,ANAGRAFICA!$B$1:$G$306,6,FALSE)</f>
        <v>2024</v>
      </c>
      <c r="G40" s="57">
        <v>1.0</v>
      </c>
      <c r="H40" s="110">
        <v>45631.0</v>
      </c>
      <c r="I40" s="57" t="s">
        <v>945</v>
      </c>
      <c r="J40" s="57">
        <v>7.02</v>
      </c>
      <c r="K40" s="57">
        <v>56.0</v>
      </c>
      <c r="L40" s="57">
        <v>55.0</v>
      </c>
      <c r="M40" s="57">
        <v>14.0</v>
      </c>
      <c r="N40" s="57">
        <v>10.0</v>
      </c>
      <c r="O40" s="57">
        <v>-17.0</v>
      </c>
      <c r="P40" s="57">
        <v>16.9</v>
      </c>
      <c r="Q40" s="57">
        <v>51.0</v>
      </c>
      <c r="R40" s="57">
        <v>70.0</v>
      </c>
      <c r="S40" s="57" t="s">
        <v>516</v>
      </c>
      <c r="T40" s="57" t="s">
        <v>516</v>
      </c>
      <c r="U40" s="57" t="s">
        <v>516</v>
      </c>
      <c r="V40" s="57" t="s">
        <v>516</v>
      </c>
      <c r="W40" s="57" t="s">
        <v>516</v>
      </c>
      <c r="X40" s="57" t="s">
        <v>516</v>
      </c>
      <c r="Y40" s="57" t="s">
        <v>516</v>
      </c>
      <c r="Z40" s="57" t="s">
        <v>516</v>
      </c>
      <c r="AA40" s="57" t="s">
        <v>516</v>
      </c>
      <c r="AB40" s="57" t="s">
        <v>516</v>
      </c>
      <c r="AC40" s="57" t="s">
        <v>516</v>
      </c>
      <c r="AD40" s="57" t="s">
        <v>516</v>
      </c>
      <c r="AE40" s="57" t="s">
        <v>516</v>
      </c>
      <c r="AF40" s="57" t="s">
        <v>516</v>
      </c>
      <c r="AG40" s="57" t="s">
        <v>516</v>
      </c>
      <c r="AH40" s="57" t="s">
        <v>516</v>
      </c>
      <c r="AI40" s="57" t="s">
        <v>516</v>
      </c>
      <c r="AJ40" s="57" t="s">
        <v>516</v>
      </c>
      <c r="AK40" s="57" t="s">
        <v>516</v>
      </c>
      <c r="AL40" s="57" t="s">
        <v>516</v>
      </c>
      <c r="AM40" s="57" t="s">
        <v>516</v>
      </c>
    </row>
    <row r="41">
      <c r="A41" s="3">
        <v>2.125000348E9</v>
      </c>
      <c r="B41" s="109" t="str">
        <f>VLOOKUP($A41,ANAGRAFICA!$B$1:$G$306,2,FALSE)</f>
        <v>SLAVKOVA</v>
      </c>
      <c r="C41" s="109" t="str">
        <f>VLOOKUP($A41,ANAGRAFICA!$B$1:$G$306,3,FALSE)</f>
        <v>EVELINA PLAMENOVA</v>
      </c>
      <c r="D41" s="109" t="str">
        <f>VLOOKUP($A41,ANAGRAFICA!$B$1:$G$306,4,FALSE)</f>
        <v/>
      </c>
      <c r="E41" s="109">
        <f>VLOOKUP($A41,ANAGRAFICA!$B$1:$G$306,5,FALSE)</f>
        <v>3272025051</v>
      </c>
      <c r="F41" s="109">
        <f>VLOOKUP($A41,ANAGRAFICA!$B$1:$G$306,6,FALSE)</f>
        <v>2025</v>
      </c>
      <c r="G41" s="57">
        <v>1.0</v>
      </c>
      <c r="H41" s="110">
        <v>45662.0</v>
      </c>
      <c r="I41" s="57" t="s">
        <v>50</v>
      </c>
      <c r="J41" s="57">
        <v>7.25</v>
      </c>
      <c r="K41" s="57">
        <v>178.0</v>
      </c>
      <c r="L41" s="57">
        <v>44.0</v>
      </c>
      <c r="M41" s="57">
        <v>19.0</v>
      </c>
      <c r="N41" s="57">
        <v>4.0</v>
      </c>
      <c r="O41" s="57" t="s">
        <v>946</v>
      </c>
      <c r="P41" s="57">
        <v>11.2</v>
      </c>
      <c r="Q41" s="57">
        <v>34.0</v>
      </c>
      <c r="R41" s="57" t="s">
        <v>516</v>
      </c>
      <c r="S41" s="110">
        <v>45662.0</v>
      </c>
      <c r="T41" s="57" t="s">
        <v>446</v>
      </c>
      <c r="U41" s="57" t="s">
        <v>901</v>
      </c>
      <c r="V41" s="57">
        <v>16.0</v>
      </c>
      <c r="W41" s="57">
        <v>6.0</v>
      </c>
      <c r="X41" s="57" t="s">
        <v>516</v>
      </c>
      <c r="Y41" s="57" t="s">
        <v>516</v>
      </c>
      <c r="Z41" s="57" t="s">
        <v>516</v>
      </c>
      <c r="AA41" s="57">
        <v>480.0</v>
      </c>
      <c r="AB41" s="110">
        <v>45662.0</v>
      </c>
      <c r="AC41" s="57" t="s">
        <v>71</v>
      </c>
      <c r="AD41" s="57">
        <v>73.0</v>
      </c>
      <c r="AE41" s="57">
        <v>63.0</v>
      </c>
      <c r="AF41" s="57">
        <v>57.0</v>
      </c>
      <c r="AG41" s="57" t="s">
        <v>516</v>
      </c>
      <c r="AH41" s="57" t="s">
        <v>516</v>
      </c>
      <c r="AI41" s="57" t="s">
        <v>516</v>
      </c>
      <c r="AJ41" s="57" t="s">
        <v>516</v>
      </c>
      <c r="AK41" s="57" t="s">
        <v>516</v>
      </c>
      <c r="AL41" s="57" t="s">
        <v>516</v>
      </c>
      <c r="AM41" s="57" t="s">
        <v>516</v>
      </c>
    </row>
    <row r="42">
      <c r="A42" s="3">
        <v>2.124025878E9</v>
      </c>
      <c r="B42" s="109" t="str">
        <f>VLOOKUP($A42,ANAGRAFICA!$B$1:$G$306,2,FALSE)</f>
        <v>PEDRONI </v>
      </c>
      <c r="C42" s="109" t="str">
        <f>VLOOKUP($A42,ANAGRAFICA!$B$1:$G$306,3,FALSE)</f>
        <v>PIERANGELO</v>
      </c>
      <c r="D42" s="109" t="str">
        <f>VLOOKUP($A42,ANAGRAFICA!$B$1:$G$306,4,FALSE)</f>
        <v>758-22</v>
      </c>
      <c r="E42" s="109">
        <f>VLOOKUP($A42,ANAGRAFICA!$B$1:$G$306,5,FALSE)</f>
        <v>3272024088</v>
      </c>
      <c r="F42" s="109">
        <f>VLOOKUP($A42,ANAGRAFICA!$B$1:$G$306,6,FALSE)</f>
        <v>2024</v>
      </c>
      <c r="G42" s="57">
        <v>1.0</v>
      </c>
      <c r="H42" s="57" t="s">
        <v>516</v>
      </c>
      <c r="I42" s="57" t="s">
        <v>516</v>
      </c>
      <c r="J42" s="57" t="s">
        <v>516</v>
      </c>
      <c r="K42" s="57" t="s">
        <v>516</v>
      </c>
      <c r="L42" s="57" t="s">
        <v>516</v>
      </c>
      <c r="M42" s="57" t="s">
        <v>516</v>
      </c>
      <c r="N42" s="57" t="s">
        <v>516</v>
      </c>
      <c r="O42" s="57" t="s">
        <v>516</v>
      </c>
      <c r="P42" s="57" t="s">
        <v>516</v>
      </c>
      <c r="Q42" s="57" t="s">
        <v>934</v>
      </c>
      <c r="R42" s="57" t="s">
        <v>516</v>
      </c>
      <c r="S42" s="112">
        <v>45636.0</v>
      </c>
      <c r="T42" s="57" t="s">
        <v>39</v>
      </c>
      <c r="U42" s="57" t="s">
        <v>947</v>
      </c>
      <c r="V42" s="57" t="s">
        <v>516</v>
      </c>
      <c r="W42" s="57" t="s">
        <v>516</v>
      </c>
      <c r="X42" s="57" t="s">
        <v>516</v>
      </c>
      <c r="Y42" s="57" t="s">
        <v>516</v>
      </c>
      <c r="Z42" s="57" t="s">
        <v>516</v>
      </c>
      <c r="AA42" s="57" t="s">
        <v>516</v>
      </c>
      <c r="AB42" s="112">
        <v>45636.0</v>
      </c>
      <c r="AC42" s="57" t="s">
        <v>39</v>
      </c>
      <c r="AD42" s="57">
        <v>75.0</v>
      </c>
      <c r="AE42" s="57">
        <v>45.0</v>
      </c>
      <c r="AF42" s="57">
        <v>55.0</v>
      </c>
      <c r="AG42" s="57" t="s">
        <v>934</v>
      </c>
      <c r="AH42" s="57" t="s">
        <v>516</v>
      </c>
      <c r="AI42" s="57" t="s">
        <v>516</v>
      </c>
      <c r="AJ42" s="57" t="s">
        <v>516</v>
      </c>
      <c r="AK42" s="57" t="s">
        <v>516</v>
      </c>
      <c r="AL42" s="57" t="s">
        <v>516</v>
      </c>
      <c r="AM42" s="57" t="s">
        <v>516</v>
      </c>
    </row>
    <row r="43">
      <c r="A43" s="3">
        <v>2.125004454E9</v>
      </c>
      <c r="B43" s="109" t="str">
        <f>VLOOKUP($A43,ANAGRAFICA!$B$1:$G$306,2,FALSE)</f>
        <v>ANTIGNANO</v>
      </c>
      <c r="C43" s="109" t="str">
        <f>VLOOKUP($A43,ANAGRAFICA!$B$1:$G$306,3,FALSE)</f>
        <v>MAURO</v>
      </c>
      <c r="D43" s="109" t="str">
        <f>VLOOKUP($A43,ANAGRAFICA!$B$1:$G$306,4,FALSE)</f>
        <v>758-23</v>
      </c>
      <c r="E43" s="109">
        <f>VLOOKUP($A43,ANAGRAFICA!$B$1:$G$306,5,FALSE)</f>
        <v>3272025052</v>
      </c>
      <c r="F43" s="109">
        <f>VLOOKUP($A43,ANAGRAFICA!$B$1:$G$306,6,FALSE)</f>
        <v>2025</v>
      </c>
      <c r="G43" s="57">
        <v>1.0</v>
      </c>
      <c r="H43" s="110">
        <v>45688.0</v>
      </c>
      <c r="I43" s="57" t="s">
        <v>948</v>
      </c>
      <c r="J43" s="57">
        <v>6.81</v>
      </c>
      <c r="K43" s="57">
        <v>53.0</v>
      </c>
      <c r="L43" s="57">
        <v>84.0</v>
      </c>
      <c r="M43" s="57">
        <v>13.4</v>
      </c>
      <c r="N43" s="57" t="s">
        <v>941</v>
      </c>
      <c r="O43" s="57">
        <v>-21.0</v>
      </c>
      <c r="P43" s="57">
        <v>11.9</v>
      </c>
      <c r="Q43" s="57">
        <v>36.0</v>
      </c>
      <c r="R43" s="57">
        <v>54.2</v>
      </c>
      <c r="S43" s="110">
        <v>45688.0</v>
      </c>
      <c r="T43" s="57" t="s">
        <v>516</v>
      </c>
      <c r="U43" s="57" t="s">
        <v>516</v>
      </c>
      <c r="V43" s="57" t="s">
        <v>516</v>
      </c>
      <c r="W43" s="57" t="s">
        <v>516</v>
      </c>
      <c r="X43" s="57" t="s">
        <v>516</v>
      </c>
      <c r="Y43" s="57" t="s">
        <v>516</v>
      </c>
      <c r="Z43" s="57" t="s">
        <v>516</v>
      </c>
      <c r="AA43" s="57" t="s">
        <v>516</v>
      </c>
      <c r="AB43" s="110">
        <v>45688.0</v>
      </c>
      <c r="AC43" s="57" t="s">
        <v>516</v>
      </c>
      <c r="AD43" s="57" t="s">
        <v>516</v>
      </c>
      <c r="AE43" s="57" t="s">
        <v>516</v>
      </c>
      <c r="AF43" s="57" t="s">
        <v>516</v>
      </c>
      <c r="AG43" s="57" t="s">
        <v>516</v>
      </c>
      <c r="AH43" s="57" t="s">
        <v>516</v>
      </c>
      <c r="AI43" s="57" t="s">
        <v>516</v>
      </c>
      <c r="AJ43" s="57" t="s">
        <v>516</v>
      </c>
      <c r="AK43" s="57" t="s">
        <v>516</v>
      </c>
      <c r="AL43" s="57" t="s">
        <v>516</v>
      </c>
      <c r="AM43" s="57" t="s">
        <v>516</v>
      </c>
    </row>
    <row r="44">
      <c r="A44" s="3">
        <v>2.125004867E9</v>
      </c>
      <c r="B44" s="109" t="str">
        <f>VLOOKUP($A44,ANAGRAFICA!$B$1:$G$306,2,FALSE)</f>
        <v>MARCONI</v>
      </c>
      <c r="C44" s="109" t="str">
        <f>VLOOKUP($A44,ANAGRAFICA!$B$1:$G$306,3,FALSE)</f>
        <v>PIETRO VITTORIO</v>
      </c>
      <c r="D44" s="109" t="str">
        <f>VLOOKUP($A44,ANAGRAFICA!$B$1:$G$306,4,FALSE)</f>
        <v/>
      </c>
      <c r="E44" s="109">
        <f>VLOOKUP($A44,ANAGRAFICA!$B$1:$G$306,5,FALSE)</f>
        <v>3272025053</v>
      </c>
      <c r="F44" s="109">
        <f>VLOOKUP($A44,ANAGRAFICA!$B$1:$G$306,6,FALSE)</f>
        <v>2025</v>
      </c>
      <c r="G44" s="57">
        <v>1.0</v>
      </c>
      <c r="H44" s="110">
        <v>45691.0</v>
      </c>
      <c r="I44" s="57" t="s">
        <v>949</v>
      </c>
      <c r="J44" s="57" t="s">
        <v>950</v>
      </c>
      <c r="K44" s="57">
        <v>52.0</v>
      </c>
      <c r="L44" s="57">
        <v>55.0</v>
      </c>
      <c r="M44" s="57">
        <v>11.5</v>
      </c>
      <c r="N44" s="57">
        <v>14.1</v>
      </c>
      <c r="O44" s="57">
        <v>-20.9</v>
      </c>
      <c r="P44" s="57" t="s">
        <v>516</v>
      </c>
      <c r="Q44" s="57" t="s">
        <v>516</v>
      </c>
      <c r="R44" s="57" t="s">
        <v>516</v>
      </c>
      <c r="S44" s="110"/>
      <c r="T44" s="57" t="s">
        <v>516</v>
      </c>
      <c r="U44" s="57" t="s">
        <v>516</v>
      </c>
      <c r="V44" s="57" t="s">
        <v>516</v>
      </c>
      <c r="W44" s="57" t="s">
        <v>516</v>
      </c>
      <c r="X44" s="57" t="s">
        <v>516</v>
      </c>
      <c r="Y44" s="57" t="s">
        <v>516</v>
      </c>
      <c r="Z44" s="57" t="s">
        <v>516</v>
      </c>
      <c r="AA44" s="57" t="s">
        <v>516</v>
      </c>
      <c r="AB44" s="110"/>
      <c r="AC44" s="57"/>
      <c r="AD44" s="57" t="s">
        <v>516</v>
      </c>
      <c r="AE44" s="57" t="s">
        <v>516</v>
      </c>
      <c r="AF44" s="57" t="s">
        <v>516</v>
      </c>
      <c r="AG44" s="57" t="s">
        <v>516</v>
      </c>
      <c r="AH44" s="57" t="s">
        <v>516</v>
      </c>
      <c r="AI44" s="57" t="s">
        <v>516</v>
      </c>
      <c r="AJ44" s="57" t="s">
        <v>516</v>
      </c>
      <c r="AK44" s="57" t="s">
        <v>516</v>
      </c>
      <c r="AL44" s="57" t="s">
        <v>516</v>
      </c>
      <c r="AM44" s="57" t="s">
        <v>516</v>
      </c>
    </row>
    <row r="45">
      <c r="A45" s="3">
        <v>2.025010247E9</v>
      </c>
      <c r="B45" s="109" t="str">
        <f>VLOOKUP($A45,ANAGRAFICA!$B$1:$G$306,2,FALSE)</f>
        <v>TREMOLADA</v>
      </c>
      <c r="C45" s="109" t="str">
        <f>VLOOKUP($A45,ANAGRAFICA!$B$1:$G$306,3,FALSE)</f>
        <v>MARCO</v>
      </c>
      <c r="D45" s="109" t="str">
        <f>VLOOKUP($A45,ANAGRAFICA!$B$1:$G$306,4,FALSE)</f>
        <v>758-25</v>
      </c>
      <c r="E45" s="109">
        <f>VLOOKUP($A45,ANAGRAFICA!$B$1:$G$306,5,FALSE)</f>
        <v>3272025054</v>
      </c>
      <c r="F45" s="109">
        <f>VLOOKUP($A45,ANAGRAFICA!$B$1:$G$306,6,FALSE)</f>
        <v>2025</v>
      </c>
      <c r="G45" s="57">
        <v>1.0</v>
      </c>
      <c r="H45" s="110">
        <v>45720.0</v>
      </c>
      <c r="I45" s="57" t="s">
        <v>45</v>
      </c>
      <c r="J45" s="57">
        <v>7.29</v>
      </c>
      <c r="K45" s="57">
        <v>51.0</v>
      </c>
      <c r="L45" s="57">
        <v>34.0</v>
      </c>
      <c r="M45" s="57">
        <v>16.3</v>
      </c>
      <c r="N45" s="57">
        <v>2.0</v>
      </c>
      <c r="O45" s="57">
        <v>-9.2</v>
      </c>
      <c r="P45" s="57">
        <v>11.4</v>
      </c>
      <c r="Q45" s="57">
        <v>53.0</v>
      </c>
      <c r="R45" s="57">
        <v>80.9</v>
      </c>
      <c r="S45" s="110">
        <v>45720.0</v>
      </c>
      <c r="T45" s="57" t="s">
        <v>516</v>
      </c>
      <c r="U45" s="57" t="s">
        <v>516</v>
      </c>
      <c r="V45" s="57" t="s">
        <v>516</v>
      </c>
      <c r="W45" s="57" t="s">
        <v>516</v>
      </c>
      <c r="X45" s="57" t="s">
        <v>516</v>
      </c>
      <c r="Y45" s="57" t="s">
        <v>516</v>
      </c>
      <c r="Z45" s="57" t="s">
        <v>516</v>
      </c>
      <c r="AA45" s="57" t="s">
        <v>516</v>
      </c>
      <c r="AB45" s="110"/>
      <c r="AC45" s="57"/>
      <c r="AD45" s="57" t="s">
        <v>516</v>
      </c>
      <c r="AE45" s="57" t="s">
        <v>516</v>
      </c>
      <c r="AF45" s="57" t="s">
        <v>516</v>
      </c>
      <c r="AG45" s="57" t="s">
        <v>516</v>
      </c>
      <c r="AH45" s="57" t="s">
        <v>516</v>
      </c>
      <c r="AI45" s="57" t="s">
        <v>516</v>
      </c>
      <c r="AJ45" s="57" t="s">
        <v>516</v>
      </c>
      <c r="AK45" s="57" t="s">
        <v>516</v>
      </c>
      <c r="AL45" s="57" t="s">
        <v>516</v>
      </c>
      <c r="AM45" s="57" t="s">
        <v>516</v>
      </c>
    </row>
    <row r="46">
      <c r="A46" s="3">
        <v>2.025010247E9</v>
      </c>
      <c r="B46" s="109" t="str">
        <f>VLOOKUP($A46,ANAGRAFICA!$B$1:$G$306,2,FALSE)</f>
        <v>TREMOLADA</v>
      </c>
      <c r="C46" s="109" t="str">
        <f>VLOOKUP($A46,ANAGRAFICA!$B$1:$G$306,3,FALSE)</f>
        <v>MARCO</v>
      </c>
      <c r="D46" s="109" t="str">
        <f>VLOOKUP($A46,ANAGRAFICA!$B$1:$G$306,4,FALSE)</f>
        <v>758-25</v>
      </c>
      <c r="E46" s="109">
        <f>VLOOKUP($A46,ANAGRAFICA!$B$1:$G$306,5,FALSE)</f>
        <v>3272025054</v>
      </c>
      <c r="F46" s="109">
        <f>VLOOKUP($A46,ANAGRAFICA!$B$1:$G$306,6,FALSE)</f>
        <v>2025</v>
      </c>
      <c r="G46" s="57">
        <v>2.0</v>
      </c>
      <c r="H46" s="110">
        <v>45732.0</v>
      </c>
      <c r="I46" s="57" t="s">
        <v>353</v>
      </c>
      <c r="J46" s="57">
        <v>7.29</v>
      </c>
      <c r="K46" s="57">
        <v>77.0</v>
      </c>
      <c r="L46" s="57">
        <v>55.0</v>
      </c>
      <c r="M46" s="57">
        <v>24.2</v>
      </c>
      <c r="N46" s="57">
        <v>1.9</v>
      </c>
      <c r="O46" s="57">
        <v>-1.0</v>
      </c>
      <c r="P46" s="57">
        <v>8.4</v>
      </c>
      <c r="Q46" s="57">
        <v>29.0</v>
      </c>
      <c r="R46" s="57">
        <v>97.0</v>
      </c>
      <c r="S46" s="110">
        <v>45732.0</v>
      </c>
      <c r="T46" s="57" t="s">
        <v>39</v>
      </c>
      <c r="U46" s="57" t="s">
        <v>901</v>
      </c>
      <c r="V46" s="57">
        <v>8.0</v>
      </c>
      <c r="W46" s="57">
        <v>16.0</v>
      </c>
      <c r="X46" s="57" t="s">
        <v>516</v>
      </c>
      <c r="Y46" s="57" t="s">
        <v>516</v>
      </c>
      <c r="Z46" s="57">
        <v>23.0</v>
      </c>
      <c r="AA46" s="57">
        <v>500.0</v>
      </c>
      <c r="AB46" s="110">
        <v>45732.0</v>
      </c>
      <c r="AC46" s="57" t="s">
        <v>446</v>
      </c>
      <c r="AD46" s="57">
        <v>78.0</v>
      </c>
      <c r="AE46" s="57">
        <v>69.0</v>
      </c>
      <c r="AF46" s="57">
        <v>63.0</v>
      </c>
      <c r="AG46" s="57">
        <v>77.0</v>
      </c>
      <c r="AH46" s="57">
        <v>4.5</v>
      </c>
      <c r="AI46" s="57">
        <v>35.0</v>
      </c>
      <c r="AJ46" s="57">
        <v>60.0</v>
      </c>
      <c r="AK46" s="57">
        <v>40.0</v>
      </c>
      <c r="AL46" s="57" t="s">
        <v>516</v>
      </c>
      <c r="AM46" s="57" t="s">
        <v>516</v>
      </c>
    </row>
    <row r="47">
      <c r="A47" s="3">
        <v>2.125020858E9</v>
      </c>
      <c r="B47" s="109" t="str">
        <f>VLOOKUP($A47,ANAGRAFICA!$B$1:$G$306,2,FALSE)</f>
        <v>FALVO</v>
      </c>
      <c r="C47" s="109" t="str">
        <f>VLOOKUP($A47,ANAGRAFICA!$B$1:$G$306,3,FALSE)</f>
        <v>FRANCESCO</v>
      </c>
      <c r="D47" s="109" t="str">
        <f>VLOOKUP($A47,ANAGRAFICA!$B$1:$G$306,4,FALSE)</f>
        <v/>
      </c>
      <c r="E47" s="109">
        <f>VLOOKUP($A47,ANAGRAFICA!$B$1:$G$306,5,FALSE)</f>
        <v>3272025055</v>
      </c>
      <c r="F47" s="109">
        <f>VLOOKUP($A47,ANAGRAFICA!$B$1:$G$306,6,FALSE)</f>
        <v>2025</v>
      </c>
      <c r="G47" s="57">
        <v>1.0</v>
      </c>
      <c r="H47" s="57" t="s">
        <v>516</v>
      </c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57" t="s">
        <v>516</v>
      </c>
      <c r="T47" s="94"/>
      <c r="U47" s="94"/>
      <c r="V47" s="94"/>
      <c r="W47" s="94"/>
      <c r="X47" s="94"/>
      <c r="Y47" s="94"/>
      <c r="Z47" s="94"/>
      <c r="AA47" s="94"/>
      <c r="AB47" s="57" t="s">
        <v>516</v>
      </c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</row>
    <row r="48">
      <c r="A48" s="3">
        <v>2.125023093E9</v>
      </c>
      <c r="B48" s="109" t="str">
        <f>VLOOKUP($A48,ANAGRAFICA!$B$1:$G$306,2,FALSE)</f>
        <v>GHEZZI</v>
      </c>
      <c r="C48" s="109" t="str">
        <f>VLOOKUP($A48,ANAGRAFICA!$B$1:$G$306,3,FALSE)</f>
        <v>FABIO</v>
      </c>
      <c r="D48" s="109" t="str">
        <f>VLOOKUP($A48,ANAGRAFICA!$B$1:$G$306,4,FALSE)</f>
        <v>758-28</v>
      </c>
      <c r="E48" s="109">
        <f>VLOOKUP($A48,ANAGRAFICA!$B$1:$G$306,5,FALSE)</f>
        <v>3272025056</v>
      </c>
      <c r="F48" s="109">
        <f>VLOOKUP($A48,ANAGRAFICA!$B$1:$G$306,6,FALSE)</f>
        <v>2025</v>
      </c>
      <c r="G48" s="57">
        <v>1.0</v>
      </c>
      <c r="H48" s="110">
        <v>45800.0</v>
      </c>
      <c r="I48" s="57" t="s">
        <v>951</v>
      </c>
      <c r="J48" s="57" t="s">
        <v>952</v>
      </c>
      <c r="K48" s="57">
        <v>45.0</v>
      </c>
      <c r="L48" s="57">
        <v>74.0</v>
      </c>
      <c r="M48" s="57" t="s">
        <v>516</v>
      </c>
      <c r="N48" s="57">
        <v>14.9</v>
      </c>
      <c r="O48" s="57" t="s">
        <v>516</v>
      </c>
      <c r="P48" s="57">
        <v>13.8</v>
      </c>
      <c r="Q48" s="57" t="s">
        <v>516</v>
      </c>
      <c r="R48" s="57">
        <v>50.5</v>
      </c>
      <c r="S48" s="110">
        <v>45800.0</v>
      </c>
      <c r="T48" s="57" t="s">
        <v>516</v>
      </c>
      <c r="U48" s="57" t="s">
        <v>516</v>
      </c>
      <c r="V48" s="57" t="s">
        <v>516</v>
      </c>
      <c r="W48" s="57" t="s">
        <v>516</v>
      </c>
      <c r="X48" s="57" t="s">
        <v>516</v>
      </c>
      <c r="Y48" s="57" t="s">
        <v>516</v>
      </c>
      <c r="Z48" s="57" t="s">
        <v>516</v>
      </c>
      <c r="AA48" s="57" t="s">
        <v>516</v>
      </c>
      <c r="AB48" s="110"/>
      <c r="AC48" s="57"/>
      <c r="AD48" s="57" t="s">
        <v>516</v>
      </c>
      <c r="AE48" s="57" t="s">
        <v>516</v>
      </c>
      <c r="AF48" s="57" t="s">
        <v>516</v>
      </c>
      <c r="AG48" s="57" t="s">
        <v>516</v>
      </c>
      <c r="AH48" s="57" t="s">
        <v>516</v>
      </c>
      <c r="AI48" s="57" t="s">
        <v>516</v>
      </c>
      <c r="AJ48" s="57" t="s">
        <v>516</v>
      </c>
      <c r="AK48" s="57" t="s">
        <v>516</v>
      </c>
      <c r="AL48" s="57" t="s">
        <v>516</v>
      </c>
      <c r="AM48" s="57" t="s">
        <v>516</v>
      </c>
    </row>
    <row r="49">
      <c r="A49" s="3">
        <v>2.125024608E9</v>
      </c>
      <c r="B49" s="109" t="str">
        <f>VLOOKUP($A49,ANAGRAFICA!$B$1:$G$306,2,FALSE)</f>
        <v>ZAPPIA</v>
      </c>
      <c r="C49" s="109" t="str">
        <f>VLOOKUP($A49,ANAGRAFICA!$B$1:$G$306,3,FALSE)</f>
        <v>LEONARDO</v>
      </c>
      <c r="D49" s="109" t="str">
        <f>VLOOKUP($A49,ANAGRAFICA!$B$1:$G$306,4,FALSE)</f>
        <v>758-29</v>
      </c>
      <c r="E49" s="109">
        <f>VLOOKUP($A49,ANAGRAFICA!$B$1:$G$306,5,FALSE)</f>
        <v>3272025057</v>
      </c>
      <c r="F49" s="109">
        <f>VLOOKUP($A49,ANAGRAFICA!$B$1:$G$306,6,FALSE)</f>
        <v>2025</v>
      </c>
      <c r="G49" s="57">
        <v>1.0</v>
      </c>
      <c r="H49" s="110">
        <v>45811.0</v>
      </c>
      <c r="I49" s="57" t="s">
        <v>953</v>
      </c>
      <c r="J49" s="57">
        <v>7.36</v>
      </c>
      <c r="K49" s="57">
        <v>51.0</v>
      </c>
      <c r="L49" s="57">
        <v>24.0</v>
      </c>
      <c r="M49" s="57">
        <v>13.6</v>
      </c>
      <c r="N49" s="57">
        <v>3.1</v>
      </c>
      <c r="O49" s="57" t="s">
        <v>954</v>
      </c>
      <c r="P49" s="57">
        <v>15.9</v>
      </c>
      <c r="Q49" s="57">
        <v>48.0</v>
      </c>
      <c r="R49" s="57">
        <v>81.0</v>
      </c>
      <c r="S49" s="110">
        <v>45811.0</v>
      </c>
      <c r="T49" s="94"/>
      <c r="U49" s="57" t="s">
        <v>955</v>
      </c>
      <c r="V49" s="57"/>
      <c r="W49" s="57">
        <v>10.0</v>
      </c>
      <c r="X49" s="94"/>
      <c r="Y49" s="94"/>
      <c r="Z49" s="94"/>
      <c r="AA49" s="94"/>
      <c r="AB49" s="110">
        <v>45811.0</v>
      </c>
      <c r="AC49" s="57" t="s">
        <v>742</v>
      </c>
      <c r="AD49" s="57" t="s">
        <v>516</v>
      </c>
      <c r="AE49" s="57" t="s">
        <v>516</v>
      </c>
      <c r="AF49" s="57" t="s">
        <v>516</v>
      </c>
      <c r="AG49" s="57" t="s">
        <v>516</v>
      </c>
      <c r="AH49" s="57" t="s">
        <v>516</v>
      </c>
      <c r="AI49" s="57" t="s">
        <v>516</v>
      </c>
      <c r="AJ49" s="57" t="s">
        <v>516</v>
      </c>
      <c r="AK49" s="57" t="s">
        <v>516</v>
      </c>
      <c r="AL49" s="57" t="s">
        <v>516</v>
      </c>
      <c r="AM49" s="57" t="s">
        <v>516</v>
      </c>
    </row>
    <row r="50">
      <c r="A50" s="3">
        <v>2.125024565E9</v>
      </c>
      <c r="B50" s="109" t="str">
        <f>VLOOKUP($A50,ANAGRAFICA!$B$1:$G$306,2,FALSE)</f>
        <v>POLICARPO</v>
      </c>
      <c r="C50" s="109" t="str">
        <f>VLOOKUP($A50,ANAGRAFICA!$B$1:$G$306,3,FALSE)</f>
        <v>FRANCESCO</v>
      </c>
      <c r="D50" s="109" t="str">
        <f>VLOOKUP($A50,ANAGRAFICA!$B$1:$G$306,4,FALSE)</f>
        <v>758-30</v>
      </c>
      <c r="E50" s="109" t="str">
        <f>VLOOKUP($A50,ANAGRAFICA!$B$1:$G$306,5,FALSE)</f>
        <v/>
      </c>
      <c r="F50" s="109">
        <f>VLOOKUP($A50,ANAGRAFICA!$B$1:$G$306,6,FALSE)</f>
        <v>2025</v>
      </c>
      <c r="G50" s="57">
        <v>1.0</v>
      </c>
      <c r="H50" s="110">
        <v>45813.0</v>
      </c>
      <c r="I50" s="57" t="s">
        <v>917</v>
      </c>
      <c r="J50" s="57">
        <v>7.1</v>
      </c>
      <c r="K50" s="57">
        <v>114.0</v>
      </c>
      <c r="L50" s="57">
        <v>32.0</v>
      </c>
      <c r="M50" s="57">
        <v>11.4</v>
      </c>
      <c r="N50" s="57">
        <v>14.6</v>
      </c>
      <c r="O50" s="57">
        <v>-18.0</v>
      </c>
      <c r="P50" s="57">
        <v>8.0</v>
      </c>
      <c r="Q50" s="57">
        <v>24.0</v>
      </c>
      <c r="R50" s="57">
        <v>97.2</v>
      </c>
      <c r="S50" s="110">
        <v>45813.0</v>
      </c>
      <c r="T50" s="57" t="s">
        <v>71</v>
      </c>
      <c r="U50" s="57" t="s">
        <v>901</v>
      </c>
      <c r="V50" s="57">
        <v>4.0</v>
      </c>
      <c r="W50" s="57">
        <v>8.0</v>
      </c>
      <c r="X50" s="57" t="s">
        <v>516</v>
      </c>
      <c r="Y50" s="57" t="s">
        <v>516</v>
      </c>
      <c r="Z50" s="57" t="s">
        <v>516</v>
      </c>
      <c r="AA50" s="57">
        <v>550.0</v>
      </c>
      <c r="AB50" s="110">
        <v>45813.0</v>
      </c>
      <c r="AC50" s="57" t="s">
        <v>71</v>
      </c>
      <c r="AD50" s="57">
        <v>78.0</v>
      </c>
      <c r="AE50" s="57">
        <v>43.0</v>
      </c>
      <c r="AF50" s="57">
        <v>50.0</v>
      </c>
      <c r="AG50" s="94"/>
      <c r="AH50" s="94"/>
      <c r="AI50" s="94"/>
      <c r="AJ50" s="57">
        <v>20.0</v>
      </c>
      <c r="AK50" s="57">
        <v>12.0</v>
      </c>
      <c r="AL50" s="57">
        <v>16.0</v>
      </c>
      <c r="AM50" s="94"/>
    </row>
    <row r="51">
      <c r="A51" s="3">
        <v>2.125025861E9</v>
      </c>
      <c r="B51" s="109" t="str">
        <f>VLOOKUP($A51,ANAGRAFICA!$B$1:$G$306,2,FALSE)</f>
        <v>CASSANI</v>
      </c>
      <c r="C51" s="109" t="str">
        <f>VLOOKUP($A51,ANAGRAFICA!$B$1:$G$306,3,FALSE)</f>
        <v>DAVIDE VIRGILIO</v>
      </c>
      <c r="D51" s="109" t="str">
        <f>VLOOKUP($A51,ANAGRAFICA!$B$1:$G$306,4,FALSE)</f>
        <v>758-31</v>
      </c>
      <c r="E51" s="109">
        <f>VLOOKUP($A51,ANAGRAFICA!$B$1:$G$306,5,FALSE)</f>
        <v>3272025058</v>
      </c>
      <c r="F51" s="109">
        <f>VLOOKUP($A51,ANAGRAFICA!$B$1:$G$306,6,FALSE)</f>
        <v>2025</v>
      </c>
      <c r="G51" s="57">
        <v>1.0</v>
      </c>
      <c r="H51" s="110">
        <v>45818.0</v>
      </c>
      <c r="I51" s="57" t="s">
        <v>432</v>
      </c>
      <c r="J51" s="57">
        <v>7.02</v>
      </c>
      <c r="K51" s="57">
        <v>101.0</v>
      </c>
      <c r="L51" s="57">
        <v>63.0</v>
      </c>
      <c r="M51" s="57">
        <v>16.3</v>
      </c>
      <c r="N51" s="57">
        <v>7.4</v>
      </c>
      <c r="O51" s="57">
        <v>-14.7</v>
      </c>
      <c r="P51" s="57">
        <v>17.5</v>
      </c>
      <c r="Q51" s="57">
        <v>53.0</v>
      </c>
      <c r="R51" s="57">
        <v>91.0</v>
      </c>
      <c r="S51" s="110">
        <v>45818.0</v>
      </c>
      <c r="T51" s="57" t="s">
        <v>446</v>
      </c>
      <c r="U51" s="57" t="s">
        <v>901</v>
      </c>
      <c r="V51" s="57">
        <v>5.0</v>
      </c>
      <c r="W51" s="57">
        <v>10.0</v>
      </c>
      <c r="X51" s="57" t="s">
        <v>516</v>
      </c>
      <c r="Y51" s="57" t="s">
        <v>516</v>
      </c>
      <c r="Z51" s="57" t="s">
        <v>516</v>
      </c>
      <c r="AA51" s="57">
        <v>500.0</v>
      </c>
      <c r="AB51" s="110">
        <v>45818.0</v>
      </c>
      <c r="AC51" s="57" t="s">
        <v>432</v>
      </c>
      <c r="AD51" s="57">
        <v>90.0</v>
      </c>
      <c r="AE51" s="57">
        <v>45.0</v>
      </c>
      <c r="AF51" s="57">
        <v>55.0</v>
      </c>
      <c r="AG51" s="57" t="s">
        <v>516</v>
      </c>
      <c r="AH51" s="57" t="s">
        <v>516</v>
      </c>
      <c r="AI51" s="57" t="s">
        <v>516</v>
      </c>
      <c r="AJ51" s="57" t="s">
        <v>516</v>
      </c>
      <c r="AK51" s="57" t="s">
        <v>516</v>
      </c>
      <c r="AL51" s="57" t="s">
        <v>516</v>
      </c>
      <c r="AM51" s="57" t="s">
        <v>516</v>
      </c>
    </row>
    <row r="52">
      <c r="A52" s="3">
        <v>2.125026559E9</v>
      </c>
      <c r="B52" s="109" t="str">
        <f>VLOOKUP($A52,ANAGRAFICA!$B$1:$G$306,2,FALSE)</f>
        <v>VEDUTI</v>
      </c>
      <c r="C52" s="109" t="str">
        <f>VLOOKUP($A52,ANAGRAFICA!$B$1:$G$306,3,FALSE)</f>
        <v>LORENZO</v>
      </c>
      <c r="D52" s="109" t="str">
        <f>VLOOKUP($A52,ANAGRAFICA!$B$1:$G$306,4,FALSE)</f>
        <v>758-32</v>
      </c>
      <c r="E52" s="109">
        <f>VLOOKUP($A52,ANAGRAFICA!$B$1:$G$306,5,FALSE)</f>
        <v>3272025059</v>
      </c>
      <c r="F52" s="109">
        <f>VLOOKUP($A52,ANAGRAFICA!$B$1:$G$306,6,FALSE)</f>
        <v>2025</v>
      </c>
      <c r="G52" s="57">
        <v>1.0</v>
      </c>
      <c r="H52" s="57" t="s">
        <v>516</v>
      </c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57" t="s">
        <v>516</v>
      </c>
      <c r="T52" s="94"/>
      <c r="U52" s="94"/>
      <c r="V52" s="94"/>
      <c r="W52" s="94"/>
      <c r="X52" s="94"/>
      <c r="Y52" s="94"/>
      <c r="Z52" s="94"/>
      <c r="AA52" s="94"/>
      <c r="AB52" s="57" t="s">
        <v>516</v>
      </c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</row>
    <row r="53">
      <c r="A53" s="3">
        <v>2.125027331E9</v>
      </c>
      <c r="B53" s="109" t="str">
        <f>VLOOKUP($A53,ANAGRAFICA!$B$1:$G$306,2,FALSE)</f>
        <v>QUARIN</v>
      </c>
      <c r="C53" s="109" t="str">
        <f>VLOOKUP($A53,ANAGRAFICA!$B$1:$G$306,3,FALSE)</f>
        <v>FRANCO</v>
      </c>
      <c r="D53" s="109" t="str">
        <f>VLOOKUP($A53,ANAGRAFICA!$B$1:$G$306,4,FALSE)</f>
        <v>758-34</v>
      </c>
      <c r="E53" s="109" t="str">
        <f>VLOOKUP($A53,ANAGRAFICA!$B$1:$G$306,5,FALSE)</f>
        <v/>
      </c>
      <c r="F53" s="109">
        <f>VLOOKUP($A53,ANAGRAFICA!$B$1:$G$306,6,FALSE)</f>
        <v>2025</v>
      </c>
      <c r="G53" s="57">
        <v>1.0</v>
      </c>
      <c r="H53" s="110">
        <v>45828.0</v>
      </c>
      <c r="I53" s="57" t="s">
        <v>948</v>
      </c>
      <c r="J53" s="57">
        <v>7.12</v>
      </c>
      <c r="K53" s="57">
        <v>71.0</v>
      </c>
      <c r="L53" s="57">
        <v>40.0</v>
      </c>
      <c r="M53" s="57">
        <v>13.3</v>
      </c>
      <c r="N53" s="57">
        <v>12.0</v>
      </c>
      <c r="O53" s="57">
        <v>-15.9</v>
      </c>
      <c r="P53" s="57">
        <v>15.1</v>
      </c>
      <c r="Q53" s="57">
        <v>45.0</v>
      </c>
      <c r="R53" s="57">
        <v>91.3</v>
      </c>
      <c r="S53" s="110">
        <v>45828.0</v>
      </c>
      <c r="T53" s="57" t="s">
        <v>956</v>
      </c>
      <c r="U53" s="57" t="s">
        <v>901</v>
      </c>
      <c r="V53" s="57" t="s">
        <v>516</v>
      </c>
      <c r="W53" s="57" t="s">
        <v>516</v>
      </c>
      <c r="X53" s="57" t="s">
        <v>516</v>
      </c>
      <c r="Y53" s="57" t="s">
        <v>516</v>
      </c>
      <c r="Z53" s="57" t="s">
        <v>516</v>
      </c>
      <c r="AA53" s="57" t="s">
        <v>516</v>
      </c>
      <c r="AB53" s="110">
        <v>45828.0</v>
      </c>
      <c r="AC53" s="57" t="s">
        <v>516</v>
      </c>
      <c r="AD53" s="57" t="s">
        <v>516</v>
      </c>
      <c r="AE53" s="57" t="s">
        <v>516</v>
      </c>
      <c r="AF53" s="57" t="s">
        <v>516</v>
      </c>
      <c r="AG53" s="57" t="s">
        <v>516</v>
      </c>
      <c r="AH53" s="57" t="s">
        <v>516</v>
      </c>
      <c r="AI53" s="57" t="s">
        <v>516</v>
      </c>
      <c r="AJ53" s="57" t="s">
        <v>516</v>
      </c>
      <c r="AK53" s="57" t="s">
        <v>516</v>
      </c>
      <c r="AL53" s="57" t="s">
        <v>516</v>
      </c>
      <c r="AM53" s="57" t="s">
        <v>516</v>
      </c>
    </row>
    <row r="54">
      <c r="A54" s="3">
        <v>2.125029623E9</v>
      </c>
      <c r="B54" s="109" t="str">
        <f>VLOOKUP($A54,ANAGRAFICA!$B$1:$G$306,2,FALSE)</f>
        <v>IANDIORIO</v>
      </c>
      <c r="C54" s="109" t="str">
        <f>VLOOKUP($A54,ANAGRAFICA!$B$1:$G$306,3,FALSE)</f>
        <v>ALDO NATALINO</v>
      </c>
      <c r="D54" s="109" t="str">
        <f>VLOOKUP($A54,ANAGRAFICA!$B$1:$G$306,4,FALSE)</f>
        <v>758-36</v>
      </c>
      <c r="E54" s="109">
        <f>VLOOKUP($A54,ANAGRAFICA!$B$1:$G$306,5,FALSE)</f>
        <v>3272025062</v>
      </c>
      <c r="F54" s="109">
        <f>VLOOKUP($A54,ANAGRAFICA!$B$1:$G$306,6,FALSE)</f>
        <v>2025</v>
      </c>
      <c r="G54" s="57">
        <v>1.0</v>
      </c>
      <c r="H54" s="124">
        <v>45845.0</v>
      </c>
      <c r="I54" s="57" t="s">
        <v>68</v>
      </c>
      <c r="J54" s="57">
        <v>7.46</v>
      </c>
      <c r="K54" s="57">
        <v>311.0</v>
      </c>
      <c r="L54" s="57">
        <v>35.0</v>
      </c>
      <c r="M54" s="57">
        <v>26.1</v>
      </c>
      <c r="N54" s="57">
        <v>2.9</v>
      </c>
      <c r="O54" s="57">
        <v>1.1</v>
      </c>
      <c r="P54" s="57">
        <v>16.1</v>
      </c>
      <c r="Q54" s="57">
        <v>48.0</v>
      </c>
      <c r="R54" s="94"/>
      <c r="S54" s="110">
        <v>45845.0</v>
      </c>
      <c r="T54" s="57" t="s">
        <v>292</v>
      </c>
      <c r="U54" s="57" t="s">
        <v>901</v>
      </c>
      <c r="V54" s="57">
        <v>6.0</v>
      </c>
      <c r="W54" s="57">
        <v>8.0</v>
      </c>
      <c r="X54" s="57" t="s">
        <v>516</v>
      </c>
      <c r="Y54" s="57" t="s">
        <v>516</v>
      </c>
      <c r="Z54" s="57" t="s">
        <v>516</v>
      </c>
      <c r="AA54" s="57">
        <v>450.0</v>
      </c>
      <c r="AB54" s="110">
        <v>6705311.0</v>
      </c>
      <c r="AC54" s="57" t="s">
        <v>292</v>
      </c>
      <c r="AD54" s="57">
        <v>102.0</v>
      </c>
      <c r="AE54" s="57">
        <v>37.0</v>
      </c>
      <c r="AF54" s="57">
        <v>61.0</v>
      </c>
      <c r="AG54" s="57" t="s">
        <v>516</v>
      </c>
      <c r="AH54" s="57" t="s">
        <v>516</v>
      </c>
      <c r="AI54" s="57" t="s">
        <v>516</v>
      </c>
      <c r="AJ54" s="57" t="s">
        <v>516</v>
      </c>
      <c r="AK54" s="57" t="s">
        <v>516</v>
      </c>
      <c r="AL54" s="57" t="s">
        <v>516</v>
      </c>
      <c r="AM54" s="57" t="s">
        <v>516</v>
      </c>
    </row>
    <row r="55">
      <c r="A55" s="3">
        <v>2.125026384E9</v>
      </c>
      <c r="B55" s="109" t="str">
        <f>VLOOKUP($A55,ANAGRAFICA!$B$1:$G$306,2,FALSE)</f>
        <v>PRINCIPATO</v>
      </c>
      <c r="C55" s="109" t="str">
        <f>VLOOKUP($A55,ANAGRAFICA!$B$1:$G$306,3,FALSE)</f>
        <v>FRANCO ANGELO</v>
      </c>
      <c r="D55" s="109" t="str">
        <f>VLOOKUP($A55,ANAGRAFICA!$B$1:$G$306,4,FALSE)</f>
        <v>758-35</v>
      </c>
      <c r="E55" s="109">
        <f>VLOOKUP($A55,ANAGRAFICA!$B$1:$G$306,5,FALSE)</f>
        <v>3272025061</v>
      </c>
      <c r="F55" s="109">
        <f>VLOOKUP($A55,ANAGRAFICA!$B$1:$G$306,6,FALSE)</f>
        <v>2025</v>
      </c>
      <c r="G55" s="57">
        <v>1.0</v>
      </c>
      <c r="H55" s="110">
        <v>45832.0</v>
      </c>
      <c r="I55" s="57" t="s">
        <v>292</v>
      </c>
      <c r="J55" s="114">
        <v>0.3173611111111111</v>
      </c>
      <c r="K55" s="94"/>
      <c r="L55" s="57">
        <v>16.0</v>
      </c>
      <c r="M55" s="57">
        <v>14.0</v>
      </c>
      <c r="N55" s="57" t="s">
        <v>957</v>
      </c>
      <c r="O55" s="57">
        <v>-16.0</v>
      </c>
      <c r="P55" s="94"/>
      <c r="Q55" s="94"/>
      <c r="R55" s="94"/>
      <c r="S55" s="110">
        <v>45832.0</v>
      </c>
      <c r="T55" s="57" t="s">
        <v>516</v>
      </c>
      <c r="U55" s="57" t="s">
        <v>516</v>
      </c>
      <c r="V55" s="57" t="s">
        <v>516</v>
      </c>
      <c r="W55" s="57" t="s">
        <v>516</v>
      </c>
      <c r="X55" s="57" t="s">
        <v>516</v>
      </c>
      <c r="Y55" s="57" t="s">
        <v>516</v>
      </c>
      <c r="Z55" s="57" t="s">
        <v>516</v>
      </c>
      <c r="AA55" s="57" t="s">
        <v>516</v>
      </c>
      <c r="AB55" s="110">
        <v>45832.0</v>
      </c>
      <c r="AC55" s="57" t="s">
        <v>516</v>
      </c>
      <c r="AD55" s="57" t="s">
        <v>516</v>
      </c>
      <c r="AE55" s="57" t="s">
        <v>516</v>
      </c>
      <c r="AF55" s="57" t="s">
        <v>516</v>
      </c>
      <c r="AG55" s="57" t="s">
        <v>516</v>
      </c>
      <c r="AH55" s="57" t="s">
        <v>516</v>
      </c>
      <c r="AI55" s="57" t="s">
        <v>516</v>
      </c>
      <c r="AJ55" s="57" t="s">
        <v>516</v>
      </c>
      <c r="AK55" s="57" t="s">
        <v>516</v>
      </c>
      <c r="AL55" s="57" t="s">
        <v>516</v>
      </c>
      <c r="AM55" s="57" t="s">
        <v>516</v>
      </c>
    </row>
    <row r="56">
      <c r="A56" s="3">
        <v>2.125032902E9</v>
      </c>
      <c r="B56" s="109" t="str">
        <f>VLOOKUP($A56,ANAGRAFICA!$B$1:$G$306,2,FALSE)</f>
        <v>BRAIDA</v>
      </c>
      <c r="C56" s="109" t="str">
        <f>VLOOKUP($A56,ANAGRAFICA!$B$1:$G$306,3,FALSE)</f>
        <v>ILARIO</v>
      </c>
      <c r="D56" s="109" t="str">
        <f>VLOOKUP($A56,ANAGRAFICA!$B$1:$G$306,4,FALSE)</f>
        <v>758-37</v>
      </c>
      <c r="E56" s="109">
        <f>VLOOKUP($A56,ANAGRAFICA!$B$1:$G$306,5,FALSE)</f>
        <v>3272025063</v>
      </c>
      <c r="F56" s="109">
        <f>VLOOKUP($A56,ANAGRAFICA!$B$1:$G$306,6,FALSE)</f>
        <v>2025</v>
      </c>
      <c r="G56" s="57">
        <v>1.0</v>
      </c>
      <c r="H56" s="110">
        <v>45870.0</v>
      </c>
      <c r="I56" s="57" t="s">
        <v>958</v>
      </c>
      <c r="J56" s="57" t="s">
        <v>899</v>
      </c>
      <c r="K56" s="57">
        <v>468.0</v>
      </c>
      <c r="L56" s="57">
        <v>22.0</v>
      </c>
      <c r="M56" s="57">
        <v>5.1</v>
      </c>
      <c r="N56" s="57" t="s">
        <v>941</v>
      </c>
      <c r="O56" s="57">
        <v>-26.7</v>
      </c>
      <c r="P56" s="57">
        <v>13.8</v>
      </c>
      <c r="Q56" s="57">
        <v>41.0</v>
      </c>
      <c r="R56" s="57">
        <v>99.0</v>
      </c>
      <c r="S56" s="110">
        <v>45870.0</v>
      </c>
      <c r="T56" s="57" t="s">
        <v>516</v>
      </c>
      <c r="U56" s="57" t="s">
        <v>901</v>
      </c>
      <c r="V56" s="57">
        <v>4.0</v>
      </c>
      <c r="W56" s="57">
        <v>10.0</v>
      </c>
      <c r="X56" s="94"/>
      <c r="Y56" s="94"/>
      <c r="Z56" s="94"/>
      <c r="AA56" s="57">
        <v>550.0</v>
      </c>
      <c r="AB56" s="110">
        <v>45870.0</v>
      </c>
      <c r="AC56" s="57" t="s">
        <v>516</v>
      </c>
      <c r="AD56" s="57" t="s">
        <v>516</v>
      </c>
      <c r="AE56" s="57" t="s">
        <v>516</v>
      </c>
      <c r="AF56" s="57" t="s">
        <v>516</v>
      </c>
      <c r="AG56" s="57" t="s">
        <v>516</v>
      </c>
      <c r="AH56" s="57" t="s">
        <v>516</v>
      </c>
      <c r="AI56" s="57" t="s">
        <v>516</v>
      </c>
      <c r="AJ56" s="57" t="s">
        <v>516</v>
      </c>
      <c r="AK56" s="57" t="s">
        <v>516</v>
      </c>
      <c r="AL56" s="57" t="s">
        <v>516</v>
      </c>
      <c r="AM56" s="57" t="s">
        <v>516</v>
      </c>
    </row>
    <row r="57">
      <c r="A57" s="3">
        <v>2.125026869E9</v>
      </c>
      <c r="B57" s="109" t="str">
        <f>VLOOKUP($A57,ANAGRAFICA!$B$1:$G$306,2,FALSE)</f>
        <v>NACCARI</v>
      </c>
      <c r="C57" s="109" t="str">
        <f>VLOOKUP($A57,ANAGRAFICA!$B$1:$G$306,3,FALSE)</f>
        <v>ROBERTO</v>
      </c>
      <c r="D57" s="109" t="str">
        <f>VLOOKUP($A57,ANAGRAFICA!$B$1:$G$306,4,FALSE)</f>
        <v>758-33</v>
      </c>
      <c r="E57" s="109">
        <f>VLOOKUP($A57,ANAGRAFICA!$B$1:$G$306,5,FALSE)</f>
        <v>3272025060</v>
      </c>
      <c r="F57" s="109">
        <f>VLOOKUP($A57,ANAGRAFICA!$B$1:$G$306,6,FALSE)</f>
        <v>2025</v>
      </c>
      <c r="G57" s="57">
        <v>1.0</v>
      </c>
      <c r="H57" s="57" t="s">
        <v>516</v>
      </c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110"/>
      <c r="T57" s="57" t="s">
        <v>516</v>
      </c>
      <c r="U57" s="94"/>
      <c r="V57" s="94"/>
      <c r="W57" s="94"/>
      <c r="X57" s="94"/>
      <c r="Y57" s="94"/>
      <c r="Z57" s="94"/>
      <c r="AA57" s="94"/>
      <c r="AB57" s="57" t="s">
        <v>516</v>
      </c>
      <c r="AC57" s="57"/>
      <c r="AD57" s="94"/>
      <c r="AE57" s="94"/>
      <c r="AF57" s="94"/>
      <c r="AG57" s="94"/>
      <c r="AH57" s="94"/>
      <c r="AI57" s="94"/>
      <c r="AJ57" s="94"/>
      <c r="AK57" s="94"/>
      <c r="AL57" s="94"/>
      <c r="AM57" s="94"/>
    </row>
    <row r="58">
      <c r="A58" s="3">
        <v>2.125032653E9</v>
      </c>
      <c r="B58" s="109" t="str">
        <f>VLOOKUP($A58,ANAGRAFICA!$B$1:$G$306,2,FALSE)</f>
        <v>BAIOCCO</v>
      </c>
      <c r="C58" s="109" t="str">
        <f>VLOOKUP($A58,ANAGRAFICA!$B$1:$G$306,3,FALSE)</f>
        <v>RICCARDO</v>
      </c>
      <c r="D58" s="109" t="str">
        <f>VLOOKUP($A58,ANAGRAFICA!$B$1:$G$306,4,FALSE)</f>
        <v/>
      </c>
      <c r="E58" s="109">
        <f>VLOOKUP($A58,ANAGRAFICA!$B$1:$G$306,5,FALSE)</f>
        <v>3272025064</v>
      </c>
      <c r="F58" s="109">
        <f>VLOOKUP($A58,ANAGRAFICA!$B$1:$G$306,6,FALSE)</f>
        <v>2025</v>
      </c>
      <c r="G58" s="57">
        <v>1.0</v>
      </c>
      <c r="H58" s="110">
        <v>45871.0</v>
      </c>
      <c r="I58" s="57" t="s">
        <v>87</v>
      </c>
      <c r="J58" s="57">
        <v>7.41</v>
      </c>
      <c r="K58" s="57">
        <v>113.0</v>
      </c>
      <c r="L58" s="57">
        <v>36.0</v>
      </c>
      <c r="M58" s="57">
        <v>22.8</v>
      </c>
      <c r="N58" s="57">
        <v>1.9</v>
      </c>
      <c r="O58" s="57">
        <v>-1.3</v>
      </c>
      <c r="P58" s="57">
        <v>15.0</v>
      </c>
      <c r="Q58" s="57">
        <v>45.0</v>
      </c>
      <c r="R58" s="57">
        <v>96.4</v>
      </c>
      <c r="S58" s="110">
        <v>45871.0</v>
      </c>
      <c r="T58" s="94"/>
      <c r="U58" s="57" t="s">
        <v>901</v>
      </c>
      <c r="V58" s="57">
        <v>24.0</v>
      </c>
      <c r="W58" s="57">
        <v>10.0</v>
      </c>
      <c r="X58" s="57" t="s">
        <v>516</v>
      </c>
      <c r="Y58" s="57" t="s">
        <v>516</v>
      </c>
      <c r="Z58" s="57" t="s">
        <v>516</v>
      </c>
      <c r="AA58" s="57">
        <v>400.0</v>
      </c>
      <c r="AB58" s="110">
        <v>45871.0</v>
      </c>
      <c r="AC58" s="94"/>
      <c r="AD58" s="57">
        <v>100.0</v>
      </c>
      <c r="AE58" s="57">
        <v>60.0</v>
      </c>
      <c r="AF58" s="57">
        <v>73.0</v>
      </c>
      <c r="AG58" s="57" t="s">
        <v>516</v>
      </c>
      <c r="AH58" s="57" t="s">
        <v>516</v>
      </c>
      <c r="AI58" s="57" t="s">
        <v>516</v>
      </c>
      <c r="AJ58" s="57" t="s">
        <v>516</v>
      </c>
      <c r="AK58" s="57" t="s">
        <v>516</v>
      </c>
      <c r="AL58" s="57" t="s">
        <v>516</v>
      </c>
      <c r="AM58" s="57" t="s">
        <v>516</v>
      </c>
    </row>
    <row r="59">
      <c r="A59" s="3">
        <v>2.125037955E9</v>
      </c>
      <c r="B59" s="109" t="str">
        <f>VLOOKUP($A59,ANAGRAFICA!$B$1:$G$306,2,FALSE)</f>
        <v>MANNINO</v>
      </c>
      <c r="C59" s="109" t="str">
        <f>VLOOKUP($A59,ANAGRAFICA!$B$1:$G$306,3,FALSE)</f>
        <v>ANDREA</v>
      </c>
      <c r="D59" s="109" t="str">
        <f>VLOOKUP($A59,ANAGRAFICA!$B$1:$G$306,4,FALSE)</f>
        <v>758-39</v>
      </c>
      <c r="E59" s="109">
        <f>VLOOKUP($A59,ANAGRAFICA!$B$1:$G$306,5,FALSE)</f>
        <v>3272025066</v>
      </c>
      <c r="F59" s="109">
        <f>VLOOKUP($A59,ANAGRAFICA!$B$1:$G$306,6,FALSE)</f>
        <v>2025</v>
      </c>
      <c r="G59" s="57">
        <v>1.0</v>
      </c>
      <c r="H59" s="110">
        <v>45913.0</v>
      </c>
      <c r="I59" s="57" t="s">
        <v>394</v>
      </c>
      <c r="J59" s="57">
        <v>6.8</v>
      </c>
      <c r="K59" s="57">
        <v>51.0</v>
      </c>
      <c r="L59" s="57">
        <v>74.0</v>
      </c>
      <c r="M59" s="57" t="s">
        <v>959</v>
      </c>
      <c r="N59" s="57">
        <v>16.1</v>
      </c>
      <c r="O59" s="57" t="s">
        <v>959</v>
      </c>
      <c r="P59" s="57">
        <v>16.7</v>
      </c>
      <c r="Q59" s="57">
        <v>50.0</v>
      </c>
      <c r="R59" s="57">
        <v>60.0</v>
      </c>
      <c r="S59" s="110">
        <v>45913.0</v>
      </c>
      <c r="T59" s="94"/>
      <c r="U59" s="57" t="s">
        <v>906</v>
      </c>
      <c r="V59" s="57">
        <v>12.0</v>
      </c>
      <c r="W59" s="57">
        <v>5.0</v>
      </c>
      <c r="X59" s="57" t="s">
        <v>516</v>
      </c>
      <c r="Y59" s="57" t="s">
        <v>516</v>
      </c>
      <c r="Z59" s="57" t="s">
        <v>516</v>
      </c>
      <c r="AA59" s="57">
        <v>500.0</v>
      </c>
      <c r="AB59" s="110">
        <v>45913.0</v>
      </c>
      <c r="AC59" s="57" t="s">
        <v>516</v>
      </c>
      <c r="AD59" s="94"/>
      <c r="AE59" s="94"/>
      <c r="AF59" s="94"/>
      <c r="AG59" s="94"/>
      <c r="AH59" s="94"/>
      <c r="AI59" s="94"/>
      <c r="AJ59" s="94"/>
      <c r="AK59" s="94"/>
      <c r="AL59" s="94"/>
      <c r="AM59" s="94"/>
    </row>
    <row r="60">
      <c r="A60" s="3">
        <v>2.125037782E9</v>
      </c>
      <c r="B60" s="109" t="str">
        <f>VLOOKUP($A60,ANAGRAFICA!$B$1:$G$306,2,FALSE)</f>
        <v>GILARDI</v>
      </c>
      <c r="C60" s="109" t="str">
        <f>VLOOKUP($A60,ANAGRAFICA!$B$1:$G$306,3,FALSE)</f>
        <v>CARLO VIRGINIO</v>
      </c>
      <c r="D60" s="109" t="str">
        <f>VLOOKUP($A60,ANAGRAFICA!$B$1:$G$306,4,FALSE)</f>
        <v>758-38</v>
      </c>
      <c r="E60" s="109">
        <f>VLOOKUP($A60,ANAGRAFICA!$B$1:$G$306,5,FALSE)</f>
        <v>3272025065</v>
      </c>
      <c r="F60" s="109">
        <f>VLOOKUP($A60,ANAGRAFICA!$B$1:$G$306,6,FALSE)</f>
        <v>2025</v>
      </c>
      <c r="G60" s="57">
        <v>1.0</v>
      </c>
      <c r="H60" s="110">
        <v>45912.0</v>
      </c>
      <c r="I60" s="57" t="s">
        <v>199</v>
      </c>
      <c r="J60" s="57">
        <v>7.24</v>
      </c>
      <c r="K60" s="57">
        <v>105.0</v>
      </c>
      <c r="L60" s="57">
        <v>31.0</v>
      </c>
      <c r="M60" s="57">
        <v>14.8</v>
      </c>
      <c r="N60" s="57">
        <v>11.2</v>
      </c>
      <c r="O60" s="57">
        <v>-14.1</v>
      </c>
      <c r="P60" s="57">
        <v>12.9</v>
      </c>
      <c r="Q60" s="94"/>
      <c r="R60" s="94"/>
      <c r="S60" s="110">
        <v>45912.0</v>
      </c>
      <c r="T60" s="57" t="s">
        <v>693</v>
      </c>
      <c r="U60" s="57" t="s">
        <v>960</v>
      </c>
      <c r="V60" s="94"/>
      <c r="W60" s="94"/>
      <c r="X60" s="94"/>
      <c r="Y60" s="94"/>
      <c r="Z60" s="94"/>
      <c r="AA60" s="94"/>
      <c r="AB60" s="110">
        <v>45912.0</v>
      </c>
      <c r="AC60" s="57" t="s">
        <v>199</v>
      </c>
      <c r="AD60" s="57">
        <v>75.0</v>
      </c>
      <c r="AE60" s="57">
        <v>32.0</v>
      </c>
      <c r="AF60" s="57">
        <v>51.0</v>
      </c>
      <c r="AG60" s="57" t="s">
        <v>516</v>
      </c>
      <c r="AH60" s="57" t="s">
        <v>516</v>
      </c>
      <c r="AI60" s="57" t="s">
        <v>516</v>
      </c>
      <c r="AJ60" s="57" t="s">
        <v>516</v>
      </c>
      <c r="AK60" s="57" t="s">
        <v>516</v>
      </c>
      <c r="AL60" s="57" t="s">
        <v>516</v>
      </c>
      <c r="AM60" s="57" t="s">
        <v>516</v>
      </c>
    </row>
    <row r="61">
      <c r="A61" s="3">
        <v>2.125040106E9</v>
      </c>
      <c r="B61" s="109" t="str">
        <f>VLOOKUP($A61,ANAGRAFICA!$B$1:$G$306,2,FALSE)</f>
        <v>COLNAGHI</v>
      </c>
      <c r="C61" s="109" t="str">
        <f>VLOOKUP($A61,ANAGRAFICA!$B$1:$G$306,3,FALSE)</f>
        <v>EUGENIO PIERO</v>
      </c>
      <c r="D61" s="109" t="str">
        <f>VLOOKUP($A61,ANAGRAFICA!$B$1:$G$306,4,FALSE)</f>
        <v>758-41</v>
      </c>
      <c r="E61" s="109">
        <f>VLOOKUP($A61,ANAGRAFICA!$B$1:$G$306,5,FALSE)</f>
        <v>3272025068</v>
      </c>
      <c r="F61" s="109">
        <f>VLOOKUP($A61,ANAGRAFICA!$B$1:$G$306,6,FALSE)</f>
        <v>2025</v>
      </c>
      <c r="G61" s="57">
        <v>1.0</v>
      </c>
      <c r="H61" s="110">
        <v>45930.0</v>
      </c>
      <c r="I61" s="57" t="s">
        <v>292</v>
      </c>
      <c r="J61" s="57">
        <v>7.46</v>
      </c>
      <c r="K61" s="57">
        <v>127.0</v>
      </c>
      <c r="L61" s="57">
        <v>30.0</v>
      </c>
      <c r="M61" s="57">
        <v>21.3</v>
      </c>
      <c r="N61" s="57">
        <v>9.0</v>
      </c>
      <c r="O61" s="57">
        <v>-2.5</v>
      </c>
      <c r="P61" s="57">
        <v>10.1</v>
      </c>
      <c r="Q61" s="57">
        <v>30.0</v>
      </c>
      <c r="R61" s="57">
        <v>97.6</v>
      </c>
      <c r="S61" s="110">
        <v>45930.0</v>
      </c>
      <c r="T61" s="57" t="s">
        <v>292</v>
      </c>
      <c r="U61" s="57" t="s">
        <v>901</v>
      </c>
      <c r="V61" s="57">
        <v>5.0</v>
      </c>
      <c r="W61" s="57">
        <v>8.0</v>
      </c>
      <c r="X61" s="57" t="s">
        <v>516</v>
      </c>
      <c r="Y61" s="57" t="s">
        <v>516</v>
      </c>
      <c r="Z61" s="57" t="s">
        <v>516</v>
      </c>
      <c r="AA61" s="57">
        <v>500.0</v>
      </c>
      <c r="AB61" s="110">
        <v>45931.0</v>
      </c>
      <c r="AC61" s="57" t="s">
        <v>961</v>
      </c>
      <c r="AD61" s="57">
        <v>102.0</v>
      </c>
      <c r="AE61" s="57">
        <v>85.0</v>
      </c>
      <c r="AF61" s="57" t="s">
        <v>516</v>
      </c>
      <c r="AG61" s="57" t="s">
        <v>516</v>
      </c>
      <c r="AH61" s="57" t="s">
        <v>516</v>
      </c>
      <c r="AI61" s="57" t="s">
        <v>516</v>
      </c>
      <c r="AJ61" s="57" t="s">
        <v>516</v>
      </c>
      <c r="AK61" s="57" t="s">
        <v>516</v>
      </c>
      <c r="AL61" s="57" t="s">
        <v>516</v>
      </c>
      <c r="AM61" s="57" t="s">
        <v>516</v>
      </c>
    </row>
    <row r="62">
      <c r="A62" s="3">
        <v>2.125040052E9</v>
      </c>
      <c r="B62" s="109" t="str">
        <f>VLOOKUP($A62,ANAGRAFICA!$B$1:$G$306,2,FALSE)</f>
        <v>TODESCATO</v>
      </c>
      <c r="C62" s="109" t="str">
        <f>VLOOKUP($A62,ANAGRAFICA!$B$1:$G$306,3,FALSE)</f>
        <v>GIANLUCA</v>
      </c>
      <c r="D62" s="109" t="str">
        <f>VLOOKUP($A62,ANAGRAFICA!$B$1:$G$306,4,FALSE)</f>
        <v>758-40</v>
      </c>
      <c r="E62" s="109">
        <f>VLOOKUP($A62,ANAGRAFICA!$B$1:$G$306,5,FALSE)</f>
        <v>3272025067</v>
      </c>
      <c r="F62" s="109">
        <f>VLOOKUP($A62,ANAGRAFICA!$B$1:$G$306,6,FALSE)</f>
        <v>2025</v>
      </c>
      <c r="G62" s="57">
        <v>1.0</v>
      </c>
      <c r="H62" s="110">
        <v>45926.0</v>
      </c>
      <c r="I62" s="57" t="s">
        <v>538</v>
      </c>
      <c r="J62" s="57">
        <v>7.39</v>
      </c>
      <c r="K62" s="57">
        <v>174.0</v>
      </c>
      <c r="L62" s="57">
        <v>24.0</v>
      </c>
      <c r="M62" s="57">
        <v>18.3</v>
      </c>
      <c r="N62" s="57">
        <v>4.3</v>
      </c>
      <c r="O62" s="57">
        <v>-8.5</v>
      </c>
      <c r="P62" s="57">
        <v>14.0</v>
      </c>
      <c r="Q62" s="57">
        <v>42.0</v>
      </c>
      <c r="R62" s="57">
        <v>96.3</v>
      </c>
      <c r="S62" s="110">
        <v>45926.0</v>
      </c>
      <c r="T62" s="57" t="s">
        <v>538</v>
      </c>
      <c r="U62" s="57" t="s">
        <v>962</v>
      </c>
      <c r="V62" s="57"/>
      <c r="W62" s="57"/>
      <c r="X62" s="57"/>
      <c r="Y62" s="57"/>
      <c r="Z62" s="57"/>
      <c r="AA62" s="94"/>
      <c r="AB62" s="110">
        <v>45926.0</v>
      </c>
      <c r="AC62" s="57" t="s">
        <v>792</v>
      </c>
      <c r="AD62" s="57">
        <v>80.0</v>
      </c>
      <c r="AE62" s="57">
        <v>50.0</v>
      </c>
      <c r="AF62" s="57" t="s">
        <v>516</v>
      </c>
      <c r="AG62" s="57" t="s">
        <v>516</v>
      </c>
      <c r="AH62" s="57" t="s">
        <v>516</v>
      </c>
      <c r="AI62" s="57" t="s">
        <v>516</v>
      </c>
      <c r="AJ62" s="57" t="s">
        <v>516</v>
      </c>
      <c r="AK62" s="57" t="s">
        <v>516</v>
      </c>
      <c r="AL62" s="57" t="s">
        <v>516</v>
      </c>
      <c r="AM62" s="57" t="s">
        <v>516</v>
      </c>
    </row>
    <row r="63">
      <c r="A63" s="3">
        <v>2.125040835E9</v>
      </c>
      <c r="B63" s="109" t="str">
        <f>VLOOKUP($A63,ANAGRAFICA!$B$1:$G$306,2,FALSE)</f>
        <v>PESACANE</v>
      </c>
      <c r="C63" s="109" t="str">
        <f>VLOOKUP($A63,ANAGRAFICA!$B$1:$G$306,3,FALSE)</f>
        <v>MATTEO VALERIO</v>
      </c>
      <c r="D63" s="109" t="str">
        <f>VLOOKUP($A63,ANAGRAFICA!$B$1:$G$306,4,FALSE)</f>
        <v>758-42</v>
      </c>
      <c r="E63" s="109">
        <f>VLOOKUP($A63,ANAGRAFICA!$B$1:$G$306,5,FALSE)</f>
        <v>3272025069</v>
      </c>
      <c r="F63" s="109">
        <f>VLOOKUP($A63,ANAGRAFICA!$B$1:$G$306,6,FALSE)</f>
        <v>2025</v>
      </c>
      <c r="G63" s="57">
        <v>1.0</v>
      </c>
      <c r="H63" s="110">
        <v>45931.0</v>
      </c>
      <c r="I63" s="57" t="s">
        <v>963</v>
      </c>
      <c r="J63" s="57">
        <v>6.98</v>
      </c>
      <c r="K63" s="57">
        <v>59.0</v>
      </c>
      <c r="L63" s="57">
        <v>63.0</v>
      </c>
      <c r="M63" s="94"/>
      <c r="N63" s="57">
        <v>9.8</v>
      </c>
      <c r="O63" s="57">
        <v>-16.0</v>
      </c>
      <c r="P63" s="57">
        <v>13.8</v>
      </c>
      <c r="Q63" s="94"/>
      <c r="R63" s="94"/>
      <c r="S63" s="110">
        <v>45931.0</v>
      </c>
      <c r="T63" s="57" t="s">
        <v>706</v>
      </c>
      <c r="U63" s="57" t="s">
        <v>906</v>
      </c>
      <c r="V63" s="57">
        <v>10.0</v>
      </c>
      <c r="W63" s="57">
        <v>10.0</v>
      </c>
      <c r="X63" s="94"/>
      <c r="Y63" s="94"/>
      <c r="Z63" s="94"/>
      <c r="AA63" s="57">
        <v>500.0</v>
      </c>
      <c r="AB63" s="110">
        <v>45931.0</v>
      </c>
      <c r="AC63" s="57"/>
      <c r="AD63" s="57" t="s">
        <v>516</v>
      </c>
      <c r="AE63" s="57" t="s">
        <v>516</v>
      </c>
      <c r="AF63" s="57" t="s">
        <v>516</v>
      </c>
      <c r="AG63" s="57" t="s">
        <v>516</v>
      </c>
      <c r="AH63" s="57" t="s">
        <v>516</v>
      </c>
      <c r="AI63" s="57" t="s">
        <v>516</v>
      </c>
      <c r="AJ63" s="57" t="s">
        <v>516</v>
      </c>
      <c r="AK63" s="57" t="s">
        <v>516</v>
      </c>
      <c r="AL63" s="57" t="s">
        <v>516</v>
      </c>
      <c r="AM63" s="57" t="s">
        <v>516</v>
      </c>
    </row>
    <row r="64">
      <c r="A64" s="3">
        <v>2.125042368E9</v>
      </c>
      <c r="B64" s="109" t="str">
        <f>VLOOKUP($A64,ANAGRAFICA!$B$1:$G$306,2,FALSE)</f>
        <v>MARKOVIC</v>
      </c>
      <c r="C64" s="109" t="str">
        <f>VLOOKUP($A64,ANAGRAFICA!$B$1:$G$306,3,FALSE)</f>
        <v>BRANKO</v>
      </c>
      <c r="D64" s="109" t="str">
        <f>VLOOKUP($A64,ANAGRAFICA!$B$1:$G$306,4,FALSE)</f>
        <v>758-43</v>
      </c>
      <c r="E64" s="109">
        <f>VLOOKUP($A64,ANAGRAFICA!$B$1:$G$306,5,FALSE)</f>
        <v>3272025070</v>
      </c>
      <c r="F64" s="109">
        <f>VLOOKUP($A64,ANAGRAFICA!$B$1:$G$306,6,FALSE)</f>
        <v>2025</v>
      </c>
      <c r="G64" s="57">
        <v>1.0</v>
      </c>
      <c r="H64" s="57" t="s">
        <v>516</v>
      </c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57" t="s">
        <v>516</v>
      </c>
      <c r="T64" s="94"/>
      <c r="U64" s="94"/>
      <c r="V64" s="94"/>
      <c r="W64" s="94"/>
      <c r="X64" s="94"/>
      <c r="Y64" s="94"/>
      <c r="Z64" s="94"/>
      <c r="AA64" s="94"/>
      <c r="AB64" s="57" t="s">
        <v>516</v>
      </c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</row>
    <row r="65">
      <c r="A65" s="3">
        <v>2.125046195E9</v>
      </c>
      <c r="B65" s="109" t="str">
        <f>VLOOKUP($A65,ANAGRAFICA!$B$1:$G$306,2,FALSE)</f>
        <v>CASILLO</v>
      </c>
      <c r="C65" s="109" t="str">
        <f>VLOOKUP($A65,ANAGRAFICA!$B$1:$G$306,3,FALSE)</f>
        <v>SALVATORE</v>
      </c>
      <c r="D65" s="109" t="str">
        <f>VLOOKUP($A65,ANAGRAFICA!$B$1:$G$306,4,FALSE)</f>
        <v>758-44</v>
      </c>
      <c r="E65" s="109">
        <f>VLOOKUP($A65,ANAGRAFICA!$B$1:$G$306,5,FALSE)</f>
        <v>3272025071</v>
      </c>
      <c r="F65" s="109">
        <f>VLOOKUP($A65,ANAGRAFICA!$B$1:$G$306,6,FALSE)</f>
        <v>2025</v>
      </c>
      <c r="G65" s="57">
        <v>1.0</v>
      </c>
      <c r="H65" s="110">
        <v>45964.0</v>
      </c>
      <c r="I65" s="57" t="s">
        <v>923</v>
      </c>
      <c r="J65" s="57">
        <v>6.8</v>
      </c>
      <c r="K65" s="57">
        <v>10.0</v>
      </c>
      <c r="L65" s="57">
        <v>106.0</v>
      </c>
      <c r="M65" s="57">
        <v>18.9</v>
      </c>
      <c r="N65" s="57">
        <v>7.2</v>
      </c>
      <c r="O65" s="57">
        <v>-20.0</v>
      </c>
      <c r="P65" s="57">
        <v>14.6</v>
      </c>
      <c r="Q65" s="57">
        <v>44.0</v>
      </c>
      <c r="R65" s="57">
        <v>20.0</v>
      </c>
      <c r="S65" s="110">
        <v>45964.0</v>
      </c>
      <c r="T65" s="57" t="s">
        <v>964</v>
      </c>
      <c r="U65" s="57" t="s">
        <v>901</v>
      </c>
      <c r="V65" s="57">
        <v>14.0</v>
      </c>
      <c r="W65" s="57">
        <v>5.0</v>
      </c>
      <c r="X65" s="57" t="s">
        <v>516</v>
      </c>
      <c r="Y65" s="57" t="s">
        <v>516</v>
      </c>
      <c r="Z65" s="57" t="s">
        <v>516</v>
      </c>
      <c r="AA65" s="57">
        <v>600.0</v>
      </c>
      <c r="AB65" s="110">
        <v>45964.0</v>
      </c>
      <c r="AC65" s="57" t="s">
        <v>516</v>
      </c>
      <c r="AD65" s="94"/>
      <c r="AE65" s="94"/>
      <c r="AF65" s="94"/>
      <c r="AG65" s="94"/>
      <c r="AH65" s="94"/>
      <c r="AI65" s="94"/>
      <c r="AJ65" s="94"/>
      <c r="AK65" s="94"/>
      <c r="AL65" s="94"/>
      <c r="AM65" s="94"/>
    </row>
    <row r="66">
      <c r="A66" s="3">
        <v>2.125051424E9</v>
      </c>
      <c r="B66" s="109" t="str">
        <f>VLOOKUP($A66,ANAGRAFICA!$B$1:$G$306,2,FALSE)</f>
        <v>CASABURI</v>
      </c>
      <c r="C66" s="109" t="str">
        <f>VLOOKUP($A66,ANAGRAFICA!$B$1:$G$306,3,FALSE)</f>
        <v>ERRICO</v>
      </c>
      <c r="D66" s="109" t="str">
        <f>VLOOKUP($A66,ANAGRAFICA!$B$1:$G$306,4,FALSE)</f>
        <v>758-45</v>
      </c>
      <c r="E66" s="109">
        <f>VLOOKUP($A66,ANAGRAFICA!$B$1:$G$306,5,FALSE)</f>
        <v>3272025072</v>
      </c>
      <c r="F66" s="109">
        <f>VLOOKUP($A66,ANAGRAFICA!$B$1:$G$306,6,FALSE)</f>
        <v>2025</v>
      </c>
      <c r="G66" s="57">
        <v>1.0</v>
      </c>
      <c r="H66" s="110">
        <v>45999.0</v>
      </c>
      <c r="I66" s="57" t="s">
        <v>965</v>
      </c>
      <c r="J66" s="57">
        <v>7.49</v>
      </c>
      <c r="K66" s="57">
        <v>31.0</v>
      </c>
      <c r="L66" s="57">
        <v>196.0</v>
      </c>
      <c r="M66" s="57">
        <v>23.6</v>
      </c>
      <c r="N66" s="57">
        <v>1.6</v>
      </c>
      <c r="O66" s="57">
        <v>0.3</v>
      </c>
      <c r="P66" s="57">
        <v>8.3</v>
      </c>
      <c r="Q66" s="57">
        <v>25.0</v>
      </c>
      <c r="R66" s="57">
        <v>99.8</v>
      </c>
      <c r="S66" s="110">
        <v>45999.0</v>
      </c>
      <c r="T66" s="57" t="s">
        <v>446</v>
      </c>
      <c r="U66" s="57" t="s">
        <v>962</v>
      </c>
      <c r="V66" s="57" t="s">
        <v>516</v>
      </c>
      <c r="W66" s="57" t="s">
        <v>516</v>
      </c>
      <c r="X66" s="57" t="s">
        <v>516</v>
      </c>
      <c r="Y66" s="57" t="s">
        <v>516</v>
      </c>
      <c r="Z66" s="57" t="s">
        <v>516</v>
      </c>
      <c r="AA66" s="57">
        <v>500.0</v>
      </c>
      <c r="AB66" s="110">
        <v>45999.0</v>
      </c>
      <c r="AC66" s="57" t="s">
        <v>966</v>
      </c>
      <c r="AD66" s="57">
        <v>83.0</v>
      </c>
      <c r="AE66" s="57">
        <v>61.0</v>
      </c>
      <c r="AF66" s="57">
        <v>70.0</v>
      </c>
      <c r="AG66" s="57" t="s">
        <v>516</v>
      </c>
      <c r="AH66" s="57" t="s">
        <v>516</v>
      </c>
      <c r="AI66" s="57" t="s">
        <v>516</v>
      </c>
      <c r="AJ66" s="57" t="s">
        <v>516</v>
      </c>
      <c r="AK66" s="57" t="s">
        <v>516</v>
      </c>
      <c r="AL66" s="57" t="s">
        <v>516</v>
      </c>
      <c r="AM66" s="57" t="s">
        <v>516</v>
      </c>
    </row>
    <row r="67">
      <c r="A67" s="3">
        <v>2.1250527E9</v>
      </c>
      <c r="B67" s="109" t="str">
        <f>VLOOKUP($A67,ANAGRAFICA!$B$1:$G$306,2,FALSE)</f>
        <v>GADDA</v>
      </c>
      <c r="C67" s="109" t="str">
        <f>VLOOKUP($A67,ANAGRAFICA!$B$1:$G$306,3,FALSE)</f>
        <v>LILIANA</v>
      </c>
      <c r="D67" s="109" t="str">
        <f>VLOOKUP($A67,ANAGRAFICA!$B$1:$G$306,4,FALSE)</f>
        <v>758-46</v>
      </c>
      <c r="E67" s="109">
        <f>VLOOKUP($A67,ANAGRAFICA!$B$1:$G$306,5,FALSE)</f>
        <v>3272025073</v>
      </c>
      <c r="F67" s="109">
        <f>VLOOKUP($A67,ANAGRAFICA!$B$1:$G$306,6,FALSE)</f>
        <v>2025</v>
      </c>
      <c r="G67" s="57">
        <v>1.0</v>
      </c>
      <c r="H67" s="112">
        <v>46006.0</v>
      </c>
      <c r="I67" s="57" t="s">
        <v>719</v>
      </c>
      <c r="J67" s="57">
        <v>7.44</v>
      </c>
      <c r="K67" s="57">
        <v>29.0</v>
      </c>
      <c r="L67" s="57">
        <v>83.0</v>
      </c>
      <c r="M67" s="57">
        <v>19.7</v>
      </c>
      <c r="N67" s="57">
        <v>1.8</v>
      </c>
      <c r="O67" s="57">
        <v>-4.5</v>
      </c>
      <c r="P67" s="57">
        <v>13.9</v>
      </c>
      <c r="Q67" s="57">
        <v>42.0</v>
      </c>
      <c r="R67" s="57">
        <v>96.6</v>
      </c>
      <c r="S67" s="112">
        <v>46007.0</v>
      </c>
      <c r="T67" s="57" t="s">
        <v>967</v>
      </c>
      <c r="U67" s="57" t="s">
        <v>906</v>
      </c>
      <c r="V67" s="57">
        <v>6.0</v>
      </c>
      <c r="W67" s="57">
        <v>6.0</v>
      </c>
      <c r="X67" s="57" t="s">
        <v>516</v>
      </c>
      <c r="Y67" s="57" t="s">
        <v>516</v>
      </c>
      <c r="Z67" s="57" t="s">
        <v>516</v>
      </c>
      <c r="AA67" s="57">
        <v>500.0</v>
      </c>
      <c r="AB67" s="112">
        <v>46007.0</v>
      </c>
      <c r="AC67" s="57" t="s">
        <v>967</v>
      </c>
      <c r="AD67" s="57">
        <v>107.0</v>
      </c>
      <c r="AE67" s="57">
        <v>90.0</v>
      </c>
      <c r="AF67" s="57">
        <v>94.0</v>
      </c>
      <c r="AG67" s="57" t="s">
        <v>516</v>
      </c>
      <c r="AH67" s="57" t="s">
        <v>516</v>
      </c>
      <c r="AI67" s="57" t="s">
        <v>516</v>
      </c>
      <c r="AJ67" s="57" t="s">
        <v>516</v>
      </c>
      <c r="AK67" s="57" t="s">
        <v>516</v>
      </c>
      <c r="AL67" s="57" t="s">
        <v>516</v>
      </c>
      <c r="AM67" s="57" t="s">
        <v>516</v>
      </c>
    </row>
    <row r="68">
      <c r="A68" s="3">
        <v>2.125053097E9</v>
      </c>
      <c r="B68" s="109" t="str">
        <f>VLOOKUP($A68,ANAGRAFICA!$B$1:$G$306,2,FALSE)</f>
        <v>LISSONI</v>
      </c>
      <c r="C68" s="109" t="str">
        <f>VLOOKUP($A68,ANAGRAFICA!$B$1:$G$306,3,FALSE)</f>
        <v>ALESSANDRA</v>
      </c>
      <c r="D68" s="109" t="str">
        <f>VLOOKUP($A68,ANAGRAFICA!$B$1:$G$306,4,FALSE)</f>
        <v>758-47</v>
      </c>
      <c r="E68" s="109">
        <f>VLOOKUP($A68,ANAGRAFICA!$B$1:$G$306,5,FALSE)</f>
        <v>3272025074</v>
      </c>
      <c r="F68" s="109">
        <f>VLOOKUP($A68,ANAGRAFICA!$B$1:$G$306,6,FALSE)</f>
        <v>2025</v>
      </c>
      <c r="G68" s="57">
        <v>1.0</v>
      </c>
      <c r="H68" s="112">
        <v>46009.0</v>
      </c>
      <c r="I68" s="57" t="s">
        <v>199</v>
      </c>
      <c r="J68" s="57">
        <v>7.42</v>
      </c>
      <c r="K68" s="57">
        <v>197.0</v>
      </c>
      <c r="L68" s="57">
        <v>27.0</v>
      </c>
      <c r="M68" s="57">
        <v>17.5</v>
      </c>
      <c r="N68" s="57">
        <v>2.1</v>
      </c>
      <c r="O68" s="57">
        <v>-5.5</v>
      </c>
      <c r="P68" s="57">
        <v>13.5</v>
      </c>
      <c r="Q68" s="57">
        <v>41.0</v>
      </c>
      <c r="R68" s="57">
        <v>98.3</v>
      </c>
      <c r="S68" s="112">
        <v>46009.0</v>
      </c>
      <c r="T68" s="57" t="s">
        <v>199</v>
      </c>
      <c r="U68" s="57" t="s">
        <v>906</v>
      </c>
      <c r="V68" s="57">
        <v>20.0</v>
      </c>
      <c r="W68" s="57">
        <v>12.0</v>
      </c>
      <c r="X68" s="57" t="s">
        <v>516</v>
      </c>
      <c r="Y68" s="57" t="s">
        <v>516</v>
      </c>
      <c r="Z68" s="57" t="s">
        <v>516</v>
      </c>
      <c r="AA68" s="57">
        <v>440.0</v>
      </c>
      <c r="AB68" s="112">
        <v>46009.0</v>
      </c>
      <c r="AC68" s="57" t="s">
        <v>199</v>
      </c>
      <c r="AD68" s="57">
        <v>85.0</v>
      </c>
      <c r="AE68" s="57">
        <v>66.0</v>
      </c>
      <c r="AF68" s="57">
        <v>56.0</v>
      </c>
      <c r="AG68" s="57" t="s">
        <v>516</v>
      </c>
      <c r="AH68" s="57" t="s">
        <v>516</v>
      </c>
      <c r="AI68" s="57" t="s">
        <v>516</v>
      </c>
      <c r="AJ68" s="57" t="s">
        <v>516</v>
      </c>
      <c r="AK68" s="57" t="s">
        <v>516</v>
      </c>
      <c r="AL68" s="57" t="s">
        <v>516</v>
      </c>
      <c r="AM68" s="57" t="s">
        <v>516</v>
      </c>
    </row>
    <row r="69">
      <c r="A69" s="3">
        <v>2.125053589E9</v>
      </c>
      <c r="B69" s="109" t="str">
        <f>VLOOKUP($A69,ANAGRAFICA!$B$1:$G$306,2,FALSE)</f>
        <v>HU</v>
      </c>
      <c r="C69" s="109" t="str">
        <f>VLOOKUP($A69,ANAGRAFICA!$B$1:$G$306,3,FALSE)</f>
        <v>LIBEI</v>
      </c>
      <c r="D69" s="109" t="str">
        <f>VLOOKUP($A69,ANAGRAFICA!$B$1:$G$306,4,FALSE)</f>
        <v>758-48</v>
      </c>
      <c r="E69" s="109" t="str">
        <f>VLOOKUP($A69,ANAGRAFICA!$B$1:$G$306,5,FALSE)</f>
        <v/>
      </c>
      <c r="F69" s="109">
        <f>VLOOKUP($A69,ANAGRAFICA!$B$1:$G$306,6,FALSE)</f>
        <v>2025</v>
      </c>
      <c r="G69" s="57">
        <v>1.0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</row>
    <row r="70">
      <c r="A70" s="3">
        <v>2.126005799E9</v>
      </c>
      <c r="B70" s="109" t="str">
        <f>VLOOKUP($A70,ANAGRAFICA!$B$1:$G$306,2,FALSE)</f>
        <v>MAIORANO</v>
      </c>
      <c r="C70" s="109" t="str">
        <f>VLOOKUP($A70,ANAGRAFICA!$B$1:$G$306,3,FALSE)</f>
        <v>IOLANDA MARIA</v>
      </c>
      <c r="D70" s="109" t="str">
        <f>VLOOKUP($A70,ANAGRAFICA!$B$1:$G$306,4,FALSE)</f>
        <v>758-56</v>
      </c>
      <c r="E70" s="109" t="str">
        <f>VLOOKUP($A70,ANAGRAFICA!$B$1:$G$306,5,FALSE)</f>
        <v/>
      </c>
      <c r="F70" s="109">
        <f>VLOOKUP($A70,ANAGRAFICA!$B$1:$G$306,6,FALSE)</f>
        <v>2026</v>
      </c>
      <c r="G70" s="57">
        <v>1.0</v>
      </c>
      <c r="H70" s="110">
        <v>46063.0</v>
      </c>
      <c r="I70" s="57" t="s">
        <v>968</v>
      </c>
      <c r="J70" s="57">
        <v>7.3</v>
      </c>
      <c r="K70" s="94"/>
      <c r="L70" s="57">
        <v>39.0</v>
      </c>
      <c r="M70" s="94"/>
      <c r="N70" s="57">
        <v>3.3</v>
      </c>
      <c r="O70" s="57">
        <v>-7.0</v>
      </c>
      <c r="P70" s="94"/>
      <c r="Q70" s="94"/>
      <c r="R70" s="94"/>
      <c r="S70" s="110">
        <v>46063.0</v>
      </c>
      <c r="T70" s="57" t="s">
        <v>68</v>
      </c>
      <c r="U70" s="57" t="s">
        <v>969</v>
      </c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</row>
    <row r="71">
      <c r="A71" s="3">
        <v>2.126002771E9</v>
      </c>
      <c r="B71" s="109" t="str">
        <f>VLOOKUP($A71,ANAGRAFICA!$B$1:$G$306,2,FALSE)</f>
        <v>LONGOBARDI</v>
      </c>
      <c r="C71" s="109" t="str">
        <f>VLOOKUP($A71,ANAGRAFICA!$B$1:$G$306,3,FALSE)</f>
        <v>FRANCESCO</v>
      </c>
      <c r="D71" s="109" t="str">
        <f>VLOOKUP($A71,ANAGRAFICA!$B$1:$G$306,4,FALSE)</f>
        <v>758-52</v>
      </c>
      <c r="E71" s="109" t="str">
        <f>VLOOKUP($A71,ANAGRAFICA!$B$1:$G$306,5,FALSE)</f>
        <v/>
      </c>
      <c r="F71" s="109">
        <f>VLOOKUP($A71,ANAGRAFICA!$B$1:$G$306,6,FALSE)</f>
        <v>2026</v>
      </c>
      <c r="G71" s="57">
        <v>1.0</v>
      </c>
      <c r="H71" s="110">
        <v>46043.0</v>
      </c>
      <c r="I71" s="94"/>
      <c r="J71" s="57">
        <v>6.87</v>
      </c>
      <c r="K71" s="94"/>
      <c r="L71" s="57">
        <v>110.0</v>
      </c>
      <c r="M71" s="57">
        <v>20.1</v>
      </c>
      <c r="N71" s="57">
        <v>8.5</v>
      </c>
      <c r="O71" s="57" t="s">
        <v>970</v>
      </c>
      <c r="P71" s="57">
        <v>16.8</v>
      </c>
      <c r="Q71" s="94"/>
      <c r="R71" s="57">
        <v>78.1</v>
      </c>
      <c r="S71" s="110">
        <v>46043.0</v>
      </c>
      <c r="T71" s="57" t="s">
        <v>971</v>
      </c>
      <c r="U71" s="57" t="s">
        <v>906</v>
      </c>
      <c r="V71" s="57" t="s">
        <v>516</v>
      </c>
      <c r="W71" s="57" t="s">
        <v>516</v>
      </c>
      <c r="X71" s="57" t="s">
        <v>516</v>
      </c>
      <c r="Y71" s="57" t="s">
        <v>516</v>
      </c>
      <c r="Z71" s="57" t="s">
        <v>516</v>
      </c>
      <c r="AA71" s="94"/>
      <c r="AB71" s="110">
        <v>46074.0</v>
      </c>
      <c r="AC71" s="57" t="s">
        <v>242</v>
      </c>
      <c r="AD71" s="57" t="s">
        <v>516</v>
      </c>
      <c r="AE71" s="57" t="s">
        <v>516</v>
      </c>
      <c r="AF71" s="57" t="s">
        <v>516</v>
      </c>
      <c r="AG71" s="94"/>
      <c r="AH71" s="94"/>
      <c r="AI71" s="94"/>
      <c r="AJ71" s="94"/>
      <c r="AK71" s="94"/>
      <c r="AL71" s="94"/>
      <c r="AM71" s="94"/>
    </row>
    <row r="72">
      <c r="A72" s="3">
        <v>2.126001104E9</v>
      </c>
      <c r="B72" s="109" t="str">
        <f>VLOOKUP($A72,ANAGRAFICA!$B$1:$G$306,2,FALSE)</f>
        <v>LOREGGIA</v>
      </c>
      <c r="C72" s="109" t="str">
        <f>VLOOKUP($A72,ANAGRAFICA!$B$1:$G$306,3,FALSE)</f>
        <v>GIAN MARCO</v>
      </c>
      <c r="D72" s="109" t="str">
        <f>VLOOKUP($A72,ANAGRAFICA!$B$1:$G$306,4,FALSE)</f>
        <v>758-51</v>
      </c>
      <c r="E72" s="109" t="str">
        <f>VLOOKUP($A72,ANAGRAFICA!$B$1:$G$306,5,FALSE)</f>
        <v/>
      </c>
      <c r="F72" s="109">
        <f>VLOOKUP($A72,ANAGRAFICA!$B$1:$G$306,6,FALSE)</f>
        <v>2026</v>
      </c>
      <c r="G72" s="57">
        <v>1.0</v>
      </c>
      <c r="H72" s="110">
        <v>46033.0</v>
      </c>
      <c r="I72" s="57" t="s">
        <v>216</v>
      </c>
      <c r="J72" s="57">
        <v>7.0</v>
      </c>
      <c r="K72" s="57">
        <v>71.0</v>
      </c>
      <c r="L72" s="57">
        <v>54.0</v>
      </c>
      <c r="M72" s="94"/>
      <c r="N72" s="57">
        <v>17.0</v>
      </c>
      <c r="O72" s="94"/>
      <c r="P72" s="57">
        <v>14.5</v>
      </c>
      <c r="Q72" s="57">
        <v>44.0</v>
      </c>
      <c r="R72" s="57">
        <v>79.0</v>
      </c>
      <c r="S72" s="110">
        <v>46033.0</v>
      </c>
      <c r="T72" s="94"/>
      <c r="U72" s="57" t="s">
        <v>906</v>
      </c>
      <c r="V72" s="57" t="s">
        <v>516</v>
      </c>
      <c r="W72" s="57" t="s">
        <v>516</v>
      </c>
      <c r="X72" s="57" t="s">
        <v>516</v>
      </c>
      <c r="Y72" s="57" t="s">
        <v>516</v>
      </c>
      <c r="Z72" s="57" t="s">
        <v>516</v>
      </c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</row>
    <row r="73">
      <c r="A73" s="117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</row>
    <row r="74">
      <c r="A74" s="117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</row>
    <row r="75">
      <c r="A75" s="117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</row>
    <row r="76">
      <c r="A76" s="117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</row>
    <row r="77">
      <c r="A77" s="117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</row>
    <row r="78">
      <c r="A78" s="117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</row>
    <row r="79">
      <c r="A79" s="117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</row>
    <row r="80">
      <c r="A80" s="117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</row>
    <row r="81">
      <c r="A81" s="117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</row>
    <row r="82">
      <c r="A82" s="117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</row>
    <row r="83">
      <c r="A83" s="117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</row>
    <row r="84">
      <c r="A84" s="117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</row>
    <row r="85">
      <c r="A85" s="117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</row>
    <row r="86">
      <c r="A86" s="117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</row>
    <row r="87">
      <c r="A87" s="117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</row>
    <row r="88">
      <c r="A88" s="117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</row>
    <row r="89">
      <c r="A89" s="117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</row>
    <row r="90">
      <c r="A90" s="117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</row>
    <row r="91">
      <c r="A91" s="117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</row>
    <row r="92">
      <c r="A92" s="117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</row>
    <row r="93">
      <c r="A93" s="117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</row>
    <row r="94">
      <c r="A94" s="117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</row>
    <row r="95">
      <c r="A95" s="117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</row>
    <row r="96">
      <c r="A96" s="117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</row>
    <row r="97">
      <c r="A97" s="117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</row>
    <row r="98">
      <c r="A98" s="117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</row>
    <row r="99">
      <c r="A99" s="117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</row>
    <row r="100">
      <c r="A100" s="117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</row>
    <row r="101">
      <c r="A101" s="117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</row>
    <row r="102">
      <c r="A102" s="117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</row>
    <row r="103">
      <c r="A103" s="117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</row>
    <row r="104">
      <c r="A104" s="117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</row>
    <row r="105">
      <c r="A105" s="117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</row>
    <row r="106">
      <c r="A106" s="117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</row>
    <row r="107">
      <c r="A107" s="117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</row>
    <row r="108">
      <c r="A108" s="117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</row>
    <row r="109">
      <c r="A109" s="117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</row>
    <row r="110">
      <c r="A110" s="117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</row>
    <row r="111">
      <c r="A111" s="117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</row>
    <row r="112">
      <c r="A112" s="117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</row>
    <row r="113">
      <c r="A113" s="117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</row>
    <row r="114">
      <c r="A114" s="117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</row>
    <row r="115">
      <c r="A115" s="117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</row>
    <row r="116">
      <c r="A116" s="117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</row>
    <row r="117">
      <c r="A117" s="117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</row>
    <row r="118">
      <c r="A118" s="117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</row>
    <row r="119">
      <c r="A119" s="117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</row>
    <row r="120">
      <c r="A120" s="117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</row>
    <row r="121">
      <c r="A121" s="117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</row>
    <row r="122">
      <c r="A122" s="117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</row>
    <row r="123">
      <c r="A123" s="117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</row>
    <row r="124">
      <c r="A124" s="117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</row>
    <row r="125">
      <c r="A125" s="117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</row>
    <row r="126">
      <c r="A126" s="117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</row>
    <row r="127">
      <c r="A127" s="117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</row>
    <row r="128">
      <c r="A128" s="117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</row>
    <row r="129">
      <c r="A129" s="117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</row>
    <row r="130">
      <c r="A130" s="117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</row>
    <row r="131">
      <c r="A131" s="117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</row>
    <row r="132">
      <c r="A132" s="117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</row>
    <row r="133">
      <c r="A133" s="117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</row>
    <row r="134">
      <c r="A134" s="117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</row>
    <row r="135">
      <c r="A135" s="117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</row>
    <row r="136">
      <c r="A136" s="117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</row>
    <row r="137">
      <c r="A137" s="117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</row>
    <row r="138">
      <c r="A138" s="117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</row>
    <row r="139">
      <c r="A139" s="117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</row>
    <row r="140">
      <c r="A140" s="117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</row>
    <row r="141">
      <c r="A141" s="117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</row>
    <row r="142">
      <c r="A142" s="117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</row>
    <row r="143">
      <c r="A143" s="117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</row>
    <row r="144">
      <c r="A144" s="117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</row>
    <row r="145">
      <c r="A145" s="117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</row>
    <row r="146">
      <c r="A146" s="117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</row>
    <row r="147">
      <c r="A147" s="117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</row>
    <row r="148">
      <c r="A148" s="117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</row>
    <row r="149">
      <c r="A149" s="117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</row>
    <row r="150">
      <c r="A150" s="117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</row>
    <row r="151">
      <c r="A151" s="117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</row>
    <row r="152">
      <c r="A152" s="117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</row>
    <row r="153">
      <c r="A153" s="117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</row>
    <row r="154">
      <c r="A154" s="117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</row>
    <row r="155">
      <c r="A155" s="117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</row>
    <row r="156">
      <c r="A156" s="117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</row>
    <row r="157">
      <c r="A157" s="117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</row>
    <row r="158">
      <c r="A158" s="117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</row>
    <row r="159">
      <c r="A159" s="117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</row>
    <row r="160">
      <c r="A160" s="117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</row>
    <row r="161">
      <c r="A161" s="117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</row>
    <row r="162">
      <c r="A162" s="117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</row>
    <row r="163">
      <c r="A163" s="117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</row>
    <row r="164">
      <c r="A164" s="117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</row>
    <row r="165">
      <c r="A165" s="117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</row>
    <row r="166">
      <c r="A166" s="117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</row>
    <row r="167">
      <c r="A167" s="117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</row>
    <row r="168">
      <c r="A168" s="117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</row>
    <row r="169">
      <c r="A169" s="117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</row>
    <row r="170">
      <c r="A170" s="117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</row>
    <row r="171">
      <c r="A171" s="117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</row>
    <row r="172">
      <c r="A172" s="117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</row>
    <row r="173">
      <c r="A173" s="117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</row>
    <row r="174">
      <c r="A174" s="117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</row>
    <row r="175">
      <c r="A175" s="117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</row>
    <row r="176">
      <c r="A176" s="117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</row>
    <row r="177">
      <c r="A177" s="117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</row>
    <row r="178">
      <c r="A178" s="117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</row>
    <row r="179">
      <c r="A179" s="117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</row>
    <row r="180">
      <c r="A180" s="117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</row>
    <row r="181">
      <c r="A181" s="117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</row>
    <row r="182">
      <c r="A182" s="117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</row>
    <row r="183">
      <c r="A183" s="117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</row>
    <row r="184">
      <c r="A184" s="117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</row>
    <row r="185">
      <c r="A185" s="117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</row>
    <row r="186">
      <c r="A186" s="117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</row>
    <row r="187">
      <c r="A187" s="117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</row>
    <row r="188">
      <c r="A188" s="117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</row>
    <row r="189">
      <c r="A189" s="117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</row>
    <row r="190">
      <c r="A190" s="117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</row>
    <row r="191">
      <c r="A191" s="117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</row>
    <row r="192">
      <c r="A192" s="117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</row>
    <row r="193">
      <c r="A193" s="117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</row>
    <row r="194">
      <c r="A194" s="117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</row>
    <row r="195">
      <c r="A195" s="117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</row>
    <row r="196">
      <c r="A196" s="117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</row>
    <row r="197">
      <c r="A197" s="117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</row>
    <row r="198">
      <c r="A198" s="117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</row>
    <row r="199">
      <c r="A199" s="117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</row>
    <row r="200">
      <c r="A200" s="117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</row>
    <row r="201">
      <c r="A201" s="117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</row>
    <row r="202">
      <c r="A202" s="117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</row>
    <row r="203">
      <c r="A203" s="117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</row>
    <row r="204">
      <c r="A204" s="117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</row>
    <row r="205">
      <c r="A205" s="117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</row>
    <row r="206">
      <c r="A206" s="117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</row>
    <row r="207">
      <c r="A207" s="117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</row>
    <row r="208">
      <c r="A208" s="117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</row>
    <row r="209">
      <c r="A209" s="117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</row>
    <row r="210">
      <c r="A210" s="117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</row>
    <row r="211">
      <c r="A211" s="117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</row>
    <row r="212">
      <c r="A212" s="117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</row>
    <row r="213">
      <c r="A213" s="117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</row>
    <row r="214">
      <c r="A214" s="117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</row>
    <row r="215">
      <c r="A215" s="117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</row>
    <row r="216">
      <c r="A216" s="117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</row>
    <row r="217">
      <c r="A217" s="117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</row>
    <row r="218">
      <c r="A218" s="117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</row>
    <row r="219">
      <c r="A219" s="117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</row>
    <row r="220">
      <c r="A220" s="117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</row>
    <row r="221">
      <c r="A221" s="117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</row>
    <row r="222">
      <c r="A222" s="117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</row>
    <row r="223">
      <c r="A223" s="117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</row>
    <row r="224">
      <c r="A224" s="117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</row>
    <row r="225">
      <c r="A225" s="117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</row>
    <row r="226">
      <c r="A226" s="117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</row>
    <row r="227">
      <c r="A227" s="117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</row>
    <row r="228">
      <c r="A228" s="117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</row>
    <row r="229">
      <c r="A229" s="117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</row>
    <row r="230">
      <c r="A230" s="117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</row>
    <row r="231">
      <c r="A231" s="117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</row>
    <row r="232">
      <c r="A232" s="117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</row>
    <row r="233">
      <c r="A233" s="117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</row>
    <row r="234">
      <c r="A234" s="117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</row>
    <row r="235">
      <c r="A235" s="117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</row>
    <row r="236">
      <c r="A236" s="117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</row>
    <row r="237">
      <c r="A237" s="117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</row>
    <row r="238">
      <c r="A238" s="117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</row>
    <row r="239">
      <c r="A239" s="117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</row>
    <row r="240">
      <c r="A240" s="117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</row>
    <row r="241">
      <c r="A241" s="117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</row>
    <row r="242">
      <c r="A242" s="117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</row>
    <row r="243">
      <c r="A243" s="117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</row>
    <row r="244">
      <c r="A244" s="117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</row>
    <row r="245">
      <c r="A245" s="117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</row>
    <row r="246">
      <c r="A246" s="117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</row>
    <row r="247">
      <c r="A247" s="117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</row>
    <row r="248">
      <c r="A248" s="117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</row>
    <row r="249">
      <c r="A249" s="117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</row>
    <row r="250">
      <c r="A250" s="117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</row>
    <row r="251">
      <c r="A251" s="117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</row>
    <row r="252">
      <c r="A252" s="117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</row>
    <row r="253">
      <c r="A253" s="117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</row>
    <row r="254">
      <c r="A254" s="117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</row>
    <row r="255">
      <c r="A255" s="117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</row>
    <row r="256">
      <c r="A256" s="117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</row>
    <row r="257">
      <c r="A257" s="117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</row>
    <row r="258">
      <c r="A258" s="117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</row>
    <row r="259">
      <c r="A259" s="117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</row>
    <row r="260">
      <c r="A260" s="117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</row>
    <row r="261">
      <c r="A261" s="117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</row>
    <row r="262">
      <c r="A262" s="117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</row>
    <row r="263">
      <c r="A263" s="117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</row>
    <row r="264">
      <c r="A264" s="117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</row>
    <row r="265">
      <c r="A265" s="117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</row>
    <row r="266">
      <c r="A266" s="117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</row>
    <row r="267">
      <c r="A267" s="117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</row>
    <row r="268">
      <c r="A268" s="117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</row>
    <row r="269">
      <c r="A269" s="117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</row>
    <row r="270">
      <c r="A270" s="117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</row>
    <row r="271">
      <c r="A271" s="117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</row>
    <row r="272">
      <c r="A272" s="117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</row>
    <row r="273">
      <c r="A273" s="117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</row>
    <row r="274">
      <c r="A274" s="117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</row>
    <row r="275">
      <c r="A275" s="117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</row>
    <row r="276">
      <c r="A276" s="117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</row>
    <row r="277">
      <c r="A277" s="117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</row>
    <row r="278">
      <c r="A278" s="117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</row>
    <row r="279">
      <c r="A279" s="117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</row>
    <row r="280">
      <c r="A280" s="117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</row>
    <row r="281">
      <c r="A281" s="117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</row>
    <row r="282">
      <c r="A282" s="117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</row>
    <row r="283">
      <c r="A283" s="117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</row>
    <row r="284">
      <c r="A284" s="117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</row>
    <row r="285"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</row>
    <row r="286"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</row>
    <row r="287"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</row>
    <row r="288"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</row>
    <row r="289"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</row>
    <row r="290"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</row>
    <row r="291"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</row>
    <row r="292"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</row>
    <row r="293"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</row>
    <row r="294"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</row>
    <row r="295"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</row>
    <row r="296"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</row>
    <row r="297"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</row>
    <row r="298"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</row>
    <row r="299"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</row>
    <row r="300"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</row>
    <row r="301"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</row>
    <row r="302"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</row>
    <row r="303"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</row>
    <row r="304"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</row>
    <row r="305"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</row>
    <row r="306"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</row>
    <row r="307"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</row>
    <row r="308"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</row>
    <row r="309"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</row>
    <row r="310"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</row>
    <row r="311"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</row>
    <row r="312"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</row>
    <row r="313"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</row>
    <row r="314"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</row>
    <row r="315"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</row>
    <row r="316"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</row>
    <row r="317"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</row>
    <row r="318"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</row>
    <row r="319"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</row>
    <row r="320"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</row>
    <row r="321"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</row>
    <row r="322"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</row>
    <row r="323"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</row>
    <row r="324"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</row>
    <row r="325"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</row>
    <row r="326"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</row>
    <row r="327"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</row>
    <row r="328"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</row>
    <row r="329"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</row>
    <row r="330"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</row>
    <row r="331"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</row>
    <row r="332"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</row>
    <row r="333"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</row>
    <row r="334"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</row>
    <row r="335"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</row>
    <row r="336"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</row>
    <row r="337"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</row>
    <row r="338"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</row>
    <row r="339"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</row>
    <row r="340"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</row>
    <row r="341"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</row>
    <row r="342"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</row>
    <row r="343"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</row>
    <row r="344"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</row>
    <row r="345"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</row>
    <row r="346"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</row>
    <row r="347"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</row>
    <row r="348"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</row>
    <row r="349"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</row>
    <row r="350"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</row>
    <row r="351"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</row>
    <row r="352"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</row>
    <row r="353"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</row>
    <row r="354"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</row>
    <row r="355"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</row>
    <row r="356"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</row>
    <row r="357"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</row>
    <row r="358"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</row>
    <row r="359"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</row>
    <row r="360"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</row>
    <row r="361"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</row>
    <row r="362"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</row>
    <row r="363"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</row>
    <row r="364"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</row>
    <row r="365"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</row>
    <row r="366"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</row>
    <row r="367"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</row>
    <row r="368"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</row>
    <row r="369"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</row>
    <row r="370"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</row>
    <row r="371"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</row>
    <row r="372"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</row>
    <row r="373"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</row>
    <row r="374"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</row>
    <row r="375"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</row>
    <row r="376"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</row>
    <row r="377"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</row>
    <row r="378"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</row>
    <row r="379"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</row>
    <row r="380"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</row>
    <row r="381"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</row>
    <row r="382"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</row>
    <row r="383"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</row>
    <row r="384"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</row>
    <row r="385"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</row>
    <row r="386"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</row>
    <row r="387"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</row>
    <row r="388"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</row>
    <row r="389"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</row>
    <row r="390"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</row>
    <row r="391"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</row>
    <row r="392"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</row>
    <row r="393"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</row>
    <row r="394"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</row>
    <row r="395"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</row>
    <row r="396"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</row>
    <row r="397"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</row>
    <row r="398"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</row>
    <row r="399"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</row>
    <row r="400"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</row>
    <row r="401"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</row>
    <row r="402"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</row>
    <row r="403"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</row>
    <row r="404"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</row>
    <row r="405"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</row>
    <row r="406"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</row>
    <row r="407"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</row>
    <row r="408"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</row>
    <row r="409"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</row>
    <row r="410"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</row>
    <row r="411"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</row>
    <row r="412"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</row>
    <row r="413"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</row>
    <row r="414"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</row>
    <row r="415"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</row>
    <row r="416"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</row>
    <row r="417"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</row>
    <row r="418"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</row>
    <row r="419"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</row>
    <row r="420"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</row>
    <row r="421"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</row>
    <row r="422"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</row>
    <row r="423"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</row>
    <row r="424"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</row>
    <row r="425"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</row>
    <row r="426"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</row>
    <row r="427"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</row>
    <row r="428"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</row>
    <row r="429"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</row>
    <row r="430"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</row>
    <row r="431"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</row>
    <row r="432"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</row>
    <row r="433"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</row>
    <row r="434"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</row>
    <row r="435"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</row>
    <row r="436"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</row>
    <row r="437"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</row>
    <row r="438"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</row>
    <row r="439"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</row>
    <row r="440"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</row>
    <row r="441"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</row>
    <row r="442"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</row>
    <row r="443"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</row>
    <row r="444"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</row>
    <row r="445"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</row>
    <row r="446"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</row>
    <row r="447"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</row>
    <row r="448"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</row>
    <row r="449"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</row>
    <row r="450"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</row>
    <row r="451"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</row>
    <row r="452"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</row>
    <row r="453"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</row>
    <row r="454"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</row>
    <row r="455"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</row>
    <row r="456"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</row>
    <row r="457"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</row>
    <row r="458"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</row>
    <row r="459"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</row>
    <row r="460"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</row>
    <row r="461"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</row>
    <row r="462"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</row>
    <row r="463"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</row>
    <row r="464"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</row>
    <row r="465"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</row>
    <row r="466"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</row>
    <row r="467"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</row>
    <row r="468"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</row>
    <row r="469"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</row>
    <row r="470"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</row>
    <row r="471"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</row>
    <row r="472"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</row>
    <row r="473"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</row>
    <row r="474"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</row>
    <row r="475"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</row>
    <row r="476"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</row>
    <row r="477"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</row>
    <row r="478"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</row>
    <row r="479"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</row>
    <row r="480"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</row>
    <row r="481"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</row>
    <row r="482"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</row>
    <row r="483"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</row>
    <row r="484"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</row>
    <row r="485"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</row>
    <row r="486"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</row>
    <row r="487"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</row>
    <row r="488"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</row>
    <row r="489"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</row>
    <row r="490"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</row>
    <row r="491"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</row>
    <row r="492"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</row>
    <row r="493"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</row>
    <row r="494"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</row>
    <row r="495"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</row>
    <row r="496"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</row>
    <row r="497"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</row>
    <row r="498"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</row>
    <row r="499"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</row>
    <row r="500"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</row>
    <row r="501"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</row>
    <row r="502"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</row>
    <row r="503"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</row>
    <row r="504"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</row>
    <row r="505"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</row>
    <row r="506"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</row>
    <row r="507"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</row>
    <row r="508"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</row>
    <row r="509"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</row>
    <row r="510"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</row>
    <row r="511"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</row>
    <row r="512"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</row>
    <row r="513"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</row>
    <row r="514"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</row>
    <row r="515"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</row>
    <row r="516"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</row>
    <row r="517"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</row>
    <row r="518"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</row>
    <row r="519"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</row>
    <row r="520"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</row>
    <row r="521"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</row>
    <row r="522"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</row>
    <row r="523"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</row>
    <row r="524"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</row>
    <row r="525"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</row>
    <row r="526"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</row>
    <row r="527"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</row>
    <row r="528"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</row>
    <row r="529"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</row>
    <row r="530"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</row>
    <row r="531"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</row>
    <row r="532"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</row>
    <row r="533"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</row>
    <row r="534"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</row>
    <row r="535"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</row>
    <row r="536"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</row>
    <row r="537"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</row>
    <row r="538"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</row>
    <row r="539"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</row>
    <row r="540"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</row>
    <row r="541"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</row>
    <row r="542"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</row>
    <row r="543"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</row>
    <row r="544"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</row>
    <row r="545"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</row>
    <row r="546"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</row>
    <row r="547"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</row>
    <row r="548"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</row>
    <row r="549"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</row>
    <row r="550"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</row>
    <row r="551"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</row>
    <row r="552"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</row>
    <row r="553"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</row>
    <row r="554"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</row>
    <row r="555"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</row>
    <row r="556"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</row>
    <row r="557"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</row>
    <row r="558"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</row>
    <row r="559"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</row>
    <row r="560"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</row>
    <row r="561"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</row>
    <row r="562"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</row>
    <row r="563"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</row>
    <row r="564"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</row>
    <row r="565"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</row>
    <row r="566"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</row>
    <row r="567"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</row>
    <row r="568"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</row>
    <row r="569"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</row>
    <row r="570"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</row>
    <row r="571"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</row>
    <row r="572"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</row>
    <row r="573"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</row>
    <row r="574"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</row>
    <row r="575"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</row>
    <row r="576"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</row>
    <row r="577"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</row>
    <row r="578"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</row>
    <row r="579"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</row>
    <row r="580"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</row>
    <row r="581"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</row>
    <row r="582"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</row>
    <row r="583"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</row>
    <row r="584"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</row>
    <row r="585"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</row>
    <row r="586"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</row>
    <row r="587"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</row>
    <row r="588"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</row>
    <row r="589"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</row>
    <row r="590"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</row>
    <row r="591"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</row>
    <row r="592"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</row>
    <row r="593"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</row>
    <row r="594"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</row>
    <row r="595"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</row>
    <row r="596"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</row>
    <row r="597"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</row>
    <row r="598"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</row>
    <row r="599"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</row>
    <row r="600"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</row>
    <row r="601"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</row>
    <row r="602"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</row>
    <row r="603"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</row>
    <row r="604"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</row>
    <row r="605"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</row>
    <row r="606"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</row>
    <row r="607"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</row>
    <row r="608"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</row>
    <row r="609"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</row>
    <row r="610"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</row>
    <row r="611"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</row>
    <row r="612"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</row>
    <row r="613"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</row>
    <row r="614"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</row>
    <row r="615"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</row>
    <row r="616"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</row>
    <row r="617"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</row>
    <row r="618"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</row>
    <row r="619"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</row>
    <row r="620"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</row>
    <row r="621"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</row>
    <row r="622"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</row>
    <row r="623"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</row>
    <row r="624"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</row>
    <row r="625"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</row>
    <row r="626"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</row>
    <row r="627"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</row>
    <row r="628"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</row>
    <row r="629"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</row>
    <row r="630"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</row>
    <row r="631"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</row>
    <row r="632"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</row>
    <row r="633"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</row>
    <row r="634"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</row>
    <row r="635"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</row>
    <row r="636"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</row>
    <row r="637"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</row>
    <row r="638"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</row>
    <row r="639"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</row>
    <row r="640"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</row>
    <row r="641"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</row>
    <row r="642"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</row>
    <row r="643"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</row>
    <row r="644"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</row>
    <row r="645"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</row>
    <row r="646"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</row>
    <row r="647"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</row>
    <row r="648"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</row>
    <row r="649"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</row>
    <row r="650"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</row>
    <row r="651"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</row>
    <row r="652"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</row>
    <row r="653"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</row>
    <row r="654"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</row>
    <row r="655"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</row>
    <row r="656"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</row>
    <row r="657"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</row>
    <row r="658"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</row>
    <row r="659"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</row>
    <row r="660"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</row>
    <row r="661"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</row>
    <row r="662"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</row>
    <row r="663"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</row>
    <row r="664"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</row>
    <row r="665"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</row>
    <row r="666"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</row>
    <row r="667"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</row>
    <row r="668"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</row>
    <row r="669"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</row>
    <row r="670"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</row>
    <row r="671"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</row>
    <row r="672"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</row>
    <row r="673"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</row>
    <row r="674"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</row>
    <row r="675"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</row>
    <row r="676"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</row>
    <row r="677"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</row>
    <row r="678"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</row>
    <row r="679"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</row>
    <row r="680"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</row>
    <row r="681"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</row>
    <row r="682"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</row>
    <row r="683"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</row>
    <row r="684"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</row>
    <row r="685"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</row>
    <row r="686"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</row>
    <row r="687"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</row>
    <row r="688"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</row>
    <row r="689"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</row>
    <row r="690"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</row>
    <row r="691"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</row>
    <row r="692"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</row>
    <row r="693"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</row>
    <row r="694"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</row>
    <row r="695"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</row>
    <row r="696"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</row>
    <row r="697"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</row>
    <row r="698"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</row>
    <row r="699"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</row>
    <row r="700"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</row>
    <row r="701"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</row>
    <row r="702"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</row>
    <row r="703"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</row>
    <row r="704"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</row>
    <row r="705"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</row>
    <row r="706"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</row>
    <row r="707"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</row>
    <row r="708"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</row>
    <row r="709"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</row>
    <row r="710"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</row>
    <row r="711"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</row>
    <row r="712"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</row>
    <row r="713"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</row>
    <row r="714"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</row>
    <row r="715"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</row>
    <row r="716"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</row>
    <row r="717"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</row>
    <row r="718"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</row>
    <row r="719"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</row>
    <row r="720"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</row>
    <row r="721"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</row>
    <row r="722"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</row>
    <row r="723"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</row>
    <row r="724"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</row>
    <row r="725"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</row>
    <row r="726"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</row>
    <row r="727"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</row>
    <row r="728"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</row>
    <row r="729"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</row>
    <row r="730"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</row>
    <row r="731"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</row>
    <row r="732"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</row>
    <row r="733"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</row>
    <row r="734"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</row>
    <row r="735"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</row>
    <row r="736"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</row>
    <row r="737"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</row>
    <row r="738"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</row>
    <row r="739"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</row>
    <row r="740"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</row>
    <row r="741"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</row>
    <row r="742"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</row>
    <row r="743"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</row>
    <row r="744"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</row>
    <row r="745"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</row>
    <row r="746"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</row>
    <row r="747"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</row>
    <row r="748"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</row>
    <row r="749"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</row>
    <row r="750"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</row>
    <row r="751"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</row>
    <row r="752"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</row>
    <row r="753"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</row>
    <row r="754"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</row>
    <row r="755"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</row>
    <row r="756"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</row>
    <row r="757"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</row>
    <row r="758"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</row>
    <row r="759"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</row>
    <row r="760"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</row>
    <row r="761"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</row>
    <row r="762"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</row>
    <row r="763"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</row>
    <row r="764"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</row>
    <row r="765"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</row>
    <row r="766"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</row>
    <row r="767"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</row>
    <row r="768"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</row>
    <row r="769"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</row>
    <row r="770"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</row>
    <row r="771"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</row>
    <row r="772"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</row>
    <row r="773"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</row>
    <row r="774"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</row>
    <row r="775"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</row>
    <row r="776"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</row>
    <row r="777"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</row>
    <row r="778"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</row>
    <row r="779"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</row>
    <row r="780"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</row>
    <row r="781"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</row>
    <row r="782"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</row>
    <row r="783"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</row>
    <row r="784"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</row>
    <row r="785"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</row>
    <row r="786"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</row>
    <row r="787"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</row>
    <row r="788"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</row>
    <row r="789"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</row>
    <row r="790"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</row>
    <row r="791"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</row>
    <row r="792"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</row>
    <row r="793"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</row>
    <row r="794"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</row>
    <row r="795"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</row>
    <row r="796"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</row>
    <row r="797"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</row>
    <row r="798"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</row>
    <row r="799"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</row>
    <row r="800"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</row>
    <row r="801"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</row>
    <row r="802"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</row>
    <row r="803"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</row>
    <row r="804"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</row>
    <row r="805"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</row>
    <row r="806"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</row>
    <row r="807"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</row>
    <row r="808"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</row>
    <row r="809"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</row>
    <row r="810"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</row>
    <row r="811"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</row>
    <row r="812"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</row>
    <row r="813"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</row>
    <row r="814"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</row>
    <row r="815"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</row>
    <row r="816"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</row>
    <row r="817"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</row>
    <row r="818"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</row>
    <row r="819"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</row>
    <row r="820"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</row>
    <row r="821"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</row>
    <row r="822"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</row>
    <row r="823"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</row>
    <row r="824"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</row>
    <row r="825"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</row>
    <row r="826"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</row>
    <row r="827"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</row>
    <row r="828"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</row>
    <row r="829"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</row>
    <row r="830"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</row>
    <row r="831"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</row>
    <row r="832"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</row>
    <row r="833"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</row>
    <row r="834"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</row>
    <row r="835"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</row>
    <row r="836"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</row>
    <row r="837"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</row>
    <row r="838"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</row>
    <row r="839"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</row>
    <row r="840"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</row>
    <row r="841"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</row>
    <row r="842"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</row>
    <row r="843"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</row>
    <row r="844"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</row>
    <row r="845"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</row>
    <row r="846"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</row>
    <row r="847"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</row>
    <row r="848"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</row>
    <row r="849"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</row>
    <row r="850"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</row>
    <row r="851"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</row>
    <row r="852"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</row>
    <row r="853"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</row>
    <row r="854"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</row>
    <row r="855"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</row>
    <row r="856"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</row>
    <row r="857"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</row>
    <row r="858"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</row>
    <row r="859"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</row>
    <row r="860"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</row>
    <row r="861"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</row>
    <row r="862"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</row>
    <row r="863"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</row>
    <row r="864"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</row>
    <row r="865"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</row>
    <row r="866"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</row>
    <row r="867"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</row>
    <row r="868"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</row>
    <row r="869"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</row>
    <row r="870"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</row>
    <row r="871"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</row>
    <row r="872"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</row>
    <row r="873"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</row>
    <row r="874"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</row>
    <row r="875"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</row>
    <row r="876"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</row>
    <row r="877"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</row>
    <row r="878"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</row>
    <row r="879"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</row>
    <row r="880"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</row>
    <row r="881"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</row>
    <row r="882"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</row>
    <row r="883"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</row>
    <row r="884"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</row>
    <row r="885"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</row>
    <row r="886"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</row>
    <row r="887"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</row>
    <row r="888"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</row>
    <row r="889"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</row>
    <row r="890"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</row>
    <row r="891"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</row>
    <row r="892"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</row>
    <row r="893"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</row>
    <row r="894"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</row>
    <row r="895"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</row>
    <row r="896"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</row>
    <row r="897"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</row>
    <row r="898"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</row>
    <row r="899"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</row>
    <row r="900"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</row>
    <row r="901"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</row>
    <row r="902"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</row>
    <row r="903"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</row>
    <row r="904"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</row>
    <row r="905"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</row>
    <row r="906"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</row>
    <row r="907"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</row>
    <row r="908"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</row>
    <row r="909"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</row>
    <row r="910"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</row>
    <row r="911"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</row>
    <row r="912"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</row>
    <row r="913"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</row>
    <row r="914"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</row>
    <row r="915"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</row>
    <row r="916"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</row>
    <row r="917"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</row>
    <row r="918"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</row>
    <row r="919"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</row>
    <row r="920"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</row>
    <row r="921"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</row>
    <row r="922"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</row>
    <row r="923"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</row>
    <row r="924"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</row>
    <row r="925"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</row>
    <row r="926"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</row>
    <row r="927"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</row>
    <row r="928"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</row>
    <row r="929"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</row>
    <row r="930"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</row>
    <row r="931"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</row>
    <row r="932"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</row>
    <row r="933"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</row>
    <row r="934"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</row>
    <row r="935"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</row>
    <row r="936"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</row>
    <row r="937"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</row>
    <row r="938"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</row>
    <row r="939"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</row>
    <row r="940"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</row>
    <row r="941"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</row>
    <row r="942"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</row>
    <row r="943"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</row>
    <row r="944"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</row>
    <row r="945"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</row>
    <row r="946"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</row>
    <row r="947"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</row>
    <row r="948"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</row>
    <row r="949"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</row>
    <row r="950"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</row>
    <row r="951"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</row>
    <row r="952"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</row>
    <row r="953"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</row>
    <row r="954"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</row>
    <row r="955"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</row>
    <row r="956"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</row>
    <row r="957"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</row>
    <row r="958"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</row>
    <row r="959"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</row>
    <row r="960"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</row>
    <row r="961"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</row>
    <row r="962"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</row>
    <row r="963"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</row>
    <row r="964"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</row>
    <row r="965"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</row>
    <row r="966"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</row>
    <row r="967"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</row>
    <row r="968"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</row>
    <row r="969"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</row>
    <row r="970"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</row>
    <row r="971"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</row>
    <row r="972"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</row>
    <row r="973"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</row>
    <row r="974"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</row>
    <row r="975"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</row>
    <row r="976"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</row>
    <row r="977"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</row>
    <row r="978"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</row>
    <row r="979"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</row>
    <row r="980"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</row>
    <row r="981"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</row>
    <row r="982"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</row>
    <row r="983"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</row>
    <row r="984"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</row>
    <row r="985"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</row>
    <row r="986"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</row>
    <row r="987"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</row>
    <row r="988"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</row>
    <row r="989"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</row>
    <row r="990"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</row>
    <row r="991"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</row>
    <row r="992"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</row>
    <row r="993"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</row>
    <row r="994"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</row>
    <row r="995"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</row>
    <row r="996"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</row>
    <row r="997"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</row>
    <row r="998"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</row>
    <row r="999"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</row>
  </sheetData>
  <dataValidations>
    <dataValidation type="list" allowBlank="1" showErrorMessage="1" sqref="A2:A284">
      <formula1>ANAGRAFICA!$B$2:$B$506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8" max="8" width="58.5"/>
  </cols>
  <sheetData>
    <row r="1">
      <c r="A1" s="166" t="s">
        <v>1</v>
      </c>
      <c r="B1" s="167" t="s">
        <v>2</v>
      </c>
      <c r="C1" s="166" t="s">
        <v>3</v>
      </c>
      <c r="D1" s="166" t="s">
        <v>4</v>
      </c>
      <c r="E1" s="166" t="s">
        <v>385</v>
      </c>
      <c r="F1" s="168" t="s">
        <v>6</v>
      </c>
      <c r="G1" s="166" t="s">
        <v>386</v>
      </c>
      <c r="H1" s="166" t="s">
        <v>972</v>
      </c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>
      <c r="A2" s="3">
        <v>2.124014461E9</v>
      </c>
      <c r="B2" s="109" t="str">
        <f>VLOOKUP($A2,ANAGRAFICA!$B$1:$G$306,2,FALSE)</f>
        <v>FUMAGALLI</v>
      </c>
      <c r="C2" s="109" t="str">
        <f>VLOOKUP($A2,ANAGRAFICA!$B$1:$G$306,3,FALSE)</f>
        <v>LUCA</v>
      </c>
      <c r="D2" s="109" t="str">
        <f>VLOOKUP($A2,ANAGRAFICA!$B$1:$G$306,4,FALSE)</f>
        <v>758-10</v>
      </c>
      <c r="E2" s="109">
        <f>VLOOKUP($A2,ANAGRAFICA!$B$1:$G$306,5,FALSE)</f>
        <v>3272024076</v>
      </c>
      <c r="F2" s="109">
        <f>VLOOKUP($A2,ANAGRAFICA!$B$1:$G$306,6,FALSE)</f>
        <v>2024</v>
      </c>
      <c r="G2" s="170">
        <v>1.0</v>
      </c>
      <c r="H2" s="14" t="s">
        <v>973</v>
      </c>
    </row>
    <row r="3">
      <c r="A3" s="3">
        <v>2.124014461E9</v>
      </c>
      <c r="B3" s="109" t="str">
        <f>VLOOKUP($A3,ANAGRAFICA!$B$1:$G$306,2,FALSE)</f>
        <v>FUMAGALLI</v>
      </c>
      <c r="C3" s="109" t="str">
        <f>VLOOKUP($A3,ANAGRAFICA!$B$1:$G$306,3,FALSE)</f>
        <v>LUCA</v>
      </c>
      <c r="D3" s="109" t="str">
        <f>VLOOKUP($A3,ANAGRAFICA!$B$1:$G$306,4,FALSE)</f>
        <v>758-10</v>
      </c>
      <c r="E3" s="109">
        <f>VLOOKUP($A3,ANAGRAFICA!$B$1:$G$306,5,FALSE)</f>
        <v>3272024076</v>
      </c>
      <c r="F3" s="109">
        <f>VLOOKUP($A3,ANAGRAFICA!$B$1:$G$306,6,FALSE)</f>
        <v>2024</v>
      </c>
      <c r="G3" s="3">
        <v>1.0</v>
      </c>
      <c r="H3" s="14" t="s">
        <v>974</v>
      </c>
    </row>
    <row r="4">
      <c r="A4" s="3">
        <v>2.124014461E9</v>
      </c>
      <c r="B4" s="109" t="str">
        <f>VLOOKUP($A4,ANAGRAFICA!$B$1:$G$306,2,FALSE)</f>
        <v>FUMAGALLI</v>
      </c>
      <c r="C4" s="109" t="str">
        <f>VLOOKUP($A4,ANAGRAFICA!$B$1:$G$306,3,FALSE)</f>
        <v>LUCA</v>
      </c>
      <c r="D4" s="109" t="str">
        <f>VLOOKUP($A4,ANAGRAFICA!$B$1:$G$306,4,FALSE)</f>
        <v>758-10</v>
      </c>
      <c r="E4" s="109">
        <f>VLOOKUP($A4,ANAGRAFICA!$B$1:$G$306,5,FALSE)</f>
        <v>3272024076</v>
      </c>
      <c r="F4" s="109">
        <f>VLOOKUP($A4,ANAGRAFICA!$B$1:$G$306,6,FALSE)</f>
        <v>2024</v>
      </c>
      <c r="G4" s="3">
        <v>1.0</v>
      </c>
      <c r="H4" s="14" t="s">
        <v>975</v>
      </c>
    </row>
    <row r="5">
      <c r="A5" s="3">
        <v>2.124014461E9</v>
      </c>
      <c r="B5" s="109" t="str">
        <f>VLOOKUP($A5,ANAGRAFICA!$B$1:$G$306,2,FALSE)</f>
        <v>FUMAGALLI</v>
      </c>
      <c r="C5" s="109" t="str">
        <f>VLOOKUP($A5,ANAGRAFICA!$B$1:$G$306,3,FALSE)</f>
        <v>LUCA</v>
      </c>
      <c r="D5" s="109" t="str">
        <f>VLOOKUP($A5,ANAGRAFICA!$B$1:$G$306,4,FALSE)</f>
        <v>758-10</v>
      </c>
      <c r="E5" s="109">
        <f>VLOOKUP($A5,ANAGRAFICA!$B$1:$G$306,5,FALSE)</f>
        <v>3272024076</v>
      </c>
      <c r="F5" s="109">
        <f>VLOOKUP($A5,ANAGRAFICA!$B$1:$G$306,6,FALSE)</f>
        <v>2024</v>
      </c>
      <c r="G5" s="3">
        <v>1.0</v>
      </c>
      <c r="H5" s="14" t="s">
        <v>976</v>
      </c>
    </row>
    <row r="6">
      <c r="A6" s="3">
        <v>2.123023299E9</v>
      </c>
      <c r="B6" s="109" t="str">
        <f>VLOOKUP($A6,ANAGRAFICA!$B$1:$G$306,2,FALSE)</f>
        <v>BEATRICE</v>
      </c>
      <c r="C6" s="109" t="str">
        <f>VLOOKUP($A6,ANAGRAFICA!$B$1:$G$306,3,FALSE)</f>
        <v>GERARDINA</v>
      </c>
      <c r="D6" s="109" t="str">
        <f>VLOOKUP($A6,ANAGRAFICA!$B$1:$G$306,4,FALSE)</f>
        <v/>
      </c>
      <c r="E6" s="109">
        <f>VLOOKUP($A6,ANAGRAFICA!$B$1:$G$306,5,FALSE)</f>
        <v>3272024098</v>
      </c>
      <c r="F6" s="109">
        <f>VLOOKUP($A6,ANAGRAFICA!$B$1:$G$306,6,FALSE)</f>
        <v>2024</v>
      </c>
      <c r="G6" s="3">
        <v>1.0</v>
      </c>
      <c r="H6" s="14" t="s">
        <v>973</v>
      </c>
    </row>
    <row r="7">
      <c r="A7" s="3">
        <v>2.123023299E9</v>
      </c>
      <c r="B7" s="109" t="str">
        <f>VLOOKUP($A7,ANAGRAFICA!$B$1:$G$306,2,FALSE)</f>
        <v>BEATRICE</v>
      </c>
      <c r="C7" s="109" t="str">
        <f>VLOOKUP($A7,ANAGRAFICA!$B$1:$G$306,3,FALSE)</f>
        <v>GERARDINA</v>
      </c>
      <c r="D7" s="109" t="str">
        <f>VLOOKUP($A7,ANAGRAFICA!$B$1:$G$306,4,FALSE)</f>
        <v/>
      </c>
      <c r="E7" s="109">
        <f>VLOOKUP($A7,ANAGRAFICA!$B$1:$G$306,5,FALSE)</f>
        <v>3272024098</v>
      </c>
      <c r="F7" s="109">
        <f>VLOOKUP($A7,ANAGRAFICA!$B$1:$G$306,6,FALSE)</f>
        <v>2024</v>
      </c>
      <c r="G7" s="3">
        <v>1.0</v>
      </c>
      <c r="H7" s="14" t="s">
        <v>976</v>
      </c>
    </row>
    <row r="8">
      <c r="A8" s="3">
        <v>2.123023299E9</v>
      </c>
      <c r="B8" s="109" t="str">
        <f>VLOOKUP($A8,ANAGRAFICA!$B$1:$G$306,2,FALSE)</f>
        <v>BEATRICE</v>
      </c>
      <c r="C8" s="109" t="str">
        <f>VLOOKUP($A8,ANAGRAFICA!$B$1:$G$306,3,FALSE)</f>
        <v>GERARDINA</v>
      </c>
      <c r="D8" s="109" t="str">
        <f>VLOOKUP($A8,ANAGRAFICA!$B$1:$G$306,4,FALSE)</f>
        <v/>
      </c>
      <c r="E8" s="109">
        <f>VLOOKUP($A8,ANAGRAFICA!$B$1:$G$306,5,FALSE)</f>
        <v>3272024098</v>
      </c>
      <c r="F8" s="109">
        <f>VLOOKUP($A8,ANAGRAFICA!$B$1:$G$306,6,FALSE)</f>
        <v>2024</v>
      </c>
      <c r="G8" s="3">
        <v>1.0</v>
      </c>
      <c r="H8" s="14" t="s">
        <v>974</v>
      </c>
    </row>
    <row r="9">
      <c r="A9" s="3">
        <v>2.123023299E9</v>
      </c>
      <c r="B9" s="109" t="str">
        <f>VLOOKUP($A9,ANAGRAFICA!$B$1:$G$306,2,FALSE)</f>
        <v>BEATRICE</v>
      </c>
      <c r="C9" s="109" t="str">
        <f>VLOOKUP($A9,ANAGRAFICA!$B$1:$G$306,3,FALSE)</f>
        <v>GERARDINA</v>
      </c>
      <c r="D9" s="109" t="str">
        <f>VLOOKUP($A9,ANAGRAFICA!$B$1:$G$306,4,FALSE)</f>
        <v/>
      </c>
      <c r="E9" s="109">
        <f>VLOOKUP($A9,ANAGRAFICA!$B$1:$G$306,5,FALSE)</f>
        <v>3272024098</v>
      </c>
      <c r="F9" s="109">
        <f>VLOOKUP($A9,ANAGRAFICA!$B$1:$G$306,6,FALSE)</f>
        <v>2024</v>
      </c>
      <c r="G9" s="3">
        <v>1.0</v>
      </c>
      <c r="H9" s="14" t="s">
        <v>977</v>
      </c>
    </row>
    <row r="10">
      <c r="A10" s="3">
        <v>2.123023299E9</v>
      </c>
      <c r="B10" s="109" t="str">
        <f>VLOOKUP($A10,ANAGRAFICA!$B$1:$G$306,2,FALSE)</f>
        <v>BEATRICE</v>
      </c>
      <c r="C10" s="109" t="str">
        <f>VLOOKUP($A10,ANAGRAFICA!$B$1:$G$306,3,FALSE)</f>
        <v>GERARDINA</v>
      </c>
      <c r="D10" s="109" t="str">
        <f>VLOOKUP($A10,ANAGRAFICA!$B$1:$G$306,4,FALSE)</f>
        <v/>
      </c>
      <c r="E10" s="109">
        <f>VLOOKUP($A10,ANAGRAFICA!$B$1:$G$306,5,FALSE)</f>
        <v>3272024098</v>
      </c>
      <c r="F10" s="109">
        <f>VLOOKUP($A10,ANAGRAFICA!$B$1:$G$306,6,FALSE)</f>
        <v>2024</v>
      </c>
      <c r="G10" s="3">
        <v>1.0</v>
      </c>
      <c r="H10" s="14" t="s">
        <v>978</v>
      </c>
    </row>
    <row r="11">
      <c r="A11" s="3">
        <v>2.123023299E9</v>
      </c>
      <c r="B11" s="109" t="str">
        <f>VLOOKUP($A11,ANAGRAFICA!$B$1:$G$306,2,FALSE)</f>
        <v>BEATRICE</v>
      </c>
      <c r="C11" s="109" t="str">
        <f>VLOOKUP($A11,ANAGRAFICA!$B$1:$G$306,3,FALSE)</f>
        <v>GERARDINA</v>
      </c>
      <c r="D11" s="109" t="str">
        <f>VLOOKUP($A11,ANAGRAFICA!$B$1:$G$306,4,FALSE)</f>
        <v/>
      </c>
      <c r="E11" s="109">
        <f>VLOOKUP($A11,ANAGRAFICA!$B$1:$G$306,5,FALSE)</f>
        <v>3272024098</v>
      </c>
      <c r="F11" s="109">
        <f>VLOOKUP($A11,ANAGRAFICA!$B$1:$G$306,6,FALSE)</f>
        <v>2024</v>
      </c>
      <c r="G11" s="3">
        <v>1.0</v>
      </c>
      <c r="H11" s="14" t="s">
        <v>979</v>
      </c>
    </row>
    <row r="12">
      <c r="A12" s="3">
        <v>2.124000149E9</v>
      </c>
      <c r="B12" s="109" t="str">
        <f>VLOOKUP($A12,ANAGRAFICA!$B$1:$G$306,2,FALSE)</f>
        <v>MOTTA</v>
      </c>
      <c r="C12" s="109" t="str">
        <f>VLOOKUP($A12,ANAGRAFICA!$B$1:$G$306,3,FALSE)</f>
        <v>FABIO</v>
      </c>
      <c r="D12" s="109" t="str">
        <f>VLOOKUP($A12,ANAGRAFICA!$B$1:$G$306,4,FALSE)</f>
        <v/>
      </c>
      <c r="E12" s="109">
        <f>VLOOKUP($A12,ANAGRAFICA!$B$1:$G$306,5,FALSE)</f>
        <v>3272024051</v>
      </c>
      <c r="F12" s="109">
        <f>VLOOKUP($A12,ANAGRAFICA!$B$1:$G$306,6,FALSE)</f>
        <v>2024</v>
      </c>
      <c r="G12" s="3">
        <v>1.0</v>
      </c>
      <c r="H12" s="14" t="s">
        <v>980</v>
      </c>
    </row>
    <row r="13">
      <c r="A13" s="3">
        <v>2.124000149E9</v>
      </c>
      <c r="B13" s="109" t="str">
        <f>VLOOKUP($A13,ANAGRAFICA!$B$1:$G$306,2,FALSE)</f>
        <v>MOTTA</v>
      </c>
      <c r="C13" s="109" t="str">
        <f>VLOOKUP($A13,ANAGRAFICA!$B$1:$G$306,3,FALSE)</f>
        <v>FABIO</v>
      </c>
      <c r="D13" s="109" t="str">
        <f>VLOOKUP($A13,ANAGRAFICA!$B$1:$G$306,4,FALSE)</f>
        <v/>
      </c>
      <c r="E13" s="109">
        <f>VLOOKUP($A13,ANAGRAFICA!$B$1:$G$306,5,FALSE)</f>
        <v>3272024051</v>
      </c>
      <c r="F13" s="109">
        <f>VLOOKUP($A13,ANAGRAFICA!$B$1:$G$306,6,FALSE)</f>
        <v>2024</v>
      </c>
      <c r="G13" s="3">
        <v>1.0</v>
      </c>
      <c r="H13" s="14" t="s">
        <v>981</v>
      </c>
    </row>
    <row r="14">
      <c r="A14" s="3">
        <v>2.124000241E9</v>
      </c>
      <c r="B14" s="109" t="str">
        <f>VLOOKUP($A14,ANAGRAFICA!$B$1:$G$306,2,FALSE)</f>
        <v>ISELLA</v>
      </c>
      <c r="C14" s="109" t="str">
        <f>VLOOKUP($A14,ANAGRAFICA!$B$1:$G$306,3,FALSE)</f>
        <v>VINCENZO</v>
      </c>
      <c r="D14" s="109" t="str">
        <f>VLOOKUP($A14,ANAGRAFICA!$B$1:$G$306,4,FALSE)</f>
        <v/>
      </c>
      <c r="E14" s="109">
        <f>VLOOKUP($A14,ANAGRAFICA!$B$1:$G$306,5,FALSE)</f>
        <v>3272024052</v>
      </c>
      <c r="F14" s="109">
        <f>VLOOKUP($A14,ANAGRAFICA!$B$1:$G$306,6,FALSE)</f>
        <v>2024</v>
      </c>
      <c r="G14" s="3">
        <v>1.0</v>
      </c>
      <c r="H14" s="16"/>
      <c r="I14" s="3" t="s">
        <v>935</v>
      </c>
    </row>
    <row r="15">
      <c r="A15" s="3">
        <v>2.124000328E9</v>
      </c>
      <c r="B15" s="109" t="str">
        <f>VLOOKUP($A15,ANAGRAFICA!$B$1:$G$306,2,FALSE)</f>
        <v>LAVANGA</v>
      </c>
      <c r="C15" s="109" t="str">
        <f>VLOOKUP($A15,ANAGRAFICA!$B$1:$G$306,3,FALSE)</f>
        <v>DONATO</v>
      </c>
      <c r="D15" s="109" t="str">
        <f>VLOOKUP($A15,ANAGRAFICA!$B$1:$G$306,4,FALSE)</f>
        <v/>
      </c>
      <c r="E15" s="109">
        <f>VLOOKUP($A15,ANAGRAFICA!$B$1:$G$306,5,FALSE)</f>
        <v>3272024053</v>
      </c>
      <c r="F15" s="109">
        <f>VLOOKUP($A15,ANAGRAFICA!$B$1:$G$306,6,FALSE)</f>
        <v>2024</v>
      </c>
      <c r="G15" s="3">
        <v>1.0</v>
      </c>
      <c r="H15" s="16"/>
      <c r="I15" s="3" t="s">
        <v>982</v>
      </c>
    </row>
    <row r="16">
      <c r="A16" s="3">
        <v>2.124001121E9</v>
      </c>
      <c r="B16" s="109" t="str">
        <f>VLOOKUP($A16,ANAGRAFICA!$B$1:$G$306,2,FALSE)</f>
        <v>TIEGHI</v>
      </c>
      <c r="C16" s="109" t="str">
        <f>VLOOKUP($A16,ANAGRAFICA!$B$1:$G$306,3,FALSE)</f>
        <v>MASSIMO</v>
      </c>
      <c r="D16" s="109" t="str">
        <f>VLOOKUP($A16,ANAGRAFICA!$B$1:$G$306,4,FALSE)</f>
        <v/>
      </c>
      <c r="E16" s="109">
        <f>VLOOKUP($A16,ANAGRAFICA!$B$1:$G$306,5,FALSE)</f>
        <v>3272024054</v>
      </c>
      <c r="F16" s="109">
        <f>VLOOKUP($A16,ANAGRAFICA!$B$1:$G$306,6,FALSE)</f>
        <v>2024</v>
      </c>
      <c r="G16" s="3">
        <v>1.0</v>
      </c>
      <c r="H16" s="16"/>
      <c r="I16" s="3" t="s">
        <v>935</v>
      </c>
    </row>
    <row r="17">
      <c r="A17" s="3">
        <v>2.124002215E9</v>
      </c>
      <c r="B17" s="109" t="str">
        <f>VLOOKUP($A17,ANAGRAFICA!$B$1:$G$306,2,FALSE)</f>
        <v>SCHIFANO</v>
      </c>
      <c r="C17" s="109" t="str">
        <f>VLOOKUP($A17,ANAGRAFICA!$B$1:$G$306,3,FALSE)</f>
        <v>FRANCESCO</v>
      </c>
      <c r="D17" s="109" t="str">
        <f>VLOOKUP($A17,ANAGRAFICA!$B$1:$G$306,4,FALSE)</f>
        <v/>
      </c>
      <c r="E17" s="109">
        <f>VLOOKUP($A17,ANAGRAFICA!$B$1:$G$306,5,FALSE)</f>
        <v>3272024055</v>
      </c>
      <c r="F17" s="109">
        <f>VLOOKUP($A17,ANAGRAFICA!$B$1:$G$306,6,FALSE)</f>
        <v>2024</v>
      </c>
      <c r="G17" s="3">
        <v>1.0</v>
      </c>
      <c r="H17" s="14" t="s">
        <v>981</v>
      </c>
    </row>
    <row r="18">
      <c r="A18" s="3">
        <v>2.124002215E9</v>
      </c>
      <c r="B18" s="109" t="str">
        <f>VLOOKUP($A18,ANAGRAFICA!$B$1:$G$306,2,FALSE)</f>
        <v>SCHIFANO</v>
      </c>
      <c r="C18" s="109" t="str">
        <f>VLOOKUP($A18,ANAGRAFICA!$B$1:$G$306,3,FALSE)</f>
        <v>FRANCESCO</v>
      </c>
      <c r="D18" s="109" t="str">
        <f>VLOOKUP($A18,ANAGRAFICA!$B$1:$G$306,4,FALSE)</f>
        <v/>
      </c>
      <c r="E18" s="109">
        <f>VLOOKUP($A18,ANAGRAFICA!$B$1:$G$306,5,FALSE)</f>
        <v>3272024055</v>
      </c>
      <c r="F18" s="109">
        <f>VLOOKUP($A18,ANAGRAFICA!$B$1:$G$306,6,FALSE)</f>
        <v>2024</v>
      </c>
      <c r="G18" s="3">
        <v>1.0</v>
      </c>
      <c r="H18" s="14" t="s">
        <v>973</v>
      </c>
    </row>
    <row r="19">
      <c r="A19" s="3">
        <v>2.124202869E9</v>
      </c>
      <c r="B19" s="109" t="str">
        <f>VLOOKUP($A19,ANAGRAFICA!$B$1:$G$306,2,FALSE)</f>
        <v>VALSECCHI</v>
      </c>
      <c r="C19" s="109" t="str">
        <f>VLOOKUP($A19,ANAGRAFICA!$B$1:$G$306,3,FALSE)</f>
        <v>ANDREA</v>
      </c>
      <c r="D19" s="109" t="str">
        <f>VLOOKUP($A19,ANAGRAFICA!$B$1:$G$306,4,FALSE)</f>
        <v/>
      </c>
      <c r="E19" s="109">
        <f>VLOOKUP($A19,ANAGRAFICA!$B$1:$G$306,5,FALSE)</f>
        <v>3272024056</v>
      </c>
      <c r="F19" s="109">
        <f>VLOOKUP($A19,ANAGRAFICA!$B$1:$G$306,6,FALSE)</f>
        <v>2024</v>
      </c>
      <c r="G19" s="3">
        <v>1.0</v>
      </c>
      <c r="H19" s="14" t="s">
        <v>983</v>
      </c>
    </row>
    <row r="20">
      <c r="A20" s="3">
        <v>2.124202869E9</v>
      </c>
      <c r="B20" s="109" t="str">
        <f>VLOOKUP($A20,ANAGRAFICA!$B$1:$G$306,2,FALSE)</f>
        <v>VALSECCHI</v>
      </c>
      <c r="C20" s="109" t="str">
        <f>VLOOKUP($A20,ANAGRAFICA!$B$1:$G$306,3,FALSE)</f>
        <v>ANDREA</v>
      </c>
      <c r="D20" s="109" t="str">
        <f>VLOOKUP($A20,ANAGRAFICA!$B$1:$G$306,4,FALSE)</f>
        <v/>
      </c>
      <c r="E20" s="109">
        <f>VLOOKUP($A20,ANAGRAFICA!$B$1:$G$306,5,FALSE)</f>
        <v>3272024056</v>
      </c>
      <c r="F20" s="109">
        <f>VLOOKUP($A20,ANAGRAFICA!$B$1:$G$306,6,FALSE)</f>
        <v>2024</v>
      </c>
      <c r="G20" s="3">
        <v>1.0</v>
      </c>
      <c r="H20" s="14" t="s">
        <v>984</v>
      </c>
    </row>
    <row r="21">
      <c r="A21" s="3">
        <v>2.124202869E9</v>
      </c>
      <c r="B21" s="109" t="str">
        <f>VLOOKUP($A21,ANAGRAFICA!$B$1:$G$306,2,FALSE)</f>
        <v>VALSECCHI</v>
      </c>
      <c r="C21" s="109" t="str">
        <f>VLOOKUP($A21,ANAGRAFICA!$B$1:$G$306,3,FALSE)</f>
        <v>ANDREA</v>
      </c>
      <c r="D21" s="109" t="str">
        <f>VLOOKUP($A21,ANAGRAFICA!$B$1:$G$306,4,FALSE)</f>
        <v/>
      </c>
      <c r="E21" s="109">
        <f>VLOOKUP($A21,ANAGRAFICA!$B$1:$G$306,5,FALSE)</f>
        <v>3272024056</v>
      </c>
      <c r="F21" s="109">
        <f>VLOOKUP($A21,ANAGRAFICA!$B$1:$G$306,6,FALSE)</f>
        <v>2024</v>
      </c>
      <c r="G21" s="3">
        <v>1.0</v>
      </c>
      <c r="H21" s="14" t="s">
        <v>976</v>
      </c>
    </row>
    <row r="22">
      <c r="A22" s="3">
        <v>2.124202869E9</v>
      </c>
      <c r="B22" s="109" t="str">
        <f>VLOOKUP($A22,ANAGRAFICA!$B$1:$G$306,2,FALSE)</f>
        <v>VALSECCHI</v>
      </c>
      <c r="C22" s="109" t="str">
        <f>VLOOKUP($A22,ANAGRAFICA!$B$1:$G$306,3,FALSE)</f>
        <v>ANDREA</v>
      </c>
      <c r="D22" s="109" t="str">
        <f>VLOOKUP($A22,ANAGRAFICA!$B$1:$G$306,4,FALSE)</f>
        <v/>
      </c>
      <c r="E22" s="109">
        <f>VLOOKUP($A22,ANAGRAFICA!$B$1:$G$306,5,FALSE)</f>
        <v>3272024056</v>
      </c>
      <c r="F22" s="109">
        <f>VLOOKUP($A22,ANAGRAFICA!$B$1:$G$306,6,FALSE)</f>
        <v>2024</v>
      </c>
      <c r="G22" s="3">
        <v>1.0</v>
      </c>
      <c r="H22" s="14" t="s">
        <v>973</v>
      </c>
    </row>
    <row r="23">
      <c r="A23" s="3">
        <v>2.124003531E9</v>
      </c>
      <c r="B23" s="109" t="str">
        <f>VLOOKUP($A23,ANAGRAFICA!$B$1:$G$306,2,FALSE)</f>
        <v>RASPANTI</v>
      </c>
      <c r="C23" s="109" t="str">
        <f>VLOOKUP($A23,ANAGRAFICA!$B$1:$G$306,3,FALSE)</f>
        <v>ANDREA</v>
      </c>
      <c r="D23" s="109" t="str">
        <f>VLOOKUP($A23,ANAGRAFICA!$B$1:$G$306,4,FALSE)</f>
        <v/>
      </c>
      <c r="E23" s="109">
        <f>VLOOKUP($A23,ANAGRAFICA!$B$1:$G$306,5,FALSE)</f>
        <v>3272024057</v>
      </c>
      <c r="F23" s="109">
        <f>VLOOKUP($A23,ANAGRAFICA!$B$1:$G$306,6,FALSE)</f>
        <v>2024</v>
      </c>
      <c r="G23" s="3">
        <v>1.0</v>
      </c>
      <c r="H23" s="14" t="s">
        <v>981</v>
      </c>
    </row>
    <row r="24">
      <c r="A24" s="3">
        <v>2.124003531E9</v>
      </c>
      <c r="B24" s="109" t="str">
        <f>VLOOKUP($A24,ANAGRAFICA!$B$1:$G$306,2,FALSE)</f>
        <v>RASPANTI</v>
      </c>
      <c r="C24" s="109" t="str">
        <f>VLOOKUP($A24,ANAGRAFICA!$B$1:$G$306,3,FALSE)</f>
        <v>ANDREA</v>
      </c>
      <c r="D24" s="109" t="str">
        <f>VLOOKUP($A24,ANAGRAFICA!$B$1:$G$306,4,FALSE)</f>
        <v/>
      </c>
      <c r="E24" s="109">
        <f>VLOOKUP($A24,ANAGRAFICA!$B$1:$G$306,5,FALSE)</f>
        <v>3272024057</v>
      </c>
      <c r="F24" s="109">
        <f>VLOOKUP($A24,ANAGRAFICA!$B$1:$G$306,6,FALSE)</f>
        <v>2024</v>
      </c>
      <c r="G24" s="3">
        <v>1.0</v>
      </c>
      <c r="H24" s="14" t="s">
        <v>977</v>
      </c>
    </row>
    <row r="25">
      <c r="A25" s="3">
        <v>2.124203781E9</v>
      </c>
      <c r="B25" s="109" t="str">
        <f>VLOOKUP($A25,ANAGRAFICA!$B$1:$G$306,2,FALSE)</f>
        <v>CONCA</v>
      </c>
      <c r="C25" s="109" t="str">
        <f>VLOOKUP($A25,ANAGRAFICA!$B$1:$G$306,3,FALSE)</f>
        <v>CAMILLA</v>
      </c>
      <c r="D25" s="109" t="str">
        <f>VLOOKUP($A25,ANAGRAFICA!$B$1:$G$306,4,FALSE)</f>
        <v/>
      </c>
      <c r="E25" s="109">
        <f>VLOOKUP($A25,ANAGRAFICA!$B$1:$G$306,5,FALSE)</f>
        <v>3272024058</v>
      </c>
      <c r="F25" s="109">
        <f>VLOOKUP($A25,ANAGRAFICA!$B$1:$G$306,6,FALSE)</f>
        <v>2024</v>
      </c>
      <c r="G25" s="3">
        <v>1.0</v>
      </c>
      <c r="H25" s="14" t="s">
        <v>976</v>
      </c>
    </row>
    <row r="26">
      <c r="A26" s="3">
        <v>2.124203781E9</v>
      </c>
      <c r="B26" s="109" t="str">
        <f>VLOOKUP($A26,ANAGRAFICA!$B$1:$G$306,2,FALSE)</f>
        <v>CONCA</v>
      </c>
      <c r="C26" s="109" t="str">
        <f>VLOOKUP($A26,ANAGRAFICA!$B$1:$G$306,3,FALSE)</f>
        <v>CAMILLA</v>
      </c>
      <c r="D26" s="109" t="str">
        <f>VLOOKUP($A26,ANAGRAFICA!$B$1:$G$306,4,FALSE)</f>
        <v/>
      </c>
      <c r="E26" s="109">
        <f>VLOOKUP($A26,ANAGRAFICA!$B$1:$G$306,5,FALSE)</f>
        <v>3272024058</v>
      </c>
      <c r="F26" s="109">
        <f>VLOOKUP($A26,ANAGRAFICA!$B$1:$G$306,6,FALSE)</f>
        <v>2024</v>
      </c>
      <c r="G26" s="3">
        <v>1.0</v>
      </c>
      <c r="H26" s="14" t="s">
        <v>977</v>
      </c>
    </row>
    <row r="27">
      <c r="A27" s="3">
        <v>2.124203781E9</v>
      </c>
      <c r="B27" s="109" t="str">
        <f>VLOOKUP($A27,ANAGRAFICA!$B$1:$G$306,2,FALSE)</f>
        <v>CONCA</v>
      </c>
      <c r="C27" s="109" t="str">
        <f>VLOOKUP($A27,ANAGRAFICA!$B$1:$G$306,3,FALSE)</f>
        <v>CAMILLA</v>
      </c>
      <c r="D27" s="109" t="str">
        <f>VLOOKUP($A27,ANAGRAFICA!$B$1:$G$306,4,FALSE)</f>
        <v/>
      </c>
      <c r="E27" s="109">
        <f>VLOOKUP($A27,ANAGRAFICA!$B$1:$G$306,5,FALSE)</f>
        <v>3272024058</v>
      </c>
      <c r="F27" s="109">
        <f>VLOOKUP($A27,ANAGRAFICA!$B$1:$G$306,6,FALSE)</f>
        <v>2024</v>
      </c>
      <c r="G27" s="3">
        <v>1.0</v>
      </c>
      <c r="H27" s="14" t="s">
        <v>981</v>
      </c>
    </row>
    <row r="28">
      <c r="A28" s="3">
        <v>2.124203781E9</v>
      </c>
      <c r="B28" s="109" t="str">
        <f>VLOOKUP($A28,ANAGRAFICA!$B$1:$G$306,2,FALSE)</f>
        <v>CONCA</v>
      </c>
      <c r="C28" s="109" t="str">
        <f>VLOOKUP($A28,ANAGRAFICA!$B$1:$G$306,3,FALSE)</f>
        <v>CAMILLA</v>
      </c>
      <c r="D28" s="109" t="str">
        <f>VLOOKUP($A28,ANAGRAFICA!$B$1:$G$306,4,FALSE)</f>
        <v/>
      </c>
      <c r="E28" s="109">
        <f>VLOOKUP($A28,ANAGRAFICA!$B$1:$G$306,5,FALSE)</f>
        <v>3272024058</v>
      </c>
      <c r="F28" s="109">
        <f>VLOOKUP($A28,ANAGRAFICA!$B$1:$G$306,6,FALSE)</f>
        <v>2024</v>
      </c>
      <c r="G28" s="3">
        <v>1.0</v>
      </c>
      <c r="H28" s="14" t="s">
        <v>973</v>
      </c>
    </row>
    <row r="29">
      <c r="A29" s="3">
        <v>2.124203781E9</v>
      </c>
      <c r="B29" s="109" t="str">
        <f>VLOOKUP($A29,ANAGRAFICA!$B$1:$G$306,2,FALSE)</f>
        <v>CONCA</v>
      </c>
      <c r="C29" s="109" t="str">
        <f>VLOOKUP($A29,ANAGRAFICA!$B$1:$G$306,3,FALSE)</f>
        <v>CAMILLA</v>
      </c>
      <c r="D29" s="109" t="str">
        <f>VLOOKUP($A29,ANAGRAFICA!$B$1:$G$306,4,FALSE)</f>
        <v/>
      </c>
      <c r="E29" s="109">
        <f>VLOOKUP($A29,ANAGRAFICA!$B$1:$G$306,5,FALSE)</f>
        <v>3272024058</v>
      </c>
      <c r="F29" s="109">
        <f>VLOOKUP($A29,ANAGRAFICA!$B$1:$G$306,6,FALSE)</f>
        <v>2024</v>
      </c>
      <c r="G29" s="3">
        <v>1.0</v>
      </c>
      <c r="H29" s="14" t="s">
        <v>974</v>
      </c>
    </row>
    <row r="30">
      <c r="A30" s="3">
        <v>2.124019725E9</v>
      </c>
      <c r="B30" s="109" t="str">
        <f>VLOOKUP($A30,ANAGRAFICA!$B$1:$G$306,2,FALSE)</f>
        <v>AMIWO</v>
      </c>
      <c r="C30" s="109" t="str">
        <f>VLOOKUP($A30,ANAGRAFICA!$B$1:$G$306,3,FALSE)</f>
        <v>REX STEVE</v>
      </c>
      <c r="D30" s="109" t="str">
        <f>VLOOKUP($A30,ANAGRAFICA!$B$1:$G$306,4,FALSE)</f>
        <v>758-18</v>
      </c>
      <c r="E30" s="109">
        <f>VLOOKUP($A30,ANAGRAFICA!$B$1:$G$306,5,FALSE)</f>
        <v>3272024084</v>
      </c>
      <c r="F30" s="109">
        <f>VLOOKUP($A30,ANAGRAFICA!$B$1:$G$306,6,FALSE)</f>
        <v>2024</v>
      </c>
      <c r="G30" s="3">
        <v>1.0</v>
      </c>
      <c r="H30" s="14" t="s">
        <v>981</v>
      </c>
    </row>
    <row r="31">
      <c r="A31" s="3">
        <v>2.12401869E9</v>
      </c>
      <c r="B31" s="109" t="str">
        <f>VLOOKUP($A31,ANAGRAFICA!$B$1:$G$306,2,FALSE)</f>
        <v>AVENIDO</v>
      </c>
      <c r="C31" s="109" t="str">
        <f>VLOOKUP($A31,ANAGRAFICA!$B$1:$G$306,3,FALSE)</f>
        <v>DELFIN</v>
      </c>
      <c r="D31" s="109" t="str">
        <f>VLOOKUP($A31,ANAGRAFICA!$B$1:$G$306,4,FALSE)</f>
        <v>758-16</v>
      </c>
      <c r="E31" s="109">
        <f>VLOOKUP($A31,ANAGRAFICA!$B$1:$G$306,5,FALSE)</f>
        <v>3272024082</v>
      </c>
      <c r="F31" s="109">
        <f>VLOOKUP($A31,ANAGRAFICA!$B$1:$G$306,6,FALSE)</f>
        <v>2024</v>
      </c>
      <c r="G31" s="3">
        <v>1.0</v>
      </c>
      <c r="H31" s="14" t="s">
        <v>981</v>
      </c>
    </row>
    <row r="32">
      <c r="A32" s="3">
        <v>2.124018637E9</v>
      </c>
      <c r="B32" s="109" t="str">
        <f>VLOOKUP($A32,ANAGRAFICA!$B$1:$G$306,2,FALSE)</f>
        <v>CARIBONI</v>
      </c>
      <c r="C32" s="109" t="str">
        <f>VLOOKUP($A32,ANAGRAFICA!$B$1:$G$306,3,FALSE)</f>
        <v>LORENZA</v>
      </c>
      <c r="D32" s="109" t="str">
        <f>VLOOKUP($A32,ANAGRAFICA!$B$1:$G$306,4,FALSE)</f>
        <v>758-15</v>
      </c>
      <c r="E32" s="109">
        <f>VLOOKUP($A32,ANAGRAFICA!$B$1:$G$306,5,FALSE)</f>
        <v>3272024081</v>
      </c>
      <c r="F32" s="109">
        <f>VLOOKUP($A32,ANAGRAFICA!$B$1:$G$306,6,FALSE)</f>
        <v>2024</v>
      </c>
      <c r="G32" s="3">
        <v>1.0</v>
      </c>
      <c r="H32" s="14"/>
    </row>
    <row r="33">
      <c r="A33" s="3">
        <v>2.124019184E9</v>
      </c>
      <c r="B33" s="109" t="str">
        <f>VLOOKUP($A33,ANAGRAFICA!$B$1:$G$306,2,FALSE)</f>
        <v>SERVIDIO</v>
      </c>
      <c r="C33" s="109" t="str">
        <f>VLOOKUP($A33,ANAGRAFICA!$B$1:$G$306,3,FALSE)</f>
        <v>GIOVANNI</v>
      </c>
      <c r="D33" s="109" t="str">
        <f>VLOOKUP($A33,ANAGRAFICA!$B$1:$G$306,4,FALSE)</f>
        <v>758-17</v>
      </c>
      <c r="E33" s="109">
        <f>VLOOKUP($A33,ANAGRAFICA!$B$1:$G$306,5,FALSE)</f>
        <v>3272024083</v>
      </c>
      <c r="F33" s="109">
        <f>VLOOKUP($A33,ANAGRAFICA!$B$1:$G$306,6,FALSE)</f>
        <v>2024</v>
      </c>
      <c r="G33" s="3">
        <v>1.0</v>
      </c>
      <c r="H33" s="14" t="s">
        <v>980</v>
      </c>
    </row>
    <row r="34">
      <c r="A34" s="3">
        <v>2.124019184E9</v>
      </c>
      <c r="B34" s="109" t="str">
        <f>VLOOKUP($A34,ANAGRAFICA!$B$1:$G$306,2,FALSE)</f>
        <v>SERVIDIO</v>
      </c>
      <c r="C34" s="109" t="str">
        <f>VLOOKUP($A34,ANAGRAFICA!$B$1:$G$306,3,FALSE)</f>
        <v>GIOVANNI</v>
      </c>
      <c r="D34" s="109" t="str">
        <f>VLOOKUP($A34,ANAGRAFICA!$B$1:$G$306,4,FALSE)</f>
        <v>758-17</v>
      </c>
      <c r="E34" s="109">
        <f>VLOOKUP($A34,ANAGRAFICA!$B$1:$G$306,5,FALSE)</f>
        <v>3272024083</v>
      </c>
      <c r="F34" s="109">
        <f>VLOOKUP($A34,ANAGRAFICA!$B$1:$G$306,6,FALSE)</f>
        <v>2024</v>
      </c>
      <c r="G34" s="3">
        <v>1.0</v>
      </c>
      <c r="H34" s="14" t="s">
        <v>985</v>
      </c>
    </row>
    <row r="35">
      <c r="A35" s="3">
        <v>2.124019184E9</v>
      </c>
      <c r="B35" s="109" t="str">
        <f>VLOOKUP($A35,ANAGRAFICA!$B$1:$G$306,2,FALSE)</f>
        <v>SERVIDIO</v>
      </c>
      <c r="C35" s="109" t="str">
        <f>VLOOKUP($A35,ANAGRAFICA!$B$1:$G$306,3,FALSE)</f>
        <v>GIOVANNI</v>
      </c>
      <c r="D35" s="109" t="str">
        <f>VLOOKUP($A35,ANAGRAFICA!$B$1:$G$306,4,FALSE)</f>
        <v>758-17</v>
      </c>
      <c r="E35" s="109">
        <f>VLOOKUP($A35,ANAGRAFICA!$B$1:$G$306,5,FALSE)</f>
        <v>3272024083</v>
      </c>
      <c r="F35" s="109">
        <f>VLOOKUP($A35,ANAGRAFICA!$B$1:$G$306,6,FALSE)</f>
        <v>2024</v>
      </c>
      <c r="G35" s="3">
        <v>1.0</v>
      </c>
      <c r="H35" s="14" t="s">
        <v>976</v>
      </c>
    </row>
    <row r="36">
      <c r="A36" s="3">
        <v>2.124019184E9</v>
      </c>
      <c r="B36" s="109" t="str">
        <f>VLOOKUP($A36,ANAGRAFICA!$B$1:$G$306,2,FALSE)</f>
        <v>SERVIDIO</v>
      </c>
      <c r="C36" s="109" t="str">
        <f>VLOOKUP($A36,ANAGRAFICA!$B$1:$G$306,3,FALSE)</f>
        <v>GIOVANNI</v>
      </c>
      <c r="D36" s="109" t="str">
        <f>VLOOKUP($A36,ANAGRAFICA!$B$1:$G$306,4,FALSE)</f>
        <v>758-17</v>
      </c>
      <c r="E36" s="109">
        <f>VLOOKUP($A36,ANAGRAFICA!$B$1:$G$306,5,FALSE)</f>
        <v>3272024083</v>
      </c>
      <c r="F36" s="109">
        <f>VLOOKUP($A36,ANAGRAFICA!$B$1:$G$306,6,FALSE)</f>
        <v>2024</v>
      </c>
      <c r="G36" s="3">
        <v>1.0</v>
      </c>
      <c r="H36" s="14" t="s">
        <v>981</v>
      </c>
    </row>
    <row r="37">
      <c r="A37" s="3">
        <v>2.124019184E9</v>
      </c>
      <c r="B37" s="109" t="str">
        <f>VLOOKUP($A37,ANAGRAFICA!$B$1:$G$306,2,FALSE)</f>
        <v>SERVIDIO</v>
      </c>
      <c r="C37" s="109" t="str">
        <f>VLOOKUP($A37,ANAGRAFICA!$B$1:$G$306,3,FALSE)</f>
        <v>GIOVANNI</v>
      </c>
      <c r="D37" s="109" t="str">
        <f>VLOOKUP($A37,ANAGRAFICA!$B$1:$G$306,4,FALSE)</f>
        <v>758-17</v>
      </c>
      <c r="E37" s="109">
        <f>VLOOKUP($A37,ANAGRAFICA!$B$1:$G$306,5,FALSE)</f>
        <v>3272024083</v>
      </c>
      <c r="F37" s="109">
        <f>VLOOKUP($A37,ANAGRAFICA!$B$1:$G$306,6,FALSE)</f>
        <v>2024</v>
      </c>
      <c r="G37" s="3">
        <v>1.0</v>
      </c>
      <c r="H37" s="14" t="s">
        <v>973</v>
      </c>
    </row>
    <row r="38">
      <c r="A38" s="3">
        <v>2.124017757E9</v>
      </c>
      <c r="B38" s="109" t="str">
        <f>VLOOKUP($A38,ANAGRAFICA!$B$1:$G$306,2,FALSE)</f>
        <v>SALA</v>
      </c>
      <c r="C38" s="109" t="str">
        <f>VLOOKUP($A38,ANAGRAFICA!$B$1:$G$306,3,FALSE)</f>
        <v>FELICE</v>
      </c>
      <c r="D38" s="109" t="str">
        <f>VLOOKUP($A38,ANAGRAFICA!$B$1:$G$306,4,FALSE)</f>
        <v>758-14</v>
      </c>
      <c r="E38" s="109">
        <f>VLOOKUP($A38,ANAGRAFICA!$B$1:$G$306,5,FALSE)</f>
        <v>3272024080</v>
      </c>
      <c r="F38" s="109">
        <f>VLOOKUP($A38,ANAGRAFICA!$B$1:$G$306,6,FALSE)</f>
        <v>2024</v>
      </c>
      <c r="G38" s="3">
        <v>1.0</v>
      </c>
      <c r="H38" s="14" t="s">
        <v>981</v>
      </c>
    </row>
    <row r="39">
      <c r="A39" s="3">
        <v>2.124211722E9</v>
      </c>
      <c r="B39" s="109" t="str">
        <f>VLOOKUP($A39,ANAGRAFICA!$B$1:$G$306,2,FALSE)</f>
        <v>CORIO</v>
      </c>
      <c r="C39" s="109" t="str">
        <f>VLOOKUP($A39,ANAGRAFICA!$B$1:$G$306,3,FALSE)</f>
        <v>GIOVANNI</v>
      </c>
      <c r="D39" s="109" t="str">
        <f>VLOOKUP($A39,ANAGRAFICA!$B$1:$G$306,4,FALSE)</f>
        <v>758-13</v>
      </c>
      <c r="E39" s="109">
        <f>VLOOKUP($A39,ANAGRAFICA!$B$1:$G$306,5,FALSE)</f>
        <v>3272024079</v>
      </c>
      <c r="F39" s="109">
        <f>VLOOKUP($A39,ANAGRAFICA!$B$1:$G$306,6,FALSE)</f>
        <v>2024</v>
      </c>
      <c r="G39" s="3">
        <v>1.0</v>
      </c>
      <c r="H39" s="14" t="s">
        <v>976</v>
      </c>
    </row>
    <row r="40">
      <c r="A40" s="3">
        <v>2.124211722E9</v>
      </c>
      <c r="B40" s="109" t="str">
        <f>VLOOKUP($A40,ANAGRAFICA!$B$1:$G$306,2,FALSE)</f>
        <v>CORIO</v>
      </c>
      <c r="C40" s="109" t="str">
        <f>VLOOKUP($A40,ANAGRAFICA!$B$1:$G$306,3,FALSE)</f>
        <v>GIOVANNI</v>
      </c>
      <c r="D40" s="109" t="str">
        <f>VLOOKUP($A40,ANAGRAFICA!$B$1:$G$306,4,FALSE)</f>
        <v>758-13</v>
      </c>
      <c r="E40" s="109">
        <f>VLOOKUP($A40,ANAGRAFICA!$B$1:$G$306,5,FALSE)</f>
        <v>3272024079</v>
      </c>
      <c r="F40" s="109">
        <f>VLOOKUP($A40,ANAGRAFICA!$B$1:$G$306,6,FALSE)</f>
        <v>2024</v>
      </c>
      <c r="G40" s="3">
        <v>1.0</v>
      </c>
      <c r="H40" s="14" t="s">
        <v>986</v>
      </c>
    </row>
    <row r="41">
      <c r="A41" s="3">
        <v>2.124014334E9</v>
      </c>
      <c r="B41" s="109" t="str">
        <f>VLOOKUP($A41,ANAGRAFICA!$B$1:$G$306,2,FALSE)</f>
        <v>PONTIGGIA</v>
      </c>
      <c r="C41" s="109" t="str">
        <f>VLOOKUP($A41,ANAGRAFICA!$B$1:$G$306,3,FALSE)</f>
        <v>FLAVIO</v>
      </c>
      <c r="D41" s="109" t="str">
        <f>VLOOKUP($A41,ANAGRAFICA!$B$1:$G$306,4,FALSE)</f>
        <v>758-9</v>
      </c>
      <c r="E41" s="109">
        <f>VLOOKUP($A41,ANAGRAFICA!$B$1:$G$306,5,FALSE)</f>
        <v>3272024075</v>
      </c>
      <c r="F41" s="109">
        <f>VLOOKUP($A41,ANAGRAFICA!$B$1:$G$306,6,FALSE)</f>
        <v>2024</v>
      </c>
      <c r="G41" s="3">
        <v>1.0</v>
      </c>
      <c r="H41" s="14" t="s">
        <v>975</v>
      </c>
    </row>
    <row r="42">
      <c r="A42" s="3">
        <v>2.124013801E9</v>
      </c>
      <c r="B42" s="109" t="str">
        <f>VLOOKUP($A42,ANAGRAFICA!$B$1:$G$306,2,FALSE)</f>
        <v>SGOBBA</v>
      </c>
      <c r="C42" s="109" t="str">
        <f>VLOOKUP($A42,ANAGRAFICA!$B$1:$G$306,3,FALSE)</f>
        <v>ANNA</v>
      </c>
      <c r="D42" s="109" t="str">
        <f>VLOOKUP($A42,ANAGRAFICA!$B$1:$G$306,4,FALSE)</f>
        <v>758-8</v>
      </c>
      <c r="E42" s="109">
        <f>VLOOKUP($A42,ANAGRAFICA!$B$1:$G$306,5,FALSE)</f>
        <v>3272024074</v>
      </c>
      <c r="F42" s="109">
        <f>VLOOKUP($A42,ANAGRAFICA!$B$1:$G$306,6,FALSE)</f>
        <v>2024</v>
      </c>
      <c r="G42" s="3">
        <v>1.0</v>
      </c>
      <c r="H42" s="14" t="s">
        <v>973</v>
      </c>
    </row>
    <row r="43">
      <c r="A43" s="3">
        <v>2.124013801E9</v>
      </c>
      <c r="B43" s="109" t="str">
        <f>VLOOKUP($A43,ANAGRAFICA!$B$1:$G$306,2,FALSE)</f>
        <v>SGOBBA</v>
      </c>
      <c r="C43" s="109" t="str">
        <f>VLOOKUP($A43,ANAGRAFICA!$B$1:$G$306,3,FALSE)</f>
        <v>ANNA</v>
      </c>
      <c r="D43" s="109" t="str">
        <f>VLOOKUP($A43,ANAGRAFICA!$B$1:$G$306,4,FALSE)</f>
        <v>758-8</v>
      </c>
      <c r="E43" s="109">
        <f>VLOOKUP($A43,ANAGRAFICA!$B$1:$G$306,5,FALSE)</f>
        <v>3272024074</v>
      </c>
      <c r="F43" s="109">
        <f>VLOOKUP($A43,ANAGRAFICA!$B$1:$G$306,6,FALSE)</f>
        <v>2024</v>
      </c>
      <c r="G43" s="3">
        <v>1.0</v>
      </c>
      <c r="H43" s="14" t="s">
        <v>976</v>
      </c>
    </row>
    <row r="44">
      <c r="A44" s="3">
        <v>2.124013801E9</v>
      </c>
      <c r="B44" s="109" t="str">
        <f>VLOOKUP($A44,ANAGRAFICA!$B$1:$G$306,2,FALSE)</f>
        <v>SGOBBA</v>
      </c>
      <c r="C44" s="109" t="str">
        <f>VLOOKUP($A44,ANAGRAFICA!$B$1:$G$306,3,FALSE)</f>
        <v>ANNA</v>
      </c>
      <c r="D44" s="109" t="str">
        <f>VLOOKUP($A44,ANAGRAFICA!$B$1:$G$306,4,FALSE)</f>
        <v>758-8</v>
      </c>
      <c r="E44" s="109">
        <f>VLOOKUP($A44,ANAGRAFICA!$B$1:$G$306,5,FALSE)</f>
        <v>3272024074</v>
      </c>
      <c r="F44" s="109">
        <f>VLOOKUP($A44,ANAGRAFICA!$B$1:$G$306,6,FALSE)</f>
        <v>2024</v>
      </c>
      <c r="G44" s="3">
        <v>1.0</v>
      </c>
      <c r="H44" s="14" t="s">
        <v>977</v>
      </c>
    </row>
    <row r="45">
      <c r="A45" s="3">
        <v>2.124012915E9</v>
      </c>
      <c r="B45" s="109" t="str">
        <f>VLOOKUP($A45,ANAGRAFICA!$B$1:$G$306,2,FALSE)</f>
        <v>GARGIONI</v>
      </c>
      <c r="C45" s="109" t="str">
        <f>VLOOKUP($A45,ANAGRAFICA!$B$1:$G$306,3,FALSE)</f>
        <v>GIULIO</v>
      </c>
      <c r="D45" s="109" t="str">
        <f>VLOOKUP($A45,ANAGRAFICA!$B$1:$G$306,4,FALSE)</f>
        <v>758-6</v>
      </c>
      <c r="E45" s="109">
        <f>VLOOKUP($A45,ANAGRAFICA!$B$1:$G$306,5,FALSE)</f>
        <v>3272024072</v>
      </c>
      <c r="F45" s="109">
        <f>VLOOKUP($A45,ANAGRAFICA!$B$1:$G$306,6,FALSE)</f>
        <v>2024</v>
      </c>
      <c r="G45" s="3">
        <v>1.0</v>
      </c>
      <c r="H45" s="14" t="s">
        <v>981</v>
      </c>
    </row>
    <row r="46">
      <c r="A46" s="3">
        <v>2.124208629E9</v>
      </c>
      <c r="B46" s="109" t="str">
        <f>VLOOKUP($A46,ANAGRAFICA!$B$1:$G$306,2,FALSE)</f>
        <v>D'ANDREA</v>
      </c>
      <c r="C46" s="109" t="str">
        <f>VLOOKUP($A46,ANAGRAFICA!$B$1:$G$306,3,FALSE)</f>
        <v>FERNANDO ANTONIO</v>
      </c>
      <c r="D46" s="109" t="str">
        <f>VLOOKUP($A46,ANAGRAFICA!$B$1:$G$306,4,FALSE)</f>
        <v>758-5</v>
      </c>
      <c r="E46" s="109">
        <f>VLOOKUP($A46,ANAGRAFICA!$B$1:$G$306,5,FALSE)</f>
        <v>3272024071</v>
      </c>
      <c r="F46" s="109">
        <f>VLOOKUP($A46,ANAGRAFICA!$B$1:$G$306,6,FALSE)</f>
        <v>2024</v>
      </c>
      <c r="G46" s="3">
        <v>1.0</v>
      </c>
      <c r="H46" s="14" t="s">
        <v>981</v>
      </c>
    </row>
    <row r="47">
      <c r="A47" s="3">
        <v>2.124012963E9</v>
      </c>
      <c r="B47" s="109" t="str">
        <f>VLOOKUP($A47,ANAGRAFICA!$B$1:$G$306,2,FALSE)</f>
        <v>TARENZI</v>
      </c>
      <c r="C47" s="109" t="str">
        <f>VLOOKUP($A47,ANAGRAFICA!$B$1:$G$306,3,FALSE)</f>
        <v>GIACOMO</v>
      </c>
      <c r="D47" s="109" t="str">
        <f>VLOOKUP($A47,ANAGRAFICA!$B$1:$G$306,4,FALSE)</f>
        <v>758-7</v>
      </c>
      <c r="E47" s="109">
        <f>VLOOKUP($A47,ANAGRAFICA!$B$1:$G$306,5,FALSE)</f>
        <v>3272024073</v>
      </c>
      <c r="F47" s="109">
        <f>VLOOKUP($A47,ANAGRAFICA!$B$1:$G$306,6,FALSE)</f>
        <v>2024</v>
      </c>
      <c r="G47" s="3">
        <v>1.0</v>
      </c>
      <c r="H47" s="16"/>
      <c r="I47" s="3" t="s">
        <v>935</v>
      </c>
    </row>
    <row r="48">
      <c r="A48" s="3">
        <v>2.124011588E9</v>
      </c>
      <c r="B48" s="109" t="str">
        <f>VLOOKUP($A48,ANAGRAFICA!$B$1:$G$306,2,FALSE)</f>
        <v>FRATINO</v>
      </c>
      <c r="C48" s="109" t="str">
        <f>VLOOKUP($A48,ANAGRAFICA!$B$1:$G$306,3,FALSE)</f>
        <v>OLIVIERO</v>
      </c>
      <c r="D48" s="109" t="str">
        <f>VLOOKUP($A48,ANAGRAFICA!$B$1:$G$306,4,FALSE)</f>
        <v>758-4</v>
      </c>
      <c r="E48" s="109">
        <f>VLOOKUP($A48,ANAGRAFICA!$B$1:$G$306,5,FALSE)</f>
        <v>3272024070</v>
      </c>
      <c r="F48" s="109">
        <f>VLOOKUP($A48,ANAGRAFICA!$B$1:$G$306,6,FALSE)</f>
        <v>2024</v>
      </c>
      <c r="G48" s="3">
        <v>1.0</v>
      </c>
      <c r="H48" s="14" t="s">
        <v>975</v>
      </c>
    </row>
    <row r="49">
      <c r="A49" s="3">
        <v>2.124011588E9</v>
      </c>
      <c r="B49" s="109" t="str">
        <f>VLOOKUP($A49,ANAGRAFICA!$B$1:$G$306,2,FALSE)</f>
        <v>FRATINO</v>
      </c>
      <c r="C49" s="109" t="str">
        <f>VLOOKUP($A49,ANAGRAFICA!$B$1:$G$306,3,FALSE)</f>
        <v>OLIVIERO</v>
      </c>
      <c r="D49" s="109" t="str">
        <f>VLOOKUP($A49,ANAGRAFICA!$B$1:$G$306,4,FALSE)</f>
        <v>758-4</v>
      </c>
      <c r="E49" s="109">
        <f>VLOOKUP($A49,ANAGRAFICA!$B$1:$G$306,5,FALSE)</f>
        <v>3272024070</v>
      </c>
      <c r="F49" s="109">
        <f>VLOOKUP($A49,ANAGRAFICA!$B$1:$G$306,6,FALSE)</f>
        <v>2024</v>
      </c>
      <c r="G49" s="3">
        <v>1.0</v>
      </c>
      <c r="H49" s="14" t="s">
        <v>976</v>
      </c>
    </row>
    <row r="50">
      <c r="A50" s="3">
        <v>2.124011588E9</v>
      </c>
      <c r="B50" s="109" t="str">
        <f>VLOOKUP($A50,ANAGRAFICA!$B$1:$G$306,2,FALSE)</f>
        <v>FRATINO</v>
      </c>
      <c r="C50" s="109" t="str">
        <f>VLOOKUP($A50,ANAGRAFICA!$B$1:$G$306,3,FALSE)</f>
        <v>OLIVIERO</v>
      </c>
      <c r="D50" s="109" t="str">
        <f>VLOOKUP($A50,ANAGRAFICA!$B$1:$G$306,4,FALSE)</f>
        <v>758-4</v>
      </c>
      <c r="E50" s="109">
        <f>VLOOKUP($A50,ANAGRAFICA!$B$1:$G$306,5,FALSE)</f>
        <v>3272024070</v>
      </c>
      <c r="F50" s="109">
        <f>VLOOKUP($A50,ANAGRAFICA!$B$1:$G$306,6,FALSE)</f>
        <v>2024</v>
      </c>
      <c r="G50" s="3">
        <v>1.0</v>
      </c>
      <c r="H50" s="14" t="s">
        <v>973</v>
      </c>
    </row>
    <row r="51">
      <c r="A51" s="3">
        <v>2.124011588E9</v>
      </c>
      <c r="B51" s="109" t="str">
        <f>VLOOKUP($A51,ANAGRAFICA!$B$1:$G$306,2,FALSE)</f>
        <v>FRATINO</v>
      </c>
      <c r="C51" s="109" t="str">
        <f>VLOOKUP($A51,ANAGRAFICA!$B$1:$G$306,3,FALSE)</f>
        <v>OLIVIERO</v>
      </c>
      <c r="D51" s="109" t="str">
        <f>VLOOKUP($A51,ANAGRAFICA!$B$1:$G$306,4,FALSE)</f>
        <v>758-4</v>
      </c>
      <c r="E51" s="109">
        <f>VLOOKUP($A51,ANAGRAFICA!$B$1:$G$306,5,FALSE)</f>
        <v>3272024070</v>
      </c>
      <c r="F51" s="109">
        <f>VLOOKUP($A51,ANAGRAFICA!$B$1:$G$306,6,FALSE)</f>
        <v>2024</v>
      </c>
      <c r="G51" s="3">
        <v>1.0</v>
      </c>
      <c r="H51" s="14" t="s">
        <v>980</v>
      </c>
    </row>
    <row r="52">
      <c r="A52" s="3">
        <v>2.124011588E9</v>
      </c>
      <c r="B52" s="109" t="str">
        <f>VLOOKUP($A52,ANAGRAFICA!$B$1:$G$306,2,FALSE)</f>
        <v>FRATINO</v>
      </c>
      <c r="C52" s="109" t="str">
        <f>VLOOKUP($A52,ANAGRAFICA!$B$1:$G$306,3,FALSE)</f>
        <v>OLIVIERO</v>
      </c>
      <c r="D52" s="109" t="str">
        <f>VLOOKUP($A52,ANAGRAFICA!$B$1:$G$306,4,FALSE)</f>
        <v>758-4</v>
      </c>
      <c r="E52" s="109">
        <f>VLOOKUP($A52,ANAGRAFICA!$B$1:$G$306,5,FALSE)</f>
        <v>3272024070</v>
      </c>
      <c r="F52" s="109">
        <f>VLOOKUP($A52,ANAGRAFICA!$B$1:$G$306,6,FALSE)</f>
        <v>2024</v>
      </c>
      <c r="G52" s="3">
        <v>1.0</v>
      </c>
      <c r="H52" s="14" t="s">
        <v>985</v>
      </c>
    </row>
    <row r="53">
      <c r="A53" s="3">
        <v>2.1240107E9</v>
      </c>
      <c r="B53" s="109" t="str">
        <f>VLOOKUP($A53,ANAGRAFICA!$B$1:$G$306,2,FALSE)</f>
        <v>ORNAGHI</v>
      </c>
      <c r="C53" s="109" t="str">
        <f>VLOOKUP($A53,ANAGRAFICA!$B$1:$G$306,3,FALSE)</f>
        <v>LORENZO</v>
      </c>
      <c r="D53" s="109" t="str">
        <f>VLOOKUP($A53,ANAGRAFICA!$B$1:$G$306,4,FALSE)</f>
        <v>758-2</v>
      </c>
      <c r="E53" s="109">
        <f>VLOOKUP($A53,ANAGRAFICA!$B$1:$G$306,5,FALSE)</f>
        <v>3272024068</v>
      </c>
      <c r="F53" s="109">
        <f>VLOOKUP($A53,ANAGRAFICA!$B$1:$G$306,6,FALSE)</f>
        <v>2024</v>
      </c>
      <c r="G53" s="3">
        <v>1.0</v>
      </c>
      <c r="H53" s="16"/>
      <c r="I53" s="3" t="s">
        <v>935</v>
      </c>
    </row>
    <row r="54">
      <c r="A54" s="3">
        <v>2.124009735E9</v>
      </c>
      <c r="B54" s="109" t="str">
        <f>VLOOKUP($A54,ANAGRAFICA!$B$1:$G$306,2,FALSE)</f>
        <v>BOSSI</v>
      </c>
      <c r="C54" s="109" t="str">
        <f>VLOOKUP($A54,ANAGRAFICA!$B$1:$G$306,3,FALSE)</f>
        <v>LUDOVICO</v>
      </c>
      <c r="D54" s="109" t="str">
        <f>VLOOKUP($A54,ANAGRAFICA!$B$1:$G$306,4,FALSE)</f>
        <v>758-1</v>
      </c>
      <c r="E54" s="109">
        <f>VLOOKUP($A54,ANAGRAFICA!$B$1:$G$306,5,FALSE)</f>
        <v>3272024067</v>
      </c>
      <c r="F54" s="109">
        <f>VLOOKUP($A54,ANAGRAFICA!$B$1:$G$306,6,FALSE)</f>
        <v>2024</v>
      </c>
      <c r="G54" s="3">
        <v>1.0</v>
      </c>
      <c r="H54" s="16"/>
      <c r="I54" s="3" t="s">
        <v>935</v>
      </c>
    </row>
    <row r="55">
      <c r="A55" s="3">
        <v>2.124008291E9</v>
      </c>
      <c r="B55" s="109" t="str">
        <f>VLOOKUP($A55,ANAGRAFICA!$B$1:$G$306,2,FALSE)</f>
        <v>FUMAGALLI</v>
      </c>
      <c r="C55" s="109" t="str">
        <f>VLOOKUP($A55,ANAGRAFICA!$B$1:$G$306,3,FALSE)</f>
        <v>PIERO</v>
      </c>
      <c r="D55" s="109" t="str">
        <f>VLOOKUP($A55,ANAGRAFICA!$B$1:$G$306,4,FALSE)</f>
        <v/>
      </c>
      <c r="E55" s="109">
        <f>VLOOKUP($A55,ANAGRAFICA!$B$1:$G$306,5,FALSE)</f>
        <v>3272024065</v>
      </c>
      <c r="F55" s="109">
        <f>VLOOKUP($A55,ANAGRAFICA!$B$1:$G$306,6,FALSE)</f>
        <v>2024</v>
      </c>
      <c r="G55" s="3">
        <v>1.0</v>
      </c>
      <c r="H55" s="14" t="s">
        <v>973</v>
      </c>
    </row>
    <row r="56">
      <c r="A56" s="3">
        <v>2.124206072E9</v>
      </c>
      <c r="B56" s="109" t="str">
        <f>VLOOKUP($A56,ANAGRAFICA!$B$1:$G$306,2,FALSE)</f>
        <v>CONSONNI</v>
      </c>
      <c r="C56" s="109" t="str">
        <f>VLOOKUP($A56,ANAGRAFICA!$B$1:$G$306,3,FALSE)</f>
        <v>GIULIO</v>
      </c>
      <c r="D56" s="109" t="str">
        <f>VLOOKUP($A56,ANAGRAFICA!$B$1:$G$306,4,FALSE)</f>
        <v/>
      </c>
      <c r="E56" s="109">
        <f>VLOOKUP($A56,ANAGRAFICA!$B$1:$G$306,5,FALSE)</f>
        <v>3272024064</v>
      </c>
      <c r="F56" s="109">
        <f>VLOOKUP($A56,ANAGRAFICA!$B$1:$G$306,6,FALSE)</f>
        <v>2024</v>
      </c>
      <c r="G56" s="3">
        <v>1.0</v>
      </c>
      <c r="H56" s="14" t="s">
        <v>981</v>
      </c>
    </row>
    <row r="57">
      <c r="A57" s="3">
        <v>2.124206072E9</v>
      </c>
      <c r="B57" s="109" t="str">
        <f>VLOOKUP($A57,ANAGRAFICA!$B$1:$G$306,2,FALSE)</f>
        <v>CONSONNI</v>
      </c>
      <c r="C57" s="109" t="str">
        <f>VLOOKUP($A57,ANAGRAFICA!$B$1:$G$306,3,FALSE)</f>
        <v>GIULIO</v>
      </c>
      <c r="D57" s="109" t="str">
        <f>VLOOKUP($A57,ANAGRAFICA!$B$1:$G$306,4,FALSE)</f>
        <v/>
      </c>
      <c r="E57" s="109">
        <f>VLOOKUP($A57,ANAGRAFICA!$B$1:$G$306,5,FALSE)</f>
        <v>3272024064</v>
      </c>
      <c r="F57" s="109">
        <f>VLOOKUP($A57,ANAGRAFICA!$B$1:$G$306,6,FALSE)</f>
        <v>2024</v>
      </c>
      <c r="G57" s="3">
        <v>1.0</v>
      </c>
      <c r="H57" s="14" t="s">
        <v>976</v>
      </c>
    </row>
    <row r="58">
      <c r="A58" s="3">
        <v>2.124206072E9</v>
      </c>
      <c r="B58" s="109" t="str">
        <f>VLOOKUP($A58,ANAGRAFICA!$B$1:$G$306,2,FALSE)</f>
        <v>CONSONNI</v>
      </c>
      <c r="C58" s="109" t="str">
        <f>VLOOKUP($A58,ANAGRAFICA!$B$1:$G$306,3,FALSE)</f>
        <v>GIULIO</v>
      </c>
      <c r="D58" s="109" t="str">
        <f>VLOOKUP($A58,ANAGRAFICA!$B$1:$G$306,4,FALSE)</f>
        <v/>
      </c>
      <c r="E58" s="109">
        <f>VLOOKUP($A58,ANAGRAFICA!$B$1:$G$306,5,FALSE)</f>
        <v>3272024064</v>
      </c>
      <c r="F58" s="109">
        <f>VLOOKUP($A58,ANAGRAFICA!$B$1:$G$306,6,FALSE)</f>
        <v>2024</v>
      </c>
      <c r="G58" s="3">
        <v>1.0</v>
      </c>
      <c r="H58" s="14"/>
      <c r="I58" s="3" t="s">
        <v>935</v>
      </c>
    </row>
    <row r="59">
      <c r="A59" s="3">
        <v>2.124007138E9</v>
      </c>
      <c r="B59" s="109" t="str">
        <f>VLOOKUP($A59,ANAGRAFICA!$B$1:$G$306,2,FALSE)</f>
        <v>TARTARELLI</v>
      </c>
      <c r="C59" s="109" t="str">
        <f>VLOOKUP($A59,ANAGRAFICA!$B$1:$G$306,3,FALSE)</f>
        <v>GIUSEPPE</v>
      </c>
      <c r="D59" s="109" t="str">
        <f>VLOOKUP($A59,ANAGRAFICA!$B$1:$G$306,4,FALSE)</f>
        <v/>
      </c>
      <c r="E59" s="109">
        <f>VLOOKUP($A59,ANAGRAFICA!$B$1:$G$306,5,FALSE)</f>
        <v>3272024063</v>
      </c>
      <c r="F59" s="109">
        <f>VLOOKUP($A59,ANAGRAFICA!$B$1:$G$306,6,FALSE)</f>
        <v>2024</v>
      </c>
      <c r="G59" s="3">
        <v>1.0</v>
      </c>
      <c r="H59" s="16"/>
      <c r="I59" s="3" t="s">
        <v>935</v>
      </c>
    </row>
    <row r="60">
      <c r="A60" s="3">
        <v>2.124008603E9</v>
      </c>
      <c r="B60" s="109" t="str">
        <f>VLOOKUP($A60,ANAGRAFICA!$B$1:$G$306,2,FALSE)</f>
        <v>MARIANI</v>
      </c>
      <c r="C60" s="109" t="str">
        <f>VLOOKUP($A60,ANAGRAFICA!$B$1:$G$306,3,FALSE)</f>
        <v>MARCO</v>
      </c>
      <c r="D60" s="109" t="str">
        <f>VLOOKUP($A60,ANAGRAFICA!$B$1:$G$306,4,FALSE)</f>
        <v/>
      </c>
      <c r="E60" s="109">
        <f>VLOOKUP($A60,ANAGRAFICA!$B$1:$G$306,5,FALSE)</f>
        <v>3272024066</v>
      </c>
      <c r="F60" s="109">
        <f>VLOOKUP($A60,ANAGRAFICA!$B$1:$G$306,6,FALSE)</f>
        <v>2024</v>
      </c>
      <c r="G60" s="3">
        <v>1.0</v>
      </c>
      <c r="H60" s="14" t="s">
        <v>976</v>
      </c>
    </row>
    <row r="61">
      <c r="A61" s="3">
        <v>2.124015827E9</v>
      </c>
      <c r="B61" s="109" t="str">
        <f>VLOOKUP($A61,ANAGRAFICA!$B$1:$G$306,2,FALSE)</f>
        <v>SCHIAVON</v>
      </c>
      <c r="C61" s="109" t="str">
        <f>VLOOKUP($A61,ANAGRAFICA!$B$1:$G$306,3,FALSE)</f>
        <v>ELIO PAOLO</v>
      </c>
      <c r="D61" s="109" t="str">
        <f>VLOOKUP($A61,ANAGRAFICA!$B$1:$G$306,4,FALSE)</f>
        <v>758-11</v>
      </c>
      <c r="E61" s="109">
        <f>VLOOKUP($A61,ANAGRAFICA!$B$1:$G$306,5,FALSE)</f>
        <v>3272024077</v>
      </c>
      <c r="F61" s="109">
        <f>VLOOKUP($A61,ANAGRAFICA!$B$1:$G$306,6,FALSE)</f>
        <v>2024</v>
      </c>
      <c r="G61" s="3">
        <v>1.0</v>
      </c>
      <c r="H61" s="16"/>
      <c r="I61" s="3" t="s">
        <v>935</v>
      </c>
    </row>
    <row r="62">
      <c r="A62" s="3">
        <v>2.12400578E9</v>
      </c>
      <c r="B62" s="109" t="str">
        <f>VLOOKUP($A62,ANAGRAFICA!$B$1:$G$306,2,FALSE)</f>
        <v>SAINCIUC</v>
      </c>
      <c r="C62" s="109" t="str">
        <f>VLOOKUP($A62,ANAGRAFICA!$B$1:$G$306,3,FALSE)</f>
        <v>AUREL</v>
      </c>
      <c r="D62" s="109" t="str">
        <f>VLOOKUP($A62,ANAGRAFICA!$B$1:$G$306,4,FALSE)</f>
        <v/>
      </c>
      <c r="E62" s="109">
        <f>VLOOKUP($A62,ANAGRAFICA!$B$1:$G$306,5,FALSE)</f>
        <v>3272024061</v>
      </c>
      <c r="F62" s="109">
        <f>VLOOKUP($A62,ANAGRAFICA!$B$1:$G$306,6,FALSE)</f>
        <v>2024</v>
      </c>
      <c r="G62" s="3">
        <v>1.0</v>
      </c>
      <c r="H62" s="16"/>
      <c r="I62" s="3" t="s">
        <v>935</v>
      </c>
    </row>
    <row r="63">
      <c r="A63" s="3">
        <v>2.124006081E9</v>
      </c>
      <c r="B63" s="109" t="str">
        <f>VLOOKUP($A63,ANAGRAFICA!$B$1:$G$306,2,FALSE)</f>
        <v>DOSSI</v>
      </c>
      <c r="C63" s="109" t="str">
        <f>VLOOKUP($A63,ANAGRAFICA!$B$1:$G$306,3,FALSE)</f>
        <v>MAURIZIO ANTONIO</v>
      </c>
      <c r="D63" s="109" t="str">
        <f>VLOOKUP($A63,ANAGRAFICA!$B$1:$G$306,4,FALSE)</f>
        <v/>
      </c>
      <c r="E63" s="109">
        <f>VLOOKUP($A63,ANAGRAFICA!$B$1:$G$306,5,FALSE)</f>
        <v>3272024062</v>
      </c>
      <c r="F63" s="109">
        <f>VLOOKUP($A63,ANAGRAFICA!$B$1:$G$306,6,FALSE)</f>
        <v>2024</v>
      </c>
      <c r="G63" s="3">
        <v>1.0</v>
      </c>
      <c r="H63" s="14" t="s">
        <v>973</v>
      </c>
    </row>
    <row r="64">
      <c r="A64" s="3">
        <v>2.124006081E9</v>
      </c>
      <c r="B64" s="109" t="str">
        <f>VLOOKUP($A64,ANAGRAFICA!$B$1:$G$306,2,FALSE)</f>
        <v>DOSSI</v>
      </c>
      <c r="C64" s="109" t="str">
        <f>VLOOKUP($A64,ANAGRAFICA!$B$1:$G$306,3,FALSE)</f>
        <v>MAURIZIO ANTONIO</v>
      </c>
      <c r="D64" s="109" t="str">
        <f>VLOOKUP($A64,ANAGRAFICA!$B$1:$G$306,4,FALSE)</f>
        <v/>
      </c>
      <c r="E64" s="109">
        <f>VLOOKUP($A64,ANAGRAFICA!$B$1:$G$306,5,FALSE)</f>
        <v>3272024062</v>
      </c>
      <c r="F64" s="109">
        <f>VLOOKUP($A64,ANAGRAFICA!$B$1:$G$306,6,FALSE)</f>
        <v>2024</v>
      </c>
      <c r="G64" s="3">
        <v>1.0</v>
      </c>
      <c r="H64" s="14" t="s">
        <v>981</v>
      </c>
    </row>
    <row r="65">
      <c r="A65" s="3">
        <v>2.124006081E9</v>
      </c>
      <c r="B65" s="109" t="str">
        <f>VLOOKUP($A65,ANAGRAFICA!$B$1:$G$306,2,FALSE)</f>
        <v>DOSSI</v>
      </c>
      <c r="C65" s="109" t="str">
        <f>VLOOKUP($A65,ANAGRAFICA!$B$1:$G$306,3,FALSE)</f>
        <v>MAURIZIO ANTONIO</v>
      </c>
      <c r="D65" s="109" t="str">
        <f>VLOOKUP($A65,ANAGRAFICA!$B$1:$G$306,4,FALSE)</f>
        <v/>
      </c>
      <c r="E65" s="109">
        <f>VLOOKUP($A65,ANAGRAFICA!$B$1:$G$306,5,FALSE)</f>
        <v>3272024062</v>
      </c>
      <c r="F65" s="109">
        <f>VLOOKUP($A65,ANAGRAFICA!$B$1:$G$306,6,FALSE)</f>
        <v>2024</v>
      </c>
      <c r="G65" s="3">
        <v>1.0</v>
      </c>
      <c r="H65" s="14" t="s">
        <v>976</v>
      </c>
    </row>
    <row r="66">
      <c r="A66" s="3">
        <v>2.124006081E9</v>
      </c>
      <c r="B66" s="109" t="str">
        <f>VLOOKUP($A66,ANAGRAFICA!$B$1:$G$306,2,FALSE)</f>
        <v>DOSSI</v>
      </c>
      <c r="C66" s="109" t="str">
        <f>VLOOKUP($A66,ANAGRAFICA!$B$1:$G$306,3,FALSE)</f>
        <v>MAURIZIO ANTONIO</v>
      </c>
      <c r="D66" s="109" t="str">
        <f>VLOOKUP($A66,ANAGRAFICA!$B$1:$G$306,4,FALSE)</f>
        <v/>
      </c>
      <c r="E66" s="109">
        <f>VLOOKUP($A66,ANAGRAFICA!$B$1:$G$306,5,FALSE)</f>
        <v>3272024062</v>
      </c>
      <c r="F66" s="109">
        <f>VLOOKUP($A66,ANAGRAFICA!$B$1:$G$306,6,FALSE)</f>
        <v>2024</v>
      </c>
      <c r="G66" s="3">
        <v>1.0</v>
      </c>
      <c r="H66" s="14" t="s">
        <v>975</v>
      </c>
    </row>
    <row r="67">
      <c r="A67" s="3">
        <v>2.124004761E9</v>
      </c>
      <c r="B67" s="109" t="str">
        <f>VLOOKUP($A67,ANAGRAFICA!$B$1:$G$306,2,FALSE)</f>
        <v>TRAMPOLIN</v>
      </c>
      <c r="C67" s="109" t="str">
        <f>VLOOKUP($A67,ANAGRAFICA!$B$1:$G$306,3,FALSE)</f>
        <v>FABIO</v>
      </c>
      <c r="D67" s="109" t="str">
        <f>VLOOKUP($A67,ANAGRAFICA!$B$1:$G$306,4,FALSE)</f>
        <v/>
      </c>
      <c r="E67" s="109">
        <f>VLOOKUP($A67,ANAGRAFICA!$B$1:$G$306,5,FALSE)</f>
        <v>3272024060</v>
      </c>
      <c r="F67" s="109">
        <f>VLOOKUP($A67,ANAGRAFICA!$B$1:$G$306,6,FALSE)</f>
        <v>2024</v>
      </c>
      <c r="G67" s="3">
        <v>1.0</v>
      </c>
      <c r="H67" s="16"/>
      <c r="I67" s="3" t="s">
        <v>935</v>
      </c>
    </row>
    <row r="68">
      <c r="A68" s="3">
        <v>2.124003924E9</v>
      </c>
      <c r="B68" s="109" t="str">
        <f>VLOOKUP($A68,ANAGRAFICA!$B$1:$G$306,2,FALSE)</f>
        <v>MUHAMMAD</v>
      </c>
      <c r="C68" s="109" t="str">
        <f>VLOOKUP($A68,ANAGRAFICA!$B$1:$G$306,3,FALSE)</f>
        <v>SHARIF</v>
      </c>
      <c r="D68" s="109" t="str">
        <f>VLOOKUP($A68,ANAGRAFICA!$B$1:$G$306,4,FALSE)</f>
        <v/>
      </c>
      <c r="E68" s="109">
        <f>VLOOKUP($A68,ANAGRAFICA!$B$1:$G$306,5,FALSE)</f>
        <v>3272024059</v>
      </c>
      <c r="F68" s="109">
        <f>VLOOKUP($A68,ANAGRAFICA!$B$1:$G$306,6,FALSE)</f>
        <v>2024</v>
      </c>
      <c r="G68" s="3">
        <v>1.0</v>
      </c>
      <c r="H68" s="16"/>
      <c r="I68" s="3" t="s">
        <v>935</v>
      </c>
    </row>
    <row r="69">
      <c r="A69" s="3">
        <v>2.124206072E9</v>
      </c>
      <c r="B69" s="109" t="str">
        <f>VLOOKUP($A69,ANAGRAFICA!$B$1:$G$306,2,FALSE)</f>
        <v>CONSONNI</v>
      </c>
      <c r="C69" s="109" t="str">
        <f>VLOOKUP($A69,ANAGRAFICA!$B$1:$G$306,3,FALSE)</f>
        <v>GIULIO</v>
      </c>
      <c r="D69" s="109" t="str">
        <f>VLOOKUP($A69,ANAGRAFICA!$B$1:$G$306,4,FALSE)</f>
        <v/>
      </c>
      <c r="E69" s="109">
        <f>VLOOKUP($A69,ANAGRAFICA!$B$1:$G$306,5,FALSE)</f>
        <v>3272024064</v>
      </c>
      <c r="F69" s="109">
        <f>VLOOKUP($A69,ANAGRAFICA!$B$1:$G$306,6,FALSE)</f>
        <v>2024</v>
      </c>
      <c r="G69" s="3">
        <v>2.0</v>
      </c>
      <c r="H69" s="14" t="s">
        <v>976</v>
      </c>
    </row>
    <row r="70">
      <c r="A70" s="3">
        <v>2.124206072E9</v>
      </c>
      <c r="B70" s="109" t="str">
        <f>VLOOKUP($A70,ANAGRAFICA!$B$1:$G$306,2,FALSE)</f>
        <v>CONSONNI</v>
      </c>
      <c r="C70" s="109" t="str">
        <f>VLOOKUP($A70,ANAGRAFICA!$B$1:$G$306,3,FALSE)</f>
        <v>GIULIO</v>
      </c>
      <c r="D70" s="109" t="str">
        <f>VLOOKUP($A70,ANAGRAFICA!$B$1:$G$306,4,FALSE)</f>
        <v/>
      </c>
      <c r="E70" s="109">
        <f>VLOOKUP($A70,ANAGRAFICA!$B$1:$G$306,5,FALSE)</f>
        <v>3272024064</v>
      </c>
      <c r="F70" s="109">
        <f>VLOOKUP($A70,ANAGRAFICA!$B$1:$G$306,6,FALSE)</f>
        <v>2024</v>
      </c>
      <c r="G70" s="3">
        <v>2.0</v>
      </c>
      <c r="H70" s="14" t="s">
        <v>973</v>
      </c>
    </row>
    <row r="71">
      <c r="A71" s="3">
        <v>2.124023603E9</v>
      </c>
      <c r="B71" s="109" t="str">
        <f>VLOOKUP($A71,ANAGRAFICA!$B$1:$G$306,2,FALSE)</f>
        <v>MAZZARDIS </v>
      </c>
      <c r="C71" s="109" t="str">
        <f>VLOOKUP($A71,ANAGRAFICA!$B$1:$G$306,3,FALSE)</f>
        <v>DAVIDE</v>
      </c>
      <c r="D71" s="109" t="str">
        <f>VLOOKUP($A71,ANAGRAFICA!$B$1:$G$306,4,FALSE)</f>
        <v>758-19</v>
      </c>
      <c r="E71" s="109">
        <f>VLOOKUP($A71,ANAGRAFICA!$B$1:$G$306,5,FALSE)</f>
        <v>3272024085</v>
      </c>
      <c r="F71" s="109">
        <f>VLOOKUP($A71,ANAGRAFICA!$B$1:$G$306,6,FALSE)</f>
        <v>2024</v>
      </c>
      <c r="G71" s="3">
        <v>1.0</v>
      </c>
      <c r="H71" s="14" t="s">
        <v>976</v>
      </c>
      <c r="I71" s="3" t="s">
        <v>935</v>
      </c>
    </row>
    <row r="72">
      <c r="A72" s="3">
        <v>2.124023603E9</v>
      </c>
      <c r="B72" s="109" t="str">
        <f>VLOOKUP($A72,ANAGRAFICA!$B$1:$G$306,2,FALSE)</f>
        <v>MAZZARDIS </v>
      </c>
      <c r="C72" s="109" t="str">
        <f>VLOOKUP($A72,ANAGRAFICA!$B$1:$G$306,3,FALSE)</f>
        <v>DAVIDE</v>
      </c>
      <c r="D72" s="109" t="str">
        <f>VLOOKUP($A72,ANAGRAFICA!$B$1:$G$306,4,FALSE)</f>
        <v>758-19</v>
      </c>
      <c r="E72" s="109">
        <f>VLOOKUP($A72,ANAGRAFICA!$B$1:$G$306,5,FALSE)</f>
        <v>3272024085</v>
      </c>
      <c r="F72" s="109">
        <f>VLOOKUP($A72,ANAGRAFICA!$B$1:$G$306,6,FALSE)</f>
        <v>2024</v>
      </c>
      <c r="G72" s="3">
        <v>1.0</v>
      </c>
      <c r="H72" s="14" t="s">
        <v>981</v>
      </c>
      <c r="I72" s="3" t="s">
        <v>935</v>
      </c>
    </row>
    <row r="73">
      <c r="A73" s="3">
        <v>2.124016781E9</v>
      </c>
      <c r="B73" s="109" t="str">
        <f>VLOOKUP($A73,ANAGRAFICA!$B$1:$G$306,2,FALSE)</f>
        <v>TURNO ARTHEMALLE</v>
      </c>
      <c r="C73" s="109" t="str">
        <f>VLOOKUP($A73,ANAGRAFICA!$B$1:$G$306,3,FALSE)</f>
        <v>ALICE</v>
      </c>
      <c r="D73" s="109" t="str">
        <f>VLOOKUP($A73,ANAGRAFICA!$B$1:$G$306,4,FALSE)</f>
        <v>758-12</v>
      </c>
      <c r="E73" s="109">
        <f>VLOOKUP($A73,ANAGRAFICA!$B$1:$G$306,5,FALSE)</f>
        <v>3272024078</v>
      </c>
      <c r="F73" s="109">
        <f>VLOOKUP($A73,ANAGRAFICA!$B$1:$G$306,6,FALSE)</f>
        <v>2024</v>
      </c>
      <c r="G73" s="3">
        <v>1.0</v>
      </c>
      <c r="H73" s="14" t="s">
        <v>973</v>
      </c>
    </row>
    <row r="74">
      <c r="A74" s="3">
        <v>2.124011236E9</v>
      </c>
      <c r="B74" s="109" t="str">
        <f>VLOOKUP($A74,ANAGRAFICA!$B$1:$G$306,2,FALSE)</f>
        <v>BERETTA</v>
      </c>
      <c r="C74" s="109" t="str">
        <f>VLOOKUP($A74,ANAGRAFICA!$B$1:$G$306,3,FALSE)</f>
        <v>ENZO LUCIANO</v>
      </c>
      <c r="D74" s="109" t="str">
        <f>VLOOKUP($A74,ANAGRAFICA!$B$1:$G$306,4,FALSE)</f>
        <v>758-3</v>
      </c>
      <c r="E74" s="109">
        <f>VLOOKUP($A74,ANAGRAFICA!$B$1:$G$306,5,FALSE)</f>
        <v>3272024069</v>
      </c>
      <c r="F74" s="109">
        <f>VLOOKUP($A74,ANAGRAFICA!$B$1:$G$306,6,FALSE)</f>
        <v>2024</v>
      </c>
      <c r="G74" s="3">
        <v>1.0</v>
      </c>
      <c r="H74" s="16"/>
      <c r="I74" s="3" t="s">
        <v>935</v>
      </c>
    </row>
    <row r="75">
      <c r="A75" s="3">
        <v>2.124024078E9</v>
      </c>
      <c r="B75" s="109" t="str">
        <f>VLOOKUP($A75,ANAGRAFICA!$B$1:$G$306,2,FALSE)</f>
        <v>ROVARIS</v>
      </c>
      <c r="C75" s="109" t="str">
        <f>VLOOKUP($A75,ANAGRAFICA!$B$1:$G$306,3,FALSE)</f>
        <v>ANGELO FELICE</v>
      </c>
      <c r="D75" s="109" t="str">
        <f>VLOOKUP($A75,ANAGRAFICA!$B$1:$G$306,4,FALSE)</f>
        <v>758-20</v>
      </c>
      <c r="E75" s="109">
        <f>VLOOKUP($A75,ANAGRAFICA!$B$1:$G$306,5,FALSE)</f>
        <v>3272024086</v>
      </c>
      <c r="F75" s="109">
        <f>VLOOKUP($A75,ANAGRAFICA!$B$1:$G$306,6,FALSE)</f>
        <v>2024</v>
      </c>
      <c r="G75" s="3">
        <v>1.0</v>
      </c>
      <c r="H75" s="14" t="s">
        <v>973</v>
      </c>
    </row>
    <row r="76">
      <c r="A76" s="3">
        <v>2.124025195E9</v>
      </c>
      <c r="B76" s="109" t="str">
        <f>VLOOKUP($A76,ANAGRAFICA!$B$1:$G$306,2,FALSE)</f>
        <v>FAZIO</v>
      </c>
      <c r="C76" s="109" t="str">
        <f>VLOOKUP($A76,ANAGRAFICA!$B$1:$G$306,3,FALSE)</f>
        <v>FRANCESCO ANTONIO</v>
      </c>
      <c r="D76" s="109" t="str">
        <f>VLOOKUP($A76,ANAGRAFICA!$B$1:$G$306,4,FALSE)</f>
        <v>758-21</v>
      </c>
      <c r="E76" s="109">
        <f>VLOOKUP($A76,ANAGRAFICA!$B$1:$G$306,5,FALSE)</f>
        <v>3272024087</v>
      </c>
      <c r="F76" s="109">
        <f>VLOOKUP($A76,ANAGRAFICA!$B$1:$G$306,6,FALSE)</f>
        <v>2024</v>
      </c>
      <c r="G76" s="3">
        <v>1.0</v>
      </c>
      <c r="H76" s="14" t="s">
        <v>981</v>
      </c>
    </row>
    <row r="77">
      <c r="A77" s="3">
        <v>2.125000348E9</v>
      </c>
      <c r="B77" s="109" t="str">
        <f>VLOOKUP($A77,ANAGRAFICA!$B$1:$G$306,2,FALSE)</f>
        <v>SLAVKOVA</v>
      </c>
      <c r="C77" s="109" t="str">
        <f>VLOOKUP($A77,ANAGRAFICA!$B$1:$G$306,3,FALSE)</f>
        <v>EVELINA PLAMENOVA</v>
      </c>
      <c r="D77" s="109" t="str">
        <f>VLOOKUP($A77,ANAGRAFICA!$B$1:$G$306,4,FALSE)</f>
        <v/>
      </c>
      <c r="E77" s="109">
        <f>VLOOKUP($A77,ANAGRAFICA!$B$1:$G$306,5,FALSE)</f>
        <v>3272025051</v>
      </c>
      <c r="F77" s="109">
        <f>VLOOKUP($A77,ANAGRAFICA!$B$1:$G$306,6,FALSE)</f>
        <v>2025</v>
      </c>
      <c r="G77" s="3">
        <v>1.0</v>
      </c>
      <c r="H77" s="14" t="s">
        <v>973</v>
      </c>
    </row>
    <row r="78">
      <c r="A78" s="3">
        <v>2.125000348E9</v>
      </c>
      <c r="B78" s="109" t="str">
        <f>VLOOKUP($A78,ANAGRAFICA!$B$1:$G$306,2,FALSE)</f>
        <v>SLAVKOVA</v>
      </c>
      <c r="C78" s="109" t="str">
        <f>VLOOKUP($A78,ANAGRAFICA!$B$1:$G$306,3,FALSE)</f>
        <v>EVELINA PLAMENOVA</v>
      </c>
      <c r="D78" s="109" t="str">
        <f>VLOOKUP($A78,ANAGRAFICA!$B$1:$G$306,4,FALSE)</f>
        <v/>
      </c>
      <c r="E78" s="109">
        <f>VLOOKUP($A78,ANAGRAFICA!$B$1:$G$306,5,FALSE)</f>
        <v>3272025051</v>
      </c>
      <c r="F78" s="109">
        <f>VLOOKUP($A78,ANAGRAFICA!$B$1:$G$306,6,FALSE)</f>
        <v>2025</v>
      </c>
      <c r="G78" s="3">
        <v>1.0</v>
      </c>
      <c r="H78" s="14" t="s">
        <v>981</v>
      </c>
    </row>
    <row r="79">
      <c r="A79" s="3">
        <v>2.124025878E9</v>
      </c>
      <c r="B79" s="109" t="str">
        <f>VLOOKUP($A79,ANAGRAFICA!$B$1:$G$306,2,FALSE)</f>
        <v>PEDRONI </v>
      </c>
      <c r="C79" s="109" t="str">
        <f>VLOOKUP($A79,ANAGRAFICA!$B$1:$G$306,3,FALSE)</f>
        <v>PIERANGELO</v>
      </c>
      <c r="D79" s="109" t="str">
        <f>VLOOKUP($A79,ANAGRAFICA!$B$1:$G$306,4,FALSE)</f>
        <v>758-22</v>
      </c>
      <c r="E79" s="109">
        <f>VLOOKUP($A79,ANAGRAFICA!$B$1:$G$306,5,FALSE)</f>
        <v>3272024088</v>
      </c>
      <c r="F79" s="109">
        <f>VLOOKUP($A79,ANAGRAFICA!$B$1:$G$306,6,FALSE)</f>
        <v>2024</v>
      </c>
      <c r="G79" s="3">
        <v>1.0</v>
      </c>
      <c r="H79" s="16"/>
      <c r="I79" s="3" t="s">
        <v>935</v>
      </c>
    </row>
    <row r="80">
      <c r="A80" s="3">
        <v>2.125004454E9</v>
      </c>
      <c r="B80" s="109" t="str">
        <f>VLOOKUP($A80,ANAGRAFICA!$B$1:$G$306,2,FALSE)</f>
        <v>ANTIGNANO</v>
      </c>
      <c r="C80" s="109" t="str">
        <f>VLOOKUP($A80,ANAGRAFICA!$B$1:$G$306,3,FALSE)</f>
        <v>MAURO</v>
      </c>
      <c r="D80" s="109" t="str">
        <f>VLOOKUP($A80,ANAGRAFICA!$B$1:$G$306,4,FALSE)</f>
        <v>758-23</v>
      </c>
      <c r="E80" s="109">
        <f>VLOOKUP($A80,ANAGRAFICA!$B$1:$G$306,5,FALSE)</f>
        <v>3272025052</v>
      </c>
      <c r="F80" s="109">
        <f>VLOOKUP($A80,ANAGRAFICA!$B$1:$G$306,6,FALSE)</f>
        <v>2025</v>
      </c>
      <c r="G80" s="3">
        <v>1.0</v>
      </c>
      <c r="H80" s="16"/>
      <c r="I80" s="3" t="s">
        <v>935</v>
      </c>
    </row>
    <row r="81">
      <c r="A81" s="3">
        <v>2.125004867E9</v>
      </c>
      <c r="B81" s="109" t="str">
        <f>VLOOKUP($A81,ANAGRAFICA!$B$1:$G$306,2,FALSE)</f>
        <v>MARCONI</v>
      </c>
      <c r="C81" s="109" t="str">
        <f>VLOOKUP($A81,ANAGRAFICA!$B$1:$G$306,3,FALSE)</f>
        <v>PIETRO VITTORIO</v>
      </c>
      <c r="D81" s="109" t="str">
        <f>VLOOKUP($A81,ANAGRAFICA!$B$1:$G$306,4,FALSE)</f>
        <v/>
      </c>
      <c r="E81" s="109">
        <f>VLOOKUP($A81,ANAGRAFICA!$B$1:$G$306,5,FALSE)</f>
        <v>3272025053</v>
      </c>
      <c r="F81" s="109">
        <f>VLOOKUP($A81,ANAGRAFICA!$B$1:$G$306,6,FALSE)</f>
        <v>2025</v>
      </c>
      <c r="G81" s="3">
        <v>1.0</v>
      </c>
      <c r="H81" s="14" t="s">
        <v>981</v>
      </c>
      <c r="I81" s="3" t="s">
        <v>935</v>
      </c>
    </row>
    <row r="82">
      <c r="A82" s="3">
        <v>2.025010247E9</v>
      </c>
      <c r="B82" s="109" t="str">
        <f>VLOOKUP($A82,ANAGRAFICA!$B$1:$G$306,2,FALSE)</f>
        <v>TREMOLADA</v>
      </c>
      <c r="C82" s="109" t="str">
        <f>VLOOKUP($A82,ANAGRAFICA!$B$1:$G$306,3,FALSE)</f>
        <v>MARCO</v>
      </c>
      <c r="D82" s="109" t="str">
        <f>VLOOKUP($A82,ANAGRAFICA!$B$1:$G$306,4,FALSE)</f>
        <v>758-25</v>
      </c>
      <c r="E82" s="109">
        <f>VLOOKUP($A82,ANAGRAFICA!$B$1:$G$306,5,FALSE)</f>
        <v>3272025054</v>
      </c>
      <c r="F82" s="109">
        <f>VLOOKUP($A82,ANAGRAFICA!$B$1:$G$306,6,FALSE)</f>
        <v>2025</v>
      </c>
      <c r="G82" s="3">
        <v>1.0</v>
      </c>
      <c r="H82" s="14" t="s">
        <v>987</v>
      </c>
      <c r="I82" s="3"/>
    </row>
    <row r="83">
      <c r="A83" s="3">
        <v>2.025010247E9</v>
      </c>
      <c r="B83" s="109" t="str">
        <f>VLOOKUP($A83,ANAGRAFICA!$B$1:$G$306,2,FALSE)</f>
        <v>TREMOLADA</v>
      </c>
      <c r="C83" s="109" t="str">
        <f>VLOOKUP($A83,ANAGRAFICA!$B$1:$G$306,3,FALSE)</f>
        <v>MARCO</v>
      </c>
      <c r="D83" s="109" t="str">
        <f>VLOOKUP($A83,ANAGRAFICA!$B$1:$G$306,4,FALSE)</f>
        <v>758-25</v>
      </c>
      <c r="E83" s="109">
        <f>VLOOKUP($A83,ANAGRAFICA!$B$1:$G$306,5,FALSE)</f>
        <v>3272025054</v>
      </c>
      <c r="F83" s="109">
        <f>VLOOKUP($A83,ANAGRAFICA!$B$1:$G$306,6,FALSE)</f>
        <v>2025</v>
      </c>
      <c r="G83" s="3">
        <v>1.0</v>
      </c>
      <c r="H83" s="14" t="s">
        <v>981</v>
      </c>
      <c r="I83" s="3" t="s">
        <v>935</v>
      </c>
    </row>
    <row r="84">
      <c r="A84" s="3">
        <v>2.025010247E9</v>
      </c>
      <c r="B84" s="109" t="str">
        <f>VLOOKUP($A84,ANAGRAFICA!$B$1:$G$306,2,FALSE)</f>
        <v>TREMOLADA</v>
      </c>
      <c r="C84" s="109" t="str">
        <f>VLOOKUP($A84,ANAGRAFICA!$B$1:$G$306,3,FALSE)</f>
        <v>MARCO</v>
      </c>
      <c r="D84" s="109" t="str">
        <f>VLOOKUP($A84,ANAGRAFICA!$B$1:$G$306,4,FALSE)</f>
        <v>758-25</v>
      </c>
      <c r="E84" s="109">
        <f>VLOOKUP($A84,ANAGRAFICA!$B$1:$G$306,5,FALSE)</f>
        <v>3272025054</v>
      </c>
      <c r="F84" s="109">
        <f>VLOOKUP($A84,ANAGRAFICA!$B$1:$G$306,6,FALSE)</f>
        <v>2025</v>
      </c>
      <c r="G84" s="3">
        <v>1.0</v>
      </c>
      <c r="H84" s="14" t="s">
        <v>973</v>
      </c>
      <c r="I84" s="3" t="s">
        <v>935</v>
      </c>
    </row>
    <row r="85">
      <c r="A85" s="3">
        <v>2.025010247E9</v>
      </c>
      <c r="B85" s="109" t="str">
        <f>VLOOKUP($A85,ANAGRAFICA!$B$1:$G$306,2,FALSE)</f>
        <v>TREMOLADA</v>
      </c>
      <c r="C85" s="109" t="str">
        <f>VLOOKUP($A85,ANAGRAFICA!$B$1:$G$306,3,FALSE)</f>
        <v>MARCO</v>
      </c>
      <c r="D85" s="109" t="str">
        <f>VLOOKUP($A85,ANAGRAFICA!$B$1:$G$306,4,FALSE)</f>
        <v>758-25</v>
      </c>
      <c r="E85" s="109">
        <f>VLOOKUP($A85,ANAGRAFICA!$B$1:$G$306,5,FALSE)</f>
        <v>3272025054</v>
      </c>
      <c r="F85" s="109">
        <f>VLOOKUP($A85,ANAGRAFICA!$B$1:$G$306,6,FALSE)</f>
        <v>2025</v>
      </c>
      <c r="G85" s="3">
        <v>2.0</v>
      </c>
      <c r="H85" s="14" t="s">
        <v>976</v>
      </c>
    </row>
    <row r="86">
      <c r="A86" s="3">
        <v>2.025010247E9</v>
      </c>
      <c r="B86" s="109" t="str">
        <f>VLOOKUP($A86,ANAGRAFICA!$B$1:$G$306,2,FALSE)</f>
        <v>TREMOLADA</v>
      </c>
      <c r="C86" s="109" t="str">
        <f>VLOOKUP($A86,ANAGRAFICA!$B$1:$G$306,3,FALSE)</f>
        <v>MARCO</v>
      </c>
      <c r="D86" s="109" t="str">
        <f>VLOOKUP($A86,ANAGRAFICA!$B$1:$G$306,4,FALSE)</f>
        <v>758-25</v>
      </c>
      <c r="E86" s="109">
        <f>VLOOKUP($A86,ANAGRAFICA!$B$1:$G$306,5,FALSE)</f>
        <v>3272025054</v>
      </c>
      <c r="F86" s="109">
        <f>VLOOKUP($A86,ANAGRAFICA!$B$1:$G$306,6,FALSE)</f>
        <v>2025</v>
      </c>
      <c r="G86" s="3">
        <v>2.0</v>
      </c>
      <c r="H86" s="14" t="s">
        <v>973</v>
      </c>
    </row>
    <row r="87">
      <c r="A87" s="3">
        <v>2.025010247E9</v>
      </c>
      <c r="B87" s="109" t="str">
        <f>VLOOKUP($A87,ANAGRAFICA!$B$1:$G$306,2,FALSE)</f>
        <v>TREMOLADA</v>
      </c>
      <c r="C87" s="109" t="str">
        <f>VLOOKUP($A87,ANAGRAFICA!$B$1:$G$306,3,FALSE)</f>
        <v>MARCO</v>
      </c>
      <c r="D87" s="109" t="str">
        <f>VLOOKUP($A87,ANAGRAFICA!$B$1:$G$306,4,FALSE)</f>
        <v>758-25</v>
      </c>
      <c r="E87" s="109">
        <f>VLOOKUP($A87,ANAGRAFICA!$B$1:$G$306,5,FALSE)</f>
        <v>3272025054</v>
      </c>
      <c r="F87" s="109">
        <f>VLOOKUP($A87,ANAGRAFICA!$B$1:$G$306,6,FALSE)</f>
        <v>2025</v>
      </c>
      <c r="G87" s="3">
        <v>2.0</v>
      </c>
      <c r="H87" s="14" t="s">
        <v>979</v>
      </c>
    </row>
    <row r="88">
      <c r="A88" s="3">
        <v>2.025010247E9</v>
      </c>
      <c r="B88" s="109" t="str">
        <f>VLOOKUP($A88,ANAGRAFICA!$B$1:$G$306,2,FALSE)</f>
        <v>TREMOLADA</v>
      </c>
      <c r="C88" s="109" t="str">
        <f>VLOOKUP($A88,ANAGRAFICA!$B$1:$G$306,3,FALSE)</f>
        <v>MARCO</v>
      </c>
      <c r="D88" s="109" t="str">
        <f>VLOOKUP($A88,ANAGRAFICA!$B$1:$G$306,4,FALSE)</f>
        <v>758-25</v>
      </c>
      <c r="E88" s="109">
        <f>VLOOKUP($A88,ANAGRAFICA!$B$1:$G$306,5,FALSE)</f>
        <v>3272025054</v>
      </c>
      <c r="F88" s="109">
        <f>VLOOKUP($A88,ANAGRAFICA!$B$1:$G$306,6,FALSE)</f>
        <v>2025</v>
      </c>
      <c r="G88" s="3">
        <v>2.0</v>
      </c>
      <c r="H88" s="14" t="s">
        <v>987</v>
      </c>
    </row>
    <row r="89">
      <c r="A89" s="3">
        <v>2.025010247E9</v>
      </c>
      <c r="B89" s="109" t="str">
        <f>VLOOKUP($A89,ANAGRAFICA!$B$1:$G$306,2,FALSE)</f>
        <v>TREMOLADA</v>
      </c>
      <c r="C89" s="109" t="str">
        <f>VLOOKUP($A89,ANAGRAFICA!$B$1:$G$306,3,FALSE)</f>
        <v>MARCO</v>
      </c>
      <c r="D89" s="109" t="str">
        <f>VLOOKUP($A89,ANAGRAFICA!$B$1:$G$306,4,FALSE)</f>
        <v>758-25</v>
      </c>
      <c r="E89" s="109">
        <f>VLOOKUP($A89,ANAGRAFICA!$B$1:$G$306,5,FALSE)</f>
        <v>3272025054</v>
      </c>
      <c r="F89" s="109">
        <f>VLOOKUP($A89,ANAGRAFICA!$B$1:$G$306,6,FALSE)</f>
        <v>2025</v>
      </c>
      <c r="G89" s="3">
        <v>2.0</v>
      </c>
      <c r="H89" s="14" t="s">
        <v>977</v>
      </c>
    </row>
    <row r="90">
      <c r="A90" s="3">
        <v>2.025010247E9</v>
      </c>
      <c r="B90" s="109" t="str">
        <f>VLOOKUP($A90,ANAGRAFICA!$B$1:$G$306,2,FALSE)</f>
        <v>TREMOLADA</v>
      </c>
      <c r="C90" s="109" t="str">
        <f>VLOOKUP($A90,ANAGRAFICA!$B$1:$G$306,3,FALSE)</f>
        <v>MARCO</v>
      </c>
      <c r="D90" s="109" t="str">
        <f>VLOOKUP($A90,ANAGRAFICA!$B$1:$G$306,4,FALSE)</f>
        <v>758-25</v>
      </c>
      <c r="E90" s="109">
        <f>VLOOKUP($A90,ANAGRAFICA!$B$1:$G$306,5,FALSE)</f>
        <v>3272025054</v>
      </c>
      <c r="F90" s="109">
        <f>VLOOKUP($A90,ANAGRAFICA!$B$1:$G$306,6,FALSE)</f>
        <v>2025</v>
      </c>
      <c r="G90" s="3">
        <v>2.0</v>
      </c>
      <c r="H90" s="14" t="s">
        <v>983</v>
      </c>
    </row>
    <row r="91">
      <c r="A91" s="3">
        <v>2.025010247E9</v>
      </c>
      <c r="B91" s="109" t="str">
        <f>VLOOKUP($A91,ANAGRAFICA!$B$1:$G$306,2,FALSE)</f>
        <v>TREMOLADA</v>
      </c>
      <c r="C91" s="109" t="str">
        <f>VLOOKUP($A91,ANAGRAFICA!$B$1:$G$306,3,FALSE)</f>
        <v>MARCO</v>
      </c>
      <c r="D91" s="109" t="str">
        <f>VLOOKUP($A91,ANAGRAFICA!$B$1:$G$306,4,FALSE)</f>
        <v>758-25</v>
      </c>
      <c r="E91" s="109">
        <f>VLOOKUP($A91,ANAGRAFICA!$B$1:$G$306,5,FALSE)</f>
        <v>3272025054</v>
      </c>
      <c r="F91" s="109">
        <f>VLOOKUP($A91,ANAGRAFICA!$B$1:$G$306,6,FALSE)</f>
        <v>2025</v>
      </c>
      <c r="G91" s="3">
        <v>2.0</v>
      </c>
      <c r="H91" s="14" t="s">
        <v>988</v>
      </c>
    </row>
    <row r="92">
      <c r="A92" s="3">
        <v>2.125020858E9</v>
      </c>
      <c r="B92" s="109" t="str">
        <f>VLOOKUP($A92,ANAGRAFICA!$B$1:$G$306,2,FALSE)</f>
        <v>FALVO</v>
      </c>
      <c r="C92" s="109" t="str">
        <f>VLOOKUP($A92,ANAGRAFICA!$B$1:$G$306,3,FALSE)</f>
        <v>FRANCESCO</v>
      </c>
      <c r="D92" s="109" t="str">
        <f>VLOOKUP($A92,ANAGRAFICA!$B$1:$G$306,4,FALSE)</f>
        <v/>
      </c>
      <c r="E92" s="109">
        <f>VLOOKUP($A92,ANAGRAFICA!$B$1:$G$306,5,FALSE)</f>
        <v>3272025055</v>
      </c>
      <c r="F92" s="109">
        <f>VLOOKUP($A92,ANAGRAFICA!$B$1:$G$306,6,FALSE)</f>
        <v>2025</v>
      </c>
      <c r="G92" s="3">
        <v>1.0</v>
      </c>
      <c r="H92" s="14" t="s">
        <v>989</v>
      </c>
      <c r="I92" s="3" t="s">
        <v>935</v>
      </c>
    </row>
    <row r="93">
      <c r="A93" s="3">
        <v>2.125023093E9</v>
      </c>
      <c r="B93" s="109" t="str">
        <f>VLOOKUP($A93,ANAGRAFICA!$B$1:$G$306,2,FALSE)</f>
        <v>GHEZZI</v>
      </c>
      <c r="C93" s="109" t="str">
        <f>VLOOKUP($A93,ANAGRAFICA!$B$1:$G$306,3,FALSE)</f>
        <v>FABIO</v>
      </c>
      <c r="D93" s="109" t="str">
        <f>VLOOKUP($A93,ANAGRAFICA!$B$1:$G$306,4,FALSE)</f>
        <v>758-28</v>
      </c>
      <c r="E93" s="109">
        <f>VLOOKUP($A93,ANAGRAFICA!$B$1:$G$306,5,FALSE)</f>
        <v>3272025056</v>
      </c>
      <c r="F93" s="109">
        <f>VLOOKUP($A93,ANAGRAFICA!$B$1:$G$306,6,FALSE)</f>
        <v>2025</v>
      </c>
      <c r="G93" s="3">
        <v>1.0</v>
      </c>
      <c r="H93" s="14" t="s">
        <v>990</v>
      </c>
    </row>
    <row r="94">
      <c r="A94" s="3">
        <v>2.125023093E9</v>
      </c>
      <c r="B94" s="109" t="str">
        <f>VLOOKUP($A94,ANAGRAFICA!$B$1:$G$306,2,FALSE)</f>
        <v>GHEZZI</v>
      </c>
      <c r="C94" s="109" t="str">
        <f>VLOOKUP($A94,ANAGRAFICA!$B$1:$G$306,3,FALSE)</f>
        <v>FABIO</v>
      </c>
      <c r="D94" s="109" t="str">
        <f>VLOOKUP($A94,ANAGRAFICA!$B$1:$G$306,4,FALSE)</f>
        <v>758-28</v>
      </c>
      <c r="E94" s="109">
        <f>VLOOKUP($A94,ANAGRAFICA!$B$1:$G$306,5,FALSE)</f>
        <v>3272025056</v>
      </c>
      <c r="F94" s="109">
        <f>VLOOKUP($A94,ANAGRAFICA!$B$1:$G$306,6,FALSE)</f>
        <v>2025</v>
      </c>
      <c r="G94" s="3">
        <v>1.0</v>
      </c>
      <c r="H94" s="14" t="s">
        <v>974</v>
      </c>
    </row>
    <row r="95">
      <c r="A95" s="3">
        <v>2.125023093E9</v>
      </c>
      <c r="B95" s="109" t="str">
        <f>VLOOKUP($A95,ANAGRAFICA!$B$1:$G$306,2,FALSE)</f>
        <v>GHEZZI</v>
      </c>
      <c r="C95" s="109" t="str">
        <f>VLOOKUP($A95,ANAGRAFICA!$B$1:$G$306,3,FALSE)</f>
        <v>FABIO</v>
      </c>
      <c r="D95" s="109" t="str">
        <f>VLOOKUP($A95,ANAGRAFICA!$B$1:$G$306,4,FALSE)</f>
        <v>758-28</v>
      </c>
      <c r="E95" s="109">
        <f>VLOOKUP($A95,ANAGRAFICA!$B$1:$G$306,5,FALSE)</f>
        <v>3272025056</v>
      </c>
      <c r="F95" s="109">
        <f>VLOOKUP($A95,ANAGRAFICA!$B$1:$G$306,6,FALSE)</f>
        <v>2025</v>
      </c>
      <c r="G95" s="3">
        <v>1.0</v>
      </c>
      <c r="H95" s="14" t="s">
        <v>976</v>
      </c>
    </row>
    <row r="96">
      <c r="A96" s="3">
        <v>2.125023093E9</v>
      </c>
      <c r="B96" s="109" t="str">
        <f>VLOOKUP($A96,ANAGRAFICA!$B$1:$G$306,2,FALSE)</f>
        <v>GHEZZI</v>
      </c>
      <c r="C96" s="109" t="str">
        <f>VLOOKUP($A96,ANAGRAFICA!$B$1:$G$306,3,FALSE)</f>
        <v>FABIO</v>
      </c>
      <c r="D96" s="109" t="str">
        <f>VLOOKUP($A96,ANAGRAFICA!$B$1:$G$306,4,FALSE)</f>
        <v>758-28</v>
      </c>
      <c r="E96" s="109">
        <f>VLOOKUP($A96,ANAGRAFICA!$B$1:$G$306,5,FALSE)</f>
        <v>3272025056</v>
      </c>
      <c r="F96" s="109">
        <f>VLOOKUP($A96,ANAGRAFICA!$B$1:$G$306,6,FALSE)</f>
        <v>2025</v>
      </c>
      <c r="G96" s="3">
        <v>1.0</v>
      </c>
      <c r="H96" s="14" t="s">
        <v>981</v>
      </c>
    </row>
    <row r="97">
      <c r="A97" s="3">
        <v>2.125023093E9</v>
      </c>
      <c r="B97" s="109" t="str">
        <f>VLOOKUP($A97,ANAGRAFICA!$B$1:$G$306,2,FALSE)</f>
        <v>GHEZZI</v>
      </c>
      <c r="C97" s="109" t="str">
        <f>VLOOKUP($A97,ANAGRAFICA!$B$1:$G$306,3,FALSE)</f>
        <v>FABIO</v>
      </c>
      <c r="D97" s="109" t="str">
        <f>VLOOKUP($A97,ANAGRAFICA!$B$1:$G$306,4,FALSE)</f>
        <v>758-28</v>
      </c>
      <c r="E97" s="109">
        <f>VLOOKUP($A97,ANAGRAFICA!$B$1:$G$306,5,FALSE)</f>
        <v>3272025056</v>
      </c>
      <c r="F97" s="109">
        <f>VLOOKUP($A97,ANAGRAFICA!$B$1:$G$306,6,FALSE)</f>
        <v>2025</v>
      </c>
      <c r="G97" s="3">
        <v>1.0</v>
      </c>
      <c r="H97" s="14" t="s">
        <v>973</v>
      </c>
    </row>
    <row r="98">
      <c r="A98" s="3">
        <v>2.125024608E9</v>
      </c>
      <c r="B98" s="109" t="str">
        <f>VLOOKUP($A98,ANAGRAFICA!$B$1:$G$306,2,FALSE)</f>
        <v>ZAPPIA</v>
      </c>
      <c r="C98" s="109" t="str">
        <f>VLOOKUP($A98,ANAGRAFICA!$B$1:$G$306,3,FALSE)</f>
        <v>LEONARDO</v>
      </c>
      <c r="D98" s="109" t="str">
        <f>VLOOKUP($A98,ANAGRAFICA!$B$1:$G$306,4,FALSE)</f>
        <v>758-29</v>
      </c>
      <c r="E98" s="109">
        <f>VLOOKUP($A98,ANAGRAFICA!$B$1:$G$306,5,FALSE)</f>
        <v>3272025057</v>
      </c>
      <c r="F98" s="109">
        <f>VLOOKUP($A98,ANAGRAFICA!$B$1:$G$306,6,FALSE)</f>
        <v>2025</v>
      </c>
      <c r="G98" s="3">
        <v>1.0</v>
      </c>
      <c r="H98" s="14" t="s">
        <v>973</v>
      </c>
    </row>
    <row r="99">
      <c r="A99" s="3">
        <v>2.125024565E9</v>
      </c>
      <c r="B99" s="109" t="str">
        <f>VLOOKUP($A99,ANAGRAFICA!$B$1:$G$306,2,FALSE)</f>
        <v>POLICARPO</v>
      </c>
      <c r="C99" s="109" t="str">
        <f>VLOOKUP($A99,ANAGRAFICA!$B$1:$G$306,3,FALSE)</f>
        <v>FRANCESCO</v>
      </c>
      <c r="D99" s="109" t="str">
        <f>VLOOKUP($A99,ANAGRAFICA!$B$1:$G$306,4,FALSE)</f>
        <v>758-30</v>
      </c>
      <c r="E99" s="109" t="str">
        <f>VLOOKUP($A99,ANAGRAFICA!$B$1:$G$306,5,FALSE)</f>
        <v/>
      </c>
      <c r="F99" s="109">
        <f>VLOOKUP($A99,ANAGRAFICA!$B$1:$G$306,6,FALSE)</f>
        <v>2025</v>
      </c>
      <c r="G99" s="3">
        <v>1.0</v>
      </c>
      <c r="H99" s="14" t="s">
        <v>991</v>
      </c>
    </row>
    <row r="100">
      <c r="A100" s="3">
        <v>2.125024565E9</v>
      </c>
      <c r="B100" s="109" t="str">
        <f>VLOOKUP($A100,ANAGRAFICA!$B$1:$G$306,2,FALSE)</f>
        <v>POLICARPO</v>
      </c>
      <c r="C100" s="109" t="str">
        <f>VLOOKUP($A100,ANAGRAFICA!$B$1:$G$306,3,FALSE)</f>
        <v>FRANCESCO</v>
      </c>
      <c r="D100" s="109" t="str">
        <f>VLOOKUP($A100,ANAGRAFICA!$B$1:$G$306,4,FALSE)</f>
        <v>758-30</v>
      </c>
      <c r="E100" s="109" t="str">
        <f>VLOOKUP($A100,ANAGRAFICA!$B$1:$G$306,5,FALSE)</f>
        <v/>
      </c>
      <c r="F100" s="109">
        <f>VLOOKUP($A100,ANAGRAFICA!$B$1:$G$306,6,FALSE)</f>
        <v>2025</v>
      </c>
      <c r="G100" s="3">
        <v>1.0</v>
      </c>
      <c r="H100" s="14" t="s">
        <v>981</v>
      </c>
    </row>
    <row r="101">
      <c r="A101" s="3">
        <v>2.125024565E9</v>
      </c>
      <c r="B101" s="109" t="str">
        <f>VLOOKUP($A101,ANAGRAFICA!$B$1:$G$306,2,FALSE)</f>
        <v>POLICARPO</v>
      </c>
      <c r="C101" s="109" t="str">
        <f>VLOOKUP($A101,ANAGRAFICA!$B$1:$G$306,3,FALSE)</f>
        <v>FRANCESCO</v>
      </c>
      <c r="D101" s="109" t="str">
        <f>VLOOKUP($A101,ANAGRAFICA!$B$1:$G$306,4,FALSE)</f>
        <v>758-30</v>
      </c>
      <c r="E101" s="109" t="str">
        <f>VLOOKUP($A101,ANAGRAFICA!$B$1:$G$306,5,FALSE)</f>
        <v/>
      </c>
      <c r="F101" s="109">
        <f>VLOOKUP($A101,ANAGRAFICA!$B$1:$G$306,6,FALSE)</f>
        <v>2025</v>
      </c>
      <c r="G101" s="3">
        <v>1.0</v>
      </c>
      <c r="H101" s="14" t="s">
        <v>984</v>
      </c>
    </row>
    <row r="102">
      <c r="A102" s="3">
        <v>2.125024565E9</v>
      </c>
      <c r="B102" s="109" t="str">
        <f>VLOOKUP($A102,ANAGRAFICA!$B$1:$G$306,2,FALSE)</f>
        <v>POLICARPO</v>
      </c>
      <c r="C102" s="109" t="str">
        <f>VLOOKUP($A102,ANAGRAFICA!$B$1:$G$306,3,FALSE)</f>
        <v>FRANCESCO</v>
      </c>
      <c r="D102" s="109" t="str">
        <f>VLOOKUP($A102,ANAGRAFICA!$B$1:$G$306,4,FALSE)</f>
        <v>758-30</v>
      </c>
      <c r="E102" s="109" t="str">
        <f>VLOOKUP($A102,ANAGRAFICA!$B$1:$G$306,5,FALSE)</f>
        <v/>
      </c>
      <c r="F102" s="109">
        <f>VLOOKUP($A102,ANAGRAFICA!$B$1:$G$306,6,FALSE)</f>
        <v>2025</v>
      </c>
      <c r="G102" s="3">
        <v>1.0</v>
      </c>
      <c r="H102" s="14" t="s">
        <v>973</v>
      </c>
    </row>
    <row r="103">
      <c r="A103" s="3">
        <v>2.125024565E9</v>
      </c>
      <c r="B103" s="109" t="str">
        <f>VLOOKUP($A103,ANAGRAFICA!$B$1:$G$306,2,FALSE)</f>
        <v>POLICARPO</v>
      </c>
      <c r="C103" s="109" t="str">
        <f>VLOOKUP($A103,ANAGRAFICA!$B$1:$G$306,3,FALSE)</f>
        <v>FRANCESCO</v>
      </c>
      <c r="D103" s="109" t="str">
        <f>VLOOKUP($A103,ANAGRAFICA!$B$1:$G$306,4,FALSE)</f>
        <v>758-30</v>
      </c>
      <c r="E103" s="109" t="str">
        <f>VLOOKUP($A103,ANAGRAFICA!$B$1:$G$306,5,FALSE)</f>
        <v/>
      </c>
      <c r="F103" s="109">
        <f>VLOOKUP($A103,ANAGRAFICA!$B$1:$G$306,6,FALSE)</f>
        <v>2025</v>
      </c>
      <c r="G103" s="3">
        <v>1.0</v>
      </c>
      <c r="H103" s="14" t="s">
        <v>988</v>
      </c>
    </row>
    <row r="104">
      <c r="A104" s="3">
        <v>2.125025861E9</v>
      </c>
      <c r="B104" s="109" t="str">
        <f>VLOOKUP($A104,ANAGRAFICA!$B$1:$G$306,2,FALSE)</f>
        <v>CASSANI</v>
      </c>
      <c r="C104" s="109" t="str">
        <f>VLOOKUP($A104,ANAGRAFICA!$B$1:$G$306,3,FALSE)</f>
        <v>DAVIDE VIRGILIO</v>
      </c>
      <c r="D104" s="109" t="str">
        <f>VLOOKUP($A104,ANAGRAFICA!$B$1:$G$306,4,FALSE)</f>
        <v>758-31</v>
      </c>
      <c r="E104" s="109">
        <f>VLOOKUP($A104,ANAGRAFICA!$B$1:$G$306,5,FALSE)</f>
        <v>3272025058</v>
      </c>
      <c r="F104" s="109">
        <f>VLOOKUP($A104,ANAGRAFICA!$B$1:$G$306,6,FALSE)</f>
        <v>2025</v>
      </c>
      <c r="G104" s="3">
        <v>1.0</v>
      </c>
      <c r="H104" s="14" t="s">
        <v>976</v>
      </c>
    </row>
    <row r="105">
      <c r="A105" s="3">
        <v>2.125025861E9</v>
      </c>
      <c r="B105" s="109" t="str">
        <f>VLOOKUP($A105,ANAGRAFICA!$B$1:$G$306,2,FALSE)</f>
        <v>CASSANI</v>
      </c>
      <c r="C105" s="109" t="str">
        <f>VLOOKUP($A105,ANAGRAFICA!$B$1:$G$306,3,FALSE)</f>
        <v>DAVIDE VIRGILIO</v>
      </c>
      <c r="D105" s="109" t="str">
        <f>VLOOKUP($A105,ANAGRAFICA!$B$1:$G$306,4,FALSE)</f>
        <v>758-31</v>
      </c>
      <c r="E105" s="109"/>
      <c r="F105" s="109">
        <f>VLOOKUP($A105,ANAGRAFICA!$B$1:$G$306,6,FALSE)</f>
        <v>2025</v>
      </c>
      <c r="G105" s="3">
        <v>1.0</v>
      </c>
      <c r="H105" s="14" t="s">
        <v>973</v>
      </c>
    </row>
    <row r="106">
      <c r="A106" s="3">
        <v>2.125026559E9</v>
      </c>
      <c r="B106" s="109" t="str">
        <f>VLOOKUP($A106,ANAGRAFICA!$B$1:$G$306,2,FALSE)</f>
        <v>VEDUTI</v>
      </c>
      <c r="C106" s="109" t="str">
        <f>VLOOKUP($A106,ANAGRAFICA!$B$1:$G$306,3,FALSE)</f>
        <v>LORENZO</v>
      </c>
      <c r="D106" s="109" t="str">
        <f>VLOOKUP($A106,ANAGRAFICA!$B$1:$G$306,4,FALSE)</f>
        <v>758-32</v>
      </c>
      <c r="E106" s="109">
        <f>VLOOKUP($A106,ANAGRAFICA!$B$1:$G$306,5,FALSE)</f>
        <v>3272025059</v>
      </c>
      <c r="F106" s="109">
        <f>VLOOKUP($A106,ANAGRAFICA!$B$1:$G$306,6,FALSE)</f>
        <v>2025</v>
      </c>
      <c r="G106" s="3">
        <v>1.0</v>
      </c>
      <c r="H106" s="16"/>
      <c r="I106" s="3" t="s">
        <v>935</v>
      </c>
    </row>
    <row r="107">
      <c r="A107" s="3">
        <v>2.125027331E9</v>
      </c>
      <c r="B107" s="109" t="str">
        <f>VLOOKUP($A107,ANAGRAFICA!$B$1:$G$306,2,FALSE)</f>
        <v>QUARIN</v>
      </c>
      <c r="C107" s="109" t="str">
        <f>VLOOKUP($A107,ANAGRAFICA!$B$1:$G$306,3,FALSE)</f>
        <v>FRANCO</v>
      </c>
      <c r="D107" s="109" t="str">
        <f>VLOOKUP($A107,ANAGRAFICA!$B$1:$G$306,4,FALSE)</f>
        <v>758-34</v>
      </c>
      <c r="E107" s="109" t="str">
        <f>VLOOKUP($A107,ANAGRAFICA!$B$1:$G$306,5,FALSE)</f>
        <v/>
      </c>
      <c r="F107" s="109">
        <f>VLOOKUP($A107,ANAGRAFICA!$B$1:$G$306,6,FALSE)</f>
        <v>2025</v>
      </c>
      <c r="G107" s="3">
        <v>1.0</v>
      </c>
      <c r="H107" s="14" t="s">
        <v>981</v>
      </c>
    </row>
    <row r="108">
      <c r="A108" s="3">
        <v>2.125029623E9</v>
      </c>
      <c r="B108" s="109" t="str">
        <f>VLOOKUP($A108,ANAGRAFICA!$B$1:$G$306,2,FALSE)</f>
        <v>IANDIORIO</v>
      </c>
      <c r="C108" s="109" t="str">
        <f>VLOOKUP($A108,ANAGRAFICA!$B$1:$G$306,3,FALSE)</f>
        <v>ALDO NATALINO</v>
      </c>
      <c r="D108" s="109" t="str">
        <f>VLOOKUP($A108,ANAGRAFICA!$B$1:$G$306,4,FALSE)</f>
        <v>758-36</v>
      </c>
      <c r="E108" s="109">
        <f>VLOOKUP($A108,ANAGRAFICA!$B$1:$G$306,5,FALSE)</f>
        <v>3272025062</v>
      </c>
      <c r="F108" s="109">
        <f>VLOOKUP($A108,ANAGRAFICA!$B$1:$G$306,6,FALSE)</f>
        <v>2025</v>
      </c>
      <c r="G108" s="3">
        <v>1.0</v>
      </c>
      <c r="H108" s="14" t="s">
        <v>973</v>
      </c>
    </row>
    <row r="109">
      <c r="A109" s="3">
        <v>2.125026384E9</v>
      </c>
      <c r="B109" s="109" t="str">
        <f>VLOOKUP($A109,ANAGRAFICA!$B$1:$G$306,2,FALSE)</f>
        <v>PRINCIPATO</v>
      </c>
      <c r="C109" s="109" t="str">
        <f>VLOOKUP($A109,ANAGRAFICA!$B$1:$G$306,3,FALSE)</f>
        <v>FRANCO ANGELO</v>
      </c>
      <c r="D109" s="109" t="str">
        <f>VLOOKUP($A109,ANAGRAFICA!$B$1:$G$306,4,FALSE)</f>
        <v>758-35</v>
      </c>
      <c r="E109" s="109">
        <f>VLOOKUP($A109,ANAGRAFICA!$B$1:$G$306,5,FALSE)</f>
        <v>3272025061</v>
      </c>
      <c r="F109" s="109">
        <f>VLOOKUP($A109,ANAGRAFICA!$B$1:$G$306,6,FALSE)</f>
        <v>2025</v>
      </c>
      <c r="G109" s="3">
        <v>1.0</v>
      </c>
      <c r="H109" s="14" t="s">
        <v>981</v>
      </c>
      <c r="I109" s="3" t="s">
        <v>935</v>
      </c>
    </row>
    <row r="110">
      <c r="A110" s="3">
        <v>2.125032902E9</v>
      </c>
      <c r="B110" s="109" t="str">
        <f>VLOOKUP($A110,ANAGRAFICA!$B$1:$G$306,2,FALSE)</f>
        <v>BRAIDA</v>
      </c>
      <c r="C110" s="109" t="str">
        <f>VLOOKUP($A110,ANAGRAFICA!$B$1:$G$306,3,FALSE)</f>
        <v>ILARIO</v>
      </c>
      <c r="D110" s="109" t="str">
        <f>VLOOKUP($A110,ANAGRAFICA!$B$1:$G$306,4,FALSE)</f>
        <v>758-37</v>
      </c>
      <c r="E110" s="109">
        <f>VLOOKUP($A110,ANAGRAFICA!$B$1:$G$306,5,FALSE)</f>
        <v>3272025063</v>
      </c>
      <c r="F110" s="109">
        <f>VLOOKUP($A110,ANAGRAFICA!$B$1:$G$306,6,FALSE)</f>
        <v>2025</v>
      </c>
      <c r="G110" s="3">
        <v>1.0</v>
      </c>
      <c r="H110" s="14" t="s">
        <v>981</v>
      </c>
      <c r="I110" s="3" t="s">
        <v>935</v>
      </c>
    </row>
    <row r="111">
      <c r="A111" s="3">
        <v>2.125026869E9</v>
      </c>
      <c r="B111" s="109" t="str">
        <f>VLOOKUP($A111,ANAGRAFICA!$B$1:$G$306,2,FALSE)</f>
        <v>NACCARI</v>
      </c>
      <c r="C111" s="109" t="str">
        <f>VLOOKUP($A111,ANAGRAFICA!$B$1:$G$306,3,FALSE)</f>
        <v>ROBERTO</v>
      </c>
      <c r="D111" s="109" t="str">
        <f>VLOOKUP($A111,ANAGRAFICA!$B$1:$G$306,4,FALSE)</f>
        <v>758-33</v>
      </c>
      <c r="E111" s="109">
        <f>VLOOKUP($A111,ANAGRAFICA!$B$1:$G$306,5,FALSE)</f>
        <v>3272025060</v>
      </c>
      <c r="F111" s="109">
        <f>VLOOKUP($A111,ANAGRAFICA!$B$1:$G$306,6,FALSE)</f>
        <v>2025</v>
      </c>
      <c r="G111" s="3">
        <v>1.0</v>
      </c>
      <c r="H111" s="14" t="s">
        <v>981</v>
      </c>
      <c r="I111" s="3" t="s">
        <v>935</v>
      </c>
    </row>
    <row r="112">
      <c r="A112" s="3">
        <v>2.125032653E9</v>
      </c>
      <c r="B112" s="109" t="str">
        <f>VLOOKUP($A112,ANAGRAFICA!$B$1:$G$306,2,FALSE)</f>
        <v>BAIOCCO</v>
      </c>
      <c r="C112" s="109" t="str">
        <f>VLOOKUP($A112,ANAGRAFICA!$B$1:$G$306,3,FALSE)</f>
        <v>RICCARDO</v>
      </c>
      <c r="D112" s="109" t="str">
        <f>VLOOKUP($A112,ANAGRAFICA!$B$1:$G$306,4,FALSE)</f>
        <v/>
      </c>
      <c r="E112" s="109">
        <f>VLOOKUP($A112,ANAGRAFICA!$B$1:$G$306,5,FALSE)</f>
        <v>3272025064</v>
      </c>
      <c r="F112" s="109">
        <f>VLOOKUP($A112,ANAGRAFICA!$B$1:$G$306,6,FALSE)</f>
        <v>2025</v>
      </c>
      <c r="G112" s="3">
        <v>1.0</v>
      </c>
      <c r="H112" s="14" t="s">
        <v>976</v>
      </c>
    </row>
    <row r="113">
      <c r="A113" s="3">
        <v>2.125037955E9</v>
      </c>
      <c r="B113" s="109" t="str">
        <f>VLOOKUP($A113,ANAGRAFICA!$B$1:$G$306,2,FALSE)</f>
        <v>MANNINO</v>
      </c>
      <c r="C113" s="109" t="str">
        <f>VLOOKUP($A113,ANAGRAFICA!$B$1:$G$306,3,FALSE)</f>
        <v>ANDREA</v>
      </c>
      <c r="D113" s="109" t="str">
        <f>VLOOKUP($A113,ANAGRAFICA!$B$1:$G$306,4,FALSE)</f>
        <v>758-39</v>
      </c>
      <c r="E113" s="109">
        <f>VLOOKUP($A113,ANAGRAFICA!$B$1:$G$306,5,FALSE)</f>
        <v>3272025066</v>
      </c>
      <c r="F113" s="109">
        <f>VLOOKUP($A113,ANAGRAFICA!$B$1:$G$306,6,FALSE)</f>
        <v>2025</v>
      </c>
      <c r="G113" s="3">
        <v>1.0</v>
      </c>
      <c r="H113" s="14" t="s">
        <v>981</v>
      </c>
      <c r="I113" s="3" t="s">
        <v>992</v>
      </c>
    </row>
    <row r="114">
      <c r="A114" s="3">
        <v>2.125037955E9</v>
      </c>
      <c r="B114" s="109" t="str">
        <f>VLOOKUP($A114,ANAGRAFICA!$B$1:$G$306,2,FALSE)</f>
        <v>MANNINO</v>
      </c>
      <c r="C114" s="109" t="str">
        <f>VLOOKUP($A114,ANAGRAFICA!$B$1:$G$306,3,FALSE)</f>
        <v>ANDREA</v>
      </c>
      <c r="D114" s="109" t="str">
        <f>VLOOKUP($A114,ANAGRAFICA!$B$1:$G$306,4,FALSE)</f>
        <v>758-39</v>
      </c>
      <c r="E114" s="109">
        <f>VLOOKUP($A114,ANAGRAFICA!$B$1:$G$306,5,FALSE)</f>
        <v>3272025066</v>
      </c>
      <c r="F114" s="109">
        <f>VLOOKUP($A114,ANAGRAFICA!$B$1:$G$306,6,FALSE)</f>
        <v>2025</v>
      </c>
      <c r="G114" s="3">
        <v>1.0</v>
      </c>
      <c r="H114" s="14" t="s">
        <v>989</v>
      </c>
    </row>
    <row r="115">
      <c r="A115" s="3">
        <v>2.125037782E9</v>
      </c>
      <c r="B115" s="109" t="str">
        <f>VLOOKUP($A115,ANAGRAFICA!$B$1:$G$306,2,FALSE)</f>
        <v>GILARDI</v>
      </c>
      <c r="C115" s="109" t="str">
        <f>VLOOKUP($A115,ANAGRAFICA!$B$1:$G$306,3,FALSE)</f>
        <v>CARLO VIRGINIO</v>
      </c>
      <c r="D115" s="109" t="str">
        <f>VLOOKUP($A115,ANAGRAFICA!$B$1:$G$306,4,FALSE)</f>
        <v>758-38</v>
      </c>
      <c r="E115" s="109">
        <f>VLOOKUP($A115,ANAGRAFICA!$B$1:$G$306,5,FALSE)</f>
        <v>3272025065</v>
      </c>
      <c r="F115" s="109">
        <f>VLOOKUP($A115,ANAGRAFICA!$B$1:$G$306,6,FALSE)</f>
        <v>2025</v>
      </c>
      <c r="G115" s="3">
        <v>1.0</v>
      </c>
      <c r="H115" s="14" t="s">
        <v>981</v>
      </c>
    </row>
    <row r="116">
      <c r="A116" s="3">
        <v>2.125037782E9</v>
      </c>
      <c r="B116" s="109" t="str">
        <f>VLOOKUP($A116,ANAGRAFICA!$B$1:$G$306,2,FALSE)</f>
        <v>GILARDI</v>
      </c>
      <c r="C116" s="109" t="str">
        <f>VLOOKUP($A116,ANAGRAFICA!$B$1:$G$306,3,FALSE)</f>
        <v>CARLO VIRGINIO</v>
      </c>
      <c r="D116" s="109" t="str">
        <f>VLOOKUP($A116,ANAGRAFICA!$B$1:$G$306,4,FALSE)</f>
        <v>758-38</v>
      </c>
      <c r="E116" s="109">
        <f>VLOOKUP($A116,ANAGRAFICA!$B$1:$G$306,5,FALSE)</f>
        <v>3272025065</v>
      </c>
      <c r="F116" s="109">
        <f>VLOOKUP($A116,ANAGRAFICA!$B$1:$G$306,6,FALSE)</f>
        <v>2025</v>
      </c>
      <c r="G116" s="3">
        <v>1.0</v>
      </c>
      <c r="H116" s="14" t="s">
        <v>973</v>
      </c>
    </row>
    <row r="117">
      <c r="A117" s="3">
        <v>2.125037782E9</v>
      </c>
      <c r="B117" s="109" t="str">
        <f>VLOOKUP($A117,ANAGRAFICA!$B$1:$G$306,2,FALSE)</f>
        <v>GILARDI</v>
      </c>
      <c r="C117" s="109" t="str">
        <f>VLOOKUP($A117,ANAGRAFICA!$B$1:$G$306,3,FALSE)</f>
        <v>CARLO VIRGINIO</v>
      </c>
      <c r="D117" s="109" t="str">
        <f>VLOOKUP($A117,ANAGRAFICA!$B$1:$G$306,4,FALSE)</f>
        <v>758-38</v>
      </c>
      <c r="E117" s="109">
        <f>VLOOKUP($A117,ANAGRAFICA!$B$1:$G$306,5,FALSE)</f>
        <v>3272025065</v>
      </c>
      <c r="F117" s="109">
        <f>VLOOKUP($A117,ANAGRAFICA!$B$1:$G$306,6,FALSE)</f>
        <v>2025</v>
      </c>
      <c r="G117" s="3">
        <v>1.0</v>
      </c>
      <c r="H117" s="14" t="s">
        <v>985</v>
      </c>
    </row>
    <row r="118">
      <c r="A118" s="3">
        <v>2.125040106E9</v>
      </c>
      <c r="B118" s="109" t="str">
        <f>VLOOKUP($A118,ANAGRAFICA!$B$1:$G$306,2,FALSE)</f>
        <v>COLNAGHI</v>
      </c>
      <c r="C118" s="109" t="str">
        <f>VLOOKUP($A118,ANAGRAFICA!$B$1:$G$306,3,FALSE)</f>
        <v>EUGENIO PIERO</v>
      </c>
      <c r="D118" s="109" t="str">
        <f>VLOOKUP($A118,ANAGRAFICA!$B$1:$G$306,4,FALSE)</f>
        <v>758-41</v>
      </c>
      <c r="E118" s="109">
        <f>VLOOKUP($A118,ANAGRAFICA!$B$1:$G$306,5,FALSE)</f>
        <v>3272025068</v>
      </c>
      <c r="F118" s="109">
        <f>VLOOKUP($A118,ANAGRAFICA!$B$1:$G$306,6,FALSE)</f>
        <v>2025</v>
      </c>
      <c r="G118" s="3">
        <v>1.0</v>
      </c>
      <c r="H118" s="14" t="s">
        <v>973</v>
      </c>
    </row>
    <row r="119">
      <c r="A119" s="3">
        <v>2.125040106E9</v>
      </c>
      <c r="B119" s="109" t="str">
        <f>VLOOKUP($A119,ANAGRAFICA!$B$1:$G$306,2,FALSE)</f>
        <v>COLNAGHI</v>
      </c>
      <c r="C119" s="109" t="str">
        <f>VLOOKUP($A119,ANAGRAFICA!$B$1:$G$306,3,FALSE)</f>
        <v>EUGENIO PIERO</v>
      </c>
      <c r="D119" s="109" t="str">
        <f>VLOOKUP($A119,ANAGRAFICA!$B$1:$G$306,4,FALSE)</f>
        <v>758-41</v>
      </c>
      <c r="E119" s="109">
        <f>VLOOKUP($A119,ANAGRAFICA!$B$1:$G$306,5,FALSE)</f>
        <v>3272025068</v>
      </c>
      <c r="F119" s="109">
        <f>VLOOKUP($A119,ANAGRAFICA!$B$1:$G$306,6,FALSE)</f>
        <v>2025</v>
      </c>
      <c r="G119" s="3">
        <v>1.0</v>
      </c>
      <c r="H119" s="14" t="s">
        <v>976</v>
      </c>
    </row>
    <row r="120">
      <c r="A120" s="3">
        <v>2.125040052E9</v>
      </c>
      <c r="B120" s="109" t="str">
        <f>VLOOKUP($A120,ANAGRAFICA!$B$1:$G$306,2,FALSE)</f>
        <v>TODESCATO</v>
      </c>
      <c r="C120" s="109" t="str">
        <f>VLOOKUP($A120,ANAGRAFICA!$B$1:$G$306,3,FALSE)</f>
        <v>GIANLUCA</v>
      </c>
      <c r="D120" s="109" t="str">
        <f>VLOOKUP($A120,ANAGRAFICA!$B$1:$G$306,4,FALSE)</f>
        <v>758-40</v>
      </c>
      <c r="E120" s="109">
        <f>VLOOKUP($A120,ANAGRAFICA!$B$1:$G$306,5,FALSE)</f>
        <v>3272025067</v>
      </c>
      <c r="F120" s="109">
        <f>VLOOKUP($A120,ANAGRAFICA!$B$1:$G$306,6,FALSE)</f>
        <v>2025</v>
      </c>
      <c r="G120" s="3">
        <v>1.0</v>
      </c>
      <c r="H120" s="14" t="s">
        <v>973</v>
      </c>
    </row>
    <row r="121">
      <c r="A121" s="3">
        <v>2.125040835E9</v>
      </c>
      <c r="B121" s="109" t="str">
        <f>VLOOKUP($A121,ANAGRAFICA!$B$1:$G$306,2,FALSE)</f>
        <v>PESACANE</v>
      </c>
      <c r="C121" s="109" t="str">
        <f>VLOOKUP($A121,ANAGRAFICA!$B$1:$G$306,3,FALSE)</f>
        <v>MATTEO VALERIO</v>
      </c>
      <c r="D121" s="109" t="str">
        <f>VLOOKUP($A121,ANAGRAFICA!$B$1:$G$306,4,FALSE)</f>
        <v>758-42</v>
      </c>
      <c r="E121" s="109">
        <f>VLOOKUP($A121,ANAGRAFICA!$B$1:$G$306,5,FALSE)</f>
        <v>3272025069</v>
      </c>
      <c r="F121" s="109">
        <f>VLOOKUP($A121,ANAGRAFICA!$B$1:$G$306,6,FALSE)</f>
        <v>2025</v>
      </c>
      <c r="G121" s="3">
        <v>1.0</v>
      </c>
      <c r="H121" s="14" t="s">
        <v>973</v>
      </c>
      <c r="I121" s="3" t="s">
        <v>993</v>
      </c>
    </row>
    <row r="122">
      <c r="A122" s="3">
        <v>2.125042368E9</v>
      </c>
      <c r="B122" s="109" t="str">
        <f>VLOOKUP($A122,ANAGRAFICA!$B$1:$G$306,2,FALSE)</f>
        <v>MARKOVIC</v>
      </c>
      <c r="C122" s="109" t="str">
        <f>VLOOKUP($A122,ANAGRAFICA!$B$1:$G$306,3,FALSE)</f>
        <v>BRANKO</v>
      </c>
      <c r="D122" s="109" t="str">
        <f>VLOOKUP($A122,ANAGRAFICA!$B$1:$G$306,4,FALSE)</f>
        <v>758-43</v>
      </c>
      <c r="E122" s="109">
        <f>VLOOKUP($A122,ANAGRAFICA!$B$1:$G$306,5,FALSE)</f>
        <v>3272025070</v>
      </c>
      <c r="F122" s="109">
        <f>VLOOKUP($A122,ANAGRAFICA!$B$1:$G$306,6,FALSE)</f>
        <v>2025</v>
      </c>
      <c r="G122" s="3">
        <v>1.0</v>
      </c>
      <c r="H122" s="14" t="s">
        <v>973</v>
      </c>
    </row>
    <row r="123">
      <c r="A123" s="3">
        <v>2.125046195E9</v>
      </c>
      <c r="B123" s="109" t="str">
        <f>VLOOKUP($A123,ANAGRAFICA!$B$1:$G$306,2,FALSE)</f>
        <v>CASILLO</v>
      </c>
      <c r="C123" s="109" t="str">
        <f>VLOOKUP($A123,ANAGRAFICA!$B$1:$G$306,3,FALSE)</f>
        <v>SALVATORE</v>
      </c>
      <c r="D123" s="154" t="s">
        <v>313</v>
      </c>
      <c r="E123" s="109">
        <f>VLOOKUP($A123,ANAGRAFICA!$B$1:$G$306,5,FALSE)</f>
        <v>3272025071</v>
      </c>
      <c r="F123" s="109">
        <f>VLOOKUP($A123,ANAGRAFICA!$B$1:$G$306,6,FALSE)</f>
        <v>2025</v>
      </c>
      <c r="G123" s="3">
        <v>1.0</v>
      </c>
      <c r="H123" s="14" t="s">
        <v>981</v>
      </c>
      <c r="I123" s="3" t="s">
        <v>994</v>
      </c>
    </row>
    <row r="124">
      <c r="A124" s="3">
        <v>2.125051424E9</v>
      </c>
      <c r="B124" s="154" t="s">
        <v>315</v>
      </c>
      <c r="C124" s="154" t="s">
        <v>316</v>
      </c>
      <c r="D124" s="154" t="s">
        <v>317</v>
      </c>
      <c r="E124" s="109">
        <f>VLOOKUP($A124,ANAGRAFICA!$B$1:$G$306,5,FALSE)</f>
        <v>3272025072</v>
      </c>
      <c r="F124" s="154" t="s">
        <v>741</v>
      </c>
      <c r="G124" s="3">
        <v>1.0</v>
      </c>
      <c r="H124" s="14" t="s">
        <v>973</v>
      </c>
    </row>
    <row r="125">
      <c r="A125" s="3">
        <v>2.125051424E9</v>
      </c>
      <c r="B125" s="109" t="str">
        <f>VLOOKUP($A125,ANAGRAFICA!$B$1:$G$306,2,FALSE)</f>
        <v>CASABURI</v>
      </c>
      <c r="C125" s="109" t="str">
        <f>VLOOKUP($A125,ANAGRAFICA!$B$1:$G$306,3,FALSE)</f>
        <v>ERRICO</v>
      </c>
      <c r="D125" s="109" t="str">
        <f>VLOOKUP($A125,ANAGRAFICA!$B$1:$G$306,4,FALSE)</f>
        <v>758-45</v>
      </c>
      <c r="E125" s="109">
        <f>VLOOKUP($A125,ANAGRAFICA!$B$1:$G$306,5,FALSE)</f>
        <v>3272025072</v>
      </c>
      <c r="F125" s="109">
        <f>VLOOKUP($A125,ANAGRAFICA!$B$1:$G$306,6,FALSE)</f>
        <v>2025</v>
      </c>
      <c r="G125" s="3">
        <v>1.0</v>
      </c>
      <c r="H125" s="14" t="s">
        <v>981</v>
      </c>
    </row>
    <row r="126">
      <c r="A126" s="3">
        <v>2.1250527E9</v>
      </c>
      <c r="B126" s="109" t="str">
        <f>VLOOKUP($A126,ANAGRAFICA!$B$1:$G$306,2,FALSE)</f>
        <v>GADDA</v>
      </c>
      <c r="C126" s="109" t="str">
        <f>VLOOKUP($A126,ANAGRAFICA!$B$1:$G$306,3,FALSE)</f>
        <v>LILIANA</v>
      </c>
      <c r="D126" s="109" t="str">
        <f>VLOOKUP($A126,ANAGRAFICA!$B$1:$G$306,4,FALSE)</f>
        <v>758-46</v>
      </c>
      <c r="E126" s="109">
        <f>VLOOKUP($A126,ANAGRAFICA!$B$1:$G$306,5,FALSE)</f>
        <v>3272025073</v>
      </c>
      <c r="F126" s="109">
        <f>VLOOKUP($A126,ANAGRAFICA!$B$1:$G$306,6,FALSE)</f>
        <v>2025</v>
      </c>
      <c r="G126" s="3">
        <v>1.0</v>
      </c>
      <c r="H126" s="14" t="s">
        <v>981</v>
      </c>
    </row>
    <row r="127">
      <c r="A127" s="3">
        <v>2.125053097E9</v>
      </c>
      <c r="B127" s="109" t="str">
        <f>VLOOKUP($A127,ANAGRAFICA!$B$1:$G$306,2,FALSE)</f>
        <v>LISSONI</v>
      </c>
      <c r="C127" s="109" t="str">
        <f>VLOOKUP($A127,ANAGRAFICA!$B$1:$G$306,3,FALSE)</f>
        <v>ALESSANDRA</v>
      </c>
      <c r="D127" s="109" t="str">
        <f>VLOOKUP($A127,ANAGRAFICA!$B$1:$G$306,4,FALSE)</f>
        <v>758-47</v>
      </c>
      <c r="E127" s="109">
        <f>VLOOKUP($A127,ANAGRAFICA!$B$1:$G$306,5,FALSE)</f>
        <v>3272025074</v>
      </c>
      <c r="F127" s="109">
        <f>VLOOKUP($A127,ANAGRAFICA!$B$1:$G$306,6,FALSE)</f>
        <v>2025</v>
      </c>
      <c r="G127" s="3">
        <v>1.0</v>
      </c>
      <c r="H127" s="14" t="s">
        <v>973</v>
      </c>
    </row>
    <row r="128">
      <c r="A128" s="3">
        <v>2.126005799E9</v>
      </c>
      <c r="B128" s="109" t="str">
        <f>VLOOKUP($A128,ANAGRAFICA!$B$1:$G$306,2,FALSE)</f>
        <v>MAIORANO</v>
      </c>
      <c r="C128" s="109" t="str">
        <f>VLOOKUP($A128,ANAGRAFICA!$B$1:$G$306,3,FALSE)</f>
        <v>IOLANDA MARIA</v>
      </c>
      <c r="D128" s="109" t="str">
        <f>VLOOKUP($A128,ANAGRAFICA!$B$1:$G$306,4,FALSE)</f>
        <v>758-56</v>
      </c>
      <c r="E128" s="109" t="str">
        <f>VLOOKUP($A128,ANAGRAFICA!$B$1:$G$306,5,FALSE)</f>
        <v/>
      </c>
      <c r="F128" s="109">
        <f>VLOOKUP($A128,ANAGRAFICA!$B$1:$G$306,6,FALSE)</f>
        <v>2026</v>
      </c>
      <c r="G128" s="3">
        <v>1.0</v>
      </c>
      <c r="H128" s="14" t="s">
        <v>973</v>
      </c>
    </row>
    <row r="129">
      <c r="A129" s="3">
        <v>2.126005799E9</v>
      </c>
      <c r="B129" s="109" t="str">
        <f>VLOOKUP($A129,ANAGRAFICA!$B$1:$G$306,2,FALSE)</f>
        <v>MAIORANO</v>
      </c>
      <c r="C129" s="109" t="str">
        <f>VLOOKUP($A129,ANAGRAFICA!$B$1:$G$306,3,FALSE)</f>
        <v>IOLANDA MARIA</v>
      </c>
      <c r="D129" s="109" t="str">
        <f>VLOOKUP($A129,ANAGRAFICA!$B$1:$G$306,4,FALSE)</f>
        <v>758-56</v>
      </c>
      <c r="E129" s="109" t="str">
        <f>VLOOKUP($A129,ANAGRAFICA!$B$1:$G$306,5,FALSE)</f>
        <v/>
      </c>
      <c r="F129" s="109">
        <f>VLOOKUP($A129,ANAGRAFICA!$B$1:$G$306,6,FALSE)</f>
        <v>2026</v>
      </c>
      <c r="G129" s="3">
        <v>1.0</v>
      </c>
      <c r="H129" s="14" t="s">
        <v>981</v>
      </c>
    </row>
    <row r="130">
      <c r="A130" s="3">
        <v>2.126002771E9</v>
      </c>
      <c r="B130" s="109" t="str">
        <f>VLOOKUP($A130,ANAGRAFICA!$B$1:$G$306,2,FALSE)</f>
        <v>LONGOBARDI</v>
      </c>
      <c r="C130" s="109" t="str">
        <f>VLOOKUP($A130,ANAGRAFICA!$B$1:$G$306,3,FALSE)</f>
        <v>FRANCESCO</v>
      </c>
      <c r="D130" s="109" t="str">
        <f>VLOOKUP($A130,ANAGRAFICA!$B$1:$G$306,4,FALSE)</f>
        <v>758-52</v>
      </c>
      <c r="E130" s="109" t="str">
        <f>VLOOKUP($A130,ANAGRAFICA!$B$1:$G$306,5,FALSE)</f>
        <v/>
      </c>
      <c r="F130" s="109">
        <f>VLOOKUP($A130,ANAGRAFICA!$B$1:$G$306,6,FALSE)</f>
        <v>2026</v>
      </c>
      <c r="G130" s="3">
        <v>1.0</v>
      </c>
      <c r="H130" s="14" t="s">
        <v>976</v>
      </c>
    </row>
    <row r="131">
      <c r="A131" s="3">
        <v>2.126001104E9</v>
      </c>
      <c r="B131" s="109" t="str">
        <f>VLOOKUP($A131,ANAGRAFICA!$B$1:$G$306,2,FALSE)</f>
        <v>LOREGGIA</v>
      </c>
      <c r="C131" s="109" t="str">
        <f>VLOOKUP($A131,ANAGRAFICA!$B$1:$G$306,3,FALSE)</f>
        <v>GIAN MARCO</v>
      </c>
      <c r="D131" s="109" t="str">
        <f>VLOOKUP($A131,ANAGRAFICA!$B$1:$G$306,4,FALSE)</f>
        <v>758-51</v>
      </c>
      <c r="E131" s="109" t="str">
        <f>VLOOKUP($A131,ANAGRAFICA!$B$1:$G$306,5,FALSE)</f>
        <v/>
      </c>
      <c r="F131" s="109">
        <f>VLOOKUP($A131,ANAGRAFICA!$B$1:$G$306,6,FALSE)</f>
        <v>2026</v>
      </c>
      <c r="G131" s="3">
        <v>1.0</v>
      </c>
      <c r="H131" s="14" t="s">
        <v>981</v>
      </c>
      <c r="I131" s="3" t="s">
        <v>995</v>
      </c>
    </row>
    <row r="132">
      <c r="A132" s="117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H132" s="16"/>
    </row>
    <row r="133">
      <c r="A133" s="117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H133" s="16"/>
    </row>
    <row r="134">
      <c r="A134" s="117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H134" s="16"/>
    </row>
    <row r="135">
      <c r="A135" s="117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H135" s="16"/>
    </row>
    <row r="136">
      <c r="A136" s="117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H136" s="16"/>
    </row>
    <row r="137">
      <c r="A137" s="117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H137" s="16"/>
    </row>
    <row r="138">
      <c r="A138" s="117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H138" s="16"/>
    </row>
    <row r="139">
      <c r="A139" s="117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H139" s="16"/>
    </row>
    <row r="140">
      <c r="A140" s="117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H140" s="16"/>
    </row>
    <row r="141">
      <c r="A141" s="117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H141" s="16"/>
    </row>
    <row r="142">
      <c r="A142" s="117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H142" s="16"/>
    </row>
    <row r="143">
      <c r="A143" s="117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H143" s="16"/>
    </row>
    <row r="144">
      <c r="A144" s="117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H144" s="16"/>
    </row>
    <row r="145">
      <c r="A145" s="117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H145" s="16"/>
    </row>
    <row r="146">
      <c r="A146" s="117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H146" s="16"/>
    </row>
    <row r="147">
      <c r="A147" s="117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H147" s="16"/>
    </row>
    <row r="148">
      <c r="A148" s="117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H148" s="16"/>
    </row>
    <row r="149">
      <c r="A149" s="117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H149" s="16"/>
    </row>
    <row r="150">
      <c r="A150" s="117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H150" s="16"/>
    </row>
    <row r="151">
      <c r="A151" s="117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H151" s="16"/>
    </row>
    <row r="152">
      <c r="A152" s="117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H152" s="16"/>
    </row>
    <row r="153">
      <c r="A153" s="117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H153" s="16"/>
    </row>
    <row r="154">
      <c r="A154" s="117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H154" s="16"/>
    </row>
    <row r="155">
      <c r="A155" s="117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H155" s="16"/>
    </row>
    <row r="156">
      <c r="A156" s="117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H156" s="16"/>
    </row>
    <row r="157">
      <c r="A157" s="117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H157" s="16"/>
    </row>
    <row r="158">
      <c r="A158" s="117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H158" s="16"/>
    </row>
    <row r="159">
      <c r="A159" s="117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H159" s="16"/>
    </row>
    <row r="160">
      <c r="A160" s="117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H160" s="16"/>
    </row>
    <row r="161">
      <c r="A161" s="117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H161" s="16"/>
    </row>
    <row r="162">
      <c r="A162" s="117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H162" s="16"/>
    </row>
    <row r="163">
      <c r="A163" s="117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H163" s="16"/>
    </row>
    <row r="164">
      <c r="A164" s="117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H164" s="16"/>
    </row>
    <row r="165">
      <c r="A165" s="117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H165" s="16"/>
    </row>
    <row r="166">
      <c r="A166" s="117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H166" s="16"/>
    </row>
    <row r="167">
      <c r="A167" s="117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H167" s="16"/>
    </row>
    <row r="168">
      <c r="A168" s="117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H168" s="16"/>
    </row>
    <row r="169">
      <c r="A169" s="117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H169" s="16"/>
    </row>
    <row r="170">
      <c r="A170" s="117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H170" s="16"/>
    </row>
    <row r="171">
      <c r="A171" s="117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H171" s="16"/>
    </row>
    <row r="172">
      <c r="A172" s="117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H172" s="16"/>
    </row>
    <row r="173">
      <c r="A173" s="117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H173" s="16"/>
    </row>
    <row r="174">
      <c r="A174" s="117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H174" s="16"/>
    </row>
    <row r="175">
      <c r="A175" s="117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H175" s="16"/>
    </row>
    <row r="176">
      <c r="A176" s="117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H176" s="16"/>
    </row>
    <row r="177">
      <c r="A177" s="117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H177" s="16"/>
    </row>
    <row r="178">
      <c r="A178" s="117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H178" s="16"/>
    </row>
    <row r="179">
      <c r="A179" s="117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H179" s="16"/>
    </row>
    <row r="180">
      <c r="A180" s="117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H180" s="16"/>
    </row>
    <row r="181">
      <c r="A181" s="117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H181" s="16"/>
    </row>
    <row r="182">
      <c r="A182" s="117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H182" s="16"/>
    </row>
    <row r="183">
      <c r="A183" s="117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H183" s="16"/>
    </row>
    <row r="184">
      <c r="A184" s="117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H184" s="16"/>
    </row>
    <row r="185">
      <c r="A185" s="117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H185" s="16"/>
    </row>
    <row r="186">
      <c r="A186" s="117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H186" s="16"/>
    </row>
    <row r="187">
      <c r="A187" s="117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H187" s="16"/>
    </row>
    <row r="188">
      <c r="A188" s="117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H188" s="16"/>
    </row>
    <row r="189">
      <c r="A189" s="117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H189" s="16"/>
    </row>
    <row r="190">
      <c r="A190" s="117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H190" s="16"/>
    </row>
    <row r="191">
      <c r="A191" s="117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H191" s="16"/>
    </row>
    <row r="192">
      <c r="A192" s="117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H192" s="16"/>
    </row>
    <row r="193">
      <c r="A193" s="117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H193" s="16"/>
    </row>
    <row r="194">
      <c r="A194" s="117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H194" s="16"/>
    </row>
    <row r="195">
      <c r="A195" s="117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H195" s="16"/>
    </row>
    <row r="196">
      <c r="A196" s="117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H196" s="16"/>
    </row>
    <row r="197">
      <c r="A197" s="117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H197" s="16"/>
    </row>
    <row r="198">
      <c r="A198" s="117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H198" s="16"/>
    </row>
    <row r="199">
      <c r="A199" s="117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H199" s="16"/>
    </row>
    <row r="200">
      <c r="A200" s="117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H200" s="16"/>
    </row>
    <row r="201">
      <c r="A201" s="117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H201" s="16"/>
    </row>
    <row r="202">
      <c r="A202" s="117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H202" s="16"/>
    </row>
    <row r="203">
      <c r="A203" s="117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H203" s="16"/>
    </row>
    <row r="204">
      <c r="A204" s="117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H204" s="16"/>
    </row>
    <row r="205">
      <c r="A205" s="117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H205" s="16"/>
    </row>
    <row r="206">
      <c r="A206" s="117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H206" s="16"/>
    </row>
    <row r="207">
      <c r="A207" s="117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H207" s="16"/>
    </row>
    <row r="208">
      <c r="A208" s="117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H208" s="16"/>
    </row>
    <row r="209">
      <c r="A209" s="117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H209" s="16"/>
    </row>
    <row r="210">
      <c r="A210" s="117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H210" s="16"/>
    </row>
    <row r="211">
      <c r="A211" s="117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H211" s="16"/>
    </row>
    <row r="212">
      <c r="A212" s="117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H212" s="16"/>
    </row>
    <row r="213">
      <c r="A213" s="117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H213" s="16"/>
    </row>
    <row r="214">
      <c r="A214" s="117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H214" s="16"/>
    </row>
    <row r="215">
      <c r="A215" s="117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H215" s="16"/>
    </row>
    <row r="216">
      <c r="A216" s="117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H216" s="16"/>
    </row>
    <row r="217">
      <c r="A217" s="117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H217" s="16"/>
    </row>
    <row r="218">
      <c r="A218" s="117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H218" s="16"/>
    </row>
    <row r="219">
      <c r="A219" s="117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H219" s="16"/>
    </row>
    <row r="220">
      <c r="A220" s="117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H220" s="16"/>
    </row>
    <row r="221">
      <c r="A221" s="117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H221" s="16"/>
    </row>
    <row r="222">
      <c r="A222" s="117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H222" s="16"/>
    </row>
    <row r="223">
      <c r="A223" s="117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H223" s="16"/>
    </row>
    <row r="224">
      <c r="A224" s="117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H224" s="16"/>
    </row>
    <row r="225">
      <c r="A225" s="117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H225" s="16"/>
    </row>
    <row r="226">
      <c r="A226" s="117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H226" s="16"/>
    </row>
    <row r="227">
      <c r="A227" s="117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H227" s="16"/>
    </row>
    <row r="228">
      <c r="A228" s="117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H228" s="16"/>
    </row>
    <row r="229">
      <c r="A229" s="117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H229" s="16"/>
    </row>
    <row r="230">
      <c r="A230" s="117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H230" s="16"/>
    </row>
    <row r="231">
      <c r="A231" s="117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H231" s="16"/>
    </row>
    <row r="232">
      <c r="A232" s="117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H232" s="16"/>
    </row>
    <row r="233">
      <c r="A233" s="117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H233" s="16"/>
    </row>
    <row r="234">
      <c r="A234" s="117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H234" s="16"/>
    </row>
    <row r="235">
      <c r="A235" s="117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H235" s="16"/>
    </row>
    <row r="236">
      <c r="A236" s="117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H236" s="16"/>
    </row>
    <row r="237">
      <c r="A237" s="117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H237" s="16"/>
    </row>
    <row r="238">
      <c r="A238" s="117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H238" s="16"/>
    </row>
    <row r="239">
      <c r="A239" s="117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H239" s="16"/>
    </row>
    <row r="240">
      <c r="A240" s="117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H240" s="16"/>
    </row>
    <row r="241">
      <c r="A241" s="117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H241" s="16"/>
    </row>
    <row r="242">
      <c r="A242" s="117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H242" s="16"/>
    </row>
    <row r="243">
      <c r="A243" s="117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H243" s="16"/>
    </row>
    <row r="244">
      <c r="A244" s="117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H244" s="16"/>
    </row>
    <row r="245">
      <c r="A245" s="117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H245" s="16"/>
    </row>
    <row r="246">
      <c r="A246" s="117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H246" s="16"/>
    </row>
    <row r="247">
      <c r="A247" s="117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H247" s="16"/>
    </row>
    <row r="248">
      <c r="A248" s="117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H248" s="16"/>
    </row>
    <row r="249">
      <c r="A249" s="117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H249" s="16"/>
    </row>
    <row r="250">
      <c r="A250" s="117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H250" s="16"/>
    </row>
    <row r="251">
      <c r="A251" s="117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H251" s="16"/>
    </row>
    <row r="252">
      <c r="A252" s="117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H252" s="16"/>
    </row>
    <row r="253">
      <c r="A253" s="117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H253" s="16"/>
    </row>
    <row r="254">
      <c r="A254" s="117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H254" s="16"/>
    </row>
    <row r="255">
      <c r="A255" s="117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H255" s="16"/>
    </row>
    <row r="256">
      <c r="A256" s="117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H256" s="16"/>
    </row>
    <row r="257">
      <c r="A257" s="117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H257" s="16"/>
    </row>
    <row r="258">
      <c r="A258" s="117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H258" s="16"/>
    </row>
    <row r="259">
      <c r="A259" s="117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H259" s="16"/>
    </row>
    <row r="260">
      <c r="A260" s="117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H260" s="16"/>
    </row>
    <row r="261">
      <c r="A261" s="117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H261" s="16"/>
    </row>
    <row r="262">
      <c r="A262" s="117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H262" s="16"/>
    </row>
    <row r="263">
      <c r="A263" s="117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H263" s="16"/>
    </row>
    <row r="264">
      <c r="A264" s="117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H264" s="16"/>
    </row>
    <row r="265">
      <c r="A265" s="117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H265" s="16"/>
    </row>
    <row r="266">
      <c r="A266" s="117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H266" s="16"/>
    </row>
    <row r="267">
      <c r="A267" s="117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H267" s="16"/>
    </row>
    <row r="268">
      <c r="A268" s="117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H268" s="16"/>
    </row>
    <row r="269">
      <c r="A269" s="117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H269" s="16"/>
    </row>
    <row r="270">
      <c r="A270" s="117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H270" s="16"/>
    </row>
    <row r="271">
      <c r="A271" s="117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H271" s="16"/>
    </row>
    <row r="272">
      <c r="A272" s="117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H272" s="16"/>
    </row>
    <row r="273">
      <c r="A273" s="117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H273" s="16"/>
    </row>
    <row r="274">
      <c r="A274" s="117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H274" s="16"/>
    </row>
    <row r="275">
      <c r="A275" s="117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H275" s="16"/>
    </row>
    <row r="276">
      <c r="A276" s="117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H276" s="16"/>
    </row>
    <row r="277">
      <c r="A277" s="117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H277" s="16"/>
    </row>
    <row r="278">
      <c r="A278" s="117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H278" s="16"/>
    </row>
    <row r="279">
      <c r="A279" s="117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H279" s="16"/>
    </row>
    <row r="280">
      <c r="A280" s="117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H280" s="16"/>
    </row>
    <row r="281">
      <c r="A281" s="117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H281" s="16"/>
    </row>
    <row r="282">
      <c r="A282" s="117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H282" s="16"/>
    </row>
    <row r="283">
      <c r="A283" s="117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H283" s="16"/>
    </row>
    <row r="284">
      <c r="A284" s="117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H284" s="16"/>
    </row>
    <row r="285"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H285" s="16"/>
    </row>
    <row r="286"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H286" s="16"/>
    </row>
    <row r="287"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H287" s="16"/>
    </row>
    <row r="288"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H288" s="16"/>
    </row>
    <row r="289"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H289" s="16"/>
    </row>
    <row r="290"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H290" s="16"/>
    </row>
    <row r="291"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H291" s="16"/>
    </row>
    <row r="292"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H292" s="16"/>
    </row>
    <row r="293"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H293" s="16"/>
    </row>
    <row r="294"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H294" s="16"/>
    </row>
    <row r="295"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H295" s="16"/>
    </row>
    <row r="296"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H296" s="16"/>
    </row>
    <row r="297"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H297" s="16"/>
    </row>
    <row r="298"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H298" s="16"/>
    </row>
    <row r="299"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H299" s="16"/>
    </row>
    <row r="300"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H300" s="16"/>
    </row>
    <row r="301"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H301" s="16"/>
    </row>
    <row r="302"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H302" s="16"/>
    </row>
    <row r="303"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H303" s="16"/>
    </row>
    <row r="304"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H304" s="16"/>
    </row>
    <row r="305"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H305" s="16"/>
    </row>
    <row r="306"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H306" s="16"/>
    </row>
    <row r="307"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H307" s="16"/>
    </row>
  </sheetData>
  <dataValidations>
    <dataValidation type="list" allowBlank="1" showErrorMessage="1" sqref="A2:A284">
      <formula1>ANAGRAFICA!$B$2:$B$506</formula1>
    </dataValidation>
    <dataValidation type="list" allowBlank="1" showErrorMessage="1" sqref="H2:H307">
      <formula1>'TENDINE SLIM'!$D$2:$D$31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7" max="7" width="7.63"/>
    <col customWidth="1" min="8" max="8" width="56.13"/>
    <col customWidth="1" min="9" max="9" width="29.38"/>
    <col customWidth="1" min="10" max="10" width="18.13"/>
    <col customWidth="1" min="11" max="11" width="12.13"/>
    <col customWidth="1" min="12" max="12" width="32.63"/>
    <col customWidth="1" min="13" max="13" width="26.25"/>
  </cols>
  <sheetData>
    <row r="1">
      <c r="A1" s="171" t="s">
        <v>1</v>
      </c>
      <c r="B1" s="172" t="s">
        <v>2</v>
      </c>
      <c r="C1" s="171" t="s">
        <v>3</v>
      </c>
      <c r="D1" s="171" t="s">
        <v>4</v>
      </c>
      <c r="E1" s="171" t="s">
        <v>385</v>
      </c>
      <c r="F1" s="173" t="s">
        <v>6</v>
      </c>
      <c r="G1" s="171" t="s">
        <v>386</v>
      </c>
      <c r="H1" s="173" t="s">
        <v>996</v>
      </c>
      <c r="I1" s="173" t="s">
        <v>997</v>
      </c>
      <c r="J1" s="171" t="s">
        <v>998</v>
      </c>
      <c r="K1" s="174" t="s">
        <v>387</v>
      </c>
      <c r="L1" s="173" t="s">
        <v>999</v>
      </c>
      <c r="M1" s="175" t="s">
        <v>1000</v>
      </c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</row>
    <row r="2">
      <c r="A2" s="57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115">
        <v>1.0</v>
      </c>
      <c r="H2" s="11" t="s">
        <v>1001</v>
      </c>
      <c r="I2" s="115" t="b">
        <v>0</v>
      </c>
      <c r="J2" s="115" t="b">
        <v>1</v>
      </c>
      <c r="K2" s="152">
        <v>45488.0</v>
      </c>
      <c r="L2" s="11" t="s">
        <v>1002</v>
      </c>
      <c r="M2" s="11" t="s">
        <v>1002</v>
      </c>
      <c r="N2" s="141"/>
    </row>
    <row r="3">
      <c r="A3" s="57">
        <v>2.123023299E9</v>
      </c>
      <c r="B3" s="109" t="str">
        <f>VLOOKUP($A3,ANAGRAFICA!$B$1:$G$306,2,FALSE)</f>
        <v>BEATRICE</v>
      </c>
      <c r="C3" s="109" t="str">
        <f>VLOOKUP($A3,ANAGRAFICA!$B$1:$G$306,3,FALSE)</f>
        <v>GERARDINA</v>
      </c>
      <c r="D3" s="109" t="str">
        <f>VLOOKUP($A3,ANAGRAFICA!$B$1:$G$306,4,FALSE)</f>
        <v/>
      </c>
      <c r="E3" s="109">
        <f>VLOOKUP($A3,ANAGRAFICA!$B$1:$G$306,5,FALSE)</f>
        <v>3272024098</v>
      </c>
      <c r="F3" s="109">
        <f>VLOOKUP($A3,ANAGRAFICA!$B$1:$G$306,6,FALSE)</f>
        <v>2024</v>
      </c>
      <c r="G3" s="115">
        <v>1.0</v>
      </c>
      <c r="H3" s="11" t="s">
        <v>1001</v>
      </c>
      <c r="I3" s="115" t="b">
        <v>0</v>
      </c>
      <c r="J3" s="115" t="b">
        <v>0</v>
      </c>
      <c r="K3" s="152"/>
      <c r="L3" s="11" t="s">
        <v>1002</v>
      </c>
      <c r="M3" s="11" t="s">
        <v>1002</v>
      </c>
    </row>
    <row r="4">
      <c r="A4" s="57">
        <v>2.124000149E9</v>
      </c>
      <c r="B4" s="109" t="str">
        <f>VLOOKUP($A4,ANAGRAFICA!$B$1:$G$306,2,FALSE)</f>
        <v>MOTTA</v>
      </c>
      <c r="C4" s="109" t="str">
        <f>VLOOKUP($A4,ANAGRAFICA!$B$1:$G$306,3,FALSE)</f>
        <v>FABIO</v>
      </c>
      <c r="D4" s="109" t="str">
        <f>VLOOKUP($A4,ANAGRAFICA!$B$1:$G$306,4,FALSE)</f>
        <v/>
      </c>
      <c r="E4" s="109">
        <f>VLOOKUP($A4,ANAGRAFICA!$B$1:$G$306,5,FALSE)</f>
        <v>3272024051</v>
      </c>
      <c r="F4" s="109">
        <f>VLOOKUP($A4,ANAGRAFICA!$B$1:$G$306,6,FALSE)</f>
        <v>2024</v>
      </c>
      <c r="G4" s="57">
        <v>1.0</v>
      </c>
      <c r="H4" s="11" t="s">
        <v>1001</v>
      </c>
      <c r="I4" s="115" t="b">
        <v>1</v>
      </c>
      <c r="J4" s="115" t="b">
        <v>1</v>
      </c>
      <c r="K4" s="152">
        <v>45297.0</v>
      </c>
      <c r="L4" s="11" t="s">
        <v>1002</v>
      </c>
      <c r="M4" s="11" t="s">
        <v>1003</v>
      </c>
    </row>
    <row r="5">
      <c r="A5" s="57">
        <v>2.124000241E9</v>
      </c>
      <c r="B5" s="109" t="str">
        <f>VLOOKUP($A5,ANAGRAFICA!$B$1:$G$306,2,FALSE)</f>
        <v>ISELLA</v>
      </c>
      <c r="C5" s="109" t="str">
        <f>VLOOKUP($A5,ANAGRAFICA!$B$1:$G$306,3,FALSE)</f>
        <v>VINCENZO</v>
      </c>
      <c r="D5" s="109" t="str">
        <f>VLOOKUP($A5,ANAGRAFICA!$B$1:$G$306,4,FALSE)</f>
        <v/>
      </c>
      <c r="E5" s="109">
        <f>VLOOKUP($A5,ANAGRAFICA!$B$1:$G$306,5,FALSE)</f>
        <v>3272024052</v>
      </c>
      <c r="F5" s="109">
        <f>VLOOKUP($A5,ANAGRAFICA!$B$1:$G$306,6,FALSE)</f>
        <v>2024</v>
      </c>
      <c r="G5" s="57">
        <v>1.0</v>
      </c>
      <c r="H5" s="11" t="s">
        <v>1001</v>
      </c>
      <c r="I5" s="115" t="b">
        <v>0</v>
      </c>
      <c r="J5" s="115" t="b">
        <v>0</v>
      </c>
      <c r="K5" s="152"/>
      <c r="L5" s="11" t="s">
        <v>1002</v>
      </c>
      <c r="M5" s="11" t="s">
        <v>1002</v>
      </c>
    </row>
    <row r="6">
      <c r="A6" s="57">
        <v>2.124000328E9</v>
      </c>
      <c r="B6" s="109" t="str">
        <f>VLOOKUP($A6,ANAGRAFICA!$B$1:$G$306,2,FALSE)</f>
        <v>LAVANGA</v>
      </c>
      <c r="C6" s="109" t="str">
        <f>VLOOKUP($A6,ANAGRAFICA!$B$1:$G$306,3,FALSE)</f>
        <v>DONATO</v>
      </c>
      <c r="D6" s="109" t="str">
        <f>VLOOKUP($A6,ANAGRAFICA!$B$1:$G$306,4,FALSE)</f>
        <v/>
      </c>
      <c r="E6" s="109">
        <f>VLOOKUP($A6,ANAGRAFICA!$B$1:$G$306,5,FALSE)</f>
        <v>3272024053</v>
      </c>
      <c r="F6" s="109">
        <f>VLOOKUP($A6,ANAGRAFICA!$B$1:$G$306,6,FALSE)</f>
        <v>2024</v>
      </c>
      <c r="G6" s="57">
        <v>1.0</v>
      </c>
      <c r="H6" s="11" t="s">
        <v>1001</v>
      </c>
      <c r="I6" s="115" t="b">
        <v>0</v>
      </c>
      <c r="J6" s="115" t="b">
        <v>0</v>
      </c>
      <c r="K6" s="152"/>
      <c r="L6" s="11" t="s">
        <v>1002</v>
      </c>
      <c r="M6" s="11" t="s">
        <v>1002</v>
      </c>
    </row>
    <row r="7">
      <c r="A7" s="57">
        <v>2.124001121E9</v>
      </c>
      <c r="B7" s="109" t="str">
        <f>VLOOKUP($A7,ANAGRAFICA!$B$1:$G$306,2,FALSE)</f>
        <v>TIEGHI</v>
      </c>
      <c r="C7" s="109" t="str">
        <f>VLOOKUP($A7,ANAGRAFICA!$B$1:$G$306,3,FALSE)</f>
        <v>MASSIMO</v>
      </c>
      <c r="D7" s="109" t="str">
        <f>VLOOKUP($A7,ANAGRAFICA!$B$1:$G$306,4,FALSE)</f>
        <v/>
      </c>
      <c r="E7" s="109">
        <f>VLOOKUP($A7,ANAGRAFICA!$B$1:$G$306,5,FALSE)</f>
        <v>3272024054</v>
      </c>
      <c r="F7" s="109">
        <f>VLOOKUP($A7,ANAGRAFICA!$B$1:$G$306,6,FALSE)</f>
        <v>2024</v>
      </c>
      <c r="G7" s="57">
        <v>1.0</v>
      </c>
      <c r="H7" s="11" t="s">
        <v>1001</v>
      </c>
      <c r="I7" s="115" t="b">
        <v>1</v>
      </c>
      <c r="J7" s="115" t="b">
        <v>0</v>
      </c>
      <c r="K7" s="152"/>
      <c r="L7" s="11" t="s">
        <v>1004</v>
      </c>
      <c r="M7" s="11" t="s">
        <v>1004</v>
      </c>
    </row>
    <row r="8">
      <c r="A8" s="57">
        <v>2.124002215E9</v>
      </c>
      <c r="B8" s="109" t="str">
        <f>VLOOKUP($A8,ANAGRAFICA!$B$1:$G$306,2,FALSE)</f>
        <v>SCHIFANO</v>
      </c>
      <c r="C8" s="109" t="str">
        <f>VLOOKUP($A8,ANAGRAFICA!$B$1:$G$306,3,FALSE)</f>
        <v>FRANCESCO</v>
      </c>
      <c r="D8" s="109" t="str">
        <f>VLOOKUP($A8,ANAGRAFICA!$B$1:$G$306,4,FALSE)</f>
        <v/>
      </c>
      <c r="E8" s="109">
        <f>VLOOKUP($A8,ANAGRAFICA!$B$1:$G$306,5,FALSE)</f>
        <v>3272024055</v>
      </c>
      <c r="F8" s="109">
        <f>VLOOKUP($A8,ANAGRAFICA!$B$1:$G$306,6,FALSE)</f>
        <v>2024</v>
      </c>
      <c r="G8" s="57">
        <v>1.0</v>
      </c>
      <c r="H8" s="11" t="s">
        <v>1001</v>
      </c>
      <c r="I8" s="115" t="b">
        <v>0</v>
      </c>
      <c r="J8" s="115" t="b">
        <v>1</v>
      </c>
      <c r="K8" s="152">
        <v>45327.0</v>
      </c>
      <c r="L8" s="11" t="s">
        <v>1002</v>
      </c>
      <c r="M8" s="11" t="s">
        <v>1002</v>
      </c>
    </row>
    <row r="9">
      <c r="A9" s="57">
        <v>2.124202869E9</v>
      </c>
      <c r="B9" s="109" t="str">
        <f>VLOOKUP($A9,ANAGRAFICA!$B$1:$G$306,2,FALSE)</f>
        <v>VALSECCHI</v>
      </c>
      <c r="C9" s="109" t="str">
        <f>VLOOKUP($A9,ANAGRAFICA!$B$1:$G$306,3,FALSE)</f>
        <v>ANDREA</v>
      </c>
      <c r="D9" s="109" t="str">
        <f>VLOOKUP($A9,ANAGRAFICA!$B$1:$G$306,4,FALSE)</f>
        <v/>
      </c>
      <c r="E9" s="109">
        <f>VLOOKUP($A9,ANAGRAFICA!$B$1:$G$306,5,FALSE)</f>
        <v>3272024056</v>
      </c>
      <c r="F9" s="109">
        <f>VLOOKUP($A9,ANAGRAFICA!$B$1:$G$306,6,FALSE)</f>
        <v>2024</v>
      </c>
      <c r="G9" s="57">
        <v>1.0</v>
      </c>
      <c r="H9" s="11" t="s">
        <v>1001</v>
      </c>
      <c r="I9" s="115" t="b">
        <v>1</v>
      </c>
      <c r="J9" s="115" t="b">
        <v>1</v>
      </c>
      <c r="K9" s="152">
        <v>45337.0</v>
      </c>
      <c r="L9" s="11" t="s">
        <v>1002</v>
      </c>
      <c r="M9" s="11" t="s">
        <v>1002</v>
      </c>
    </row>
    <row r="10">
      <c r="A10" s="57">
        <v>2.124003531E9</v>
      </c>
      <c r="B10" s="109" t="str">
        <f>VLOOKUP($A10,ANAGRAFICA!$B$1:$G$306,2,FALSE)</f>
        <v>RASPANTI</v>
      </c>
      <c r="C10" s="109" t="str">
        <f>VLOOKUP($A10,ANAGRAFICA!$B$1:$G$306,3,FALSE)</f>
        <v>ANDREA</v>
      </c>
      <c r="D10" s="109" t="str">
        <f>VLOOKUP($A10,ANAGRAFICA!$B$1:$G$306,4,FALSE)</f>
        <v/>
      </c>
      <c r="E10" s="109">
        <f>VLOOKUP($A10,ANAGRAFICA!$B$1:$G$306,5,FALSE)</f>
        <v>3272024057</v>
      </c>
      <c r="F10" s="109">
        <f>VLOOKUP($A10,ANAGRAFICA!$B$1:$G$306,6,FALSE)</f>
        <v>2024</v>
      </c>
      <c r="G10" s="57">
        <v>1.0</v>
      </c>
      <c r="H10" s="11" t="s">
        <v>1001</v>
      </c>
      <c r="I10" s="115" t="b">
        <v>0</v>
      </c>
      <c r="J10" s="115" t="b">
        <v>1</v>
      </c>
      <c r="K10" s="152">
        <v>45345.0</v>
      </c>
      <c r="L10" s="11" t="s">
        <v>1002</v>
      </c>
      <c r="M10" s="11" t="s">
        <v>1004</v>
      </c>
    </row>
    <row r="11">
      <c r="A11" s="177">
        <v>2.124203781E9</v>
      </c>
      <c r="B11" s="109" t="str">
        <f>VLOOKUP($A11,ANAGRAFICA!$B$1:$G$306,2,FALSE)</f>
        <v>CONCA</v>
      </c>
      <c r="C11" s="109" t="str">
        <f>VLOOKUP($A11,ANAGRAFICA!$B$1:$G$306,3,FALSE)</f>
        <v>CAMILLA</v>
      </c>
      <c r="D11" s="109" t="str">
        <f>VLOOKUP($A11,ANAGRAFICA!$B$1:$G$306,4,FALSE)</f>
        <v/>
      </c>
      <c r="E11" s="109">
        <f>VLOOKUP($A11,ANAGRAFICA!$B$1:$G$306,5,FALSE)</f>
        <v>3272024058</v>
      </c>
      <c r="F11" s="109">
        <f>VLOOKUP($A11,ANAGRAFICA!$B$1:$G$306,6,FALSE)</f>
        <v>2024</v>
      </c>
      <c r="G11" s="57">
        <v>1.0</v>
      </c>
      <c r="H11" s="11" t="s">
        <v>1001</v>
      </c>
      <c r="I11" s="115" t="b">
        <v>0</v>
      </c>
      <c r="J11" s="115" t="b">
        <v>1</v>
      </c>
      <c r="K11" s="152">
        <v>45349.0</v>
      </c>
      <c r="L11" s="11" t="s">
        <v>1002</v>
      </c>
      <c r="M11" s="11" t="s">
        <v>1002</v>
      </c>
    </row>
    <row r="12">
      <c r="A12" s="57">
        <v>2.124019725E9</v>
      </c>
      <c r="B12" s="109" t="str">
        <f>VLOOKUP($A12,ANAGRAFICA!$B$1:$G$306,2,FALSE)</f>
        <v>AMIWO</v>
      </c>
      <c r="C12" s="109" t="str">
        <f>VLOOKUP($A12,ANAGRAFICA!$B$1:$G$306,3,FALSE)</f>
        <v>REX STEVE</v>
      </c>
      <c r="D12" s="109" t="str">
        <f>VLOOKUP($A12,ANAGRAFICA!$B$1:$G$306,4,FALSE)</f>
        <v>758-18</v>
      </c>
      <c r="E12" s="109">
        <f>VLOOKUP($A12,ANAGRAFICA!$B$1:$G$306,5,FALSE)</f>
        <v>3272024084</v>
      </c>
      <c r="F12" s="109">
        <f>VLOOKUP($A12,ANAGRAFICA!$B$1:$G$306,6,FALSE)</f>
        <v>2024</v>
      </c>
      <c r="G12" s="57">
        <v>1.0</v>
      </c>
      <c r="H12" s="11" t="s">
        <v>1001</v>
      </c>
      <c r="I12" s="115" t="b">
        <v>0</v>
      </c>
      <c r="J12" s="115" t="b">
        <v>0</v>
      </c>
      <c r="K12" s="152">
        <v>45601.0</v>
      </c>
      <c r="L12" s="11" t="s">
        <v>1002</v>
      </c>
      <c r="M12" s="11" t="s">
        <v>1002</v>
      </c>
    </row>
    <row r="13">
      <c r="A13" s="57">
        <v>2.12401869E9</v>
      </c>
      <c r="B13" s="109" t="str">
        <f>VLOOKUP($A13,ANAGRAFICA!$B$1:$G$306,2,FALSE)</f>
        <v>AVENIDO</v>
      </c>
      <c r="C13" s="109" t="str">
        <f>VLOOKUP($A13,ANAGRAFICA!$B$1:$G$306,3,FALSE)</f>
        <v>DELFIN</v>
      </c>
      <c r="D13" s="109" t="str">
        <f>VLOOKUP($A13,ANAGRAFICA!$B$1:$G$306,4,FALSE)</f>
        <v>758-16</v>
      </c>
      <c r="E13" s="109">
        <f>VLOOKUP($A13,ANAGRAFICA!$B$1:$G$306,5,FALSE)</f>
        <v>3272024082</v>
      </c>
      <c r="F13" s="109">
        <f>VLOOKUP($A13,ANAGRAFICA!$B$1:$G$306,6,FALSE)</f>
        <v>2024</v>
      </c>
      <c r="G13" s="57">
        <v>1.0</v>
      </c>
      <c r="H13" s="11" t="s">
        <v>1001</v>
      </c>
      <c r="I13" s="115" t="b">
        <v>0</v>
      </c>
      <c r="J13" s="115" t="b">
        <v>1</v>
      </c>
      <c r="K13" s="152">
        <v>45585.0</v>
      </c>
      <c r="L13" s="11" t="s">
        <v>1002</v>
      </c>
      <c r="M13" s="11" t="s">
        <v>1002</v>
      </c>
    </row>
    <row r="14">
      <c r="A14" s="57">
        <v>2.124018637E9</v>
      </c>
      <c r="B14" s="109" t="str">
        <f>VLOOKUP($A14,ANAGRAFICA!$B$1:$G$306,2,FALSE)</f>
        <v>CARIBONI</v>
      </c>
      <c r="C14" s="109" t="str">
        <f>VLOOKUP($A14,ANAGRAFICA!$B$1:$G$306,3,FALSE)</f>
        <v>LORENZA</v>
      </c>
      <c r="D14" s="109" t="str">
        <f>VLOOKUP($A14,ANAGRAFICA!$B$1:$G$306,4,FALSE)</f>
        <v>758-15</v>
      </c>
      <c r="E14" s="109">
        <f>VLOOKUP($A14,ANAGRAFICA!$B$1:$G$306,5,FALSE)</f>
        <v>3272024081</v>
      </c>
      <c r="F14" s="109">
        <f>VLOOKUP($A14,ANAGRAFICA!$B$1:$G$306,6,FALSE)</f>
        <v>2024</v>
      </c>
      <c r="G14" s="57">
        <v>1.0</v>
      </c>
      <c r="H14" s="11" t="s">
        <v>1001</v>
      </c>
      <c r="I14" s="115" t="b">
        <v>0</v>
      </c>
      <c r="J14" s="115" t="b">
        <v>0</v>
      </c>
      <c r="K14" s="152"/>
      <c r="L14" s="11" t="s">
        <v>1002</v>
      </c>
      <c r="M14" s="11" t="s">
        <v>1002</v>
      </c>
    </row>
    <row r="15">
      <c r="A15" s="57">
        <v>2.124019184E9</v>
      </c>
      <c r="B15" s="109" t="str">
        <f>VLOOKUP($A15,ANAGRAFICA!$B$1:$G$306,2,FALSE)</f>
        <v>SERVIDIO</v>
      </c>
      <c r="C15" s="109" t="str">
        <f>VLOOKUP($A15,ANAGRAFICA!$B$1:$G$306,3,FALSE)</f>
        <v>GIOVANNI</v>
      </c>
      <c r="D15" s="109" t="str">
        <f>VLOOKUP($A15,ANAGRAFICA!$B$1:$G$306,4,FALSE)</f>
        <v>758-17</v>
      </c>
      <c r="E15" s="109">
        <f>VLOOKUP($A15,ANAGRAFICA!$B$1:$G$306,5,FALSE)</f>
        <v>3272024083</v>
      </c>
      <c r="F15" s="109">
        <f>VLOOKUP($A15,ANAGRAFICA!$B$1:$G$306,6,FALSE)</f>
        <v>2024</v>
      </c>
      <c r="G15" s="57">
        <v>1.0</v>
      </c>
      <c r="H15" s="11" t="s">
        <v>1001</v>
      </c>
      <c r="I15" s="115" t="b">
        <v>1</v>
      </c>
      <c r="J15" s="115" t="b">
        <v>1</v>
      </c>
      <c r="K15" s="152">
        <v>45596.0</v>
      </c>
      <c r="L15" s="11" t="s">
        <v>1002</v>
      </c>
      <c r="M15" s="11" t="s">
        <v>1005</v>
      </c>
    </row>
    <row r="16">
      <c r="A16" s="57">
        <v>2.124017757E9</v>
      </c>
      <c r="B16" s="109" t="str">
        <f>VLOOKUP($A16,ANAGRAFICA!$B$1:$G$306,2,FALSE)</f>
        <v>SALA</v>
      </c>
      <c r="C16" s="109" t="str">
        <f>VLOOKUP($A16,ANAGRAFICA!$B$1:$G$306,3,FALSE)</f>
        <v>FELICE</v>
      </c>
      <c r="D16" s="109" t="str">
        <f>VLOOKUP($A16,ANAGRAFICA!$B$1:$G$306,4,FALSE)</f>
        <v>758-14</v>
      </c>
      <c r="E16" s="109">
        <f>VLOOKUP($A16,ANAGRAFICA!$B$1:$G$306,5,FALSE)</f>
        <v>3272024080</v>
      </c>
      <c r="F16" s="109">
        <f>VLOOKUP($A16,ANAGRAFICA!$B$1:$G$306,6,FALSE)</f>
        <v>2024</v>
      </c>
      <c r="G16" s="57">
        <v>1.0</v>
      </c>
      <c r="H16" s="11" t="s">
        <v>1001</v>
      </c>
      <c r="I16" s="115" t="b">
        <v>0</v>
      </c>
      <c r="J16" s="115" t="b">
        <v>1</v>
      </c>
      <c r="K16" s="152">
        <v>45574.0</v>
      </c>
      <c r="L16" s="11" t="s">
        <v>1002</v>
      </c>
      <c r="M16" s="11" t="s">
        <v>1002</v>
      </c>
    </row>
    <row r="17">
      <c r="A17" s="57">
        <v>2.124211722E9</v>
      </c>
      <c r="B17" s="109" t="str">
        <f>VLOOKUP($A17,ANAGRAFICA!$B$1:$G$306,2,FALSE)</f>
        <v>CORIO</v>
      </c>
      <c r="C17" s="109" t="str">
        <f>VLOOKUP($A17,ANAGRAFICA!$B$1:$G$306,3,FALSE)</f>
        <v>GIOVANNI</v>
      </c>
      <c r="D17" s="109" t="str">
        <f>VLOOKUP($A17,ANAGRAFICA!$B$1:$G$306,4,FALSE)</f>
        <v>758-13</v>
      </c>
      <c r="E17" s="109">
        <f>VLOOKUP($A17,ANAGRAFICA!$B$1:$G$306,5,FALSE)</f>
        <v>3272024079</v>
      </c>
      <c r="F17" s="109">
        <f>VLOOKUP($A17,ANAGRAFICA!$B$1:$G$306,6,FALSE)</f>
        <v>2024</v>
      </c>
      <c r="G17" s="57">
        <v>1.0</v>
      </c>
      <c r="H17" s="11" t="s">
        <v>1001</v>
      </c>
      <c r="I17" s="115" t="b">
        <v>1</v>
      </c>
      <c r="J17" s="115" t="b">
        <v>1</v>
      </c>
      <c r="K17" s="152">
        <v>45572.0</v>
      </c>
      <c r="L17" s="11" t="s">
        <v>1002</v>
      </c>
      <c r="M17" s="11" t="s">
        <v>1004</v>
      </c>
    </row>
    <row r="18">
      <c r="A18" s="57">
        <v>2.124014334E9</v>
      </c>
      <c r="B18" s="109" t="str">
        <f>VLOOKUP($A18,ANAGRAFICA!$B$1:$G$306,2,FALSE)</f>
        <v>PONTIGGIA</v>
      </c>
      <c r="C18" s="109" t="str">
        <f>VLOOKUP($A18,ANAGRAFICA!$B$1:$G$306,3,FALSE)</f>
        <v>FLAVIO</v>
      </c>
      <c r="D18" s="109" t="str">
        <f>VLOOKUP($A18,ANAGRAFICA!$B$1:$G$306,4,FALSE)</f>
        <v>758-9</v>
      </c>
      <c r="E18" s="109">
        <f>VLOOKUP($A18,ANAGRAFICA!$B$1:$G$306,5,FALSE)</f>
        <v>3272024075</v>
      </c>
      <c r="F18" s="109">
        <f>VLOOKUP($A18,ANAGRAFICA!$B$1:$G$306,6,FALSE)</f>
        <v>2024</v>
      </c>
      <c r="G18" s="57">
        <v>1.0</v>
      </c>
      <c r="H18" s="11" t="s">
        <v>1001</v>
      </c>
      <c r="I18" s="115" t="b">
        <v>0</v>
      </c>
      <c r="J18" s="115" t="b">
        <v>0</v>
      </c>
      <c r="K18" s="152"/>
      <c r="L18" s="11" t="s">
        <v>1002</v>
      </c>
      <c r="M18" s="11" t="s">
        <v>1002</v>
      </c>
    </row>
    <row r="19">
      <c r="A19" s="57">
        <v>2.124013801E9</v>
      </c>
      <c r="B19" s="109" t="str">
        <f>VLOOKUP($A19,ANAGRAFICA!$B$1:$G$306,2,FALSE)</f>
        <v>SGOBBA</v>
      </c>
      <c r="C19" s="109" t="str">
        <f>VLOOKUP($A19,ANAGRAFICA!$B$1:$G$306,3,FALSE)</f>
        <v>ANNA</v>
      </c>
      <c r="D19" s="109" t="str">
        <f>VLOOKUP($A19,ANAGRAFICA!$B$1:$G$306,4,FALSE)</f>
        <v>758-8</v>
      </c>
      <c r="E19" s="109">
        <f>VLOOKUP($A19,ANAGRAFICA!$B$1:$G$306,5,FALSE)</f>
        <v>3272024074</v>
      </c>
      <c r="F19" s="109">
        <f>VLOOKUP($A19,ANAGRAFICA!$B$1:$G$306,6,FALSE)</f>
        <v>2024</v>
      </c>
      <c r="G19" s="57">
        <v>1.0</v>
      </c>
      <c r="H19" s="11" t="s">
        <v>1001</v>
      </c>
      <c r="I19" s="115" t="b">
        <v>1</v>
      </c>
      <c r="J19" s="115" t="b">
        <v>1</v>
      </c>
      <c r="K19" s="152">
        <v>45514.0</v>
      </c>
      <c r="L19" s="11" t="s">
        <v>1002</v>
      </c>
      <c r="M19" s="11" t="s">
        <v>1002</v>
      </c>
    </row>
    <row r="20">
      <c r="A20" s="57">
        <v>2.124012915E9</v>
      </c>
      <c r="B20" s="109" t="str">
        <f>VLOOKUP($A20,ANAGRAFICA!$B$1:$G$306,2,FALSE)</f>
        <v>GARGIONI</v>
      </c>
      <c r="C20" s="109" t="str">
        <f>VLOOKUP($A20,ANAGRAFICA!$B$1:$G$306,3,FALSE)</f>
        <v>GIULIO</v>
      </c>
      <c r="D20" s="109" t="str">
        <f>VLOOKUP($A20,ANAGRAFICA!$B$1:$G$306,4,FALSE)</f>
        <v>758-6</v>
      </c>
      <c r="E20" s="109">
        <f>VLOOKUP($A20,ANAGRAFICA!$B$1:$G$306,5,FALSE)</f>
        <v>3272024072</v>
      </c>
      <c r="F20" s="109">
        <f>VLOOKUP($A20,ANAGRAFICA!$B$1:$G$306,6,FALSE)</f>
        <v>2024</v>
      </c>
      <c r="G20" s="57">
        <v>1.0</v>
      </c>
      <c r="H20" s="11" t="s">
        <v>1001</v>
      </c>
      <c r="I20" s="115" t="b">
        <v>0</v>
      </c>
      <c r="J20" s="115" t="b">
        <v>1</v>
      </c>
      <c r="K20" s="152">
        <v>45487.0</v>
      </c>
      <c r="L20" s="11" t="s">
        <v>1002</v>
      </c>
      <c r="M20" s="11" t="s">
        <v>1004</v>
      </c>
    </row>
    <row r="21">
      <c r="A21" s="57">
        <v>2.124206072E9</v>
      </c>
      <c r="B21" s="109" t="str">
        <f>VLOOKUP($A21,ANAGRAFICA!$B$1:$G$306,2,FALSE)</f>
        <v>CONSONNI</v>
      </c>
      <c r="C21" s="109" t="str">
        <f>VLOOKUP($A21,ANAGRAFICA!$B$1:$G$306,3,FALSE)</f>
        <v>GIULIO</v>
      </c>
      <c r="D21" s="109" t="str">
        <f>VLOOKUP($A21,ANAGRAFICA!$B$1:$G$306,4,FALSE)</f>
        <v/>
      </c>
      <c r="E21" s="109">
        <f>VLOOKUP($A21,ANAGRAFICA!$B$1:$G$306,5,FALSE)</f>
        <v>3272024064</v>
      </c>
      <c r="F21" s="109">
        <f>VLOOKUP($A21,ANAGRAFICA!$B$1:$G$306,6,FALSE)</f>
        <v>2024</v>
      </c>
      <c r="G21" s="57">
        <v>1.0</v>
      </c>
      <c r="H21" s="11" t="s">
        <v>1001</v>
      </c>
      <c r="I21" s="115" t="b">
        <v>1</v>
      </c>
      <c r="J21" s="115" t="b">
        <v>0</v>
      </c>
      <c r="K21" s="152"/>
      <c r="L21" s="11" t="s">
        <v>1002</v>
      </c>
      <c r="M21" s="11" t="s">
        <v>1002</v>
      </c>
    </row>
    <row r="22">
      <c r="A22" s="57">
        <v>2.124011588E9</v>
      </c>
      <c r="B22" s="109" t="str">
        <f>VLOOKUP($A22,ANAGRAFICA!$B$1:$G$306,2,FALSE)</f>
        <v>FRATINO</v>
      </c>
      <c r="C22" s="109" t="str">
        <f>VLOOKUP($A22,ANAGRAFICA!$B$1:$G$306,3,FALSE)</f>
        <v>OLIVIERO</v>
      </c>
      <c r="D22" s="109" t="str">
        <f>VLOOKUP($A22,ANAGRAFICA!$B$1:$G$306,4,FALSE)</f>
        <v>758-4</v>
      </c>
      <c r="E22" s="109">
        <f>VLOOKUP($A22,ANAGRAFICA!$B$1:$G$306,5,FALSE)</f>
        <v>3272024070</v>
      </c>
      <c r="F22" s="109">
        <f>VLOOKUP($A22,ANAGRAFICA!$B$1:$G$306,6,FALSE)</f>
        <v>2024</v>
      </c>
      <c r="G22" s="57">
        <v>1.0</v>
      </c>
      <c r="H22" s="11" t="s">
        <v>1001</v>
      </c>
      <c r="I22" s="115" t="b">
        <v>1</v>
      </c>
      <c r="J22" s="115" t="b">
        <v>1</v>
      </c>
      <c r="K22" s="152">
        <v>45465.0</v>
      </c>
      <c r="L22" s="11" t="s">
        <v>1002</v>
      </c>
      <c r="M22" s="115"/>
    </row>
    <row r="23">
      <c r="A23" s="57">
        <v>2.124208629E9</v>
      </c>
      <c r="B23" s="109" t="str">
        <f>VLOOKUP($A23,ANAGRAFICA!$B$1:$G$306,2,FALSE)</f>
        <v>D'ANDREA</v>
      </c>
      <c r="C23" s="109" t="str">
        <f>VLOOKUP($A23,ANAGRAFICA!$B$1:$G$306,3,FALSE)</f>
        <v>FERNANDO ANTONIO</v>
      </c>
      <c r="D23" s="109" t="str">
        <f>VLOOKUP($A23,ANAGRAFICA!$B$1:$G$306,4,FALSE)</f>
        <v>758-5</v>
      </c>
      <c r="E23" s="109">
        <f>VLOOKUP($A23,ANAGRAFICA!$B$1:$G$306,5,FALSE)</f>
        <v>3272024071</v>
      </c>
      <c r="F23" s="109">
        <f>VLOOKUP($A23,ANAGRAFICA!$B$1:$G$306,6,FALSE)</f>
        <v>2024</v>
      </c>
      <c r="G23" s="57">
        <v>1.0</v>
      </c>
      <c r="H23" s="11" t="s">
        <v>1001</v>
      </c>
      <c r="I23" s="115" t="b">
        <v>0</v>
      </c>
      <c r="J23" s="115" t="b">
        <v>1</v>
      </c>
      <c r="K23" s="152">
        <v>45472.0</v>
      </c>
      <c r="L23" s="11" t="s">
        <v>1002</v>
      </c>
      <c r="M23" s="11" t="s">
        <v>1002</v>
      </c>
    </row>
    <row r="24">
      <c r="A24" s="57">
        <v>2.1240107E9</v>
      </c>
      <c r="B24" s="109" t="str">
        <f>VLOOKUP($A24,ANAGRAFICA!$B$1:$G$306,2,FALSE)</f>
        <v>ORNAGHI</v>
      </c>
      <c r="C24" s="109" t="str">
        <f>VLOOKUP($A24,ANAGRAFICA!$B$1:$G$306,3,FALSE)</f>
        <v>LORENZO</v>
      </c>
      <c r="D24" s="109" t="str">
        <f>VLOOKUP($A24,ANAGRAFICA!$B$1:$G$306,4,FALSE)</f>
        <v>758-2</v>
      </c>
      <c r="E24" s="109">
        <f>VLOOKUP($A24,ANAGRAFICA!$B$1:$G$306,5,FALSE)</f>
        <v>3272024068</v>
      </c>
      <c r="F24" s="109">
        <f>VLOOKUP($A24,ANAGRAFICA!$B$1:$G$306,6,FALSE)</f>
        <v>2024</v>
      </c>
      <c r="G24" s="57">
        <v>1.0</v>
      </c>
      <c r="H24" s="11" t="s">
        <v>1001</v>
      </c>
      <c r="I24" s="115" t="b">
        <v>1</v>
      </c>
      <c r="J24" s="115" t="b">
        <v>0</v>
      </c>
      <c r="K24" s="152"/>
      <c r="L24" s="11" t="s">
        <v>1002</v>
      </c>
      <c r="M24" s="11" t="s">
        <v>1002</v>
      </c>
    </row>
    <row r="25">
      <c r="A25" s="57">
        <v>2.124009735E9</v>
      </c>
      <c r="B25" s="109" t="str">
        <f>VLOOKUP($A25,ANAGRAFICA!$B$1:$G$306,2,FALSE)</f>
        <v>BOSSI</v>
      </c>
      <c r="C25" s="109" t="str">
        <f>VLOOKUP($A25,ANAGRAFICA!$B$1:$G$306,3,FALSE)</f>
        <v>LUDOVICO</v>
      </c>
      <c r="D25" s="109" t="str">
        <f>VLOOKUP($A25,ANAGRAFICA!$B$1:$G$306,4,FALSE)</f>
        <v>758-1</v>
      </c>
      <c r="E25" s="109">
        <f>VLOOKUP($A25,ANAGRAFICA!$B$1:$G$306,5,FALSE)</f>
        <v>3272024067</v>
      </c>
      <c r="F25" s="109">
        <f>VLOOKUP($A25,ANAGRAFICA!$B$1:$G$306,6,FALSE)</f>
        <v>2024</v>
      </c>
      <c r="G25" s="57">
        <v>1.0</v>
      </c>
      <c r="H25" s="11" t="s">
        <v>1001</v>
      </c>
      <c r="I25" s="115" t="b">
        <v>1</v>
      </c>
      <c r="J25" s="115" t="b">
        <v>1</v>
      </c>
      <c r="K25" s="152">
        <v>45436.0</v>
      </c>
      <c r="L25" s="11" t="s">
        <v>1002</v>
      </c>
      <c r="M25" s="11" t="s">
        <v>1002</v>
      </c>
    </row>
    <row r="26">
      <c r="A26" s="57">
        <v>2.124008291E9</v>
      </c>
      <c r="B26" s="109" t="str">
        <f>VLOOKUP($A26,ANAGRAFICA!$B$1:$G$306,2,FALSE)</f>
        <v>FUMAGALLI</v>
      </c>
      <c r="C26" s="109" t="str">
        <f>VLOOKUP($A26,ANAGRAFICA!$B$1:$G$306,3,FALSE)</f>
        <v>PIERO</v>
      </c>
      <c r="D26" s="109" t="str">
        <f>VLOOKUP($A26,ANAGRAFICA!$B$1:$G$306,4,FALSE)</f>
        <v/>
      </c>
      <c r="E26" s="109">
        <f>VLOOKUP($A26,ANAGRAFICA!$B$1:$G$306,5,FALSE)</f>
        <v>3272024065</v>
      </c>
      <c r="F26" s="109">
        <f>VLOOKUP($A26,ANAGRAFICA!$B$1:$G$306,6,FALSE)</f>
        <v>2024</v>
      </c>
      <c r="G26" s="57">
        <v>1.0</v>
      </c>
      <c r="H26" s="11" t="s">
        <v>1001</v>
      </c>
      <c r="I26" s="115" t="b">
        <v>0</v>
      </c>
      <c r="J26" s="115" t="b">
        <v>0</v>
      </c>
      <c r="K26" s="152"/>
      <c r="L26" s="11" t="s">
        <v>1002</v>
      </c>
      <c r="M26" s="11" t="s">
        <v>1002</v>
      </c>
    </row>
    <row r="27">
      <c r="A27" s="57">
        <v>2.124206072E9</v>
      </c>
      <c r="B27" s="109" t="str">
        <f>VLOOKUP($A27,ANAGRAFICA!$B$1:$G$306,2,FALSE)</f>
        <v>CONSONNI</v>
      </c>
      <c r="C27" s="109" t="str">
        <f>VLOOKUP($A27,ANAGRAFICA!$B$1:$G$306,3,FALSE)</f>
        <v>GIULIO</v>
      </c>
      <c r="D27" s="109" t="str">
        <f>VLOOKUP($A27,ANAGRAFICA!$B$1:$G$306,4,FALSE)</f>
        <v/>
      </c>
      <c r="E27" s="109">
        <f>VLOOKUP($A27,ANAGRAFICA!$B$1:$G$306,5,FALSE)</f>
        <v>3272024064</v>
      </c>
      <c r="F27" s="109">
        <f>VLOOKUP($A27,ANAGRAFICA!$B$1:$G$306,6,FALSE)</f>
        <v>2024</v>
      </c>
      <c r="G27" s="57">
        <v>1.0</v>
      </c>
      <c r="H27" s="11" t="s">
        <v>1001</v>
      </c>
      <c r="I27" s="115" t="b">
        <v>1</v>
      </c>
      <c r="J27" s="115" t="b">
        <v>1</v>
      </c>
      <c r="K27" s="152">
        <v>45410.0</v>
      </c>
      <c r="L27" s="11" t="s">
        <v>1002</v>
      </c>
      <c r="M27" s="11" t="s">
        <v>1002</v>
      </c>
    </row>
    <row r="28">
      <c r="A28" s="57">
        <v>2.124007138E9</v>
      </c>
      <c r="B28" s="109" t="str">
        <f>VLOOKUP($A28,ANAGRAFICA!$B$1:$G$306,2,FALSE)</f>
        <v>TARTARELLI</v>
      </c>
      <c r="C28" s="109" t="str">
        <f>VLOOKUP($A28,ANAGRAFICA!$B$1:$G$306,3,FALSE)</f>
        <v>GIUSEPPE</v>
      </c>
      <c r="D28" s="109" t="str">
        <f>VLOOKUP($A28,ANAGRAFICA!$B$1:$G$306,4,FALSE)</f>
        <v/>
      </c>
      <c r="E28" s="109">
        <f>VLOOKUP($A28,ANAGRAFICA!$B$1:$G$306,5,FALSE)</f>
        <v>3272024063</v>
      </c>
      <c r="F28" s="109">
        <f>VLOOKUP($A28,ANAGRAFICA!$B$1:$G$306,6,FALSE)</f>
        <v>2024</v>
      </c>
      <c r="G28" s="57">
        <v>1.0</v>
      </c>
      <c r="H28" s="11" t="s">
        <v>1001</v>
      </c>
      <c r="I28" s="115" t="b">
        <v>0</v>
      </c>
      <c r="J28" s="115" t="b">
        <v>0</v>
      </c>
      <c r="K28" s="152"/>
      <c r="L28" s="11" t="s">
        <v>1002</v>
      </c>
      <c r="M28" s="11" t="s">
        <v>1002</v>
      </c>
    </row>
    <row r="29">
      <c r="A29" s="57">
        <v>2.124008603E9</v>
      </c>
      <c r="B29" s="109" t="str">
        <f>VLOOKUP($A29,ANAGRAFICA!$B$1:$G$306,2,FALSE)</f>
        <v>MARIANI</v>
      </c>
      <c r="C29" s="109" t="str">
        <f>VLOOKUP($A29,ANAGRAFICA!$B$1:$G$306,3,FALSE)</f>
        <v>MARCO</v>
      </c>
      <c r="D29" s="109" t="str">
        <f>VLOOKUP($A29,ANAGRAFICA!$B$1:$G$306,4,FALSE)</f>
        <v/>
      </c>
      <c r="E29" s="109">
        <f>VLOOKUP($A29,ANAGRAFICA!$B$1:$G$306,5,FALSE)</f>
        <v>3272024066</v>
      </c>
      <c r="F29" s="109">
        <f>VLOOKUP($A29,ANAGRAFICA!$B$1:$G$306,6,FALSE)</f>
        <v>2024</v>
      </c>
      <c r="G29" s="57">
        <v>1.0</v>
      </c>
      <c r="H29" s="11" t="s">
        <v>1001</v>
      </c>
      <c r="I29" s="115" t="b">
        <v>0</v>
      </c>
      <c r="J29" s="115" t="b">
        <v>1</v>
      </c>
      <c r="K29" s="152">
        <v>45421.0</v>
      </c>
      <c r="L29" s="11" t="s">
        <v>1002</v>
      </c>
      <c r="M29" s="11" t="s">
        <v>1004</v>
      </c>
    </row>
    <row r="30">
      <c r="A30" s="57">
        <v>2.124015827E9</v>
      </c>
      <c r="B30" s="109" t="str">
        <f>VLOOKUP($A30,ANAGRAFICA!$B$1:$G$306,2,FALSE)</f>
        <v>SCHIAVON</v>
      </c>
      <c r="C30" s="109" t="str">
        <f>VLOOKUP($A30,ANAGRAFICA!$B$1:$G$306,3,FALSE)</f>
        <v>ELIO PAOLO</v>
      </c>
      <c r="D30" s="109" t="str">
        <f>VLOOKUP($A30,ANAGRAFICA!$B$1:$G$306,4,FALSE)</f>
        <v>758-11</v>
      </c>
      <c r="E30" s="109">
        <f>VLOOKUP($A30,ANAGRAFICA!$B$1:$G$306,5,FALSE)</f>
        <v>3272024077</v>
      </c>
      <c r="F30" s="109">
        <f>VLOOKUP($A30,ANAGRAFICA!$B$1:$G$306,6,FALSE)</f>
        <v>2024</v>
      </c>
      <c r="G30" s="57">
        <v>1.0</v>
      </c>
      <c r="H30" s="11" t="s">
        <v>1001</v>
      </c>
      <c r="I30" s="115" t="b">
        <v>1</v>
      </c>
      <c r="J30" s="115" t="b">
        <v>1</v>
      </c>
      <c r="K30" s="152">
        <v>45545.0</v>
      </c>
      <c r="L30" s="11" t="s">
        <v>1002</v>
      </c>
      <c r="M30" s="11" t="s">
        <v>1002</v>
      </c>
    </row>
    <row r="31">
      <c r="A31" s="57">
        <v>2.12400578E9</v>
      </c>
      <c r="B31" s="109" t="str">
        <f>VLOOKUP($A31,ANAGRAFICA!$B$1:$G$306,2,FALSE)</f>
        <v>SAINCIUC</v>
      </c>
      <c r="C31" s="109" t="str">
        <f>VLOOKUP($A31,ANAGRAFICA!$B$1:$G$306,3,FALSE)</f>
        <v>AUREL</v>
      </c>
      <c r="D31" s="109" t="str">
        <f>VLOOKUP($A31,ANAGRAFICA!$B$1:$G$306,4,FALSE)</f>
        <v/>
      </c>
      <c r="E31" s="109">
        <f>VLOOKUP($A31,ANAGRAFICA!$B$1:$G$306,5,FALSE)</f>
        <v>3272024061</v>
      </c>
      <c r="F31" s="109">
        <f>VLOOKUP($A31,ANAGRAFICA!$B$1:$G$306,6,FALSE)</f>
        <v>2024</v>
      </c>
      <c r="G31" s="57">
        <v>1.0</v>
      </c>
      <c r="H31" s="11" t="s">
        <v>1001</v>
      </c>
      <c r="I31" s="115" t="b">
        <v>1</v>
      </c>
      <c r="J31" s="115" t="b">
        <v>0</v>
      </c>
      <c r="K31" s="152"/>
      <c r="L31" s="11" t="s">
        <v>1002</v>
      </c>
      <c r="M31" s="11" t="s">
        <v>1002</v>
      </c>
    </row>
    <row r="32">
      <c r="A32" s="57">
        <v>2.124006081E9</v>
      </c>
      <c r="B32" s="109" t="str">
        <f>VLOOKUP($A32,ANAGRAFICA!$B$1:$G$306,2,FALSE)</f>
        <v>DOSSI</v>
      </c>
      <c r="C32" s="109" t="str">
        <f>VLOOKUP($A32,ANAGRAFICA!$B$1:$G$306,3,FALSE)</f>
        <v>MAURIZIO ANTONIO</v>
      </c>
      <c r="D32" s="109" t="str">
        <f>VLOOKUP($A32,ANAGRAFICA!$B$1:$G$306,4,FALSE)</f>
        <v/>
      </c>
      <c r="E32" s="109">
        <f>VLOOKUP($A32,ANAGRAFICA!$B$1:$G$306,5,FALSE)</f>
        <v>3272024062</v>
      </c>
      <c r="F32" s="109">
        <f>VLOOKUP($A32,ANAGRAFICA!$B$1:$G$306,6,FALSE)</f>
        <v>2024</v>
      </c>
      <c r="G32" s="57">
        <v>1.0</v>
      </c>
      <c r="H32" s="11" t="s">
        <v>1001</v>
      </c>
      <c r="I32" s="115" t="b">
        <v>1</v>
      </c>
      <c r="J32" s="115" t="b">
        <v>1</v>
      </c>
      <c r="K32" s="152">
        <v>45389.0</v>
      </c>
      <c r="L32" s="11" t="s">
        <v>1002</v>
      </c>
      <c r="M32" s="11" t="s">
        <v>1004</v>
      </c>
    </row>
    <row r="33">
      <c r="A33" s="57">
        <v>2.124004761E9</v>
      </c>
      <c r="B33" s="109" t="str">
        <f>VLOOKUP($A33,ANAGRAFICA!$B$1:$G$306,2,FALSE)</f>
        <v>TRAMPOLIN</v>
      </c>
      <c r="C33" s="109" t="str">
        <f>VLOOKUP($A33,ANAGRAFICA!$B$1:$G$306,3,FALSE)</f>
        <v>FABIO</v>
      </c>
      <c r="D33" s="109" t="str">
        <f>VLOOKUP($A33,ANAGRAFICA!$B$1:$G$306,4,FALSE)</f>
        <v/>
      </c>
      <c r="E33" s="109">
        <f>VLOOKUP($A33,ANAGRAFICA!$B$1:$G$306,5,FALSE)</f>
        <v>3272024060</v>
      </c>
      <c r="F33" s="109">
        <f>VLOOKUP($A33,ANAGRAFICA!$B$1:$G$306,6,FALSE)</f>
        <v>2024</v>
      </c>
      <c r="G33" s="57">
        <v>1.0</v>
      </c>
      <c r="H33" s="11" t="s">
        <v>1001</v>
      </c>
      <c r="I33" s="115" t="b">
        <v>0</v>
      </c>
      <c r="J33" s="115" t="b">
        <v>0</v>
      </c>
      <c r="K33" s="152"/>
      <c r="L33" s="11" t="s">
        <v>1002</v>
      </c>
      <c r="M33" s="11" t="s">
        <v>1002</v>
      </c>
    </row>
    <row r="34">
      <c r="A34" s="57">
        <v>2.124003924E9</v>
      </c>
      <c r="B34" s="109" t="str">
        <f>VLOOKUP($A34,ANAGRAFICA!$B$1:$G$306,2,FALSE)</f>
        <v>MUHAMMAD</v>
      </c>
      <c r="C34" s="109" t="str">
        <f>VLOOKUP($A34,ANAGRAFICA!$B$1:$G$306,3,FALSE)</f>
        <v>SHARIF</v>
      </c>
      <c r="D34" s="109" t="str">
        <f>VLOOKUP($A34,ANAGRAFICA!$B$1:$G$306,4,FALSE)</f>
        <v/>
      </c>
      <c r="E34" s="109">
        <f>VLOOKUP($A34,ANAGRAFICA!$B$1:$G$306,5,FALSE)</f>
        <v>3272024059</v>
      </c>
      <c r="F34" s="109">
        <f>VLOOKUP($A34,ANAGRAFICA!$B$1:$G$306,6,FALSE)</f>
        <v>2024</v>
      </c>
      <c r="G34" s="57">
        <v>1.0</v>
      </c>
      <c r="H34" s="11" t="s">
        <v>1001</v>
      </c>
      <c r="I34" s="115" t="b">
        <v>0</v>
      </c>
      <c r="J34" s="115" t="b">
        <v>0</v>
      </c>
      <c r="K34" s="152"/>
      <c r="L34" s="11" t="s">
        <v>1002</v>
      </c>
      <c r="M34" s="11" t="s">
        <v>1002</v>
      </c>
    </row>
    <row r="35">
      <c r="A35" s="57">
        <v>2.124206072E9</v>
      </c>
      <c r="B35" s="109" t="str">
        <f>VLOOKUP($A35,ANAGRAFICA!$B$1:$G$306,2,FALSE)</f>
        <v>CONSONNI</v>
      </c>
      <c r="C35" s="109" t="str">
        <f>VLOOKUP($A35,ANAGRAFICA!$B$1:$G$306,3,FALSE)</f>
        <v>GIULIO</v>
      </c>
      <c r="D35" s="109" t="str">
        <f>VLOOKUP($A35,ANAGRAFICA!$B$1:$G$306,4,FALSE)</f>
        <v/>
      </c>
      <c r="E35" s="109">
        <f>VLOOKUP($A35,ANAGRAFICA!$B$1:$G$306,5,FALSE)</f>
        <v>3272024064</v>
      </c>
      <c r="F35" s="109">
        <f>VLOOKUP($A35,ANAGRAFICA!$B$1:$G$306,6,FALSE)</f>
        <v>2024</v>
      </c>
      <c r="G35" s="57">
        <v>2.0</v>
      </c>
      <c r="H35" s="11" t="s">
        <v>1001</v>
      </c>
      <c r="I35" s="115" t="b">
        <v>1</v>
      </c>
      <c r="J35" s="115" t="b">
        <v>0</v>
      </c>
      <c r="K35" s="152"/>
      <c r="L35" s="11" t="s">
        <v>1002</v>
      </c>
      <c r="M35" s="11" t="s">
        <v>1002</v>
      </c>
    </row>
    <row r="36">
      <c r="A36" s="57">
        <v>2.124023603E9</v>
      </c>
      <c r="B36" s="109" t="str">
        <f>VLOOKUP($A36,ANAGRAFICA!$B$1:$G$306,2,FALSE)</f>
        <v>MAZZARDIS </v>
      </c>
      <c r="C36" s="109" t="str">
        <f>VLOOKUP($A36,ANAGRAFICA!$B$1:$G$306,3,FALSE)</f>
        <v>DAVIDE</v>
      </c>
      <c r="D36" s="109" t="str">
        <f>VLOOKUP($A36,ANAGRAFICA!$B$1:$G$306,4,FALSE)</f>
        <v>758-19</v>
      </c>
      <c r="E36" s="109">
        <f>VLOOKUP($A36,ANAGRAFICA!$B$1:$G$306,5,FALSE)</f>
        <v>3272024085</v>
      </c>
      <c r="F36" s="109">
        <f>VLOOKUP($A36,ANAGRAFICA!$B$1:$G$306,6,FALSE)</f>
        <v>2024</v>
      </c>
      <c r="G36" s="57">
        <v>1.0</v>
      </c>
      <c r="H36" s="11" t="s">
        <v>1001</v>
      </c>
      <c r="I36" s="115" t="b">
        <v>0</v>
      </c>
      <c r="J36" s="115" t="b">
        <v>1</v>
      </c>
      <c r="K36" s="152">
        <v>45623.0</v>
      </c>
      <c r="L36" s="11" t="s">
        <v>1002</v>
      </c>
      <c r="M36" s="11" t="s">
        <v>1004</v>
      </c>
    </row>
    <row r="37">
      <c r="A37" s="57">
        <v>2.124014461E9</v>
      </c>
      <c r="B37" s="109" t="str">
        <f>VLOOKUP($A37,ANAGRAFICA!$B$1:$G$306,2,FALSE)</f>
        <v>FUMAGALLI</v>
      </c>
      <c r="C37" s="109" t="str">
        <f>VLOOKUP($A37,ANAGRAFICA!$B$1:$G$306,3,FALSE)</f>
        <v>LUCA</v>
      </c>
      <c r="D37" s="109" t="str">
        <f>VLOOKUP($A37,ANAGRAFICA!$B$1:$G$306,4,FALSE)</f>
        <v>758-10</v>
      </c>
      <c r="E37" s="109">
        <f>VLOOKUP($A37,ANAGRAFICA!$B$1:$G$306,5,FALSE)</f>
        <v>3272024076</v>
      </c>
      <c r="F37" s="109">
        <f>VLOOKUP($A37,ANAGRAFICA!$B$1:$G$306,6,FALSE)</f>
        <v>2024</v>
      </c>
      <c r="G37" s="57">
        <v>1.0</v>
      </c>
      <c r="H37" s="11" t="s">
        <v>1001</v>
      </c>
      <c r="I37" s="115" t="b">
        <v>0</v>
      </c>
      <c r="J37" s="115" t="b">
        <v>1</v>
      </c>
      <c r="K37" s="152">
        <v>45521.0</v>
      </c>
      <c r="L37" s="11" t="s">
        <v>1002</v>
      </c>
      <c r="M37" s="11" t="s">
        <v>1006</v>
      </c>
    </row>
    <row r="38">
      <c r="A38" s="57">
        <v>2.124016781E9</v>
      </c>
      <c r="B38" s="109" t="str">
        <f>VLOOKUP($A38,ANAGRAFICA!$B$1:$G$306,2,FALSE)</f>
        <v>TURNO ARTHEMALLE</v>
      </c>
      <c r="C38" s="109" t="str">
        <f>VLOOKUP($A38,ANAGRAFICA!$B$1:$G$306,3,FALSE)</f>
        <v>ALICE</v>
      </c>
      <c r="D38" s="109" t="str">
        <f>VLOOKUP($A38,ANAGRAFICA!$B$1:$G$306,4,FALSE)</f>
        <v>758-12</v>
      </c>
      <c r="E38" s="109">
        <f>VLOOKUP($A38,ANAGRAFICA!$B$1:$G$306,5,FALSE)</f>
        <v>3272024078</v>
      </c>
      <c r="F38" s="109">
        <f>VLOOKUP($A38,ANAGRAFICA!$B$1:$G$306,6,FALSE)</f>
        <v>2024</v>
      </c>
      <c r="G38" s="57">
        <v>1.0</v>
      </c>
      <c r="H38" s="11" t="s">
        <v>1001</v>
      </c>
      <c r="I38" s="115" t="b">
        <v>0</v>
      </c>
      <c r="J38" s="115" t="b">
        <v>1</v>
      </c>
      <c r="K38" s="152">
        <v>45563.0</v>
      </c>
      <c r="L38" s="11" t="s">
        <v>1002</v>
      </c>
      <c r="M38" s="11" t="s">
        <v>1002</v>
      </c>
    </row>
    <row r="39">
      <c r="A39" s="57">
        <v>2.124011236E9</v>
      </c>
      <c r="B39" s="109" t="str">
        <f>VLOOKUP($A39,ANAGRAFICA!$B$1:$G$306,2,FALSE)</f>
        <v>BERETTA</v>
      </c>
      <c r="C39" s="109" t="str">
        <f>VLOOKUP($A39,ANAGRAFICA!$B$1:$G$306,3,FALSE)</f>
        <v>ENZO LUCIANO</v>
      </c>
      <c r="D39" s="109" t="str">
        <f>VLOOKUP($A39,ANAGRAFICA!$B$1:$G$306,4,FALSE)</f>
        <v>758-3</v>
      </c>
      <c r="E39" s="109">
        <f>VLOOKUP($A39,ANAGRAFICA!$B$1:$G$306,5,FALSE)</f>
        <v>3272024069</v>
      </c>
      <c r="F39" s="109">
        <f>VLOOKUP($A39,ANAGRAFICA!$B$1:$G$306,6,FALSE)</f>
        <v>2024</v>
      </c>
      <c r="G39" s="57">
        <v>1.0</v>
      </c>
      <c r="H39" s="11" t="s">
        <v>1001</v>
      </c>
      <c r="I39" s="115" t="b">
        <v>0</v>
      </c>
      <c r="J39" s="115" t="b">
        <v>1</v>
      </c>
      <c r="K39" s="152">
        <v>45466.0</v>
      </c>
      <c r="L39" s="11" t="s">
        <v>1002</v>
      </c>
      <c r="M39" s="11" t="s">
        <v>1002</v>
      </c>
    </row>
    <row r="40">
      <c r="A40" s="57">
        <v>2.124024078E9</v>
      </c>
      <c r="B40" s="109" t="str">
        <f>VLOOKUP($A40,ANAGRAFICA!$B$1:$G$306,2,FALSE)</f>
        <v>ROVARIS</v>
      </c>
      <c r="C40" s="109" t="str">
        <f>VLOOKUP($A40,ANAGRAFICA!$B$1:$G$306,3,FALSE)</f>
        <v>ANGELO FELICE</v>
      </c>
      <c r="D40" s="109" t="str">
        <f>VLOOKUP($A40,ANAGRAFICA!$B$1:$G$306,4,FALSE)</f>
        <v>758-20</v>
      </c>
      <c r="E40" s="109">
        <f>VLOOKUP($A40,ANAGRAFICA!$B$1:$G$306,5,FALSE)</f>
        <v>3272024086</v>
      </c>
      <c r="F40" s="109">
        <f>VLOOKUP($A40,ANAGRAFICA!$B$1:$G$306,6,FALSE)</f>
        <v>2024</v>
      </c>
      <c r="G40" s="57">
        <v>1.0</v>
      </c>
      <c r="H40" s="11" t="s">
        <v>1001</v>
      </c>
      <c r="I40" s="115" t="b">
        <v>0</v>
      </c>
      <c r="J40" s="115" t="b">
        <v>1</v>
      </c>
      <c r="K40" s="152">
        <v>45625.0</v>
      </c>
      <c r="L40" s="11" t="s">
        <v>1002</v>
      </c>
      <c r="M40" s="11" t="s">
        <v>1006</v>
      </c>
    </row>
    <row r="41">
      <c r="A41" s="57">
        <v>2.124025195E9</v>
      </c>
      <c r="B41" s="109" t="str">
        <f>VLOOKUP($A41,ANAGRAFICA!$B$1:$G$306,2,FALSE)</f>
        <v>FAZIO</v>
      </c>
      <c r="C41" s="109" t="str">
        <f>VLOOKUP($A41,ANAGRAFICA!$B$1:$G$306,3,FALSE)</f>
        <v>FRANCESCO ANTONIO</v>
      </c>
      <c r="D41" s="109" t="str">
        <f>VLOOKUP($A41,ANAGRAFICA!$B$1:$G$306,4,FALSE)</f>
        <v>758-21</v>
      </c>
      <c r="E41" s="109">
        <f>VLOOKUP($A41,ANAGRAFICA!$B$1:$G$306,5,FALSE)</f>
        <v>3272024087</v>
      </c>
      <c r="F41" s="109">
        <f>VLOOKUP($A41,ANAGRAFICA!$B$1:$G$306,6,FALSE)</f>
        <v>2024</v>
      </c>
      <c r="G41" s="57">
        <v>1.0</v>
      </c>
      <c r="H41" s="11" t="s">
        <v>1001</v>
      </c>
      <c r="I41" s="115" t="b">
        <v>0</v>
      </c>
      <c r="J41" s="115" t="b">
        <v>1</v>
      </c>
      <c r="K41" s="152">
        <v>45632.0</v>
      </c>
      <c r="L41" s="11" t="s">
        <v>1002</v>
      </c>
      <c r="M41" s="11" t="s">
        <v>1002</v>
      </c>
    </row>
    <row r="42">
      <c r="A42" s="57">
        <v>2.125000348E9</v>
      </c>
      <c r="B42" s="109" t="str">
        <f>VLOOKUP($A42,ANAGRAFICA!$B$1:$G$306,2,FALSE)</f>
        <v>SLAVKOVA</v>
      </c>
      <c r="C42" s="109" t="str">
        <f>VLOOKUP($A42,ANAGRAFICA!$B$1:$G$306,3,FALSE)</f>
        <v>EVELINA PLAMENOVA</v>
      </c>
      <c r="D42" s="109" t="str">
        <f>VLOOKUP($A42,ANAGRAFICA!$B$1:$G$306,4,FALSE)</f>
        <v/>
      </c>
      <c r="E42" s="109">
        <f>VLOOKUP($A42,ANAGRAFICA!$B$1:$G$306,5,FALSE)</f>
        <v>3272025051</v>
      </c>
      <c r="F42" s="109">
        <f>VLOOKUP($A42,ANAGRAFICA!$B$1:$G$306,6,FALSE)</f>
        <v>2025</v>
      </c>
      <c r="G42" s="57">
        <v>1.0</v>
      </c>
      <c r="H42" s="11" t="s">
        <v>1001</v>
      </c>
      <c r="I42" s="115" t="b">
        <v>0</v>
      </c>
      <c r="J42" s="115" t="b">
        <v>0</v>
      </c>
      <c r="K42" s="152"/>
      <c r="L42" s="11" t="s">
        <v>1002</v>
      </c>
      <c r="M42" s="11" t="s">
        <v>1002</v>
      </c>
    </row>
    <row r="43">
      <c r="A43" s="57">
        <v>2.124025878E9</v>
      </c>
      <c r="B43" s="109" t="str">
        <f>VLOOKUP($A43,ANAGRAFICA!$B$1:$G$306,2,FALSE)</f>
        <v>PEDRONI </v>
      </c>
      <c r="C43" s="109" t="str">
        <f>VLOOKUP($A43,ANAGRAFICA!$B$1:$G$306,3,FALSE)</f>
        <v>PIERANGELO</v>
      </c>
      <c r="D43" s="109" t="str">
        <f>VLOOKUP($A43,ANAGRAFICA!$B$1:$G$306,4,FALSE)</f>
        <v>758-22</v>
      </c>
      <c r="E43" s="109">
        <f>VLOOKUP($A43,ANAGRAFICA!$B$1:$G$306,5,FALSE)</f>
        <v>3272024088</v>
      </c>
      <c r="F43" s="109">
        <f>VLOOKUP($A43,ANAGRAFICA!$B$1:$G$306,6,FALSE)</f>
        <v>2024</v>
      </c>
      <c r="G43" s="57">
        <v>1.0</v>
      </c>
      <c r="H43" s="11" t="s">
        <v>1001</v>
      </c>
      <c r="I43" s="115" t="b">
        <v>1</v>
      </c>
      <c r="J43" s="115" t="b">
        <v>1</v>
      </c>
      <c r="K43" s="152">
        <v>45638.0</v>
      </c>
      <c r="L43" s="11" t="s">
        <v>1002</v>
      </c>
      <c r="M43" s="11" t="s">
        <v>1002</v>
      </c>
    </row>
    <row r="44">
      <c r="A44" s="57">
        <v>2.125004454E9</v>
      </c>
      <c r="B44" s="109" t="str">
        <f>VLOOKUP($A44,ANAGRAFICA!$B$1:$G$306,2,FALSE)</f>
        <v>ANTIGNANO</v>
      </c>
      <c r="C44" s="109" t="str">
        <f>VLOOKUP($A44,ANAGRAFICA!$B$1:$G$306,3,FALSE)</f>
        <v>MAURO</v>
      </c>
      <c r="D44" s="109" t="str">
        <f>VLOOKUP($A44,ANAGRAFICA!$B$1:$G$306,4,FALSE)</f>
        <v>758-23</v>
      </c>
      <c r="E44" s="109">
        <f>VLOOKUP($A44,ANAGRAFICA!$B$1:$G$306,5,FALSE)</f>
        <v>3272025052</v>
      </c>
      <c r="F44" s="109">
        <f>VLOOKUP($A44,ANAGRAFICA!$B$1:$G$306,6,FALSE)</f>
        <v>2025</v>
      </c>
      <c r="G44" s="57">
        <v>1.0</v>
      </c>
      <c r="H44" s="11" t="s">
        <v>1001</v>
      </c>
      <c r="I44" s="115" t="b">
        <v>0</v>
      </c>
      <c r="J44" s="115" t="b">
        <v>0</v>
      </c>
      <c r="K44" s="152"/>
      <c r="L44" s="115"/>
      <c r="M44" s="115"/>
    </row>
    <row r="45">
      <c r="A45" s="57">
        <v>2.125004867E9</v>
      </c>
      <c r="B45" s="109" t="str">
        <f>VLOOKUP($A45,ANAGRAFICA!$B$1:$G$306,2,FALSE)</f>
        <v>MARCONI</v>
      </c>
      <c r="C45" s="109" t="str">
        <f>VLOOKUP($A45,ANAGRAFICA!$B$1:$G$306,3,FALSE)</f>
        <v>PIETRO VITTORIO</v>
      </c>
      <c r="D45" s="109" t="str">
        <f>VLOOKUP($A45,ANAGRAFICA!$B$1:$G$306,4,FALSE)</f>
        <v/>
      </c>
      <c r="E45" s="109">
        <f>VLOOKUP($A45,ANAGRAFICA!$B$1:$G$306,5,FALSE)</f>
        <v>3272025053</v>
      </c>
      <c r="F45" s="109">
        <f>VLOOKUP($A45,ANAGRAFICA!$B$1:$G$306,6,FALSE)</f>
        <v>2025</v>
      </c>
      <c r="G45" s="94"/>
      <c r="H45" s="11" t="s">
        <v>1001</v>
      </c>
      <c r="I45" s="115" t="b">
        <v>0</v>
      </c>
      <c r="J45" s="115" t="b">
        <v>0</v>
      </c>
      <c r="K45" s="152"/>
      <c r="L45" s="11" t="s">
        <v>1002</v>
      </c>
      <c r="M45" s="11" t="s">
        <v>1002</v>
      </c>
    </row>
    <row r="46">
      <c r="A46" s="57">
        <v>2.025010247E9</v>
      </c>
      <c r="B46" s="109" t="str">
        <f>VLOOKUP($A46,ANAGRAFICA!$B$1:$G$306,2,FALSE)</f>
        <v>TREMOLADA</v>
      </c>
      <c r="C46" s="109" t="str">
        <f>VLOOKUP($A46,ANAGRAFICA!$B$1:$G$306,3,FALSE)</f>
        <v>MARCO</v>
      </c>
      <c r="D46" s="109" t="str">
        <f>VLOOKUP($A46,ANAGRAFICA!$B$1:$G$306,4,FALSE)</f>
        <v>758-25</v>
      </c>
      <c r="E46" s="109">
        <f>VLOOKUP($A46,ANAGRAFICA!$B$1:$G$306,5,FALSE)</f>
        <v>3272025054</v>
      </c>
      <c r="F46" s="109">
        <f>VLOOKUP($A46,ANAGRAFICA!$B$1:$G$306,6,FALSE)</f>
        <v>2025</v>
      </c>
      <c r="G46" s="57">
        <v>1.0</v>
      </c>
      <c r="H46" s="11" t="s">
        <v>1001</v>
      </c>
      <c r="I46" s="115" t="b">
        <v>1</v>
      </c>
      <c r="J46" s="115" t="b">
        <v>1</v>
      </c>
      <c r="K46" s="164">
        <v>45721.0</v>
      </c>
      <c r="L46" s="11" t="s">
        <v>1002</v>
      </c>
      <c r="M46" s="11" t="s">
        <v>1002</v>
      </c>
    </row>
    <row r="47">
      <c r="A47" s="57">
        <v>2.025010247E9</v>
      </c>
      <c r="B47" s="109" t="str">
        <f>VLOOKUP($A47,ANAGRAFICA!$B$1:$G$306,2,FALSE)</f>
        <v>TREMOLADA</v>
      </c>
      <c r="C47" s="109" t="str">
        <f>VLOOKUP($A47,ANAGRAFICA!$B$1:$G$306,3,FALSE)</f>
        <v>MARCO</v>
      </c>
      <c r="D47" s="109" t="str">
        <f>VLOOKUP($A47,ANAGRAFICA!$B$1:$G$306,4,FALSE)</f>
        <v>758-25</v>
      </c>
      <c r="E47" s="109">
        <f>VLOOKUP($A47,ANAGRAFICA!$B$1:$G$306,5,FALSE)</f>
        <v>3272025054</v>
      </c>
      <c r="F47" s="109">
        <f>VLOOKUP($A47,ANAGRAFICA!$B$1:$G$306,6,FALSE)</f>
        <v>2025</v>
      </c>
      <c r="G47" s="57">
        <v>2.0</v>
      </c>
      <c r="H47" s="11" t="s">
        <v>1001</v>
      </c>
      <c r="I47" s="115" t="b">
        <v>0</v>
      </c>
      <c r="J47" s="115" t="b">
        <v>1</v>
      </c>
      <c r="K47" s="152">
        <v>45732.0</v>
      </c>
      <c r="L47" s="11" t="s">
        <v>1002</v>
      </c>
      <c r="M47" s="11" t="s">
        <v>1004</v>
      </c>
    </row>
    <row r="48">
      <c r="A48" s="57">
        <v>2.125020858E9</v>
      </c>
      <c r="B48" s="109" t="str">
        <f>VLOOKUP($A48,ANAGRAFICA!$B$1:$G$306,2,FALSE)</f>
        <v>FALVO</v>
      </c>
      <c r="C48" s="109" t="str">
        <f>VLOOKUP($A48,ANAGRAFICA!$B$1:$G$306,3,FALSE)</f>
        <v>FRANCESCO</v>
      </c>
      <c r="D48" s="109" t="str">
        <f>VLOOKUP($A48,ANAGRAFICA!$B$1:$G$306,4,FALSE)</f>
        <v/>
      </c>
      <c r="E48" s="109">
        <f>VLOOKUP($A48,ANAGRAFICA!$B$1:$G$306,5,FALSE)</f>
        <v>3272025055</v>
      </c>
      <c r="F48" s="109">
        <f>VLOOKUP($A48,ANAGRAFICA!$B$1:$G$306,6,FALSE)</f>
        <v>2025</v>
      </c>
      <c r="G48" s="57">
        <v>1.0</v>
      </c>
      <c r="H48" s="11" t="s">
        <v>1001</v>
      </c>
      <c r="I48" s="115" t="b">
        <v>0</v>
      </c>
      <c r="J48" s="115" t="b">
        <v>0</v>
      </c>
      <c r="K48" s="152"/>
      <c r="L48" s="115"/>
      <c r="M48" s="11" t="s">
        <v>1002</v>
      </c>
    </row>
    <row r="49">
      <c r="A49" s="57">
        <v>2.125023093E9</v>
      </c>
      <c r="B49" s="109" t="str">
        <f>VLOOKUP($A49,ANAGRAFICA!$B$1:$G$306,2,FALSE)</f>
        <v>GHEZZI</v>
      </c>
      <c r="C49" s="109" t="str">
        <f>VLOOKUP($A49,ANAGRAFICA!$B$1:$G$306,3,FALSE)</f>
        <v>FABIO</v>
      </c>
      <c r="D49" s="109" t="str">
        <f>VLOOKUP($A49,ANAGRAFICA!$B$1:$G$306,4,FALSE)</f>
        <v>758-28</v>
      </c>
      <c r="E49" s="109">
        <f>VLOOKUP($A49,ANAGRAFICA!$B$1:$G$306,5,FALSE)</f>
        <v>3272025056</v>
      </c>
      <c r="F49" s="109">
        <f>VLOOKUP($A49,ANAGRAFICA!$B$1:$G$306,6,FALSE)</f>
        <v>2025</v>
      </c>
      <c r="G49" s="57">
        <v>1.0</v>
      </c>
      <c r="H49" s="11" t="s">
        <v>1001</v>
      </c>
      <c r="I49" s="115" t="b">
        <v>0</v>
      </c>
      <c r="J49" s="115" t="b">
        <v>0</v>
      </c>
      <c r="K49" s="152"/>
      <c r="L49" s="11" t="s">
        <v>1002</v>
      </c>
      <c r="M49" s="11" t="s">
        <v>1002</v>
      </c>
    </row>
    <row r="50">
      <c r="A50" s="57">
        <v>2.125024608E9</v>
      </c>
      <c r="B50" s="109" t="str">
        <f>VLOOKUP($A50,ANAGRAFICA!$B$1:$G$306,2,FALSE)</f>
        <v>ZAPPIA</v>
      </c>
      <c r="C50" s="109" t="str">
        <f>VLOOKUP($A50,ANAGRAFICA!$B$1:$G$306,3,FALSE)</f>
        <v>LEONARDO</v>
      </c>
      <c r="D50" s="109" t="str">
        <f>VLOOKUP($A50,ANAGRAFICA!$B$1:$G$306,4,FALSE)</f>
        <v>758-29</v>
      </c>
      <c r="E50" s="109">
        <f>VLOOKUP($A50,ANAGRAFICA!$B$1:$G$306,5,FALSE)</f>
        <v>3272025057</v>
      </c>
      <c r="F50" s="109">
        <f>VLOOKUP($A50,ANAGRAFICA!$B$1:$G$306,6,FALSE)</f>
        <v>2025</v>
      </c>
      <c r="G50" s="57">
        <v>1.0</v>
      </c>
      <c r="H50" s="11" t="s">
        <v>1001</v>
      </c>
      <c r="I50" s="115" t="b">
        <v>0</v>
      </c>
      <c r="J50" s="115" t="b">
        <v>1</v>
      </c>
      <c r="K50" s="152"/>
      <c r="L50" s="11" t="s">
        <v>1002</v>
      </c>
      <c r="M50" s="11" t="s">
        <v>1002</v>
      </c>
    </row>
    <row r="51">
      <c r="A51" s="57">
        <v>2.125025861E9</v>
      </c>
      <c r="B51" s="109" t="str">
        <f>VLOOKUP($A51,ANAGRAFICA!$B$1:$G$306,2,FALSE)</f>
        <v>CASSANI</v>
      </c>
      <c r="C51" s="109" t="str">
        <f>VLOOKUP($A51,ANAGRAFICA!$B$1:$G$306,3,FALSE)</f>
        <v>DAVIDE VIRGILIO</v>
      </c>
      <c r="D51" s="109" t="str">
        <f>VLOOKUP($A51,ANAGRAFICA!$B$1:$G$306,4,FALSE)</f>
        <v>758-31</v>
      </c>
      <c r="E51" s="109">
        <f>VLOOKUP($A51,ANAGRAFICA!$B$1:$G$306,5,FALSE)</f>
        <v>3272025058</v>
      </c>
      <c r="F51" s="109">
        <f>VLOOKUP($A51,ANAGRAFICA!$B$1:$G$306,6,FALSE)</f>
        <v>2025</v>
      </c>
      <c r="G51" s="57">
        <v>1.0</v>
      </c>
      <c r="H51" s="11" t="s">
        <v>1001</v>
      </c>
      <c r="I51" s="115" t="b">
        <v>1</v>
      </c>
      <c r="J51" s="115" t="b">
        <v>1</v>
      </c>
      <c r="K51" s="152">
        <v>45819.0</v>
      </c>
      <c r="L51" s="11" t="s">
        <v>1002</v>
      </c>
      <c r="M51" s="11" t="s">
        <v>1002</v>
      </c>
    </row>
    <row r="52">
      <c r="A52" s="57">
        <v>2.125026559E9</v>
      </c>
      <c r="B52" s="154" t="s">
        <v>244</v>
      </c>
      <c r="C52" s="154" t="s">
        <v>113</v>
      </c>
      <c r="D52" s="154" t="s">
        <v>245</v>
      </c>
      <c r="E52" s="154" t="s">
        <v>1007</v>
      </c>
      <c r="F52" s="154" t="s">
        <v>741</v>
      </c>
      <c r="G52" s="57">
        <v>1.0</v>
      </c>
      <c r="H52" s="11" t="s">
        <v>1001</v>
      </c>
      <c r="I52" s="115" t="b">
        <v>0</v>
      </c>
      <c r="J52" s="115" t="b">
        <v>0</v>
      </c>
      <c r="K52" s="152"/>
      <c r="L52" s="11" t="s">
        <v>1002</v>
      </c>
      <c r="M52" s="11" t="s">
        <v>1002</v>
      </c>
    </row>
    <row r="53">
      <c r="A53" s="57">
        <v>2.125027331E9</v>
      </c>
      <c r="B53" s="109" t="str">
        <f>VLOOKUP($A53,ANAGRAFICA!$B$1:$G$306,2,FALSE)</f>
        <v>QUARIN</v>
      </c>
      <c r="C53" s="109" t="str">
        <f>VLOOKUP($A53,ANAGRAFICA!$B$1:$G$306,3,FALSE)</f>
        <v>FRANCO</v>
      </c>
      <c r="D53" s="109" t="str">
        <f>VLOOKUP($A53,ANAGRAFICA!$B$1:$G$306,4,FALSE)</f>
        <v>758-34</v>
      </c>
      <c r="E53" s="109" t="str">
        <f>VLOOKUP($A53,ANAGRAFICA!$B$1:$G$306,5,FALSE)</f>
        <v/>
      </c>
      <c r="F53" s="109">
        <f>VLOOKUP($A53,ANAGRAFICA!$B$1:$G$306,6,FALSE)</f>
        <v>2025</v>
      </c>
      <c r="G53" s="94"/>
      <c r="H53" s="11" t="s">
        <v>1001</v>
      </c>
      <c r="I53" s="115" t="b">
        <v>0</v>
      </c>
      <c r="J53" s="115" t="b">
        <v>0</v>
      </c>
      <c r="K53" s="152">
        <v>45828.0</v>
      </c>
      <c r="L53" s="11" t="s">
        <v>1002</v>
      </c>
      <c r="M53" s="11" t="s">
        <v>1002</v>
      </c>
    </row>
    <row r="54">
      <c r="A54" s="57">
        <v>2.125029623E9</v>
      </c>
      <c r="B54" s="109" t="str">
        <f>VLOOKUP($A54,ANAGRAFICA!$B$1:$G$306,2,FALSE)</f>
        <v>IANDIORIO</v>
      </c>
      <c r="C54" s="109" t="str">
        <f>VLOOKUP($A54,ANAGRAFICA!$B$1:$G$306,3,FALSE)</f>
        <v>ALDO NATALINO</v>
      </c>
      <c r="D54" s="109" t="str">
        <f>VLOOKUP($A54,ANAGRAFICA!$B$1:$G$306,4,FALSE)</f>
        <v>758-36</v>
      </c>
      <c r="E54" s="109">
        <f>VLOOKUP($A54,ANAGRAFICA!$B$1:$G$306,5,FALSE)</f>
        <v>3272025062</v>
      </c>
      <c r="F54" s="109">
        <f>VLOOKUP($A54,ANAGRAFICA!$B$1:$G$306,6,FALSE)</f>
        <v>2025</v>
      </c>
      <c r="G54" s="94"/>
      <c r="H54" s="11" t="s">
        <v>1001</v>
      </c>
      <c r="I54" s="115" t="b">
        <v>0</v>
      </c>
      <c r="J54" s="115" t="b">
        <v>1</v>
      </c>
      <c r="K54" s="152">
        <v>45847.0</v>
      </c>
      <c r="L54" s="11" t="s">
        <v>1002</v>
      </c>
      <c r="M54" s="11" t="s">
        <v>1002</v>
      </c>
    </row>
    <row r="55">
      <c r="A55" s="57">
        <v>2.125026384E9</v>
      </c>
      <c r="B55" s="109" t="str">
        <f>VLOOKUP($A55,ANAGRAFICA!$B$1:$G$306,2,FALSE)</f>
        <v>PRINCIPATO</v>
      </c>
      <c r="C55" s="109" t="str">
        <f>VLOOKUP($A55,ANAGRAFICA!$B$1:$G$306,3,FALSE)</f>
        <v>FRANCO ANGELO</v>
      </c>
      <c r="D55" s="109" t="str">
        <f>VLOOKUP($A55,ANAGRAFICA!$B$1:$G$306,4,FALSE)</f>
        <v>758-35</v>
      </c>
      <c r="E55" s="109">
        <f>VLOOKUP($A55,ANAGRAFICA!$B$1:$G$306,5,FALSE)</f>
        <v>3272025061</v>
      </c>
      <c r="F55" s="109">
        <f>VLOOKUP($A55,ANAGRAFICA!$B$1:$G$306,6,FALSE)</f>
        <v>2025</v>
      </c>
      <c r="G55" s="57">
        <v>1.0</v>
      </c>
      <c r="H55" s="11" t="s">
        <v>1001</v>
      </c>
      <c r="I55" s="115" t="b">
        <v>0</v>
      </c>
      <c r="J55" s="115" t="b">
        <v>1</v>
      </c>
      <c r="K55" s="152">
        <v>45834.0</v>
      </c>
      <c r="L55" s="11" t="s">
        <v>1002</v>
      </c>
      <c r="M55" s="11" t="s">
        <v>1002</v>
      </c>
    </row>
    <row r="56">
      <c r="A56" s="57">
        <v>2.125032902E9</v>
      </c>
      <c r="B56" s="109" t="str">
        <f>VLOOKUP($A56,ANAGRAFICA!$B$1:$G$306,2,FALSE)</f>
        <v>BRAIDA</v>
      </c>
      <c r="C56" s="109" t="str">
        <f>VLOOKUP($A56,ANAGRAFICA!$B$1:$G$306,3,FALSE)</f>
        <v>ILARIO</v>
      </c>
      <c r="D56" s="109" t="str">
        <f>VLOOKUP($A56,ANAGRAFICA!$B$1:$G$306,4,FALSE)</f>
        <v>758-37</v>
      </c>
      <c r="E56" s="109">
        <f>VLOOKUP($A56,ANAGRAFICA!$B$1:$G$306,5,FALSE)</f>
        <v>3272025063</v>
      </c>
      <c r="F56" s="109">
        <f>VLOOKUP($A56,ANAGRAFICA!$B$1:$G$306,6,FALSE)</f>
        <v>2025</v>
      </c>
      <c r="G56" s="57">
        <v>1.0</v>
      </c>
      <c r="H56" s="11" t="s">
        <v>1001</v>
      </c>
      <c r="I56" s="115" t="b">
        <v>0</v>
      </c>
      <c r="J56" s="115" t="b">
        <v>1</v>
      </c>
      <c r="K56" s="152">
        <v>45870.0</v>
      </c>
      <c r="L56" s="11" t="s">
        <v>1002</v>
      </c>
      <c r="M56" s="11" t="s">
        <v>1002</v>
      </c>
    </row>
    <row r="57">
      <c r="A57" s="57">
        <v>2.125026869E9</v>
      </c>
      <c r="B57" s="109" t="str">
        <f>VLOOKUP($A57,ANAGRAFICA!$B$1:$G$306,2,FALSE)</f>
        <v>NACCARI</v>
      </c>
      <c r="C57" s="109" t="str">
        <f>VLOOKUP($A57,ANAGRAFICA!$B$1:$G$306,3,FALSE)</f>
        <v>ROBERTO</v>
      </c>
      <c r="D57" s="109" t="str">
        <f>VLOOKUP($A57,ANAGRAFICA!$B$1:$G$306,4,FALSE)</f>
        <v>758-33</v>
      </c>
      <c r="E57" s="109">
        <f>VLOOKUP($A57,ANAGRAFICA!$B$1:$G$306,5,FALSE)</f>
        <v>3272025060</v>
      </c>
      <c r="F57" s="109">
        <f>VLOOKUP($A57,ANAGRAFICA!$B$1:$G$306,6,FALSE)</f>
        <v>2025</v>
      </c>
      <c r="G57" s="57">
        <v>1.0</v>
      </c>
      <c r="H57" s="11" t="s">
        <v>1001</v>
      </c>
      <c r="I57" s="115" t="b">
        <v>1</v>
      </c>
      <c r="J57" s="115" t="b">
        <v>1</v>
      </c>
      <c r="K57" s="164">
        <v>45856.0</v>
      </c>
      <c r="L57" s="11" t="s">
        <v>1002</v>
      </c>
      <c r="M57" s="11" t="s">
        <v>1004</v>
      </c>
    </row>
    <row r="58">
      <c r="A58" s="57">
        <v>2.125032653E9</v>
      </c>
      <c r="B58" s="109" t="str">
        <f>VLOOKUP($A58,ANAGRAFICA!$B$1:$G$306,2,FALSE)</f>
        <v>BAIOCCO</v>
      </c>
      <c r="C58" s="109" t="str">
        <f>VLOOKUP($A58,ANAGRAFICA!$B$1:$G$306,3,FALSE)</f>
        <v>RICCARDO</v>
      </c>
      <c r="D58" s="109" t="str">
        <f>VLOOKUP($A58,ANAGRAFICA!$B$1:$G$306,4,FALSE)</f>
        <v/>
      </c>
      <c r="E58" s="109">
        <f>VLOOKUP($A58,ANAGRAFICA!$B$1:$G$306,5,FALSE)</f>
        <v>3272025064</v>
      </c>
      <c r="F58" s="109">
        <f>VLOOKUP($A58,ANAGRAFICA!$B$1:$G$306,6,FALSE)</f>
        <v>2025</v>
      </c>
      <c r="G58" s="57">
        <v>1.0</v>
      </c>
      <c r="H58" s="11" t="s">
        <v>1001</v>
      </c>
      <c r="I58" s="115" t="b">
        <v>0</v>
      </c>
      <c r="J58" s="115" t="b">
        <v>0</v>
      </c>
      <c r="K58" s="152"/>
      <c r="L58" s="115"/>
      <c r="M58" s="11"/>
    </row>
    <row r="59">
      <c r="A59" s="57">
        <v>2.125037955E9</v>
      </c>
      <c r="B59" s="109" t="str">
        <f>VLOOKUP($A59,ANAGRAFICA!$B$1:$G$306,2,FALSE)</f>
        <v>MANNINO</v>
      </c>
      <c r="C59" s="109" t="str">
        <f>VLOOKUP($A59,ANAGRAFICA!$B$1:$G$306,3,FALSE)</f>
        <v>ANDREA</v>
      </c>
      <c r="D59" s="109" t="str">
        <f>VLOOKUP($A59,ANAGRAFICA!$B$1:$G$306,4,FALSE)</f>
        <v>758-39</v>
      </c>
      <c r="E59" s="109">
        <f>VLOOKUP($A59,ANAGRAFICA!$B$1:$G$306,5,FALSE)</f>
        <v>3272025066</v>
      </c>
      <c r="F59" s="109">
        <f>VLOOKUP($A59,ANAGRAFICA!$B$1:$G$306,6,FALSE)</f>
        <v>2025</v>
      </c>
      <c r="G59" s="57">
        <v>1.0</v>
      </c>
      <c r="H59" s="11" t="s">
        <v>1001</v>
      </c>
      <c r="I59" s="115" t="b">
        <v>0</v>
      </c>
      <c r="J59" s="115" t="b">
        <v>1</v>
      </c>
      <c r="K59" s="152">
        <v>45915.0</v>
      </c>
      <c r="L59" s="11" t="s">
        <v>1002</v>
      </c>
      <c r="M59" s="11" t="s">
        <v>1002</v>
      </c>
    </row>
    <row r="60">
      <c r="A60" s="57">
        <v>2.125037782E9</v>
      </c>
      <c r="B60" s="109" t="str">
        <f>VLOOKUP($A60,ANAGRAFICA!$B$1:$G$306,2,FALSE)</f>
        <v>GILARDI</v>
      </c>
      <c r="C60" s="109" t="str">
        <f>VLOOKUP($A60,ANAGRAFICA!$B$1:$G$306,3,FALSE)</f>
        <v>CARLO VIRGINIO</v>
      </c>
      <c r="D60" s="109" t="str">
        <f>VLOOKUP($A60,ANAGRAFICA!$B$1:$G$306,4,FALSE)</f>
        <v>758-38</v>
      </c>
      <c r="E60" s="109">
        <f>VLOOKUP($A60,ANAGRAFICA!$B$1:$G$306,5,FALSE)</f>
        <v>3272025065</v>
      </c>
      <c r="F60" s="109">
        <f>VLOOKUP($A60,ANAGRAFICA!$B$1:$G$306,6,FALSE)</f>
        <v>2025</v>
      </c>
      <c r="G60" s="94"/>
      <c r="H60" s="11" t="s">
        <v>1001</v>
      </c>
      <c r="I60" s="115" t="b">
        <v>0</v>
      </c>
      <c r="J60" s="115" t="b">
        <v>0</v>
      </c>
      <c r="K60" s="152"/>
      <c r="L60" s="11" t="s">
        <v>1002</v>
      </c>
      <c r="M60" s="11" t="s">
        <v>1002</v>
      </c>
    </row>
    <row r="61">
      <c r="A61" s="57">
        <v>2.125040106E9</v>
      </c>
      <c r="B61" s="109" t="str">
        <f>VLOOKUP($A61,ANAGRAFICA!$B$1:$G$306,2,FALSE)</f>
        <v>COLNAGHI</v>
      </c>
      <c r="C61" s="109" t="str">
        <f>VLOOKUP($A61,ANAGRAFICA!$B$1:$G$306,3,FALSE)</f>
        <v>EUGENIO PIERO</v>
      </c>
      <c r="D61" s="109" t="str">
        <f>VLOOKUP($A61,ANAGRAFICA!$B$1:$G$306,4,FALSE)</f>
        <v>758-41</v>
      </c>
      <c r="E61" s="109">
        <f>VLOOKUP($A61,ANAGRAFICA!$B$1:$G$306,5,FALSE)</f>
        <v>3272025068</v>
      </c>
      <c r="F61" s="109">
        <f>VLOOKUP($A61,ANAGRAFICA!$B$1:$G$306,6,FALSE)</f>
        <v>2025</v>
      </c>
      <c r="G61" s="57">
        <v>1.0</v>
      </c>
      <c r="H61" s="11" t="s">
        <v>1001</v>
      </c>
      <c r="I61" s="115" t="b">
        <v>0</v>
      </c>
      <c r="J61" s="115" t="b">
        <v>1</v>
      </c>
      <c r="K61" s="152">
        <v>45932.0</v>
      </c>
      <c r="L61" s="11" t="s">
        <v>1002</v>
      </c>
      <c r="M61" s="11" t="s">
        <v>1002</v>
      </c>
    </row>
    <row r="62">
      <c r="A62" s="57">
        <v>2.125040052E9</v>
      </c>
      <c r="B62" s="109" t="str">
        <f>VLOOKUP($A62,ANAGRAFICA!$B$1:$G$306,2,FALSE)</f>
        <v>TODESCATO</v>
      </c>
      <c r="C62" s="109" t="str">
        <f>VLOOKUP($A62,ANAGRAFICA!$B$1:$G$306,3,FALSE)</f>
        <v>GIANLUCA</v>
      </c>
      <c r="D62" s="109" t="str">
        <f>VLOOKUP($A62,ANAGRAFICA!$B$1:$G$306,4,FALSE)</f>
        <v>758-40</v>
      </c>
      <c r="E62" s="109">
        <f>VLOOKUP($A62,ANAGRAFICA!$B$1:$G$306,5,FALSE)</f>
        <v>3272025067</v>
      </c>
      <c r="F62" s="109">
        <f>VLOOKUP($A62,ANAGRAFICA!$B$1:$G$306,6,FALSE)</f>
        <v>2025</v>
      </c>
      <c r="G62" s="57">
        <v>1.0</v>
      </c>
      <c r="H62" s="11" t="s">
        <v>1001</v>
      </c>
      <c r="I62" s="115" t="b">
        <v>1</v>
      </c>
      <c r="J62" s="115" t="b">
        <v>1</v>
      </c>
      <c r="K62" s="152">
        <v>45929.0</v>
      </c>
      <c r="L62" s="11" t="s">
        <v>1002</v>
      </c>
      <c r="M62" s="11" t="s">
        <v>1008</v>
      </c>
    </row>
    <row r="63">
      <c r="A63" s="57">
        <v>2.125040835E9</v>
      </c>
      <c r="B63" s="109" t="str">
        <f>VLOOKUP($A63,ANAGRAFICA!$B$1:$G$306,2,FALSE)</f>
        <v>PESACANE</v>
      </c>
      <c r="C63" s="109" t="str">
        <f>VLOOKUP($A63,ANAGRAFICA!$B$1:$G$306,3,FALSE)</f>
        <v>MATTEO VALERIO</v>
      </c>
      <c r="D63" s="109" t="str">
        <f>VLOOKUP($A63,ANAGRAFICA!$B$1:$G$306,4,FALSE)</f>
        <v>758-42</v>
      </c>
      <c r="E63" s="109">
        <f>VLOOKUP($A63,ANAGRAFICA!$B$1:$G$306,5,FALSE)</f>
        <v>3272025069</v>
      </c>
      <c r="F63" s="109">
        <f>VLOOKUP($A63,ANAGRAFICA!$B$1:$G$306,6,FALSE)</f>
        <v>2025</v>
      </c>
      <c r="G63" s="57">
        <v>1.0</v>
      </c>
      <c r="H63" s="11" t="s">
        <v>1001</v>
      </c>
      <c r="I63" s="115" t="b">
        <v>0</v>
      </c>
      <c r="J63" s="115" t="b">
        <v>1</v>
      </c>
      <c r="K63" s="152">
        <v>45932.0</v>
      </c>
      <c r="L63" s="11" t="s">
        <v>1002</v>
      </c>
      <c r="M63" s="11" t="s">
        <v>1002</v>
      </c>
    </row>
    <row r="64">
      <c r="A64" s="57">
        <v>2.125042368E9</v>
      </c>
      <c r="B64" s="109" t="str">
        <f>VLOOKUP($A64,ANAGRAFICA!$B$1:$G$306,2,FALSE)</f>
        <v>MARKOVIC</v>
      </c>
      <c r="C64" s="109" t="str">
        <f>VLOOKUP($A64,ANAGRAFICA!$B$1:$G$306,3,FALSE)</f>
        <v>BRANKO</v>
      </c>
      <c r="D64" s="109" t="str">
        <f>VLOOKUP($A64,ANAGRAFICA!$B$1:$G$306,4,FALSE)</f>
        <v>758-43</v>
      </c>
      <c r="E64" s="109">
        <f>VLOOKUP($A64,ANAGRAFICA!$B$1:$G$306,5,FALSE)</f>
        <v>3272025070</v>
      </c>
      <c r="F64" s="109">
        <f>VLOOKUP($A64,ANAGRAFICA!$B$1:$G$306,6,FALSE)</f>
        <v>2025</v>
      </c>
      <c r="G64" s="57">
        <v>1.0</v>
      </c>
      <c r="H64" s="11" t="s">
        <v>1001</v>
      </c>
      <c r="I64" s="115" t="b">
        <v>0</v>
      </c>
      <c r="J64" s="115" t="b">
        <v>1</v>
      </c>
      <c r="K64" s="152">
        <v>45942.0</v>
      </c>
      <c r="L64" s="11" t="s">
        <v>1004</v>
      </c>
      <c r="M64" s="11" t="s">
        <v>1006</v>
      </c>
    </row>
    <row r="65">
      <c r="A65" s="57">
        <v>2.125046195E9</v>
      </c>
      <c r="B65" s="109" t="str">
        <f>VLOOKUP($A65,ANAGRAFICA!$B$1:$G$306,2,FALSE)</f>
        <v>CASILLO</v>
      </c>
      <c r="C65" s="109" t="str">
        <f>VLOOKUP($A65,ANAGRAFICA!$B$1:$G$306,3,FALSE)</f>
        <v>SALVATORE</v>
      </c>
      <c r="D65" s="109" t="str">
        <f>VLOOKUP($A65,ANAGRAFICA!$B$1:$G$306,4,FALSE)</f>
        <v>758-44</v>
      </c>
      <c r="E65" s="109">
        <f>VLOOKUP($A65,ANAGRAFICA!$B$1:$G$306,5,FALSE)</f>
        <v>3272025071</v>
      </c>
      <c r="F65" s="109">
        <f>VLOOKUP($A65,ANAGRAFICA!$B$1:$G$306,6,FALSE)</f>
        <v>2025</v>
      </c>
      <c r="G65" s="57">
        <v>1.0</v>
      </c>
      <c r="H65" s="11" t="s">
        <v>1001</v>
      </c>
      <c r="I65" s="115" t="b">
        <v>0</v>
      </c>
      <c r="J65" s="115" t="b">
        <v>0</v>
      </c>
      <c r="K65" s="152"/>
      <c r="L65" s="115"/>
      <c r="M65" s="115"/>
    </row>
    <row r="66">
      <c r="A66" s="57">
        <v>2.125051424E9</v>
      </c>
      <c r="B66" s="109" t="str">
        <f>VLOOKUP($A66,ANAGRAFICA!$B$1:$G$306,2,FALSE)</f>
        <v>CASABURI</v>
      </c>
      <c r="C66" s="109" t="str">
        <f>VLOOKUP($A66,ANAGRAFICA!$B$1:$G$306,3,FALSE)</f>
        <v>ERRICO</v>
      </c>
      <c r="D66" s="109" t="str">
        <f>VLOOKUP($A66,ANAGRAFICA!$B$1:$G$306,4,FALSE)</f>
        <v>758-45</v>
      </c>
      <c r="E66" s="109">
        <f>VLOOKUP($A66,ANAGRAFICA!$B$1:$G$306,5,FALSE)</f>
        <v>3272025072</v>
      </c>
      <c r="F66" s="109">
        <f>VLOOKUP($A66,ANAGRAFICA!$B$1:$G$306,6,FALSE)</f>
        <v>2025</v>
      </c>
      <c r="G66" s="57">
        <v>1.0</v>
      </c>
      <c r="H66" s="11" t="s">
        <v>1001</v>
      </c>
      <c r="I66" s="115" t="b">
        <v>0</v>
      </c>
      <c r="J66" s="115" t="b">
        <v>1</v>
      </c>
      <c r="K66" s="152">
        <v>46000.0</v>
      </c>
      <c r="L66" s="11" t="s">
        <v>1004</v>
      </c>
      <c r="M66" s="11" t="s">
        <v>1004</v>
      </c>
    </row>
    <row r="67">
      <c r="A67" s="57">
        <v>2.1250527E9</v>
      </c>
      <c r="B67" s="109" t="str">
        <f>VLOOKUP($A67,ANAGRAFICA!$B$1:$G$306,2,FALSE)</f>
        <v>GADDA</v>
      </c>
      <c r="C67" s="109" t="str">
        <f>VLOOKUP($A67,ANAGRAFICA!$B$1:$G$306,3,FALSE)</f>
        <v>LILIANA</v>
      </c>
      <c r="D67" s="109" t="str">
        <f>VLOOKUP($A67,ANAGRAFICA!$B$1:$G$306,4,FALSE)</f>
        <v>758-46</v>
      </c>
      <c r="E67" s="109">
        <f>VLOOKUP($A67,ANAGRAFICA!$B$1:$G$306,5,FALSE)</f>
        <v>3272025073</v>
      </c>
      <c r="F67" s="109">
        <f>VLOOKUP($A67,ANAGRAFICA!$B$1:$G$306,6,FALSE)</f>
        <v>2025</v>
      </c>
      <c r="G67" s="57">
        <v>1.0</v>
      </c>
      <c r="H67" s="11" t="s">
        <v>1001</v>
      </c>
      <c r="I67" s="115" t="b">
        <v>0</v>
      </c>
      <c r="J67" s="115" t="b">
        <v>1</v>
      </c>
      <c r="K67" s="152">
        <v>46008.0</v>
      </c>
      <c r="L67" s="11" t="s">
        <v>1002</v>
      </c>
      <c r="M67" s="11" t="s">
        <v>1002</v>
      </c>
    </row>
    <row r="68">
      <c r="A68" s="57">
        <v>2.125053097E9</v>
      </c>
      <c r="B68" s="109" t="str">
        <f>VLOOKUP($A68,ANAGRAFICA!$B$1:$G$306,2,FALSE)</f>
        <v>LISSONI</v>
      </c>
      <c r="C68" s="109" t="str">
        <f>VLOOKUP($A68,ANAGRAFICA!$B$1:$G$306,3,FALSE)</f>
        <v>ALESSANDRA</v>
      </c>
      <c r="D68" s="109" t="str">
        <f>VLOOKUP($A68,ANAGRAFICA!$B$1:$G$306,4,FALSE)</f>
        <v>758-47</v>
      </c>
      <c r="E68" s="109">
        <f>VLOOKUP($A68,ANAGRAFICA!$B$1:$G$306,5,FALSE)</f>
        <v>3272025074</v>
      </c>
      <c r="F68" s="109">
        <f>VLOOKUP($A68,ANAGRAFICA!$B$1:$G$306,6,FALSE)</f>
        <v>2025</v>
      </c>
      <c r="G68" s="57">
        <v>1.0</v>
      </c>
      <c r="H68" s="11" t="s">
        <v>1001</v>
      </c>
      <c r="I68" s="115" t="b">
        <v>0</v>
      </c>
      <c r="J68" s="115" t="b">
        <v>1</v>
      </c>
      <c r="K68" s="152">
        <v>46010.0</v>
      </c>
      <c r="L68" s="11" t="s">
        <v>1002</v>
      </c>
      <c r="M68" s="11" t="s">
        <v>1002</v>
      </c>
    </row>
    <row r="69">
      <c r="A69" s="57">
        <v>2.126005799E9</v>
      </c>
      <c r="B69" s="109" t="str">
        <f>VLOOKUP($A69,ANAGRAFICA!$B$1:$G$306,2,FALSE)</f>
        <v>MAIORANO</v>
      </c>
      <c r="C69" s="109" t="str">
        <f>VLOOKUP($A69,ANAGRAFICA!$B$1:$G$306,3,FALSE)</f>
        <v>IOLANDA MARIA</v>
      </c>
      <c r="D69" s="109" t="str">
        <f>VLOOKUP($A69,ANAGRAFICA!$B$1:$G$306,4,FALSE)</f>
        <v>758-56</v>
      </c>
      <c r="E69" s="109" t="str">
        <f>VLOOKUP($A69,ANAGRAFICA!$B$1:$G$306,5,FALSE)</f>
        <v/>
      </c>
      <c r="F69" s="109">
        <f>VLOOKUP($A69,ANAGRAFICA!$B$1:$G$306,6,FALSE)</f>
        <v>2026</v>
      </c>
      <c r="G69" s="57">
        <v>1.0</v>
      </c>
      <c r="H69" s="11" t="s">
        <v>1001</v>
      </c>
      <c r="I69" s="115" t="b">
        <v>1</v>
      </c>
      <c r="J69" s="115" t="b">
        <v>0</v>
      </c>
      <c r="K69" s="152"/>
      <c r="L69" s="115"/>
      <c r="M69" s="115"/>
      <c r="N69" s="3" t="s">
        <v>1009</v>
      </c>
    </row>
    <row r="70">
      <c r="A70" s="57">
        <v>2.126002771E9</v>
      </c>
      <c r="B70" s="109" t="str">
        <f>VLOOKUP($A70,ANAGRAFICA!$B$1:$G$306,2,FALSE)</f>
        <v>LONGOBARDI</v>
      </c>
      <c r="C70" s="109" t="str">
        <f>VLOOKUP($A70,ANAGRAFICA!$B$1:$G$306,3,FALSE)</f>
        <v>FRANCESCO</v>
      </c>
      <c r="D70" s="109" t="str">
        <f>VLOOKUP($A70,ANAGRAFICA!$B$1:$G$306,4,FALSE)</f>
        <v>758-52</v>
      </c>
      <c r="E70" s="109" t="str">
        <f>VLOOKUP($A70,ANAGRAFICA!$B$1:$G$306,5,FALSE)</f>
        <v/>
      </c>
      <c r="F70" s="109">
        <f>VLOOKUP($A70,ANAGRAFICA!$B$1:$G$306,6,FALSE)</f>
        <v>2026</v>
      </c>
      <c r="G70" s="57">
        <v>1.0</v>
      </c>
      <c r="H70" s="11" t="s">
        <v>1001</v>
      </c>
      <c r="I70" s="115" t="b">
        <v>0</v>
      </c>
      <c r="J70" s="115" t="b">
        <v>1</v>
      </c>
      <c r="K70" s="152">
        <v>46074.0</v>
      </c>
      <c r="L70" s="11" t="s">
        <v>1002</v>
      </c>
      <c r="M70" s="11" t="s">
        <v>1002</v>
      </c>
    </row>
    <row r="71">
      <c r="A71" s="57">
        <v>2.126001104E9</v>
      </c>
      <c r="B71" s="109" t="str">
        <f>VLOOKUP($A71,ANAGRAFICA!$B$1:$G$306,2,FALSE)</f>
        <v>LOREGGIA</v>
      </c>
      <c r="C71" s="109" t="str">
        <f>VLOOKUP($A71,ANAGRAFICA!$B$1:$G$306,3,FALSE)</f>
        <v>GIAN MARCO</v>
      </c>
      <c r="D71" s="109" t="str">
        <f>VLOOKUP($A71,ANAGRAFICA!$B$1:$G$306,4,FALSE)</f>
        <v>758-51</v>
      </c>
      <c r="E71" s="109" t="str">
        <f>VLOOKUP($A71,ANAGRAFICA!$B$1:$G$306,5,FALSE)</f>
        <v/>
      </c>
      <c r="F71" s="109">
        <f>VLOOKUP($A71,ANAGRAFICA!$B$1:$G$306,6,FALSE)</f>
        <v>2026</v>
      </c>
      <c r="G71" s="57">
        <v>1.0</v>
      </c>
      <c r="H71" s="11" t="s">
        <v>1001</v>
      </c>
      <c r="I71" s="115" t="b">
        <v>0</v>
      </c>
      <c r="J71" s="115" t="b">
        <v>0</v>
      </c>
      <c r="K71" s="152">
        <v>46033.0</v>
      </c>
      <c r="L71" s="11"/>
      <c r="M71" s="115"/>
      <c r="N71" s="3" t="s">
        <v>1010</v>
      </c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94"/>
      <c r="H72" s="11" t="s">
        <v>1001</v>
      </c>
      <c r="I72" s="115" t="b">
        <v>0</v>
      </c>
      <c r="J72" s="115" t="b">
        <v>0</v>
      </c>
      <c r="K72" s="152"/>
      <c r="L72" s="115"/>
      <c r="M72" s="115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94"/>
      <c r="H73" s="11" t="s">
        <v>1001</v>
      </c>
      <c r="I73" s="115" t="b">
        <v>0</v>
      </c>
      <c r="J73" s="115" t="b">
        <v>0</v>
      </c>
      <c r="K73" s="152"/>
      <c r="L73" s="115"/>
      <c r="M73" s="115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94"/>
      <c r="H74" s="11" t="s">
        <v>1001</v>
      </c>
      <c r="I74" s="115" t="b">
        <v>0</v>
      </c>
      <c r="J74" s="115" t="b">
        <v>0</v>
      </c>
      <c r="K74" s="152"/>
      <c r="L74" s="115"/>
      <c r="M74" s="115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94"/>
      <c r="H75" s="11" t="s">
        <v>1001</v>
      </c>
      <c r="I75" s="115" t="b">
        <v>0</v>
      </c>
      <c r="J75" s="115" t="b">
        <v>0</v>
      </c>
      <c r="K75" s="152"/>
      <c r="L75" s="115"/>
      <c r="M75" s="115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94"/>
      <c r="H76" s="11" t="s">
        <v>1001</v>
      </c>
      <c r="I76" s="115" t="b">
        <v>0</v>
      </c>
      <c r="J76" s="115" t="b">
        <v>0</v>
      </c>
      <c r="K76" s="152"/>
      <c r="L76" s="115"/>
      <c r="M76" s="115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94"/>
      <c r="H77" s="11" t="s">
        <v>1001</v>
      </c>
      <c r="I77" s="115" t="b">
        <v>0</v>
      </c>
      <c r="J77" s="115" t="b">
        <v>0</v>
      </c>
      <c r="K77" s="152"/>
      <c r="L77" s="115"/>
      <c r="M77" s="115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94"/>
      <c r="H78" s="11" t="s">
        <v>1001</v>
      </c>
      <c r="I78" s="115" t="b">
        <v>0</v>
      </c>
      <c r="J78" s="115" t="b">
        <v>0</v>
      </c>
      <c r="K78" s="152"/>
      <c r="L78" s="115"/>
      <c r="M78" s="115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94"/>
      <c r="H79" s="11" t="s">
        <v>1001</v>
      </c>
      <c r="I79" s="115" t="b">
        <v>0</v>
      </c>
      <c r="J79" s="115" t="b">
        <v>0</v>
      </c>
      <c r="K79" s="152"/>
      <c r="L79" s="115"/>
      <c r="M79" s="115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94"/>
      <c r="H80" s="11" t="s">
        <v>1001</v>
      </c>
      <c r="I80" s="115" t="b">
        <v>0</v>
      </c>
      <c r="J80" s="115" t="b">
        <v>0</v>
      </c>
      <c r="K80" s="152"/>
      <c r="L80" s="115"/>
      <c r="M80" s="115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94"/>
      <c r="H81" s="11" t="s">
        <v>1001</v>
      </c>
      <c r="I81" s="115" t="b">
        <v>0</v>
      </c>
      <c r="J81" s="115" t="b">
        <v>0</v>
      </c>
      <c r="K81" s="152"/>
      <c r="L81" s="115"/>
      <c r="M81" s="115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94"/>
      <c r="H82" s="11" t="s">
        <v>1001</v>
      </c>
      <c r="I82" s="115" t="b">
        <v>0</v>
      </c>
      <c r="J82" s="115" t="b">
        <v>0</v>
      </c>
      <c r="K82" s="152"/>
      <c r="L82" s="115"/>
      <c r="M82" s="115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94"/>
      <c r="H83" s="11" t="s">
        <v>1001</v>
      </c>
      <c r="I83" s="115" t="b">
        <v>0</v>
      </c>
      <c r="J83" s="115" t="b">
        <v>0</v>
      </c>
      <c r="K83" s="152"/>
      <c r="L83" s="115"/>
      <c r="M83" s="115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94"/>
      <c r="H84" s="11" t="s">
        <v>1001</v>
      </c>
      <c r="I84" s="115" t="b">
        <v>0</v>
      </c>
      <c r="J84" s="115" t="b">
        <v>0</v>
      </c>
      <c r="K84" s="152"/>
      <c r="L84" s="115"/>
      <c r="M84" s="115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94"/>
      <c r="H85" s="11" t="s">
        <v>1001</v>
      </c>
      <c r="I85" s="115" t="b">
        <v>0</v>
      </c>
      <c r="J85" s="115" t="b">
        <v>0</v>
      </c>
      <c r="K85" s="152"/>
      <c r="L85" s="115"/>
      <c r="M85" s="115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94"/>
      <c r="H86" s="11" t="s">
        <v>1001</v>
      </c>
      <c r="I86" s="115" t="b">
        <v>0</v>
      </c>
      <c r="J86" s="115" t="b">
        <v>0</v>
      </c>
      <c r="K86" s="152"/>
      <c r="L86" s="115"/>
      <c r="M86" s="115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94"/>
      <c r="H87" s="11" t="s">
        <v>1001</v>
      </c>
      <c r="I87" s="115" t="b">
        <v>0</v>
      </c>
      <c r="J87" s="115" t="b">
        <v>0</v>
      </c>
      <c r="K87" s="152"/>
      <c r="L87" s="115"/>
      <c r="M87" s="115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94"/>
      <c r="H88" s="11" t="s">
        <v>1001</v>
      </c>
      <c r="I88" s="115" t="b">
        <v>0</v>
      </c>
      <c r="J88" s="115" t="b">
        <v>0</v>
      </c>
      <c r="K88" s="152"/>
      <c r="L88" s="115"/>
      <c r="M88" s="115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94"/>
      <c r="H89" s="11" t="s">
        <v>1001</v>
      </c>
      <c r="I89" s="115" t="b">
        <v>0</v>
      </c>
      <c r="J89" s="115" t="b">
        <v>0</v>
      </c>
      <c r="K89" s="152"/>
      <c r="L89" s="115"/>
      <c r="M89" s="115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94"/>
      <c r="H90" s="11" t="s">
        <v>1001</v>
      </c>
      <c r="I90" s="115" t="b">
        <v>0</v>
      </c>
      <c r="J90" s="115" t="b">
        <v>0</v>
      </c>
      <c r="K90" s="152"/>
      <c r="L90" s="115"/>
      <c r="M90" s="115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94"/>
      <c r="H91" s="11" t="s">
        <v>1001</v>
      </c>
      <c r="I91" s="115" t="b">
        <v>0</v>
      </c>
      <c r="J91" s="115" t="b">
        <v>0</v>
      </c>
      <c r="K91" s="152"/>
      <c r="L91" s="115"/>
      <c r="M91" s="115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94"/>
      <c r="H92" s="11" t="s">
        <v>1001</v>
      </c>
      <c r="I92" s="115" t="b">
        <v>0</v>
      </c>
      <c r="J92" s="115" t="b">
        <v>0</v>
      </c>
      <c r="K92" s="152"/>
      <c r="L92" s="115"/>
      <c r="M92" s="115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94"/>
      <c r="H93" s="11" t="s">
        <v>1001</v>
      </c>
      <c r="I93" s="115" t="b">
        <v>0</v>
      </c>
      <c r="J93" s="115" t="b">
        <v>0</v>
      </c>
      <c r="K93" s="152"/>
      <c r="L93" s="115"/>
      <c r="M93" s="115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94"/>
      <c r="H94" s="11" t="s">
        <v>1001</v>
      </c>
      <c r="I94" s="115" t="b">
        <v>0</v>
      </c>
      <c r="J94" s="115" t="b">
        <v>0</v>
      </c>
      <c r="K94" s="152"/>
      <c r="L94" s="115"/>
      <c r="M94" s="115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94"/>
      <c r="H95" s="11" t="s">
        <v>1001</v>
      </c>
      <c r="I95" s="115" t="b">
        <v>0</v>
      </c>
      <c r="J95" s="115" t="b">
        <v>0</v>
      </c>
      <c r="K95" s="152"/>
      <c r="L95" s="115"/>
      <c r="M95" s="115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94"/>
      <c r="H96" s="11" t="s">
        <v>1001</v>
      </c>
      <c r="I96" s="115" t="b">
        <v>0</v>
      </c>
      <c r="J96" s="115" t="b">
        <v>0</v>
      </c>
      <c r="K96" s="152"/>
      <c r="L96" s="115"/>
      <c r="M96" s="115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94"/>
      <c r="H97" s="11" t="s">
        <v>1001</v>
      </c>
      <c r="I97" s="115" t="b">
        <v>0</v>
      </c>
      <c r="J97" s="115" t="b">
        <v>0</v>
      </c>
      <c r="K97" s="152"/>
      <c r="L97" s="115"/>
      <c r="M97" s="115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94"/>
      <c r="H98" s="11" t="s">
        <v>1001</v>
      </c>
      <c r="I98" s="115" t="b">
        <v>0</v>
      </c>
      <c r="J98" s="115" t="b">
        <v>0</v>
      </c>
      <c r="K98" s="152"/>
      <c r="L98" s="115"/>
      <c r="M98" s="115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94"/>
      <c r="H99" s="11" t="s">
        <v>1001</v>
      </c>
      <c r="I99" s="115" t="b">
        <v>0</v>
      </c>
      <c r="J99" s="115" t="b">
        <v>0</v>
      </c>
      <c r="K99" s="152"/>
      <c r="L99" s="115"/>
      <c r="M99" s="115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94"/>
      <c r="H100" s="11" t="s">
        <v>1001</v>
      </c>
      <c r="I100" s="115" t="b">
        <v>0</v>
      </c>
      <c r="J100" s="115" t="b">
        <v>0</v>
      </c>
      <c r="K100" s="152"/>
      <c r="L100" s="115"/>
      <c r="M100" s="115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94"/>
      <c r="H101" s="11" t="s">
        <v>1001</v>
      </c>
      <c r="I101" s="115" t="b">
        <v>0</v>
      </c>
      <c r="J101" s="115" t="b">
        <v>0</v>
      </c>
      <c r="K101" s="152"/>
      <c r="L101" s="115"/>
      <c r="M101" s="115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94"/>
      <c r="H102" s="11" t="s">
        <v>1001</v>
      </c>
      <c r="I102" s="115" t="b">
        <v>0</v>
      </c>
      <c r="J102" s="115" t="b">
        <v>0</v>
      </c>
      <c r="K102" s="152"/>
      <c r="L102" s="115"/>
      <c r="M102" s="115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94"/>
      <c r="H103" s="11" t="s">
        <v>1001</v>
      </c>
      <c r="I103" s="115" t="b">
        <v>0</v>
      </c>
      <c r="J103" s="115" t="b">
        <v>0</v>
      </c>
      <c r="K103" s="152"/>
      <c r="L103" s="115"/>
      <c r="M103" s="115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94"/>
      <c r="H104" s="11" t="s">
        <v>1001</v>
      </c>
      <c r="I104" s="115" t="b">
        <v>0</v>
      </c>
      <c r="J104" s="115" t="b">
        <v>0</v>
      </c>
      <c r="K104" s="152"/>
      <c r="L104" s="115"/>
      <c r="M104" s="115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94"/>
      <c r="H105" s="11" t="s">
        <v>1001</v>
      </c>
      <c r="I105" s="115" t="b">
        <v>0</v>
      </c>
      <c r="J105" s="115" t="b">
        <v>0</v>
      </c>
      <c r="K105" s="152"/>
      <c r="L105" s="115"/>
      <c r="M105" s="115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94"/>
      <c r="H106" s="11" t="s">
        <v>1001</v>
      </c>
      <c r="I106" s="115" t="b">
        <v>0</v>
      </c>
      <c r="J106" s="115" t="b">
        <v>0</v>
      </c>
      <c r="K106" s="152"/>
      <c r="L106" s="115"/>
      <c r="M106" s="115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94"/>
      <c r="H107" s="11" t="s">
        <v>1001</v>
      </c>
      <c r="I107" s="115" t="b">
        <v>0</v>
      </c>
      <c r="J107" s="115" t="b">
        <v>0</v>
      </c>
      <c r="K107" s="152"/>
      <c r="L107" s="115"/>
      <c r="M107" s="115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94"/>
      <c r="H108" s="11" t="s">
        <v>1001</v>
      </c>
      <c r="I108" s="115" t="b">
        <v>0</v>
      </c>
      <c r="J108" s="115" t="b">
        <v>0</v>
      </c>
      <c r="K108" s="152"/>
      <c r="L108" s="115"/>
      <c r="M108" s="115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94"/>
      <c r="H109" s="11" t="s">
        <v>1001</v>
      </c>
      <c r="I109" s="115" t="b">
        <v>0</v>
      </c>
      <c r="J109" s="115" t="b">
        <v>0</v>
      </c>
      <c r="K109" s="152"/>
      <c r="L109" s="115"/>
      <c r="M109" s="115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94"/>
      <c r="H110" s="11" t="s">
        <v>1001</v>
      </c>
      <c r="I110" s="115" t="b">
        <v>0</v>
      </c>
      <c r="J110" s="115" t="b">
        <v>0</v>
      </c>
      <c r="K110" s="152"/>
      <c r="L110" s="115"/>
      <c r="M110" s="115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94"/>
      <c r="H111" s="11" t="s">
        <v>1001</v>
      </c>
      <c r="I111" s="115" t="b">
        <v>0</v>
      </c>
      <c r="J111" s="115" t="b">
        <v>0</v>
      </c>
      <c r="K111" s="152"/>
      <c r="L111" s="115"/>
      <c r="M111" s="115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94"/>
      <c r="H112" s="11" t="s">
        <v>1001</v>
      </c>
      <c r="I112" s="115" t="b">
        <v>0</v>
      </c>
      <c r="J112" s="115" t="b">
        <v>0</v>
      </c>
      <c r="K112" s="152"/>
      <c r="L112" s="115"/>
      <c r="M112" s="115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94"/>
      <c r="H113" s="11" t="s">
        <v>1001</v>
      </c>
      <c r="I113" s="115" t="b">
        <v>0</v>
      </c>
      <c r="J113" s="115" t="b">
        <v>0</v>
      </c>
      <c r="K113" s="152"/>
      <c r="L113" s="115"/>
      <c r="M113" s="115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94"/>
      <c r="H114" s="11" t="s">
        <v>1001</v>
      </c>
      <c r="I114" s="115" t="b">
        <v>0</v>
      </c>
      <c r="J114" s="115" t="b">
        <v>0</v>
      </c>
      <c r="K114" s="152"/>
      <c r="L114" s="115"/>
      <c r="M114" s="115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94"/>
      <c r="H115" s="11" t="s">
        <v>1001</v>
      </c>
      <c r="I115" s="115" t="b">
        <v>0</v>
      </c>
      <c r="J115" s="115" t="b">
        <v>0</v>
      </c>
      <c r="K115" s="152"/>
      <c r="L115" s="115"/>
      <c r="M115" s="115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94"/>
      <c r="H116" s="11" t="s">
        <v>1001</v>
      </c>
      <c r="I116" s="115" t="b">
        <v>0</v>
      </c>
      <c r="J116" s="115" t="b">
        <v>0</v>
      </c>
      <c r="K116" s="152"/>
      <c r="L116" s="115"/>
      <c r="M116" s="115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94"/>
      <c r="H117" s="11" t="s">
        <v>1001</v>
      </c>
      <c r="I117" s="115" t="b">
        <v>0</v>
      </c>
      <c r="J117" s="115" t="b">
        <v>0</v>
      </c>
      <c r="K117" s="152"/>
      <c r="L117" s="115"/>
      <c r="M117" s="115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94"/>
      <c r="H118" s="11" t="s">
        <v>1001</v>
      </c>
      <c r="I118" s="115" t="b">
        <v>0</v>
      </c>
      <c r="J118" s="115" t="b">
        <v>0</v>
      </c>
      <c r="K118" s="152"/>
      <c r="L118" s="115"/>
      <c r="M118" s="115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94"/>
      <c r="H119" s="11" t="s">
        <v>1001</v>
      </c>
      <c r="I119" s="115" t="b">
        <v>0</v>
      </c>
      <c r="J119" s="115" t="b">
        <v>0</v>
      </c>
      <c r="K119" s="152"/>
      <c r="L119" s="115"/>
      <c r="M119" s="115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94"/>
      <c r="H120" s="11" t="s">
        <v>1001</v>
      </c>
      <c r="I120" s="115" t="b">
        <v>0</v>
      </c>
      <c r="J120" s="115" t="b">
        <v>0</v>
      </c>
      <c r="K120" s="152"/>
      <c r="L120" s="115"/>
      <c r="M120" s="115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94"/>
      <c r="H121" s="11" t="s">
        <v>1001</v>
      </c>
      <c r="I121" s="115" t="b">
        <v>0</v>
      </c>
      <c r="J121" s="115" t="b">
        <v>0</v>
      </c>
      <c r="K121" s="152"/>
      <c r="L121" s="115"/>
      <c r="M121" s="115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11" t="s">
        <v>1001</v>
      </c>
      <c r="I122" s="115" t="b">
        <v>0</v>
      </c>
      <c r="J122" s="115" t="b">
        <v>0</v>
      </c>
      <c r="K122" s="152"/>
      <c r="L122" s="115"/>
      <c r="M122" s="115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94"/>
      <c r="H123" s="11" t="s">
        <v>1001</v>
      </c>
      <c r="I123" s="115" t="b">
        <v>0</v>
      </c>
      <c r="J123" s="115" t="b">
        <v>0</v>
      </c>
      <c r="K123" s="152"/>
      <c r="L123" s="115"/>
      <c r="M123" s="115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94"/>
      <c r="H124" s="11" t="s">
        <v>1001</v>
      </c>
      <c r="I124" s="115" t="b">
        <v>0</v>
      </c>
      <c r="J124" s="115" t="b">
        <v>0</v>
      </c>
      <c r="K124" s="152"/>
      <c r="L124" s="115"/>
      <c r="M124" s="115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94"/>
      <c r="H125" s="11" t="s">
        <v>1001</v>
      </c>
      <c r="I125" s="115" t="b">
        <v>0</v>
      </c>
      <c r="J125" s="115" t="b">
        <v>0</v>
      </c>
      <c r="K125" s="152"/>
      <c r="L125" s="115"/>
      <c r="M125" s="115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94"/>
      <c r="H126" s="11" t="s">
        <v>1001</v>
      </c>
      <c r="I126" s="115" t="b">
        <v>0</v>
      </c>
      <c r="J126" s="115" t="b">
        <v>0</v>
      </c>
      <c r="K126" s="152"/>
      <c r="L126" s="115"/>
      <c r="M126" s="115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94"/>
      <c r="H127" s="11" t="s">
        <v>1001</v>
      </c>
      <c r="I127" s="115" t="b">
        <v>0</v>
      </c>
      <c r="J127" s="115" t="b">
        <v>0</v>
      </c>
      <c r="K127" s="152"/>
      <c r="L127" s="115"/>
      <c r="M127" s="115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94"/>
      <c r="H128" s="11" t="s">
        <v>1001</v>
      </c>
      <c r="I128" s="115" t="b">
        <v>0</v>
      </c>
      <c r="J128" s="115" t="b">
        <v>0</v>
      </c>
      <c r="K128" s="152"/>
      <c r="L128" s="115"/>
      <c r="M128" s="115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94"/>
      <c r="H129" s="11" t="s">
        <v>1001</v>
      </c>
      <c r="I129" s="115" t="b">
        <v>0</v>
      </c>
      <c r="J129" s="115" t="b">
        <v>0</v>
      </c>
      <c r="K129" s="152"/>
      <c r="L129" s="115"/>
      <c r="M129" s="115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94"/>
      <c r="H130" s="11" t="s">
        <v>1001</v>
      </c>
      <c r="I130" s="115" t="b">
        <v>0</v>
      </c>
      <c r="J130" s="115" t="b">
        <v>0</v>
      </c>
      <c r="K130" s="152"/>
      <c r="L130" s="115"/>
      <c r="M130" s="115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94"/>
      <c r="H131" s="11" t="s">
        <v>1001</v>
      </c>
      <c r="I131" s="115" t="b">
        <v>0</v>
      </c>
      <c r="J131" s="115" t="b">
        <v>0</v>
      </c>
      <c r="K131" s="152"/>
      <c r="L131" s="115"/>
      <c r="M131" s="115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94"/>
      <c r="H132" s="11" t="s">
        <v>1001</v>
      </c>
      <c r="I132" s="115" t="b">
        <v>0</v>
      </c>
      <c r="J132" s="115" t="b">
        <v>0</v>
      </c>
      <c r="K132" s="152"/>
      <c r="L132" s="115"/>
      <c r="M132" s="115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94"/>
      <c r="H133" s="11" t="s">
        <v>1001</v>
      </c>
      <c r="I133" s="115" t="b">
        <v>0</v>
      </c>
      <c r="J133" s="115" t="b">
        <v>0</v>
      </c>
      <c r="K133" s="152"/>
      <c r="L133" s="115"/>
      <c r="M133" s="115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94"/>
      <c r="H134" s="11" t="s">
        <v>1001</v>
      </c>
      <c r="I134" s="115" t="b">
        <v>0</v>
      </c>
      <c r="J134" s="115" t="b">
        <v>0</v>
      </c>
      <c r="K134" s="152"/>
      <c r="L134" s="115"/>
      <c r="M134" s="115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94"/>
      <c r="H135" s="11" t="s">
        <v>1001</v>
      </c>
      <c r="I135" s="115" t="b">
        <v>0</v>
      </c>
      <c r="J135" s="115" t="b">
        <v>0</v>
      </c>
      <c r="K135" s="152"/>
      <c r="L135" s="115"/>
      <c r="M135" s="115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94"/>
      <c r="H136" s="11" t="s">
        <v>1001</v>
      </c>
      <c r="I136" s="115" t="b">
        <v>0</v>
      </c>
      <c r="J136" s="115" t="b">
        <v>0</v>
      </c>
      <c r="K136" s="152"/>
      <c r="L136" s="115"/>
      <c r="M136" s="115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94"/>
      <c r="H137" s="11" t="s">
        <v>1001</v>
      </c>
      <c r="I137" s="115" t="b">
        <v>0</v>
      </c>
      <c r="J137" s="115" t="b">
        <v>0</v>
      </c>
      <c r="K137" s="152"/>
      <c r="L137" s="115"/>
      <c r="M137" s="115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94"/>
      <c r="H138" s="11" t="s">
        <v>1001</v>
      </c>
      <c r="I138" s="115" t="b">
        <v>0</v>
      </c>
      <c r="J138" s="115" t="b">
        <v>0</v>
      </c>
      <c r="K138" s="152"/>
      <c r="L138" s="115"/>
      <c r="M138" s="115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94"/>
      <c r="H139" s="11" t="s">
        <v>1001</v>
      </c>
      <c r="I139" s="115" t="b">
        <v>0</v>
      </c>
      <c r="J139" s="115" t="b">
        <v>0</v>
      </c>
      <c r="K139" s="152"/>
      <c r="L139" s="115"/>
      <c r="M139" s="115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94"/>
      <c r="H140" s="11" t="s">
        <v>1001</v>
      </c>
      <c r="I140" s="115" t="b">
        <v>0</v>
      </c>
      <c r="J140" s="115" t="b">
        <v>0</v>
      </c>
      <c r="K140" s="152"/>
      <c r="L140" s="115"/>
      <c r="M140" s="115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94"/>
      <c r="H141" s="11" t="s">
        <v>1001</v>
      </c>
      <c r="I141" s="115" t="b">
        <v>0</v>
      </c>
      <c r="J141" s="115" t="b">
        <v>0</v>
      </c>
      <c r="K141" s="152"/>
      <c r="L141" s="115"/>
      <c r="M141" s="115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94"/>
      <c r="H142" s="11" t="s">
        <v>1001</v>
      </c>
      <c r="I142" s="115" t="b">
        <v>0</v>
      </c>
      <c r="J142" s="115" t="b">
        <v>0</v>
      </c>
      <c r="K142" s="152"/>
      <c r="L142" s="115"/>
      <c r="M142" s="115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94"/>
      <c r="H143" s="11" t="s">
        <v>1001</v>
      </c>
      <c r="I143" s="115" t="b">
        <v>0</v>
      </c>
      <c r="J143" s="115" t="b">
        <v>0</v>
      </c>
      <c r="K143" s="152"/>
      <c r="L143" s="115"/>
      <c r="M143" s="115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94"/>
      <c r="H144" s="11" t="s">
        <v>1001</v>
      </c>
      <c r="I144" s="115" t="b">
        <v>0</v>
      </c>
      <c r="J144" s="115" t="b">
        <v>0</v>
      </c>
      <c r="K144" s="152"/>
      <c r="L144" s="115"/>
      <c r="M144" s="115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94"/>
      <c r="H145" s="11" t="s">
        <v>1001</v>
      </c>
      <c r="I145" s="115" t="b">
        <v>0</v>
      </c>
      <c r="J145" s="115" t="b">
        <v>0</v>
      </c>
      <c r="K145" s="152"/>
      <c r="L145" s="115"/>
      <c r="M145" s="115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94"/>
      <c r="H146" s="11" t="s">
        <v>1001</v>
      </c>
      <c r="I146" s="115" t="b">
        <v>0</v>
      </c>
      <c r="J146" s="115" t="b">
        <v>0</v>
      </c>
      <c r="K146" s="152"/>
      <c r="L146" s="115"/>
      <c r="M146" s="115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94"/>
      <c r="H147" s="11" t="s">
        <v>1001</v>
      </c>
      <c r="I147" s="115" t="b">
        <v>0</v>
      </c>
      <c r="J147" s="115" t="b">
        <v>0</v>
      </c>
      <c r="K147" s="152"/>
      <c r="L147" s="115"/>
      <c r="M147" s="115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94"/>
      <c r="H148" s="11" t="s">
        <v>1001</v>
      </c>
      <c r="I148" s="115" t="b">
        <v>0</v>
      </c>
      <c r="J148" s="115" t="b">
        <v>0</v>
      </c>
      <c r="K148" s="152"/>
      <c r="L148" s="115"/>
      <c r="M148" s="115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94"/>
      <c r="H149" s="11" t="s">
        <v>1001</v>
      </c>
      <c r="I149" s="115" t="b">
        <v>0</v>
      </c>
      <c r="J149" s="115" t="b">
        <v>0</v>
      </c>
      <c r="K149" s="152"/>
      <c r="L149" s="115"/>
      <c r="M149" s="115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94"/>
      <c r="H150" s="11" t="s">
        <v>1001</v>
      </c>
      <c r="I150" s="115" t="b">
        <v>0</v>
      </c>
      <c r="J150" s="115" t="b">
        <v>0</v>
      </c>
      <c r="K150" s="152"/>
      <c r="L150" s="115"/>
      <c r="M150" s="115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94"/>
      <c r="H151" s="11" t="s">
        <v>1001</v>
      </c>
      <c r="I151" s="115" t="b">
        <v>0</v>
      </c>
      <c r="J151" s="115" t="b">
        <v>0</v>
      </c>
      <c r="K151" s="152"/>
      <c r="L151" s="115"/>
      <c r="M151" s="115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94"/>
      <c r="H152" s="11" t="s">
        <v>1001</v>
      </c>
      <c r="I152" s="115" t="b">
        <v>0</v>
      </c>
      <c r="J152" s="115" t="b">
        <v>0</v>
      </c>
      <c r="K152" s="152"/>
      <c r="L152" s="115"/>
      <c r="M152" s="115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94"/>
      <c r="H153" s="11" t="s">
        <v>1001</v>
      </c>
      <c r="I153" s="115" t="b">
        <v>0</v>
      </c>
      <c r="J153" s="115" t="b">
        <v>0</v>
      </c>
      <c r="K153" s="152"/>
      <c r="L153" s="115"/>
      <c r="M153" s="115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94"/>
      <c r="H154" s="11" t="s">
        <v>1001</v>
      </c>
      <c r="I154" s="115" t="b">
        <v>0</v>
      </c>
      <c r="J154" s="115" t="b">
        <v>0</v>
      </c>
      <c r="K154" s="152"/>
      <c r="L154" s="115"/>
      <c r="M154" s="115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11" t="s">
        <v>1001</v>
      </c>
      <c r="I155" s="115" t="b">
        <v>0</v>
      </c>
      <c r="J155" s="115" t="b">
        <v>0</v>
      </c>
      <c r="K155" s="152"/>
      <c r="L155" s="115"/>
      <c r="M155" s="115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11" t="s">
        <v>1001</v>
      </c>
      <c r="I156" s="115" t="b">
        <v>0</v>
      </c>
      <c r="J156" s="115" t="b">
        <v>0</v>
      </c>
      <c r="K156" s="152"/>
      <c r="L156" s="115"/>
      <c r="M156" s="115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11" t="s">
        <v>1001</v>
      </c>
      <c r="I157" s="115" t="b">
        <v>0</v>
      </c>
      <c r="J157" s="115" t="b">
        <v>0</v>
      </c>
      <c r="K157" s="152"/>
      <c r="L157" s="115"/>
      <c r="M157" s="115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11" t="s">
        <v>1001</v>
      </c>
      <c r="I158" s="115" t="b">
        <v>0</v>
      </c>
      <c r="J158" s="115" t="b">
        <v>0</v>
      </c>
      <c r="K158" s="152"/>
      <c r="L158" s="115"/>
      <c r="M158" s="115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11" t="s">
        <v>1001</v>
      </c>
      <c r="I159" s="115" t="b">
        <v>0</v>
      </c>
      <c r="J159" s="115" t="b">
        <v>0</v>
      </c>
      <c r="K159" s="152"/>
      <c r="L159" s="115"/>
      <c r="M159" s="115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11" t="s">
        <v>1001</v>
      </c>
      <c r="I160" s="115" t="b">
        <v>0</v>
      </c>
      <c r="J160" s="115" t="b">
        <v>0</v>
      </c>
      <c r="K160" s="152"/>
      <c r="L160" s="115"/>
      <c r="M160" s="115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11" t="s">
        <v>1001</v>
      </c>
      <c r="I161" s="115" t="b">
        <v>0</v>
      </c>
      <c r="J161" s="115" t="b">
        <v>0</v>
      </c>
      <c r="K161" s="152"/>
      <c r="L161" s="115"/>
      <c r="M161" s="115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11" t="s">
        <v>1001</v>
      </c>
      <c r="I162" s="115" t="b">
        <v>0</v>
      </c>
      <c r="J162" s="115" t="b">
        <v>0</v>
      </c>
      <c r="K162" s="152"/>
      <c r="L162" s="115"/>
      <c r="M162" s="115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11" t="s">
        <v>1001</v>
      </c>
      <c r="I163" s="115" t="b">
        <v>0</v>
      </c>
      <c r="J163" s="115" t="b">
        <v>0</v>
      </c>
      <c r="K163" s="152"/>
      <c r="L163" s="115"/>
      <c r="M163" s="115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11" t="s">
        <v>1001</v>
      </c>
      <c r="I164" s="115" t="b">
        <v>0</v>
      </c>
      <c r="J164" s="115" t="b">
        <v>0</v>
      </c>
      <c r="K164" s="152"/>
      <c r="L164" s="115"/>
      <c r="M164" s="115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11" t="s">
        <v>1001</v>
      </c>
      <c r="I165" s="115" t="b">
        <v>0</v>
      </c>
      <c r="J165" s="115" t="b">
        <v>0</v>
      </c>
      <c r="K165" s="152"/>
      <c r="L165" s="115"/>
      <c r="M165" s="115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11" t="s">
        <v>1001</v>
      </c>
      <c r="I166" s="115" t="b">
        <v>0</v>
      </c>
      <c r="J166" s="115" t="b">
        <v>0</v>
      </c>
      <c r="K166" s="152"/>
      <c r="L166" s="115"/>
      <c r="M166" s="115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11" t="s">
        <v>1001</v>
      </c>
      <c r="I167" s="115" t="b">
        <v>0</v>
      </c>
      <c r="J167" s="115" t="b">
        <v>0</v>
      </c>
      <c r="K167" s="152"/>
      <c r="L167" s="115"/>
      <c r="M167" s="115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11" t="s">
        <v>1001</v>
      </c>
      <c r="I168" s="115" t="b">
        <v>0</v>
      </c>
      <c r="J168" s="115" t="b">
        <v>0</v>
      </c>
      <c r="K168" s="152"/>
      <c r="L168" s="115"/>
      <c r="M168" s="115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11" t="s">
        <v>1001</v>
      </c>
      <c r="I169" s="115" t="b">
        <v>0</v>
      </c>
      <c r="J169" s="115" t="b">
        <v>0</v>
      </c>
      <c r="K169" s="152"/>
      <c r="L169" s="115"/>
      <c r="M169" s="115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11" t="s">
        <v>1001</v>
      </c>
      <c r="I170" s="115" t="b">
        <v>0</v>
      </c>
      <c r="J170" s="115" t="b">
        <v>0</v>
      </c>
      <c r="K170" s="152"/>
      <c r="L170" s="115"/>
      <c r="M170" s="115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11" t="s">
        <v>1001</v>
      </c>
      <c r="I171" s="115" t="b">
        <v>0</v>
      </c>
      <c r="J171" s="115" t="b">
        <v>0</v>
      </c>
      <c r="K171" s="152"/>
      <c r="L171" s="115"/>
      <c r="M171" s="115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11" t="s">
        <v>1001</v>
      </c>
      <c r="I172" s="115" t="b">
        <v>0</v>
      </c>
      <c r="J172" s="115" t="b">
        <v>0</v>
      </c>
      <c r="K172" s="152"/>
      <c r="L172" s="115"/>
      <c r="M172" s="115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11" t="s">
        <v>1001</v>
      </c>
      <c r="I173" s="115" t="b">
        <v>0</v>
      </c>
      <c r="J173" s="115" t="b">
        <v>0</v>
      </c>
      <c r="K173" s="152"/>
      <c r="L173" s="115"/>
      <c r="M173" s="115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11" t="s">
        <v>1001</v>
      </c>
      <c r="I174" s="115" t="b">
        <v>0</v>
      </c>
      <c r="J174" s="115" t="b">
        <v>0</v>
      </c>
      <c r="K174" s="152"/>
      <c r="L174" s="115"/>
      <c r="M174" s="115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11" t="s">
        <v>1001</v>
      </c>
      <c r="I175" s="115" t="b">
        <v>0</v>
      </c>
      <c r="J175" s="115" t="b">
        <v>0</v>
      </c>
      <c r="K175" s="152"/>
      <c r="L175" s="115"/>
      <c r="M175" s="115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11" t="s">
        <v>1001</v>
      </c>
      <c r="I176" s="115" t="b">
        <v>0</v>
      </c>
      <c r="J176" s="115" t="b">
        <v>0</v>
      </c>
      <c r="K176" s="152"/>
      <c r="L176" s="115"/>
      <c r="M176" s="115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11" t="s">
        <v>1001</v>
      </c>
      <c r="I177" s="115" t="b">
        <v>0</v>
      </c>
      <c r="J177" s="115" t="b">
        <v>0</v>
      </c>
      <c r="K177" s="152"/>
      <c r="L177" s="115"/>
      <c r="M177" s="115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11" t="s">
        <v>1001</v>
      </c>
      <c r="I178" s="115" t="b">
        <v>0</v>
      </c>
      <c r="J178" s="115" t="b">
        <v>0</v>
      </c>
      <c r="K178" s="152"/>
      <c r="L178" s="115"/>
      <c r="M178" s="115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11" t="s">
        <v>1001</v>
      </c>
      <c r="I179" s="115" t="b">
        <v>0</v>
      </c>
      <c r="J179" s="115" t="b">
        <v>0</v>
      </c>
      <c r="K179" s="152"/>
      <c r="L179" s="115"/>
      <c r="M179" s="115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11" t="s">
        <v>1001</v>
      </c>
      <c r="I180" s="115" t="b">
        <v>0</v>
      </c>
      <c r="J180" s="115" t="b">
        <v>0</v>
      </c>
      <c r="K180" s="152"/>
      <c r="L180" s="115"/>
      <c r="M180" s="115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11" t="s">
        <v>1001</v>
      </c>
      <c r="I181" s="115" t="b">
        <v>0</v>
      </c>
      <c r="J181" s="115" t="b">
        <v>0</v>
      </c>
      <c r="K181" s="152"/>
      <c r="L181" s="115"/>
      <c r="M181" s="115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11" t="s">
        <v>1001</v>
      </c>
      <c r="I182" s="115" t="b">
        <v>0</v>
      </c>
      <c r="J182" s="115" t="b">
        <v>0</v>
      </c>
      <c r="K182" s="152"/>
      <c r="L182" s="115"/>
      <c r="M182" s="115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11" t="s">
        <v>1001</v>
      </c>
      <c r="I183" s="115" t="b">
        <v>0</v>
      </c>
      <c r="J183" s="115" t="b">
        <v>0</v>
      </c>
      <c r="K183" s="152"/>
      <c r="L183" s="115"/>
      <c r="M183" s="115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11" t="s">
        <v>1001</v>
      </c>
      <c r="I184" s="115" t="b">
        <v>0</v>
      </c>
      <c r="J184" s="115" t="b">
        <v>0</v>
      </c>
      <c r="K184" s="152"/>
      <c r="L184" s="115"/>
      <c r="M184" s="115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11" t="s">
        <v>1001</v>
      </c>
      <c r="I185" s="115" t="b">
        <v>0</v>
      </c>
      <c r="J185" s="115" t="b">
        <v>0</v>
      </c>
      <c r="K185" s="152"/>
      <c r="L185" s="115"/>
      <c r="M185" s="115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11" t="s">
        <v>1001</v>
      </c>
      <c r="I186" s="115" t="b">
        <v>0</v>
      </c>
      <c r="J186" s="115" t="b">
        <v>0</v>
      </c>
      <c r="K186" s="152"/>
      <c r="L186" s="115"/>
      <c r="M186" s="115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11" t="s">
        <v>1001</v>
      </c>
      <c r="I187" s="115" t="b">
        <v>0</v>
      </c>
      <c r="J187" s="115" t="b">
        <v>0</v>
      </c>
      <c r="K187" s="152"/>
      <c r="L187" s="115"/>
      <c r="M187" s="115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11" t="s">
        <v>1001</v>
      </c>
      <c r="I188" s="115" t="b">
        <v>0</v>
      </c>
      <c r="J188" s="115" t="b">
        <v>0</v>
      </c>
      <c r="K188" s="152"/>
      <c r="L188" s="115"/>
      <c r="M188" s="115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11" t="s">
        <v>1001</v>
      </c>
      <c r="I189" s="115" t="b">
        <v>0</v>
      </c>
      <c r="J189" s="115" t="b">
        <v>0</v>
      </c>
      <c r="K189" s="152"/>
      <c r="L189" s="115"/>
      <c r="M189" s="115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11" t="s">
        <v>1001</v>
      </c>
      <c r="I190" s="115" t="b">
        <v>0</v>
      </c>
      <c r="J190" s="115" t="b">
        <v>0</v>
      </c>
      <c r="K190" s="152"/>
      <c r="L190" s="115"/>
      <c r="M190" s="115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11" t="s">
        <v>1001</v>
      </c>
      <c r="I191" s="115" t="b">
        <v>0</v>
      </c>
      <c r="J191" s="115" t="b">
        <v>0</v>
      </c>
      <c r="K191" s="152"/>
      <c r="L191" s="115"/>
      <c r="M191" s="115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11" t="s">
        <v>1001</v>
      </c>
      <c r="I192" s="115" t="b">
        <v>0</v>
      </c>
      <c r="J192" s="115" t="b">
        <v>0</v>
      </c>
      <c r="K192" s="152"/>
      <c r="L192" s="115"/>
      <c r="M192" s="115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11" t="s">
        <v>1001</v>
      </c>
      <c r="I193" s="115" t="b">
        <v>0</v>
      </c>
      <c r="J193" s="115" t="b">
        <v>0</v>
      </c>
      <c r="K193" s="152"/>
      <c r="L193" s="115"/>
      <c r="M193" s="115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11" t="s">
        <v>1001</v>
      </c>
      <c r="I194" s="115" t="b">
        <v>0</v>
      </c>
      <c r="J194" s="115" t="b">
        <v>0</v>
      </c>
      <c r="K194" s="152"/>
      <c r="L194" s="115"/>
      <c r="M194" s="115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11" t="s">
        <v>1001</v>
      </c>
      <c r="I195" s="115" t="b">
        <v>0</v>
      </c>
      <c r="J195" s="115" t="b">
        <v>0</v>
      </c>
      <c r="K195" s="152"/>
      <c r="L195" s="115"/>
      <c r="M195" s="115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11" t="s">
        <v>1001</v>
      </c>
      <c r="I196" s="115" t="b">
        <v>0</v>
      </c>
      <c r="J196" s="115" t="b">
        <v>0</v>
      </c>
      <c r="K196" s="152"/>
      <c r="L196" s="115"/>
      <c r="M196" s="115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11" t="s">
        <v>1001</v>
      </c>
      <c r="I197" s="115" t="b">
        <v>0</v>
      </c>
      <c r="J197" s="115" t="b">
        <v>0</v>
      </c>
      <c r="K197" s="152"/>
      <c r="L197" s="115"/>
      <c r="M197" s="115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11" t="s">
        <v>1001</v>
      </c>
      <c r="I198" s="115" t="b">
        <v>0</v>
      </c>
      <c r="J198" s="115" t="b">
        <v>0</v>
      </c>
      <c r="K198" s="152"/>
      <c r="L198" s="115"/>
      <c r="M198" s="115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11" t="s">
        <v>1001</v>
      </c>
      <c r="I199" s="115" t="b">
        <v>0</v>
      </c>
      <c r="J199" s="115" t="b">
        <v>0</v>
      </c>
      <c r="K199" s="152"/>
      <c r="L199" s="115"/>
      <c r="M199" s="115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11" t="s">
        <v>1001</v>
      </c>
      <c r="I200" s="115" t="b">
        <v>0</v>
      </c>
      <c r="J200" s="115" t="b">
        <v>0</v>
      </c>
      <c r="K200" s="152"/>
      <c r="L200" s="115"/>
      <c r="M200" s="115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11" t="s">
        <v>1001</v>
      </c>
      <c r="I201" s="115" t="b">
        <v>0</v>
      </c>
      <c r="J201" s="115" t="b">
        <v>0</v>
      </c>
      <c r="K201" s="152"/>
      <c r="L201" s="115"/>
      <c r="M201" s="115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11" t="s">
        <v>1001</v>
      </c>
      <c r="I202" s="115" t="b">
        <v>0</v>
      </c>
      <c r="J202" s="115" t="b">
        <v>0</v>
      </c>
      <c r="K202" s="152"/>
      <c r="L202" s="115"/>
      <c r="M202" s="115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11" t="s">
        <v>1001</v>
      </c>
      <c r="I203" s="115" t="b">
        <v>0</v>
      </c>
      <c r="J203" s="115" t="b">
        <v>0</v>
      </c>
      <c r="K203" s="152"/>
      <c r="L203" s="115"/>
      <c r="M203" s="115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11" t="s">
        <v>1001</v>
      </c>
      <c r="I204" s="115" t="b">
        <v>0</v>
      </c>
      <c r="J204" s="115" t="b">
        <v>0</v>
      </c>
      <c r="K204" s="152"/>
      <c r="L204" s="115"/>
      <c r="M204" s="115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11" t="s">
        <v>1001</v>
      </c>
      <c r="I205" s="115" t="b">
        <v>0</v>
      </c>
      <c r="J205" s="115" t="b">
        <v>0</v>
      </c>
      <c r="K205" s="152"/>
      <c r="L205" s="115"/>
      <c r="M205" s="115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11" t="s">
        <v>1001</v>
      </c>
      <c r="I206" s="115" t="b">
        <v>0</v>
      </c>
      <c r="J206" s="115" t="b">
        <v>0</v>
      </c>
      <c r="K206" s="152"/>
      <c r="L206" s="115"/>
      <c r="M206" s="115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11" t="s">
        <v>1001</v>
      </c>
      <c r="I207" s="115" t="b">
        <v>0</v>
      </c>
      <c r="J207" s="115" t="b">
        <v>0</v>
      </c>
      <c r="K207" s="152"/>
      <c r="L207" s="115"/>
      <c r="M207" s="115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11" t="s">
        <v>1001</v>
      </c>
      <c r="I208" s="115" t="b">
        <v>0</v>
      </c>
      <c r="J208" s="115" t="b">
        <v>0</v>
      </c>
      <c r="K208" s="152"/>
      <c r="L208" s="115"/>
      <c r="M208" s="115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11" t="s">
        <v>1001</v>
      </c>
      <c r="I209" s="115" t="b">
        <v>0</v>
      </c>
      <c r="J209" s="115" t="b">
        <v>0</v>
      </c>
      <c r="K209" s="152"/>
      <c r="L209" s="115"/>
      <c r="M209" s="115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11" t="s">
        <v>1001</v>
      </c>
      <c r="I210" s="115" t="b">
        <v>0</v>
      </c>
      <c r="J210" s="115" t="b">
        <v>0</v>
      </c>
      <c r="K210" s="152"/>
      <c r="L210" s="115"/>
      <c r="M210" s="115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11" t="s">
        <v>1001</v>
      </c>
      <c r="I211" s="115" t="b">
        <v>0</v>
      </c>
      <c r="J211" s="115" t="b">
        <v>0</v>
      </c>
      <c r="K211" s="152"/>
      <c r="L211" s="115"/>
      <c r="M211" s="115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11" t="s">
        <v>1001</v>
      </c>
      <c r="I212" s="115" t="b">
        <v>0</v>
      </c>
      <c r="J212" s="115" t="b">
        <v>0</v>
      </c>
      <c r="K212" s="152"/>
      <c r="L212" s="115"/>
      <c r="M212" s="115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11" t="s">
        <v>1001</v>
      </c>
      <c r="I213" s="115" t="b">
        <v>0</v>
      </c>
      <c r="J213" s="115" t="b">
        <v>0</v>
      </c>
      <c r="K213" s="152"/>
      <c r="L213" s="115"/>
      <c r="M213" s="115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11" t="s">
        <v>1001</v>
      </c>
      <c r="I214" s="115" t="b">
        <v>0</v>
      </c>
      <c r="J214" s="115" t="b">
        <v>0</v>
      </c>
      <c r="K214" s="152"/>
      <c r="L214" s="115"/>
      <c r="M214" s="115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11" t="s">
        <v>1001</v>
      </c>
      <c r="I215" s="115" t="b">
        <v>0</v>
      </c>
      <c r="J215" s="115" t="b">
        <v>0</v>
      </c>
      <c r="K215" s="152"/>
      <c r="L215" s="115"/>
      <c r="M215" s="115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11" t="s">
        <v>1001</v>
      </c>
      <c r="I216" s="115" t="b">
        <v>0</v>
      </c>
      <c r="J216" s="115" t="b">
        <v>0</v>
      </c>
      <c r="K216" s="152"/>
      <c r="L216" s="115"/>
      <c r="M216" s="115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11" t="s">
        <v>1001</v>
      </c>
      <c r="I217" s="115" t="b">
        <v>0</v>
      </c>
      <c r="J217" s="115" t="b">
        <v>0</v>
      </c>
      <c r="K217" s="152"/>
      <c r="L217" s="115"/>
      <c r="M217" s="115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11" t="s">
        <v>1001</v>
      </c>
      <c r="I218" s="115" t="b">
        <v>0</v>
      </c>
      <c r="J218" s="115" t="b">
        <v>0</v>
      </c>
      <c r="K218" s="152"/>
      <c r="L218" s="115"/>
      <c r="M218" s="115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11" t="s">
        <v>1001</v>
      </c>
      <c r="I219" s="115" t="b">
        <v>0</v>
      </c>
      <c r="J219" s="115" t="b">
        <v>0</v>
      </c>
      <c r="K219" s="152"/>
      <c r="L219" s="115"/>
      <c r="M219" s="115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11" t="s">
        <v>1001</v>
      </c>
      <c r="I220" s="115" t="b">
        <v>0</v>
      </c>
      <c r="J220" s="115" t="b">
        <v>0</v>
      </c>
      <c r="K220" s="152"/>
      <c r="L220" s="115"/>
      <c r="M220" s="115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11" t="s">
        <v>1001</v>
      </c>
      <c r="I221" s="115" t="b">
        <v>0</v>
      </c>
      <c r="J221" s="115" t="b">
        <v>0</v>
      </c>
      <c r="K221" s="152"/>
      <c r="L221" s="115"/>
      <c r="M221" s="115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11" t="s">
        <v>1001</v>
      </c>
      <c r="I222" s="115" t="b">
        <v>0</v>
      </c>
      <c r="J222" s="115" t="b">
        <v>0</v>
      </c>
      <c r="K222" s="152"/>
      <c r="L222" s="115"/>
      <c r="M222" s="115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11" t="s">
        <v>1001</v>
      </c>
      <c r="I223" s="115" t="b">
        <v>0</v>
      </c>
      <c r="J223" s="115" t="b">
        <v>0</v>
      </c>
      <c r="K223" s="152"/>
      <c r="L223" s="115"/>
      <c r="M223" s="115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11" t="s">
        <v>1001</v>
      </c>
      <c r="I224" s="115" t="b">
        <v>0</v>
      </c>
      <c r="J224" s="115" t="b">
        <v>0</v>
      </c>
      <c r="K224" s="152"/>
      <c r="L224" s="115"/>
      <c r="M224" s="115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11" t="s">
        <v>1001</v>
      </c>
      <c r="I225" s="115" t="b">
        <v>0</v>
      </c>
      <c r="J225" s="115" t="b">
        <v>0</v>
      </c>
      <c r="K225" s="152"/>
      <c r="L225" s="115"/>
      <c r="M225" s="115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11" t="s">
        <v>1001</v>
      </c>
      <c r="I226" s="115" t="b">
        <v>0</v>
      </c>
      <c r="J226" s="115" t="b">
        <v>0</v>
      </c>
      <c r="K226" s="152"/>
      <c r="L226" s="115"/>
      <c r="M226" s="115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11" t="s">
        <v>1001</v>
      </c>
      <c r="I227" s="115" t="b">
        <v>0</v>
      </c>
      <c r="J227" s="115" t="b">
        <v>0</v>
      </c>
      <c r="K227" s="152"/>
      <c r="L227" s="115"/>
      <c r="M227" s="115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11" t="s">
        <v>1001</v>
      </c>
      <c r="I228" s="115" t="b">
        <v>0</v>
      </c>
      <c r="J228" s="115" t="b">
        <v>0</v>
      </c>
      <c r="K228" s="152"/>
      <c r="L228" s="115"/>
      <c r="M228" s="115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11" t="s">
        <v>1001</v>
      </c>
      <c r="I229" s="115" t="b">
        <v>0</v>
      </c>
      <c r="J229" s="115" t="b">
        <v>0</v>
      </c>
      <c r="K229" s="152"/>
      <c r="L229" s="115"/>
      <c r="M229" s="115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11" t="s">
        <v>1001</v>
      </c>
      <c r="I230" s="115" t="b">
        <v>0</v>
      </c>
      <c r="J230" s="115" t="b">
        <v>0</v>
      </c>
      <c r="K230" s="152"/>
      <c r="L230" s="115"/>
      <c r="M230" s="115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11" t="s">
        <v>1001</v>
      </c>
      <c r="I231" s="115" t="b">
        <v>0</v>
      </c>
      <c r="J231" s="115" t="b">
        <v>0</v>
      </c>
      <c r="K231" s="152"/>
      <c r="L231" s="115"/>
      <c r="M231" s="115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11" t="s">
        <v>1001</v>
      </c>
      <c r="I232" s="115" t="b">
        <v>0</v>
      </c>
      <c r="J232" s="115" t="b">
        <v>0</v>
      </c>
      <c r="K232" s="152"/>
      <c r="L232" s="115"/>
      <c r="M232" s="115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11" t="s">
        <v>1001</v>
      </c>
      <c r="I233" s="115" t="b">
        <v>0</v>
      </c>
      <c r="J233" s="115" t="b">
        <v>0</v>
      </c>
      <c r="K233" s="152"/>
      <c r="L233" s="115"/>
      <c r="M233" s="115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11" t="s">
        <v>1001</v>
      </c>
      <c r="I234" s="115" t="b">
        <v>0</v>
      </c>
      <c r="J234" s="115" t="b">
        <v>0</v>
      </c>
      <c r="K234" s="152"/>
      <c r="L234" s="115"/>
      <c r="M234" s="115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11" t="s">
        <v>1001</v>
      </c>
      <c r="I235" s="115" t="b">
        <v>0</v>
      </c>
      <c r="J235" s="115" t="b">
        <v>0</v>
      </c>
      <c r="K235" s="152"/>
      <c r="L235" s="115"/>
      <c r="M235" s="115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11" t="s">
        <v>1001</v>
      </c>
      <c r="I236" s="115" t="b">
        <v>0</v>
      </c>
      <c r="J236" s="115" t="b">
        <v>0</v>
      </c>
      <c r="K236" s="152"/>
      <c r="L236" s="115"/>
      <c r="M236" s="115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11" t="s">
        <v>1001</v>
      </c>
      <c r="I237" s="115" t="b">
        <v>0</v>
      </c>
      <c r="J237" s="115" t="b">
        <v>0</v>
      </c>
      <c r="K237" s="152"/>
      <c r="L237" s="115"/>
      <c r="M237" s="115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11" t="s">
        <v>1001</v>
      </c>
      <c r="I238" s="115" t="b">
        <v>0</v>
      </c>
      <c r="J238" s="115" t="b">
        <v>0</v>
      </c>
      <c r="K238" s="152"/>
      <c r="L238" s="115"/>
      <c r="M238" s="115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11" t="s">
        <v>1001</v>
      </c>
      <c r="I239" s="115" t="b">
        <v>0</v>
      </c>
      <c r="J239" s="115" t="b">
        <v>0</v>
      </c>
      <c r="K239" s="152"/>
      <c r="L239" s="115"/>
      <c r="M239" s="115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11" t="s">
        <v>1001</v>
      </c>
      <c r="I240" s="115" t="b">
        <v>0</v>
      </c>
      <c r="J240" s="115" t="b">
        <v>0</v>
      </c>
      <c r="K240" s="152"/>
      <c r="L240" s="115"/>
      <c r="M240" s="115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11" t="s">
        <v>1001</v>
      </c>
      <c r="I241" s="115" t="b">
        <v>0</v>
      </c>
      <c r="J241" s="115" t="b">
        <v>0</v>
      </c>
      <c r="K241" s="152"/>
      <c r="L241" s="115"/>
      <c r="M241" s="115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11" t="s">
        <v>1001</v>
      </c>
      <c r="I242" s="115" t="b">
        <v>0</v>
      </c>
      <c r="J242" s="115" t="b">
        <v>0</v>
      </c>
      <c r="K242" s="152"/>
      <c r="L242" s="115"/>
      <c r="M242" s="115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11" t="s">
        <v>1001</v>
      </c>
      <c r="I243" s="115" t="b">
        <v>0</v>
      </c>
      <c r="J243" s="115" t="b">
        <v>0</v>
      </c>
      <c r="K243" s="152"/>
      <c r="L243" s="115"/>
      <c r="M243" s="115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11" t="s">
        <v>1001</v>
      </c>
      <c r="I244" s="115" t="b">
        <v>0</v>
      </c>
      <c r="J244" s="115" t="b">
        <v>0</v>
      </c>
      <c r="K244" s="152"/>
      <c r="L244" s="115"/>
      <c r="M244" s="115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11" t="s">
        <v>1001</v>
      </c>
      <c r="I245" s="115" t="b">
        <v>0</v>
      </c>
      <c r="J245" s="115" t="b">
        <v>0</v>
      </c>
      <c r="K245" s="152"/>
      <c r="L245" s="115"/>
      <c r="M245" s="115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11" t="s">
        <v>1001</v>
      </c>
      <c r="I246" s="115" t="b">
        <v>0</v>
      </c>
      <c r="J246" s="115" t="b">
        <v>0</v>
      </c>
      <c r="K246" s="152"/>
      <c r="L246" s="115"/>
      <c r="M246" s="115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11" t="s">
        <v>1001</v>
      </c>
      <c r="I247" s="115" t="b">
        <v>0</v>
      </c>
      <c r="J247" s="115" t="b">
        <v>0</v>
      </c>
      <c r="K247" s="152"/>
      <c r="L247" s="115"/>
      <c r="M247" s="115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11" t="s">
        <v>1001</v>
      </c>
      <c r="I248" s="115" t="b">
        <v>0</v>
      </c>
      <c r="J248" s="115" t="b">
        <v>0</v>
      </c>
      <c r="K248" s="152"/>
      <c r="L248" s="115"/>
      <c r="M248" s="115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11" t="s">
        <v>1001</v>
      </c>
      <c r="I249" s="115" t="b">
        <v>0</v>
      </c>
      <c r="J249" s="115" t="b">
        <v>0</v>
      </c>
      <c r="K249" s="152"/>
      <c r="L249" s="115"/>
      <c r="M249" s="115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11" t="s">
        <v>1001</v>
      </c>
      <c r="I250" s="115" t="b">
        <v>0</v>
      </c>
      <c r="J250" s="115" t="b">
        <v>0</v>
      </c>
      <c r="K250" s="152"/>
      <c r="L250" s="115"/>
      <c r="M250" s="115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11" t="s">
        <v>1001</v>
      </c>
      <c r="I251" s="115" t="b">
        <v>0</v>
      </c>
      <c r="J251" s="115" t="b">
        <v>0</v>
      </c>
      <c r="K251" s="152"/>
      <c r="L251" s="115"/>
      <c r="M251" s="115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11" t="s">
        <v>1001</v>
      </c>
      <c r="I252" s="115" t="b">
        <v>0</v>
      </c>
      <c r="J252" s="115" t="b">
        <v>0</v>
      </c>
      <c r="K252" s="152"/>
      <c r="L252" s="115"/>
      <c r="M252" s="115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11" t="s">
        <v>1001</v>
      </c>
      <c r="I253" s="115" t="b">
        <v>0</v>
      </c>
      <c r="J253" s="115" t="b">
        <v>0</v>
      </c>
      <c r="K253" s="152"/>
      <c r="L253" s="115"/>
      <c r="M253" s="115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11" t="s">
        <v>1001</v>
      </c>
      <c r="I254" s="115" t="b">
        <v>0</v>
      </c>
      <c r="J254" s="115" t="b">
        <v>0</v>
      </c>
      <c r="K254" s="152"/>
      <c r="L254" s="115"/>
      <c r="M254" s="115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11" t="s">
        <v>1001</v>
      </c>
      <c r="I255" s="115" t="b">
        <v>0</v>
      </c>
      <c r="J255" s="115" t="b">
        <v>0</v>
      </c>
      <c r="K255" s="152"/>
      <c r="L255" s="115"/>
      <c r="M255" s="115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11" t="s">
        <v>1001</v>
      </c>
      <c r="I256" s="115" t="b">
        <v>0</v>
      </c>
      <c r="J256" s="115" t="b">
        <v>0</v>
      </c>
      <c r="K256" s="152"/>
      <c r="L256" s="115"/>
      <c r="M256" s="115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11" t="s">
        <v>1001</v>
      </c>
      <c r="I257" s="115" t="b">
        <v>0</v>
      </c>
      <c r="J257" s="115" t="b">
        <v>0</v>
      </c>
      <c r="K257" s="152"/>
      <c r="L257" s="115"/>
      <c r="M257" s="115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11" t="s">
        <v>1001</v>
      </c>
      <c r="I258" s="115" t="b">
        <v>0</v>
      </c>
      <c r="J258" s="115" t="b">
        <v>0</v>
      </c>
      <c r="K258" s="152"/>
      <c r="L258" s="115"/>
      <c r="M258" s="115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11" t="s">
        <v>1001</v>
      </c>
      <c r="I259" s="115" t="b">
        <v>0</v>
      </c>
      <c r="J259" s="115" t="b">
        <v>0</v>
      </c>
      <c r="K259" s="152"/>
      <c r="L259" s="115"/>
      <c r="M259" s="115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11" t="s">
        <v>1001</v>
      </c>
      <c r="I260" s="115" t="b">
        <v>0</v>
      </c>
      <c r="J260" s="115" t="b">
        <v>0</v>
      </c>
      <c r="K260" s="152"/>
      <c r="L260" s="115"/>
      <c r="M260" s="115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11" t="s">
        <v>1001</v>
      </c>
      <c r="I261" s="115" t="b">
        <v>0</v>
      </c>
      <c r="J261" s="115" t="b">
        <v>0</v>
      </c>
      <c r="K261" s="152"/>
      <c r="L261" s="115"/>
      <c r="M261" s="115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11" t="s">
        <v>1001</v>
      </c>
      <c r="I262" s="115" t="b">
        <v>0</v>
      </c>
      <c r="J262" s="115" t="b">
        <v>0</v>
      </c>
      <c r="K262" s="152"/>
      <c r="L262" s="115"/>
      <c r="M262" s="115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11" t="s">
        <v>1001</v>
      </c>
      <c r="I263" s="115" t="b">
        <v>0</v>
      </c>
      <c r="J263" s="115" t="b">
        <v>0</v>
      </c>
      <c r="K263" s="152"/>
      <c r="L263" s="115"/>
      <c r="M263" s="115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11" t="s">
        <v>1001</v>
      </c>
      <c r="I264" s="115" t="b">
        <v>0</v>
      </c>
      <c r="J264" s="115" t="b">
        <v>0</v>
      </c>
      <c r="K264" s="152"/>
      <c r="L264" s="115"/>
      <c r="M264" s="115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11" t="s">
        <v>1001</v>
      </c>
      <c r="I265" s="115" t="b">
        <v>0</v>
      </c>
      <c r="J265" s="115" t="b">
        <v>0</v>
      </c>
      <c r="K265" s="152"/>
      <c r="L265" s="115"/>
      <c r="M265" s="115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11" t="s">
        <v>1001</v>
      </c>
      <c r="I266" s="115" t="b">
        <v>0</v>
      </c>
      <c r="J266" s="115" t="b">
        <v>0</v>
      </c>
      <c r="K266" s="152"/>
      <c r="L266" s="115"/>
      <c r="M266" s="115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11" t="s">
        <v>1001</v>
      </c>
      <c r="I267" s="115" t="b">
        <v>0</v>
      </c>
      <c r="J267" s="115" t="b">
        <v>0</v>
      </c>
      <c r="K267" s="152"/>
      <c r="L267" s="115"/>
      <c r="M267" s="115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11" t="s">
        <v>1001</v>
      </c>
      <c r="I268" s="115" t="b">
        <v>0</v>
      </c>
      <c r="J268" s="115" t="b">
        <v>0</v>
      </c>
      <c r="K268" s="152"/>
      <c r="L268" s="115"/>
      <c r="M268" s="115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11" t="s">
        <v>1001</v>
      </c>
      <c r="I269" s="115" t="b">
        <v>0</v>
      </c>
      <c r="J269" s="115" t="b">
        <v>0</v>
      </c>
      <c r="K269" s="152"/>
      <c r="L269" s="115"/>
      <c r="M269" s="115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11" t="s">
        <v>1001</v>
      </c>
      <c r="I270" s="115" t="b">
        <v>0</v>
      </c>
      <c r="J270" s="115" t="b">
        <v>0</v>
      </c>
      <c r="K270" s="152"/>
      <c r="L270" s="115"/>
      <c r="M270" s="115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11" t="s">
        <v>1001</v>
      </c>
      <c r="I271" s="115" t="b">
        <v>0</v>
      </c>
      <c r="J271" s="115" t="b">
        <v>0</v>
      </c>
      <c r="K271" s="152"/>
      <c r="L271" s="115"/>
      <c r="M271" s="115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11" t="s">
        <v>1001</v>
      </c>
      <c r="I272" s="115" t="b">
        <v>0</v>
      </c>
      <c r="J272" s="115" t="b">
        <v>0</v>
      </c>
      <c r="K272" s="152"/>
      <c r="L272" s="115"/>
      <c r="M272" s="115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11" t="s">
        <v>1001</v>
      </c>
      <c r="I273" s="115" t="b">
        <v>0</v>
      </c>
      <c r="J273" s="115" t="b">
        <v>0</v>
      </c>
      <c r="K273" s="152"/>
      <c r="L273" s="115"/>
      <c r="M273" s="115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11" t="s">
        <v>1001</v>
      </c>
      <c r="I274" s="115" t="b">
        <v>0</v>
      </c>
      <c r="J274" s="115" t="b">
        <v>0</v>
      </c>
      <c r="K274" s="152"/>
      <c r="L274" s="115"/>
      <c r="M274" s="115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11" t="s">
        <v>1001</v>
      </c>
      <c r="I275" s="115" t="b">
        <v>0</v>
      </c>
      <c r="J275" s="115" t="b">
        <v>0</v>
      </c>
      <c r="K275" s="152"/>
      <c r="L275" s="115"/>
      <c r="M275" s="115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11" t="s">
        <v>1001</v>
      </c>
      <c r="I276" s="115" t="b">
        <v>0</v>
      </c>
      <c r="J276" s="115" t="b">
        <v>0</v>
      </c>
      <c r="K276" s="152"/>
      <c r="L276" s="115"/>
      <c r="M276" s="115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11" t="s">
        <v>1001</v>
      </c>
      <c r="I277" s="115" t="b">
        <v>0</v>
      </c>
      <c r="J277" s="115" t="b">
        <v>0</v>
      </c>
      <c r="K277" s="152"/>
      <c r="L277" s="115"/>
      <c r="M277" s="115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11" t="s">
        <v>1001</v>
      </c>
      <c r="I278" s="115" t="b">
        <v>0</v>
      </c>
      <c r="J278" s="115" t="b">
        <v>0</v>
      </c>
      <c r="K278" s="152"/>
      <c r="L278" s="115"/>
      <c r="M278" s="115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11" t="s">
        <v>1001</v>
      </c>
      <c r="I279" s="115" t="b">
        <v>0</v>
      </c>
      <c r="J279" s="115" t="b">
        <v>0</v>
      </c>
      <c r="K279" s="152"/>
      <c r="L279" s="115"/>
      <c r="M279" s="115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11" t="s">
        <v>1001</v>
      </c>
      <c r="I280" s="115" t="b">
        <v>0</v>
      </c>
      <c r="J280" s="115" t="b">
        <v>0</v>
      </c>
      <c r="K280" s="152"/>
      <c r="L280" s="115"/>
      <c r="M280" s="115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11" t="s">
        <v>1001</v>
      </c>
      <c r="I281" s="115" t="b">
        <v>0</v>
      </c>
      <c r="J281" s="115" t="b">
        <v>0</v>
      </c>
      <c r="K281" s="152"/>
      <c r="L281" s="115"/>
      <c r="M281" s="115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11" t="s">
        <v>1001</v>
      </c>
      <c r="I282" s="115" t="b">
        <v>0</v>
      </c>
      <c r="J282" s="115" t="b">
        <v>0</v>
      </c>
      <c r="K282" s="152"/>
      <c r="L282" s="115"/>
      <c r="M282" s="115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11" t="s">
        <v>1001</v>
      </c>
      <c r="I283" s="115" t="b">
        <v>0</v>
      </c>
      <c r="J283" s="115" t="b">
        <v>0</v>
      </c>
      <c r="K283" s="152"/>
      <c r="L283" s="115"/>
      <c r="M283" s="115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11" t="s">
        <v>1001</v>
      </c>
      <c r="I284" s="115" t="b">
        <v>0</v>
      </c>
      <c r="J284" s="115" t="b">
        <v>0</v>
      </c>
      <c r="K284" s="152"/>
      <c r="L284" s="115"/>
      <c r="M284" s="115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11" t="s">
        <v>1001</v>
      </c>
      <c r="I285" s="115" t="b">
        <v>0</v>
      </c>
      <c r="J285" s="115" t="b">
        <v>0</v>
      </c>
      <c r="K285" s="152"/>
      <c r="L285" s="115"/>
      <c r="M285" s="115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11" t="s">
        <v>1001</v>
      </c>
      <c r="I286" s="115" t="b">
        <v>0</v>
      </c>
      <c r="J286" s="115" t="b">
        <v>0</v>
      </c>
      <c r="K286" s="152"/>
      <c r="L286" s="115"/>
      <c r="M286" s="115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11" t="s">
        <v>1001</v>
      </c>
      <c r="I287" s="115" t="b">
        <v>0</v>
      </c>
      <c r="J287" s="115" t="b">
        <v>0</v>
      </c>
      <c r="K287" s="152"/>
      <c r="L287" s="115"/>
      <c r="M287" s="115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11" t="s">
        <v>1001</v>
      </c>
      <c r="I288" s="115" t="b">
        <v>0</v>
      </c>
      <c r="J288" s="115" t="b">
        <v>0</v>
      </c>
      <c r="K288" s="152"/>
      <c r="L288" s="115"/>
      <c r="M288" s="115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11" t="s">
        <v>1001</v>
      </c>
      <c r="I289" s="115" t="b">
        <v>0</v>
      </c>
      <c r="J289" s="115" t="b">
        <v>0</v>
      </c>
      <c r="K289" s="152"/>
      <c r="L289" s="115"/>
      <c r="M289" s="115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11" t="s">
        <v>1001</v>
      </c>
      <c r="I290" s="115" t="b">
        <v>0</v>
      </c>
      <c r="J290" s="115" t="b">
        <v>0</v>
      </c>
      <c r="K290" s="152"/>
      <c r="L290" s="115"/>
      <c r="M290" s="115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11" t="s">
        <v>1001</v>
      </c>
      <c r="I291" s="115" t="b">
        <v>0</v>
      </c>
      <c r="J291" s="115" t="b">
        <v>0</v>
      </c>
      <c r="K291" s="152"/>
      <c r="L291" s="115"/>
      <c r="M291" s="115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11" t="s">
        <v>1001</v>
      </c>
      <c r="I292" s="115" t="b">
        <v>0</v>
      </c>
      <c r="J292" s="115" t="b">
        <v>0</v>
      </c>
      <c r="K292" s="152"/>
      <c r="L292" s="115"/>
      <c r="M292" s="115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11" t="s">
        <v>1001</v>
      </c>
      <c r="I293" s="115" t="b">
        <v>0</v>
      </c>
      <c r="J293" s="115" t="b">
        <v>0</v>
      </c>
      <c r="K293" s="152"/>
      <c r="L293" s="115"/>
      <c r="M293" s="115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11" t="s">
        <v>1001</v>
      </c>
      <c r="I294" s="115" t="b">
        <v>0</v>
      </c>
      <c r="J294" s="115" t="b">
        <v>0</v>
      </c>
      <c r="K294" s="152"/>
      <c r="L294" s="115"/>
      <c r="M294" s="115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11" t="s">
        <v>1001</v>
      </c>
      <c r="I295" s="115" t="b">
        <v>0</v>
      </c>
      <c r="J295" s="115" t="b">
        <v>0</v>
      </c>
      <c r="K295" s="152"/>
      <c r="L295" s="115"/>
      <c r="M295" s="115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11" t="s">
        <v>1001</v>
      </c>
      <c r="I296" s="115" t="b">
        <v>0</v>
      </c>
      <c r="J296" s="115" t="b">
        <v>0</v>
      </c>
      <c r="K296" s="152"/>
      <c r="L296" s="115"/>
      <c r="M296" s="115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11" t="s">
        <v>1001</v>
      </c>
      <c r="I297" s="115" t="b">
        <v>0</v>
      </c>
      <c r="J297" s="115" t="b">
        <v>0</v>
      </c>
      <c r="K297" s="152"/>
      <c r="L297" s="115"/>
      <c r="M297" s="115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11" t="s">
        <v>1001</v>
      </c>
      <c r="I298" s="115" t="b">
        <v>0</v>
      </c>
      <c r="J298" s="115" t="b">
        <v>0</v>
      </c>
      <c r="K298" s="152"/>
      <c r="L298" s="115"/>
      <c r="M298" s="115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94"/>
      <c r="H299" s="11" t="s">
        <v>1001</v>
      </c>
      <c r="I299" s="115" t="b">
        <v>0</v>
      </c>
      <c r="J299" s="115" t="b">
        <v>0</v>
      </c>
      <c r="K299" s="152"/>
      <c r="L299" s="115"/>
      <c r="M299" s="115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94"/>
      <c r="H300" s="11" t="s">
        <v>1001</v>
      </c>
      <c r="I300" s="115" t="b">
        <v>0</v>
      </c>
      <c r="J300" s="115" t="b">
        <v>0</v>
      </c>
      <c r="K300" s="152"/>
      <c r="L300" s="115"/>
      <c r="M300" s="115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94"/>
      <c r="H301" s="11" t="s">
        <v>1001</v>
      </c>
      <c r="I301" s="115" t="b">
        <v>0</v>
      </c>
      <c r="J301" s="115" t="b">
        <v>0</v>
      </c>
      <c r="K301" s="152"/>
      <c r="L301" s="115"/>
      <c r="M301" s="115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94"/>
      <c r="H302" s="94"/>
      <c r="I302" s="94"/>
      <c r="J302" s="94"/>
      <c r="K302" s="178"/>
      <c r="L302" s="94"/>
      <c r="M302" s="94"/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94"/>
      <c r="H303" s="94"/>
      <c r="I303" s="94"/>
      <c r="J303" s="94"/>
      <c r="K303" s="178"/>
      <c r="L303" s="94"/>
      <c r="M303" s="94"/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94"/>
      <c r="H304" s="94"/>
      <c r="I304" s="94"/>
      <c r="J304" s="94"/>
      <c r="K304" s="178"/>
      <c r="L304" s="94"/>
      <c r="M304" s="94"/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94"/>
      <c r="H305" s="94"/>
      <c r="I305" s="94"/>
      <c r="J305" s="94"/>
      <c r="K305" s="178"/>
      <c r="L305" s="94"/>
      <c r="M305" s="94"/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94"/>
      <c r="H306" s="94"/>
      <c r="I306" s="94"/>
      <c r="J306" s="94"/>
      <c r="K306" s="178"/>
      <c r="L306" s="94"/>
      <c r="M306" s="94"/>
    </row>
    <row r="307">
      <c r="A307" s="94"/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G307" s="94"/>
      <c r="H307" s="94"/>
      <c r="I307" s="94"/>
      <c r="J307" s="94"/>
      <c r="K307" s="178"/>
      <c r="L307" s="94"/>
      <c r="M307" s="94"/>
    </row>
    <row r="308">
      <c r="A308" s="94"/>
      <c r="B308" s="109" t="str">
        <f>VLOOKUP($A308,ANAGRAFICA!$B$1:$G$306,2,FALSE)</f>
        <v>#N/A</v>
      </c>
      <c r="C308" s="109" t="str">
        <f>VLOOKUP($A308,ANAGRAFICA!$B$1:$G$306,3,FALSE)</f>
        <v>#N/A</v>
      </c>
      <c r="D308" s="109" t="str">
        <f>VLOOKUP($A308,ANAGRAFICA!$B$1:$G$306,4,FALSE)</f>
        <v>#N/A</v>
      </c>
      <c r="E308" s="109" t="str">
        <f>VLOOKUP($A308,ANAGRAFICA!$B$1:$G$306,5,FALSE)</f>
        <v>#N/A</v>
      </c>
      <c r="F308" s="109" t="str">
        <f>VLOOKUP($A308,ANAGRAFICA!$B$1:$G$306,6,FALSE)</f>
        <v>#N/A</v>
      </c>
      <c r="G308" s="94"/>
      <c r="H308" s="94"/>
      <c r="I308" s="94"/>
      <c r="J308" s="94"/>
      <c r="K308" s="178"/>
      <c r="L308" s="94"/>
      <c r="M308" s="94"/>
    </row>
    <row r="309">
      <c r="G309" s="94"/>
      <c r="H309" s="94"/>
      <c r="I309" s="94"/>
      <c r="J309" s="94"/>
      <c r="K309" s="178"/>
      <c r="L309" s="94"/>
      <c r="M309" s="94"/>
    </row>
    <row r="310">
      <c r="G310" s="94"/>
      <c r="H310" s="94"/>
      <c r="I310" s="94"/>
      <c r="J310" s="94"/>
      <c r="K310" s="178"/>
      <c r="L310" s="94"/>
      <c r="M310" s="94"/>
    </row>
    <row r="311">
      <c r="G311" s="94"/>
      <c r="H311" s="94"/>
      <c r="I311" s="94"/>
      <c r="J311" s="94"/>
      <c r="K311" s="178"/>
      <c r="L311" s="94"/>
      <c r="M311" s="94"/>
    </row>
    <row r="312">
      <c r="G312" s="94"/>
      <c r="H312" s="94"/>
      <c r="I312" s="94"/>
      <c r="J312" s="94"/>
      <c r="K312" s="178"/>
      <c r="L312" s="94"/>
      <c r="M312" s="94"/>
    </row>
    <row r="313">
      <c r="G313" s="94"/>
      <c r="H313" s="94"/>
      <c r="I313" s="94"/>
      <c r="J313" s="94"/>
      <c r="K313" s="178"/>
      <c r="L313" s="94"/>
      <c r="M313" s="94"/>
    </row>
    <row r="314">
      <c r="G314" s="94"/>
      <c r="H314" s="94"/>
      <c r="I314" s="94"/>
      <c r="J314" s="94"/>
      <c r="K314" s="178"/>
      <c r="L314" s="94"/>
      <c r="M314" s="94"/>
    </row>
    <row r="315">
      <c r="G315" s="94"/>
      <c r="H315" s="94"/>
      <c r="I315" s="94"/>
      <c r="J315" s="94"/>
      <c r="K315" s="178"/>
      <c r="L315" s="94"/>
      <c r="M315" s="94"/>
    </row>
    <row r="316">
      <c r="G316" s="94"/>
      <c r="H316" s="94"/>
      <c r="I316" s="94"/>
      <c r="J316" s="94"/>
      <c r="K316" s="178"/>
      <c r="L316" s="94"/>
      <c r="M316" s="94"/>
    </row>
    <row r="317">
      <c r="G317" s="94"/>
      <c r="H317" s="94"/>
      <c r="I317" s="94"/>
      <c r="J317" s="94"/>
      <c r="K317" s="178"/>
      <c r="L317" s="94"/>
      <c r="M317" s="94"/>
    </row>
    <row r="318">
      <c r="G318" s="94"/>
      <c r="H318" s="94"/>
      <c r="I318" s="94"/>
      <c r="J318" s="94"/>
      <c r="K318" s="178"/>
      <c r="L318" s="94"/>
      <c r="M318" s="94"/>
    </row>
    <row r="319">
      <c r="G319" s="94"/>
      <c r="H319" s="94"/>
      <c r="I319" s="94"/>
      <c r="J319" s="94"/>
      <c r="K319" s="178"/>
      <c r="L319" s="94"/>
      <c r="M319" s="94"/>
    </row>
    <row r="320">
      <c r="G320" s="94"/>
      <c r="H320" s="94"/>
      <c r="I320" s="94"/>
      <c r="J320" s="94"/>
      <c r="K320" s="178"/>
      <c r="L320" s="94"/>
      <c r="M320" s="94"/>
    </row>
    <row r="321">
      <c r="G321" s="94"/>
      <c r="H321" s="94"/>
      <c r="I321" s="94"/>
      <c r="J321" s="94"/>
      <c r="K321" s="178"/>
      <c r="L321" s="94"/>
      <c r="M321" s="94"/>
    </row>
    <row r="322">
      <c r="G322" s="94"/>
      <c r="H322" s="94"/>
      <c r="I322" s="94"/>
      <c r="J322" s="94"/>
      <c r="K322" s="178"/>
      <c r="L322" s="94"/>
      <c r="M322" s="94"/>
    </row>
    <row r="323">
      <c r="G323" s="94"/>
      <c r="H323" s="94"/>
      <c r="I323" s="94"/>
      <c r="J323" s="94"/>
      <c r="K323" s="178"/>
      <c r="L323" s="94"/>
      <c r="M323" s="94"/>
    </row>
    <row r="324">
      <c r="G324" s="94"/>
      <c r="H324" s="94"/>
      <c r="I324" s="94"/>
      <c r="J324" s="94"/>
      <c r="K324" s="178"/>
      <c r="L324" s="94"/>
      <c r="M324" s="94"/>
    </row>
    <row r="325">
      <c r="G325" s="94"/>
      <c r="H325" s="94"/>
      <c r="I325" s="94"/>
      <c r="J325" s="94"/>
      <c r="K325" s="178"/>
      <c r="L325" s="94"/>
      <c r="M325" s="94"/>
    </row>
    <row r="326">
      <c r="G326" s="94"/>
      <c r="H326" s="94"/>
      <c r="I326" s="94"/>
      <c r="J326" s="94"/>
      <c r="K326" s="178"/>
      <c r="L326" s="94"/>
      <c r="M326" s="94"/>
    </row>
    <row r="327">
      <c r="G327" s="94"/>
      <c r="H327" s="94"/>
      <c r="I327" s="94"/>
      <c r="J327" s="94"/>
      <c r="K327" s="178"/>
      <c r="L327" s="94"/>
      <c r="M327" s="94"/>
    </row>
    <row r="328">
      <c r="G328" s="94"/>
      <c r="H328" s="94"/>
      <c r="I328" s="94"/>
      <c r="J328" s="94"/>
      <c r="K328" s="178"/>
      <c r="L328" s="94"/>
      <c r="M328" s="94"/>
    </row>
    <row r="329">
      <c r="G329" s="94"/>
      <c r="H329" s="94"/>
      <c r="I329" s="94"/>
      <c r="J329" s="94"/>
      <c r="K329" s="178"/>
      <c r="L329" s="94"/>
      <c r="M329" s="94"/>
    </row>
    <row r="330">
      <c r="G330" s="94"/>
      <c r="H330" s="94"/>
      <c r="I330" s="94"/>
      <c r="J330" s="94"/>
      <c r="K330" s="178"/>
      <c r="L330" s="94"/>
      <c r="M330" s="94"/>
    </row>
    <row r="331">
      <c r="G331" s="94"/>
      <c r="H331" s="94"/>
      <c r="I331" s="94"/>
      <c r="J331" s="94"/>
      <c r="K331" s="178"/>
      <c r="L331" s="94"/>
      <c r="M331" s="94"/>
    </row>
    <row r="332">
      <c r="G332" s="94"/>
      <c r="H332" s="94"/>
      <c r="I332" s="94"/>
      <c r="J332" s="94"/>
      <c r="K332" s="178"/>
      <c r="L332" s="94"/>
      <c r="M332" s="94"/>
    </row>
    <row r="333">
      <c r="G333" s="94"/>
      <c r="H333" s="94"/>
      <c r="I333" s="94"/>
      <c r="J333" s="94"/>
      <c r="K333" s="178"/>
      <c r="L333" s="94"/>
      <c r="M333" s="94"/>
    </row>
    <row r="334">
      <c r="G334" s="94"/>
      <c r="H334" s="94"/>
      <c r="I334" s="94"/>
      <c r="J334" s="94"/>
      <c r="K334" s="178"/>
      <c r="L334" s="94"/>
      <c r="M334" s="94"/>
    </row>
    <row r="335">
      <c r="G335" s="94"/>
      <c r="H335" s="94"/>
      <c r="I335" s="94"/>
      <c r="J335" s="94"/>
      <c r="K335" s="178"/>
      <c r="L335" s="94"/>
      <c r="M335" s="94"/>
    </row>
    <row r="336">
      <c r="G336" s="94"/>
      <c r="H336" s="94"/>
      <c r="I336" s="94"/>
      <c r="J336" s="94"/>
      <c r="K336" s="178"/>
      <c r="L336" s="94"/>
      <c r="M336" s="94"/>
    </row>
    <row r="337">
      <c r="G337" s="94"/>
      <c r="H337" s="94"/>
      <c r="I337" s="94"/>
      <c r="J337" s="94"/>
      <c r="K337" s="178"/>
      <c r="L337" s="94"/>
      <c r="M337" s="94"/>
    </row>
    <row r="338">
      <c r="G338" s="94"/>
      <c r="H338" s="94"/>
      <c r="I338" s="94"/>
      <c r="J338" s="94"/>
      <c r="K338" s="178"/>
      <c r="L338" s="94"/>
      <c r="M338" s="94"/>
    </row>
    <row r="339">
      <c r="G339" s="94"/>
      <c r="H339" s="94"/>
      <c r="I339" s="94"/>
      <c r="J339" s="94"/>
      <c r="K339" s="178"/>
      <c r="L339" s="94"/>
      <c r="M339" s="94"/>
    </row>
    <row r="340">
      <c r="G340" s="94"/>
      <c r="H340" s="94"/>
      <c r="I340" s="94"/>
      <c r="J340" s="94"/>
      <c r="K340" s="178"/>
      <c r="L340" s="94"/>
      <c r="M340" s="94"/>
    </row>
    <row r="341">
      <c r="G341" s="94"/>
      <c r="H341" s="94"/>
      <c r="I341" s="94"/>
      <c r="J341" s="94"/>
      <c r="K341" s="178"/>
      <c r="L341" s="94"/>
      <c r="M341" s="94"/>
    </row>
    <row r="342">
      <c r="G342" s="94"/>
      <c r="H342" s="94"/>
      <c r="I342" s="94"/>
      <c r="J342" s="94"/>
      <c r="K342" s="178"/>
      <c r="L342" s="94"/>
      <c r="M342" s="94"/>
    </row>
    <row r="343">
      <c r="G343" s="94"/>
      <c r="H343" s="94"/>
      <c r="I343" s="94"/>
      <c r="J343" s="94"/>
      <c r="K343" s="178"/>
      <c r="L343" s="94"/>
      <c r="M343" s="94"/>
    </row>
    <row r="344">
      <c r="G344" s="94"/>
      <c r="H344" s="94"/>
      <c r="I344" s="94"/>
      <c r="J344" s="94"/>
      <c r="K344" s="178"/>
      <c r="L344" s="94"/>
      <c r="M344" s="94"/>
    </row>
    <row r="345">
      <c r="G345" s="94"/>
      <c r="H345" s="94"/>
      <c r="I345" s="94"/>
      <c r="J345" s="94"/>
      <c r="K345" s="178"/>
      <c r="L345" s="94"/>
      <c r="M345" s="94"/>
    </row>
    <row r="346">
      <c r="G346" s="94"/>
      <c r="H346" s="94"/>
      <c r="I346" s="94"/>
      <c r="J346" s="94"/>
      <c r="K346" s="178"/>
      <c r="L346" s="94"/>
      <c r="M346" s="94"/>
    </row>
    <row r="347">
      <c r="G347" s="94"/>
      <c r="H347" s="94"/>
      <c r="I347" s="94"/>
      <c r="J347" s="94"/>
      <c r="K347" s="178"/>
      <c r="L347" s="94"/>
      <c r="M347" s="94"/>
    </row>
    <row r="348">
      <c r="G348" s="94"/>
      <c r="H348" s="94"/>
      <c r="I348" s="94"/>
      <c r="J348" s="94"/>
      <c r="K348" s="178"/>
      <c r="L348" s="94"/>
      <c r="M348" s="94"/>
    </row>
    <row r="349">
      <c r="G349" s="94"/>
      <c r="H349" s="94"/>
      <c r="I349" s="94"/>
      <c r="J349" s="94"/>
      <c r="K349" s="178"/>
      <c r="L349" s="94"/>
      <c r="M349" s="94"/>
    </row>
    <row r="350">
      <c r="G350" s="94"/>
      <c r="H350" s="94"/>
      <c r="I350" s="94"/>
      <c r="J350" s="94"/>
      <c r="K350" s="178"/>
      <c r="L350" s="94"/>
      <c r="M350" s="94"/>
    </row>
    <row r="351">
      <c r="G351" s="94"/>
      <c r="H351" s="94"/>
      <c r="I351" s="94"/>
      <c r="J351" s="94"/>
      <c r="K351" s="178"/>
      <c r="L351" s="94"/>
      <c r="M351" s="94"/>
    </row>
    <row r="352">
      <c r="G352" s="94"/>
      <c r="H352" s="94"/>
      <c r="I352" s="94"/>
      <c r="J352" s="94"/>
      <c r="K352" s="178"/>
      <c r="L352" s="94"/>
      <c r="M352" s="94"/>
    </row>
    <row r="353">
      <c r="G353" s="94"/>
      <c r="H353" s="94"/>
      <c r="I353" s="94"/>
      <c r="J353" s="94"/>
      <c r="K353" s="178"/>
      <c r="L353" s="94"/>
      <c r="M353" s="94"/>
    </row>
    <row r="354">
      <c r="G354" s="94"/>
      <c r="H354" s="94"/>
      <c r="I354" s="94"/>
      <c r="J354" s="94"/>
      <c r="K354" s="178"/>
      <c r="L354" s="94"/>
      <c r="M354" s="94"/>
    </row>
    <row r="355">
      <c r="G355" s="94"/>
      <c r="H355" s="94"/>
      <c r="I355" s="94"/>
      <c r="J355" s="94"/>
      <c r="K355" s="178"/>
      <c r="L355" s="94"/>
      <c r="M355" s="94"/>
    </row>
    <row r="356">
      <c r="G356" s="94"/>
      <c r="H356" s="94"/>
      <c r="I356" s="94"/>
      <c r="J356" s="94"/>
      <c r="K356" s="178"/>
      <c r="L356" s="94"/>
      <c r="M356" s="94"/>
    </row>
    <row r="357">
      <c r="G357" s="94"/>
      <c r="H357" s="94"/>
      <c r="I357" s="94"/>
      <c r="J357" s="94"/>
      <c r="K357" s="178"/>
      <c r="L357" s="94"/>
      <c r="M357" s="94"/>
    </row>
    <row r="358">
      <c r="G358" s="94"/>
      <c r="H358" s="94"/>
      <c r="I358" s="94"/>
      <c r="J358" s="94"/>
      <c r="K358" s="178"/>
      <c r="L358" s="94"/>
      <c r="M358" s="94"/>
    </row>
    <row r="359">
      <c r="G359" s="94"/>
      <c r="H359" s="94"/>
      <c r="I359" s="94"/>
      <c r="J359" s="94"/>
      <c r="K359" s="178"/>
      <c r="L359" s="94"/>
      <c r="M359" s="94"/>
    </row>
    <row r="360">
      <c r="G360" s="94"/>
      <c r="H360" s="94"/>
      <c r="I360" s="94"/>
      <c r="J360" s="94"/>
      <c r="K360" s="178"/>
      <c r="L360" s="94"/>
      <c r="M360" s="94"/>
    </row>
    <row r="361">
      <c r="G361" s="94"/>
      <c r="H361" s="94"/>
      <c r="I361" s="94"/>
      <c r="J361" s="94"/>
      <c r="K361" s="178"/>
      <c r="L361" s="94"/>
      <c r="M361" s="94"/>
    </row>
    <row r="362">
      <c r="G362" s="94"/>
      <c r="H362" s="94"/>
      <c r="I362" s="94"/>
      <c r="J362" s="94"/>
      <c r="K362" s="178"/>
      <c r="L362" s="94"/>
      <c r="M362" s="94"/>
    </row>
    <row r="363">
      <c r="G363" s="94"/>
      <c r="H363" s="94"/>
      <c r="I363" s="94"/>
      <c r="J363" s="94"/>
      <c r="K363" s="178"/>
      <c r="L363" s="94"/>
      <c r="M363" s="94"/>
    </row>
    <row r="364">
      <c r="G364" s="94"/>
      <c r="H364" s="94"/>
      <c r="I364" s="94"/>
      <c r="J364" s="94"/>
      <c r="K364" s="178"/>
      <c r="L364" s="94"/>
      <c r="M364" s="94"/>
    </row>
    <row r="365">
      <c r="G365" s="94"/>
      <c r="H365" s="94"/>
      <c r="I365" s="94"/>
      <c r="J365" s="94"/>
      <c r="K365" s="178"/>
      <c r="L365" s="94"/>
      <c r="M365" s="94"/>
    </row>
    <row r="366">
      <c r="G366" s="94"/>
      <c r="H366" s="94"/>
      <c r="I366" s="94"/>
      <c r="J366" s="94"/>
      <c r="K366" s="178"/>
      <c r="L366" s="94"/>
      <c r="M366" s="94"/>
    </row>
    <row r="367">
      <c r="G367" s="94"/>
      <c r="H367" s="94"/>
      <c r="I367" s="94"/>
      <c r="J367" s="94"/>
      <c r="K367" s="178"/>
      <c r="L367" s="94"/>
      <c r="M367" s="94"/>
    </row>
    <row r="368">
      <c r="G368" s="94"/>
      <c r="H368" s="94"/>
      <c r="I368" s="94"/>
      <c r="J368" s="94"/>
      <c r="K368" s="178"/>
      <c r="L368" s="94"/>
      <c r="M368" s="94"/>
    </row>
    <row r="369">
      <c r="G369" s="94"/>
      <c r="H369" s="94"/>
      <c r="I369" s="94"/>
      <c r="J369" s="94"/>
      <c r="K369" s="178"/>
      <c r="L369" s="94"/>
      <c r="M369" s="94"/>
    </row>
    <row r="370">
      <c r="G370" s="94"/>
      <c r="H370" s="94"/>
      <c r="I370" s="94"/>
      <c r="J370" s="94"/>
      <c r="K370" s="178"/>
      <c r="L370" s="94"/>
      <c r="M370" s="94"/>
    </row>
    <row r="371">
      <c r="G371" s="94"/>
      <c r="H371" s="94"/>
      <c r="I371" s="94"/>
      <c r="J371" s="94"/>
      <c r="K371" s="178"/>
      <c r="L371" s="94"/>
      <c r="M371" s="94"/>
    </row>
    <row r="372">
      <c r="G372" s="94"/>
      <c r="H372" s="94"/>
      <c r="I372" s="94"/>
      <c r="J372" s="94"/>
      <c r="K372" s="178"/>
      <c r="L372" s="94"/>
      <c r="M372" s="94"/>
    </row>
    <row r="373">
      <c r="G373" s="94"/>
      <c r="H373" s="94"/>
      <c r="I373" s="94"/>
      <c r="J373" s="94"/>
      <c r="K373" s="178"/>
      <c r="L373" s="94"/>
      <c r="M373" s="94"/>
    </row>
    <row r="374">
      <c r="G374" s="94"/>
      <c r="H374" s="94"/>
      <c r="I374" s="94"/>
      <c r="J374" s="94"/>
      <c r="K374" s="178"/>
      <c r="L374" s="94"/>
      <c r="M374" s="94"/>
    </row>
    <row r="375">
      <c r="G375" s="94"/>
      <c r="H375" s="94"/>
      <c r="I375" s="94"/>
      <c r="J375" s="94"/>
      <c r="K375" s="178"/>
      <c r="L375" s="94"/>
      <c r="M375" s="94"/>
    </row>
    <row r="376">
      <c r="G376" s="94"/>
      <c r="H376" s="94"/>
      <c r="I376" s="94"/>
      <c r="J376" s="94"/>
      <c r="K376" s="178"/>
      <c r="L376" s="94"/>
      <c r="M376" s="94"/>
    </row>
    <row r="377">
      <c r="G377" s="94"/>
      <c r="H377" s="94"/>
      <c r="I377" s="94"/>
      <c r="J377" s="94"/>
      <c r="K377" s="178"/>
      <c r="L377" s="94"/>
      <c r="M377" s="94"/>
    </row>
    <row r="378">
      <c r="G378" s="94"/>
      <c r="H378" s="94"/>
      <c r="I378" s="94"/>
      <c r="J378" s="94"/>
      <c r="K378" s="178"/>
      <c r="L378" s="94"/>
      <c r="M378" s="94"/>
    </row>
    <row r="379">
      <c r="G379" s="94"/>
      <c r="H379" s="94"/>
      <c r="I379" s="94"/>
      <c r="J379" s="94"/>
      <c r="K379" s="178"/>
      <c r="L379" s="94"/>
      <c r="M379" s="94"/>
    </row>
    <row r="380">
      <c r="G380" s="94"/>
      <c r="H380" s="94"/>
      <c r="I380" s="94"/>
      <c r="J380" s="94"/>
      <c r="K380" s="178"/>
      <c r="L380" s="94"/>
      <c r="M380" s="94"/>
    </row>
    <row r="381">
      <c r="G381" s="94"/>
      <c r="H381" s="94"/>
      <c r="I381" s="94"/>
      <c r="J381" s="94"/>
      <c r="K381" s="178"/>
      <c r="L381" s="94"/>
      <c r="M381" s="94"/>
    </row>
    <row r="382">
      <c r="G382" s="94"/>
      <c r="H382" s="94"/>
      <c r="I382" s="94"/>
      <c r="J382" s="94"/>
      <c r="K382" s="178"/>
      <c r="L382" s="94"/>
      <c r="M382" s="94"/>
    </row>
    <row r="383">
      <c r="G383" s="94"/>
      <c r="H383" s="94"/>
      <c r="I383" s="94"/>
      <c r="J383" s="94"/>
      <c r="K383" s="178"/>
      <c r="L383" s="94"/>
      <c r="M383" s="94"/>
    </row>
    <row r="384">
      <c r="G384" s="94"/>
      <c r="H384" s="94"/>
      <c r="I384" s="94"/>
      <c r="J384" s="94"/>
      <c r="K384" s="178"/>
      <c r="L384" s="94"/>
      <c r="M384" s="94"/>
    </row>
    <row r="385">
      <c r="G385" s="94"/>
      <c r="H385" s="94"/>
      <c r="I385" s="94"/>
      <c r="J385" s="94"/>
      <c r="K385" s="178"/>
      <c r="L385" s="94"/>
      <c r="M385" s="94"/>
    </row>
    <row r="386">
      <c r="G386" s="94"/>
      <c r="H386" s="94"/>
      <c r="I386" s="94"/>
      <c r="J386" s="94"/>
      <c r="K386" s="178"/>
      <c r="L386" s="94"/>
      <c r="M386" s="94"/>
    </row>
    <row r="387">
      <c r="G387" s="94"/>
      <c r="H387" s="94"/>
      <c r="I387" s="94"/>
      <c r="J387" s="94"/>
      <c r="K387" s="178"/>
      <c r="L387" s="94"/>
      <c r="M387" s="94"/>
    </row>
    <row r="388">
      <c r="G388" s="94"/>
      <c r="H388" s="94"/>
      <c r="I388" s="94"/>
      <c r="J388" s="94"/>
      <c r="K388" s="178"/>
      <c r="L388" s="94"/>
      <c r="M388" s="94"/>
    </row>
    <row r="389">
      <c r="G389" s="94"/>
      <c r="H389" s="94"/>
      <c r="I389" s="94"/>
      <c r="J389" s="94"/>
      <c r="K389" s="178"/>
      <c r="L389" s="94"/>
      <c r="M389" s="94"/>
    </row>
    <row r="390">
      <c r="G390" s="94"/>
      <c r="H390" s="94"/>
      <c r="I390" s="94"/>
      <c r="J390" s="94"/>
      <c r="K390" s="178"/>
      <c r="L390" s="94"/>
      <c r="M390" s="94"/>
    </row>
    <row r="391">
      <c r="G391" s="94"/>
      <c r="H391" s="94"/>
      <c r="I391" s="94"/>
      <c r="J391" s="94"/>
      <c r="K391" s="178"/>
      <c r="L391" s="94"/>
      <c r="M391" s="94"/>
    </row>
    <row r="392">
      <c r="G392" s="94"/>
      <c r="H392" s="94"/>
      <c r="I392" s="94"/>
      <c r="J392" s="94"/>
      <c r="K392" s="178"/>
      <c r="L392" s="94"/>
      <c r="M392" s="94"/>
    </row>
    <row r="393">
      <c r="G393" s="94"/>
      <c r="H393" s="94"/>
      <c r="I393" s="94"/>
      <c r="J393" s="94"/>
      <c r="K393" s="178"/>
      <c r="L393" s="94"/>
      <c r="M393" s="94"/>
    </row>
    <row r="394">
      <c r="G394" s="94"/>
      <c r="H394" s="94"/>
      <c r="I394" s="94"/>
      <c r="J394" s="94"/>
      <c r="K394" s="178"/>
      <c r="L394" s="94"/>
      <c r="M394" s="94"/>
    </row>
    <row r="395">
      <c r="G395" s="94"/>
      <c r="H395" s="94"/>
      <c r="I395" s="94"/>
      <c r="J395" s="94"/>
      <c r="K395" s="178"/>
      <c r="L395" s="94"/>
      <c r="M395" s="94"/>
    </row>
    <row r="396">
      <c r="G396" s="94"/>
      <c r="H396" s="94"/>
      <c r="I396" s="94"/>
      <c r="J396" s="94"/>
      <c r="K396" s="178"/>
      <c r="L396" s="94"/>
      <c r="M396" s="94"/>
    </row>
    <row r="397">
      <c r="G397" s="94"/>
      <c r="H397" s="94"/>
      <c r="I397" s="94"/>
      <c r="J397" s="94"/>
      <c r="K397" s="178"/>
      <c r="L397" s="94"/>
      <c r="M397" s="94"/>
    </row>
    <row r="398">
      <c r="G398" s="94"/>
      <c r="H398" s="94"/>
      <c r="I398" s="94"/>
      <c r="J398" s="94"/>
      <c r="K398" s="178"/>
      <c r="L398" s="94"/>
      <c r="M398" s="94"/>
    </row>
    <row r="399">
      <c r="G399" s="94"/>
      <c r="H399" s="94"/>
      <c r="I399" s="94"/>
      <c r="J399" s="94"/>
      <c r="K399" s="178"/>
      <c r="L399" s="94"/>
      <c r="M399" s="94"/>
    </row>
    <row r="400">
      <c r="G400" s="94"/>
      <c r="H400" s="94"/>
      <c r="I400" s="94"/>
      <c r="J400" s="94"/>
      <c r="K400" s="178"/>
      <c r="L400" s="94"/>
      <c r="M400" s="94"/>
    </row>
    <row r="401">
      <c r="G401" s="94"/>
      <c r="H401" s="94"/>
      <c r="I401" s="94"/>
      <c r="J401" s="94"/>
      <c r="K401" s="178"/>
      <c r="L401" s="94"/>
      <c r="M401" s="94"/>
    </row>
    <row r="402">
      <c r="G402" s="94"/>
      <c r="H402" s="94"/>
      <c r="I402" s="94"/>
      <c r="J402" s="94"/>
      <c r="K402" s="178"/>
      <c r="L402" s="94"/>
      <c r="M402" s="94"/>
    </row>
    <row r="403">
      <c r="G403" s="94"/>
      <c r="H403" s="94"/>
      <c r="I403" s="94"/>
      <c r="J403" s="94"/>
      <c r="K403" s="178"/>
      <c r="L403" s="94"/>
      <c r="M403" s="94"/>
    </row>
    <row r="404">
      <c r="G404" s="94"/>
      <c r="H404" s="94"/>
      <c r="I404" s="94"/>
      <c r="J404" s="94"/>
      <c r="K404" s="178"/>
      <c r="L404" s="94"/>
      <c r="M404" s="94"/>
    </row>
    <row r="405">
      <c r="G405" s="94"/>
      <c r="H405" s="94"/>
      <c r="I405" s="94"/>
      <c r="J405" s="94"/>
      <c r="K405" s="178"/>
      <c r="L405" s="94"/>
      <c r="M405" s="94"/>
    </row>
    <row r="406">
      <c r="G406" s="94"/>
      <c r="H406" s="94"/>
      <c r="I406" s="94"/>
      <c r="J406" s="94"/>
      <c r="K406" s="178"/>
      <c r="L406" s="94"/>
      <c r="M406" s="94"/>
    </row>
    <row r="407">
      <c r="G407" s="94"/>
      <c r="H407" s="94"/>
      <c r="I407" s="94"/>
      <c r="J407" s="94"/>
      <c r="K407" s="178"/>
      <c r="L407" s="94"/>
      <c r="M407" s="94"/>
    </row>
    <row r="408">
      <c r="G408" s="94"/>
      <c r="H408" s="94"/>
      <c r="I408" s="94"/>
      <c r="J408" s="94"/>
      <c r="K408" s="178"/>
      <c r="L408" s="94"/>
      <c r="M408" s="94"/>
    </row>
    <row r="409">
      <c r="G409" s="94"/>
      <c r="H409" s="94"/>
      <c r="I409" s="94"/>
      <c r="J409" s="94"/>
      <c r="K409" s="178"/>
      <c r="L409" s="94"/>
      <c r="M409" s="94"/>
    </row>
    <row r="410">
      <c r="G410" s="94"/>
      <c r="H410" s="94"/>
      <c r="I410" s="94"/>
      <c r="J410" s="94"/>
      <c r="K410" s="178"/>
      <c r="L410" s="94"/>
      <c r="M410" s="94"/>
    </row>
    <row r="411">
      <c r="G411" s="94"/>
      <c r="H411" s="94"/>
      <c r="I411" s="94"/>
      <c r="J411" s="94"/>
      <c r="K411" s="178"/>
      <c r="L411" s="94"/>
      <c r="M411" s="94"/>
    </row>
    <row r="412">
      <c r="G412" s="94"/>
      <c r="H412" s="94"/>
      <c r="I412" s="94"/>
      <c r="J412" s="94"/>
      <c r="K412" s="178"/>
      <c r="L412" s="94"/>
      <c r="M412" s="94"/>
    </row>
    <row r="413">
      <c r="G413" s="94"/>
      <c r="H413" s="94"/>
      <c r="I413" s="94"/>
      <c r="J413" s="94"/>
      <c r="K413" s="178"/>
      <c r="L413" s="94"/>
      <c r="M413" s="94"/>
    </row>
    <row r="414">
      <c r="G414" s="94"/>
      <c r="H414" s="94"/>
      <c r="I414" s="94"/>
      <c r="J414" s="94"/>
      <c r="K414" s="178"/>
      <c r="L414" s="94"/>
      <c r="M414" s="94"/>
    </row>
    <row r="415">
      <c r="G415" s="94"/>
      <c r="H415" s="94"/>
      <c r="I415" s="94"/>
      <c r="J415" s="94"/>
      <c r="K415" s="178"/>
      <c r="L415" s="94"/>
      <c r="M415" s="94"/>
    </row>
    <row r="416">
      <c r="G416" s="94"/>
      <c r="H416" s="94"/>
      <c r="I416" s="94"/>
      <c r="J416" s="94"/>
      <c r="K416" s="178"/>
      <c r="L416" s="94"/>
      <c r="M416" s="94"/>
    </row>
    <row r="417">
      <c r="G417" s="94"/>
      <c r="H417" s="94"/>
      <c r="I417" s="94"/>
      <c r="J417" s="94"/>
      <c r="K417" s="178"/>
      <c r="L417" s="94"/>
      <c r="M417" s="94"/>
    </row>
    <row r="418">
      <c r="G418" s="94"/>
      <c r="H418" s="94"/>
      <c r="I418" s="94"/>
      <c r="J418" s="94"/>
      <c r="K418" s="178"/>
      <c r="L418" s="94"/>
      <c r="M418" s="94"/>
    </row>
    <row r="419">
      <c r="G419" s="94"/>
      <c r="H419" s="94"/>
      <c r="I419" s="94"/>
      <c r="J419" s="94"/>
      <c r="K419" s="178"/>
      <c r="L419" s="94"/>
      <c r="M419" s="94"/>
    </row>
    <row r="420">
      <c r="G420" s="94"/>
      <c r="H420" s="94"/>
      <c r="I420" s="94"/>
      <c r="J420" s="94"/>
      <c r="K420" s="178"/>
      <c r="L420" s="94"/>
      <c r="M420" s="94"/>
    </row>
    <row r="421">
      <c r="G421" s="94"/>
      <c r="H421" s="94"/>
      <c r="I421" s="94"/>
      <c r="J421" s="94"/>
      <c r="K421" s="178"/>
      <c r="L421" s="94"/>
      <c r="M421" s="94"/>
    </row>
    <row r="422">
      <c r="G422" s="94"/>
      <c r="H422" s="94"/>
      <c r="I422" s="94"/>
      <c r="J422" s="94"/>
      <c r="K422" s="178"/>
      <c r="L422" s="94"/>
      <c r="M422" s="94"/>
    </row>
    <row r="423">
      <c r="G423" s="94"/>
      <c r="H423" s="94"/>
      <c r="I423" s="94"/>
      <c r="J423" s="94"/>
      <c r="K423" s="178"/>
      <c r="L423" s="94"/>
      <c r="M423" s="94"/>
    </row>
    <row r="424">
      <c r="G424" s="94"/>
      <c r="H424" s="94"/>
      <c r="I424" s="94"/>
      <c r="J424" s="94"/>
      <c r="K424" s="178"/>
      <c r="L424" s="94"/>
      <c r="M424" s="94"/>
    </row>
    <row r="425">
      <c r="G425" s="94"/>
      <c r="H425" s="94"/>
      <c r="I425" s="94"/>
      <c r="J425" s="94"/>
      <c r="K425" s="178"/>
      <c r="L425" s="94"/>
      <c r="M425" s="94"/>
    </row>
    <row r="426">
      <c r="G426" s="94"/>
      <c r="H426" s="94"/>
      <c r="I426" s="94"/>
      <c r="J426" s="94"/>
      <c r="K426" s="178"/>
      <c r="L426" s="94"/>
      <c r="M426" s="94"/>
    </row>
    <row r="427">
      <c r="G427" s="94"/>
      <c r="H427" s="94"/>
      <c r="I427" s="94"/>
      <c r="J427" s="94"/>
      <c r="K427" s="178"/>
      <c r="L427" s="94"/>
      <c r="M427" s="94"/>
    </row>
    <row r="428">
      <c r="G428" s="94"/>
      <c r="H428" s="94"/>
      <c r="I428" s="94"/>
      <c r="J428" s="94"/>
      <c r="K428" s="178"/>
      <c r="L428" s="94"/>
      <c r="M428" s="94"/>
    </row>
    <row r="429">
      <c r="G429" s="94"/>
      <c r="H429" s="94"/>
      <c r="I429" s="94"/>
      <c r="J429" s="94"/>
      <c r="K429" s="178"/>
      <c r="L429" s="94"/>
      <c r="M429" s="94"/>
    </row>
    <row r="430">
      <c r="G430" s="94"/>
      <c r="H430" s="94"/>
      <c r="I430" s="94"/>
      <c r="J430" s="94"/>
      <c r="K430" s="178"/>
      <c r="L430" s="94"/>
      <c r="M430" s="94"/>
    </row>
    <row r="431">
      <c r="G431" s="94"/>
      <c r="H431" s="94"/>
      <c r="I431" s="94"/>
      <c r="J431" s="94"/>
      <c r="K431" s="178"/>
      <c r="L431" s="94"/>
      <c r="M431" s="94"/>
    </row>
    <row r="432">
      <c r="G432" s="94"/>
      <c r="H432" s="94"/>
      <c r="I432" s="94"/>
      <c r="J432" s="94"/>
      <c r="K432" s="178"/>
      <c r="L432" s="94"/>
      <c r="M432" s="94"/>
    </row>
    <row r="433">
      <c r="G433" s="94"/>
      <c r="H433" s="94"/>
      <c r="I433" s="94"/>
      <c r="J433" s="94"/>
      <c r="K433" s="178"/>
      <c r="L433" s="94"/>
      <c r="M433" s="94"/>
    </row>
    <row r="434">
      <c r="G434" s="94"/>
      <c r="H434" s="94"/>
      <c r="I434" s="94"/>
      <c r="J434" s="94"/>
      <c r="K434" s="178"/>
      <c r="L434" s="94"/>
      <c r="M434" s="94"/>
    </row>
    <row r="435">
      <c r="G435" s="94"/>
      <c r="H435" s="94"/>
      <c r="I435" s="94"/>
      <c r="J435" s="94"/>
      <c r="K435" s="178"/>
      <c r="L435" s="94"/>
      <c r="M435" s="94"/>
    </row>
    <row r="436">
      <c r="G436" s="94"/>
      <c r="H436" s="94"/>
      <c r="I436" s="94"/>
      <c r="J436" s="94"/>
      <c r="K436" s="178"/>
      <c r="L436" s="94"/>
      <c r="M436" s="94"/>
    </row>
    <row r="437">
      <c r="G437" s="94"/>
      <c r="H437" s="94"/>
      <c r="I437" s="94"/>
      <c r="J437" s="94"/>
      <c r="K437" s="178"/>
      <c r="L437" s="94"/>
      <c r="M437" s="94"/>
    </row>
    <row r="438">
      <c r="G438" s="94"/>
      <c r="H438" s="94"/>
      <c r="I438" s="94"/>
      <c r="J438" s="94"/>
      <c r="K438" s="178"/>
      <c r="L438" s="94"/>
      <c r="M438" s="94"/>
    </row>
    <row r="439">
      <c r="G439" s="94"/>
      <c r="H439" s="94"/>
      <c r="I439" s="94"/>
      <c r="J439" s="94"/>
      <c r="K439" s="178"/>
      <c r="L439" s="94"/>
      <c r="M439" s="94"/>
    </row>
    <row r="440">
      <c r="G440" s="94"/>
      <c r="H440" s="94"/>
      <c r="I440" s="94"/>
      <c r="J440" s="94"/>
      <c r="K440" s="178"/>
      <c r="L440" s="94"/>
      <c r="M440" s="94"/>
    </row>
    <row r="441">
      <c r="G441" s="94"/>
      <c r="H441" s="94"/>
      <c r="I441" s="94"/>
      <c r="J441" s="94"/>
      <c r="K441" s="178"/>
      <c r="L441" s="94"/>
      <c r="M441" s="94"/>
    </row>
    <row r="442">
      <c r="G442" s="94"/>
      <c r="H442" s="94"/>
      <c r="I442" s="94"/>
      <c r="J442" s="94"/>
      <c r="K442" s="178"/>
      <c r="L442" s="94"/>
      <c r="M442" s="94"/>
    </row>
    <row r="443">
      <c r="G443" s="94"/>
      <c r="H443" s="94"/>
      <c r="I443" s="94"/>
      <c r="J443" s="94"/>
      <c r="K443" s="178"/>
      <c r="L443" s="94"/>
      <c r="M443" s="94"/>
    </row>
    <row r="444">
      <c r="G444" s="94"/>
      <c r="H444" s="94"/>
      <c r="I444" s="94"/>
      <c r="J444" s="94"/>
      <c r="K444" s="178"/>
      <c r="L444" s="94"/>
      <c r="M444" s="94"/>
    </row>
    <row r="445">
      <c r="G445" s="94"/>
      <c r="H445" s="94"/>
      <c r="I445" s="94"/>
      <c r="J445" s="94"/>
      <c r="K445" s="178"/>
      <c r="L445" s="94"/>
      <c r="M445" s="94"/>
    </row>
    <row r="446">
      <c r="G446" s="94"/>
      <c r="H446" s="94"/>
      <c r="I446" s="94"/>
      <c r="J446" s="94"/>
      <c r="K446" s="178"/>
      <c r="L446" s="94"/>
      <c r="M446" s="94"/>
    </row>
    <row r="447">
      <c r="G447" s="94"/>
      <c r="H447" s="94"/>
      <c r="I447" s="94"/>
      <c r="J447" s="94"/>
      <c r="K447" s="178"/>
      <c r="L447" s="94"/>
      <c r="M447" s="94"/>
    </row>
    <row r="448">
      <c r="G448" s="94"/>
      <c r="H448" s="94"/>
      <c r="I448" s="94"/>
      <c r="J448" s="94"/>
      <c r="K448" s="178"/>
      <c r="L448" s="94"/>
      <c r="M448" s="94"/>
    </row>
    <row r="449">
      <c r="G449" s="94"/>
      <c r="H449" s="94"/>
      <c r="I449" s="94"/>
      <c r="J449" s="94"/>
      <c r="K449" s="178"/>
      <c r="L449" s="94"/>
      <c r="M449" s="94"/>
    </row>
    <row r="450">
      <c r="G450" s="94"/>
      <c r="H450" s="94"/>
      <c r="I450" s="94"/>
      <c r="J450" s="94"/>
      <c r="K450" s="178"/>
      <c r="L450" s="94"/>
      <c r="M450" s="94"/>
    </row>
    <row r="451">
      <c r="G451" s="94"/>
      <c r="H451" s="94"/>
      <c r="I451" s="94"/>
      <c r="J451" s="94"/>
      <c r="K451" s="178"/>
      <c r="L451" s="94"/>
      <c r="M451" s="94"/>
    </row>
    <row r="452">
      <c r="G452" s="94"/>
      <c r="H452" s="94"/>
      <c r="I452" s="94"/>
      <c r="J452" s="94"/>
      <c r="K452" s="178"/>
      <c r="L452" s="94"/>
      <c r="M452" s="94"/>
    </row>
    <row r="453">
      <c r="G453" s="94"/>
      <c r="H453" s="94"/>
      <c r="I453" s="94"/>
      <c r="J453" s="94"/>
      <c r="K453" s="178"/>
      <c r="L453" s="94"/>
      <c r="M453" s="94"/>
    </row>
    <row r="454">
      <c r="G454" s="94"/>
      <c r="H454" s="94"/>
      <c r="I454" s="94"/>
      <c r="J454" s="94"/>
      <c r="K454" s="178"/>
      <c r="L454" s="94"/>
      <c r="M454" s="94"/>
    </row>
    <row r="455">
      <c r="G455" s="94"/>
      <c r="H455" s="94"/>
      <c r="I455" s="94"/>
      <c r="J455" s="94"/>
      <c r="K455" s="178"/>
      <c r="L455" s="94"/>
      <c r="M455" s="94"/>
    </row>
    <row r="456">
      <c r="G456" s="94"/>
      <c r="H456" s="94"/>
      <c r="I456" s="94"/>
      <c r="J456" s="94"/>
      <c r="K456" s="178"/>
      <c r="L456" s="94"/>
      <c r="M456" s="94"/>
    </row>
    <row r="457">
      <c r="G457" s="94"/>
      <c r="H457" s="94"/>
      <c r="I457" s="94"/>
      <c r="J457" s="94"/>
      <c r="K457" s="178"/>
      <c r="L457" s="94"/>
      <c r="M457" s="94"/>
    </row>
    <row r="458">
      <c r="G458" s="94"/>
      <c r="H458" s="94"/>
      <c r="I458" s="94"/>
      <c r="J458" s="94"/>
      <c r="K458" s="178"/>
      <c r="L458" s="94"/>
      <c r="M458" s="94"/>
    </row>
    <row r="459">
      <c r="G459" s="94"/>
      <c r="H459" s="94"/>
      <c r="I459" s="94"/>
      <c r="J459" s="94"/>
      <c r="K459" s="178"/>
      <c r="L459" s="94"/>
      <c r="M459" s="94"/>
    </row>
    <row r="460">
      <c r="G460" s="94"/>
      <c r="H460" s="94"/>
      <c r="I460" s="94"/>
      <c r="J460" s="94"/>
      <c r="K460" s="178"/>
      <c r="L460" s="94"/>
      <c r="M460" s="94"/>
    </row>
    <row r="461">
      <c r="G461" s="94"/>
      <c r="H461" s="94"/>
      <c r="I461" s="94"/>
      <c r="J461" s="94"/>
      <c r="K461" s="178"/>
      <c r="L461" s="94"/>
      <c r="M461" s="94"/>
    </row>
    <row r="462">
      <c r="G462" s="94"/>
      <c r="H462" s="94"/>
      <c r="I462" s="94"/>
      <c r="J462" s="94"/>
      <c r="K462" s="178"/>
      <c r="L462" s="94"/>
      <c r="M462" s="94"/>
    </row>
    <row r="463">
      <c r="G463" s="94"/>
      <c r="H463" s="94"/>
      <c r="I463" s="94"/>
      <c r="J463" s="94"/>
      <c r="K463" s="178"/>
      <c r="L463" s="94"/>
      <c r="M463" s="94"/>
    </row>
    <row r="464">
      <c r="G464" s="94"/>
      <c r="H464" s="94"/>
      <c r="I464" s="94"/>
      <c r="J464" s="94"/>
      <c r="K464" s="178"/>
      <c r="L464" s="94"/>
      <c r="M464" s="94"/>
    </row>
    <row r="465">
      <c r="G465" s="94"/>
      <c r="H465" s="94"/>
      <c r="I465" s="94"/>
      <c r="J465" s="94"/>
      <c r="K465" s="178"/>
      <c r="L465" s="94"/>
      <c r="M465" s="94"/>
    </row>
    <row r="466">
      <c r="G466" s="94"/>
      <c r="H466" s="94"/>
      <c r="I466" s="94"/>
      <c r="J466" s="94"/>
      <c r="K466" s="178"/>
      <c r="L466" s="94"/>
      <c r="M466" s="94"/>
    </row>
    <row r="467">
      <c r="G467" s="94"/>
      <c r="H467" s="94"/>
      <c r="I467" s="94"/>
      <c r="J467" s="94"/>
      <c r="K467" s="178"/>
      <c r="L467" s="94"/>
      <c r="M467" s="94"/>
    </row>
    <row r="468">
      <c r="G468" s="94"/>
      <c r="H468" s="94"/>
      <c r="I468" s="94"/>
      <c r="J468" s="94"/>
      <c r="K468" s="178"/>
      <c r="L468" s="94"/>
      <c r="M468" s="94"/>
    </row>
    <row r="469">
      <c r="G469" s="94"/>
      <c r="H469" s="94"/>
      <c r="I469" s="94"/>
      <c r="J469" s="94"/>
      <c r="K469" s="178"/>
      <c r="L469" s="94"/>
      <c r="M469" s="94"/>
    </row>
    <row r="470">
      <c r="G470" s="94"/>
      <c r="H470" s="94"/>
      <c r="I470" s="94"/>
      <c r="J470" s="94"/>
      <c r="K470" s="178"/>
      <c r="L470" s="94"/>
      <c r="M470" s="94"/>
    </row>
    <row r="471">
      <c r="G471" s="94"/>
      <c r="H471" s="94"/>
      <c r="I471" s="94"/>
      <c r="J471" s="94"/>
      <c r="K471" s="178"/>
      <c r="L471" s="94"/>
      <c r="M471" s="94"/>
    </row>
    <row r="472">
      <c r="G472" s="94"/>
      <c r="H472" s="94"/>
      <c r="I472" s="94"/>
      <c r="J472" s="94"/>
      <c r="K472" s="178"/>
      <c r="L472" s="94"/>
      <c r="M472" s="94"/>
    </row>
    <row r="473">
      <c r="G473" s="94"/>
      <c r="H473" s="94"/>
      <c r="I473" s="94"/>
      <c r="J473" s="94"/>
      <c r="K473" s="178"/>
      <c r="L473" s="94"/>
      <c r="M473" s="94"/>
    </row>
    <row r="474">
      <c r="G474" s="94"/>
      <c r="H474" s="94"/>
      <c r="I474" s="94"/>
      <c r="J474" s="94"/>
      <c r="K474" s="178"/>
      <c r="L474" s="94"/>
      <c r="M474" s="94"/>
    </row>
    <row r="475">
      <c r="G475" s="94"/>
      <c r="H475" s="94"/>
      <c r="I475" s="94"/>
      <c r="J475" s="94"/>
      <c r="K475" s="178"/>
      <c r="L475" s="94"/>
      <c r="M475" s="94"/>
    </row>
    <row r="476">
      <c r="G476" s="94"/>
      <c r="H476" s="94"/>
      <c r="I476" s="94"/>
      <c r="J476" s="94"/>
      <c r="K476" s="178"/>
      <c r="L476" s="94"/>
      <c r="M476" s="94"/>
    </row>
    <row r="477">
      <c r="G477" s="94"/>
      <c r="H477" s="94"/>
      <c r="I477" s="94"/>
      <c r="J477" s="94"/>
      <c r="K477" s="178"/>
      <c r="L477" s="94"/>
      <c r="M477" s="94"/>
    </row>
    <row r="478">
      <c r="G478" s="94"/>
      <c r="H478" s="94"/>
      <c r="I478" s="94"/>
      <c r="J478" s="94"/>
      <c r="K478" s="178"/>
      <c r="L478" s="94"/>
      <c r="M478" s="94"/>
    </row>
    <row r="479">
      <c r="G479" s="94"/>
      <c r="H479" s="94"/>
      <c r="I479" s="94"/>
      <c r="J479" s="94"/>
      <c r="K479" s="178"/>
      <c r="L479" s="94"/>
      <c r="M479" s="94"/>
    </row>
    <row r="480">
      <c r="G480" s="94"/>
      <c r="H480" s="94"/>
      <c r="I480" s="94"/>
      <c r="J480" s="94"/>
      <c r="K480" s="178"/>
      <c r="L480" s="94"/>
      <c r="M480" s="94"/>
    </row>
    <row r="481">
      <c r="G481" s="94"/>
      <c r="H481" s="94"/>
      <c r="I481" s="94"/>
      <c r="J481" s="94"/>
      <c r="K481" s="178"/>
      <c r="L481" s="94"/>
      <c r="M481" s="94"/>
    </row>
    <row r="482">
      <c r="G482" s="94"/>
      <c r="H482" s="94"/>
      <c r="I482" s="94"/>
      <c r="J482" s="94"/>
      <c r="K482" s="178"/>
      <c r="L482" s="94"/>
      <c r="M482" s="94"/>
    </row>
    <row r="483">
      <c r="G483" s="94"/>
      <c r="H483" s="94"/>
      <c r="I483" s="94"/>
      <c r="J483" s="94"/>
      <c r="K483" s="178"/>
      <c r="L483" s="94"/>
      <c r="M483" s="94"/>
    </row>
    <row r="484">
      <c r="G484" s="94"/>
      <c r="H484" s="94"/>
      <c r="I484" s="94"/>
      <c r="J484" s="94"/>
      <c r="K484" s="178"/>
      <c r="L484" s="94"/>
      <c r="M484" s="94"/>
    </row>
    <row r="485">
      <c r="G485" s="94"/>
      <c r="H485" s="94"/>
      <c r="I485" s="94"/>
      <c r="J485" s="94"/>
      <c r="K485" s="178"/>
      <c r="L485" s="94"/>
      <c r="M485" s="94"/>
    </row>
    <row r="486">
      <c r="G486" s="94"/>
      <c r="H486" s="94"/>
      <c r="I486" s="94"/>
      <c r="J486" s="94"/>
      <c r="K486" s="178"/>
      <c r="L486" s="94"/>
      <c r="M486" s="94"/>
    </row>
    <row r="487">
      <c r="G487" s="94"/>
      <c r="H487" s="94"/>
      <c r="I487" s="94"/>
      <c r="J487" s="94"/>
      <c r="K487" s="178"/>
      <c r="L487" s="94"/>
      <c r="M487" s="94"/>
    </row>
    <row r="488">
      <c r="G488" s="94"/>
      <c r="H488" s="94"/>
      <c r="I488" s="94"/>
      <c r="J488" s="94"/>
      <c r="K488" s="178"/>
      <c r="L488" s="94"/>
      <c r="M488" s="94"/>
    </row>
    <row r="489">
      <c r="G489" s="94"/>
      <c r="H489" s="94"/>
      <c r="I489" s="94"/>
      <c r="J489" s="94"/>
      <c r="K489" s="178"/>
      <c r="L489" s="94"/>
      <c r="M489" s="94"/>
    </row>
    <row r="490">
      <c r="G490" s="94"/>
      <c r="H490" s="94"/>
      <c r="I490" s="94"/>
      <c r="J490" s="94"/>
      <c r="K490" s="178"/>
      <c r="L490" s="94"/>
      <c r="M490" s="94"/>
    </row>
    <row r="491">
      <c r="G491" s="94"/>
      <c r="H491" s="94"/>
      <c r="I491" s="94"/>
      <c r="J491" s="94"/>
      <c r="K491" s="178"/>
      <c r="L491" s="94"/>
      <c r="M491" s="94"/>
    </row>
    <row r="492">
      <c r="G492" s="94"/>
      <c r="H492" s="94"/>
      <c r="I492" s="94"/>
      <c r="J492" s="94"/>
      <c r="K492" s="178"/>
      <c r="L492" s="94"/>
      <c r="M492" s="94"/>
    </row>
    <row r="493">
      <c r="G493" s="94"/>
      <c r="H493" s="94"/>
      <c r="I493" s="94"/>
      <c r="J493" s="94"/>
      <c r="K493" s="178"/>
      <c r="L493" s="94"/>
      <c r="M493" s="94"/>
    </row>
    <row r="494">
      <c r="G494" s="94"/>
      <c r="H494" s="94"/>
      <c r="I494" s="94"/>
      <c r="J494" s="94"/>
      <c r="K494" s="178"/>
      <c r="L494" s="94"/>
      <c r="M494" s="94"/>
    </row>
    <row r="495">
      <c r="G495" s="94"/>
      <c r="H495" s="94"/>
      <c r="I495" s="94"/>
      <c r="J495" s="94"/>
      <c r="K495" s="178"/>
      <c r="L495" s="94"/>
      <c r="M495" s="94"/>
    </row>
    <row r="496">
      <c r="G496" s="94"/>
      <c r="H496" s="94"/>
      <c r="I496" s="94"/>
      <c r="J496" s="94"/>
      <c r="K496" s="178"/>
      <c r="L496" s="94"/>
      <c r="M496" s="94"/>
    </row>
    <row r="497">
      <c r="G497" s="94"/>
      <c r="H497" s="94"/>
      <c r="I497" s="94"/>
      <c r="J497" s="94"/>
      <c r="K497" s="178"/>
      <c r="L497" s="94"/>
      <c r="M497" s="94"/>
    </row>
    <row r="498">
      <c r="G498" s="94"/>
      <c r="H498" s="94"/>
      <c r="I498" s="94"/>
      <c r="J498" s="94"/>
      <c r="K498" s="178"/>
      <c r="L498" s="94"/>
      <c r="M498" s="94"/>
    </row>
    <row r="499">
      <c r="G499" s="94"/>
      <c r="H499" s="94"/>
      <c r="I499" s="94"/>
      <c r="J499" s="94"/>
      <c r="K499" s="178"/>
      <c r="L499" s="94"/>
      <c r="M499" s="94"/>
    </row>
    <row r="500">
      <c r="G500" s="94"/>
      <c r="H500" s="94"/>
      <c r="I500" s="94"/>
      <c r="J500" s="94"/>
      <c r="K500" s="178"/>
      <c r="L500" s="94"/>
      <c r="M500" s="94"/>
    </row>
    <row r="501">
      <c r="G501" s="94"/>
      <c r="H501" s="94"/>
      <c r="I501" s="94"/>
      <c r="J501" s="94"/>
      <c r="K501" s="178"/>
      <c r="L501" s="94"/>
      <c r="M501" s="94"/>
    </row>
    <row r="502">
      <c r="G502" s="94"/>
      <c r="H502" s="94"/>
      <c r="I502" s="94"/>
      <c r="J502" s="94"/>
      <c r="K502" s="178"/>
      <c r="L502" s="94"/>
      <c r="M502" s="94"/>
    </row>
    <row r="503">
      <c r="G503" s="94"/>
      <c r="H503" s="94"/>
      <c r="I503" s="94"/>
      <c r="J503" s="94"/>
      <c r="K503" s="178"/>
      <c r="L503" s="94"/>
      <c r="M503" s="94"/>
    </row>
    <row r="504">
      <c r="G504" s="94"/>
      <c r="H504" s="94"/>
      <c r="I504" s="94"/>
      <c r="J504" s="94"/>
      <c r="K504" s="178"/>
      <c r="L504" s="94"/>
      <c r="M504" s="94"/>
    </row>
    <row r="505">
      <c r="G505" s="94"/>
      <c r="H505" s="94"/>
      <c r="I505" s="94"/>
      <c r="J505" s="94"/>
      <c r="K505" s="178"/>
      <c r="L505" s="94"/>
      <c r="M505" s="94"/>
    </row>
    <row r="506">
      <c r="G506" s="94"/>
      <c r="H506" s="94"/>
      <c r="I506" s="94"/>
      <c r="J506" s="94"/>
      <c r="K506" s="178"/>
      <c r="L506" s="94"/>
      <c r="M506" s="94"/>
    </row>
    <row r="507">
      <c r="G507" s="94"/>
      <c r="H507" s="94"/>
      <c r="I507" s="94"/>
      <c r="J507" s="94"/>
      <c r="K507" s="178"/>
      <c r="L507" s="94"/>
      <c r="M507" s="94"/>
    </row>
    <row r="508">
      <c r="G508" s="94"/>
      <c r="H508" s="94"/>
      <c r="I508" s="94"/>
      <c r="J508" s="94"/>
      <c r="K508" s="178"/>
      <c r="L508" s="94"/>
      <c r="M508" s="94"/>
    </row>
    <row r="509">
      <c r="G509" s="94"/>
      <c r="H509" s="94"/>
      <c r="I509" s="94"/>
      <c r="J509" s="94"/>
      <c r="K509" s="178"/>
      <c r="L509" s="94"/>
      <c r="M509" s="94"/>
    </row>
    <row r="510">
      <c r="G510" s="94"/>
      <c r="H510" s="94"/>
      <c r="I510" s="94"/>
      <c r="J510" s="94"/>
      <c r="K510" s="178"/>
      <c r="L510" s="94"/>
      <c r="M510" s="94"/>
    </row>
    <row r="511">
      <c r="G511" s="94"/>
      <c r="H511" s="94"/>
      <c r="I511" s="94"/>
      <c r="J511" s="94"/>
      <c r="K511" s="178"/>
      <c r="L511" s="94"/>
      <c r="M511" s="94"/>
    </row>
    <row r="512">
      <c r="G512" s="94"/>
      <c r="H512" s="94"/>
      <c r="I512" s="94"/>
      <c r="J512" s="94"/>
      <c r="K512" s="178"/>
      <c r="L512" s="94"/>
      <c r="M512" s="94"/>
    </row>
    <row r="513">
      <c r="G513" s="94"/>
      <c r="H513" s="94"/>
      <c r="I513" s="94"/>
      <c r="J513" s="94"/>
      <c r="K513" s="178"/>
      <c r="L513" s="94"/>
      <c r="M513" s="94"/>
    </row>
    <row r="514">
      <c r="G514" s="94"/>
      <c r="H514" s="94"/>
      <c r="I514" s="94"/>
      <c r="J514" s="94"/>
      <c r="K514" s="178"/>
      <c r="L514" s="94"/>
      <c r="M514" s="94"/>
    </row>
    <row r="515">
      <c r="G515" s="94"/>
      <c r="H515" s="94"/>
      <c r="I515" s="94"/>
      <c r="J515" s="94"/>
      <c r="K515" s="178"/>
      <c r="L515" s="94"/>
      <c r="M515" s="94"/>
    </row>
    <row r="516">
      <c r="G516" s="94"/>
      <c r="H516" s="94"/>
      <c r="I516" s="94"/>
      <c r="J516" s="94"/>
      <c r="K516" s="178"/>
      <c r="L516" s="94"/>
      <c r="M516" s="94"/>
    </row>
    <row r="517">
      <c r="G517" s="94"/>
      <c r="H517" s="94"/>
      <c r="I517" s="94"/>
      <c r="J517" s="94"/>
      <c r="K517" s="178"/>
      <c r="L517" s="94"/>
      <c r="M517" s="94"/>
    </row>
    <row r="518">
      <c r="G518" s="94"/>
      <c r="H518" s="94"/>
      <c r="I518" s="94"/>
      <c r="J518" s="94"/>
      <c r="K518" s="178"/>
      <c r="L518" s="94"/>
      <c r="M518" s="94"/>
    </row>
    <row r="519">
      <c r="G519" s="94"/>
      <c r="H519" s="94"/>
      <c r="I519" s="94"/>
      <c r="J519" s="94"/>
      <c r="K519" s="178"/>
      <c r="L519" s="94"/>
      <c r="M519" s="94"/>
    </row>
    <row r="520">
      <c r="G520" s="94"/>
      <c r="H520" s="94"/>
      <c r="I520" s="94"/>
      <c r="J520" s="94"/>
      <c r="K520" s="178"/>
      <c r="L520" s="94"/>
      <c r="M520" s="94"/>
    </row>
    <row r="521">
      <c r="G521" s="94"/>
      <c r="H521" s="94"/>
      <c r="I521" s="94"/>
      <c r="J521" s="94"/>
      <c r="K521" s="178"/>
      <c r="L521" s="94"/>
      <c r="M521" s="94"/>
    </row>
    <row r="522">
      <c r="G522" s="94"/>
      <c r="H522" s="94"/>
      <c r="I522" s="94"/>
      <c r="J522" s="94"/>
      <c r="K522" s="178"/>
      <c r="L522" s="94"/>
      <c r="M522" s="94"/>
    </row>
    <row r="523">
      <c r="G523" s="94"/>
      <c r="H523" s="94"/>
      <c r="I523" s="94"/>
      <c r="J523" s="94"/>
      <c r="K523" s="178"/>
      <c r="L523" s="94"/>
      <c r="M523" s="94"/>
    </row>
    <row r="524">
      <c r="G524" s="94"/>
      <c r="H524" s="94"/>
      <c r="I524" s="94"/>
      <c r="J524" s="94"/>
      <c r="K524" s="178"/>
      <c r="L524" s="94"/>
      <c r="M524" s="94"/>
    </row>
    <row r="525">
      <c r="G525" s="94"/>
      <c r="H525" s="94"/>
      <c r="I525" s="94"/>
      <c r="J525" s="94"/>
      <c r="K525" s="178"/>
      <c r="L525" s="94"/>
      <c r="M525" s="94"/>
    </row>
    <row r="526">
      <c r="G526" s="94"/>
      <c r="H526" s="94"/>
      <c r="I526" s="94"/>
      <c r="J526" s="94"/>
      <c r="K526" s="178"/>
      <c r="L526" s="94"/>
      <c r="M526" s="94"/>
    </row>
    <row r="527">
      <c r="G527" s="94"/>
      <c r="H527" s="94"/>
      <c r="I527" s="94"/>
      <c r="J527" s="94"/>
      <c r="K527" s="178"/>
      <c r="L527" s="94"/>
      <c r="M527" s="94"/>
    </row>
    <row r="528">
      <c r="G528" s="94"/>
      <c r="H528" s="94"/>
      <c r="I528" s="94"/>
      <c r="J528" s="94"/>
      <c r="K528" s="178"/>
      <c r="L528" s="94"/>
      <c r="M528" s="94"/>
    </row>
    <row r="529">
      <c r="G529" s="94"/>
      <c r="H529" s="94"/>
      <c r="I529" s="94"/>
      <c r="J529" s="94"/>
      <c r="K529" s="178"/>
      <c r="L529" s="94"/>
      <c r="M529" s="94"/>
    </row>
    <row r="530">
      <c r="G530" s="94"/>
      <c r="H530" s="94"/>
      <c r="I530" s="94"/>
      <c r="J530" s="94"/>
      <c r="K530" s="178"/>
      <c r="L530" s="94"/>
      <c r="M530" s="94"/>
    </row>
    <row r="531">
      <c r="G531" s="94"/>
      <c r="H531" s="94"/>
      <c r="I531" s="94"/>
      <c r="J531" s="94"/>
      <c r="K531" s="178"/>
      <c r="L531" s="94"/>
      <c r="M531" s="94"/>
    </row>
    <row r="532">
      <c r="G532" s="94"/>
      <c r="H532" s="94"/>
      <c r="I532" s="94"/>
      <c r="J532" s="94"/>
      <c r="K532" s="178"/>
      <c r="L532" s="94"/>
      <c r="M532" s="94"/>
    </row>
    <row r="533">
      <c r="G533" s="94"/>
      <c r="H533" s="94"/>
      <c r="I533" s="94"/>
      <c r="J533" s="94"/>
      <c r="K533" s="178"/>
      <c r="L533" s="94"/>
      <c r="M533" s="94"/>
    </row>
    <row r="534">
      <c r="G534" s="94"/>
      <c r="H534" s="94"/>
      <c r="I534" s="94"/>
      <c r="J534" s="94"/>
      <c r="K534" s="178"/>
      <c r="L534" s="94"/>
      <c r="M534" s="94"/>
    </row>
    <row r="535">
      <c r="G535" s="94"/>
      <c r="H535" s="94"/>
      <c r="I535" s="94"/>
      <c r="J535" s="94"/>
      <c r="K535" s="178"/>
      <c r="L535" s="94"/>
      <c r="M535" s="94"/>
    </row>
    <row r="536">
      <c r="G536" s="94"/>
      <c r="H536" s="94"/>
      <c r="I536" s="94"/>
      <c r="J536" s="94"/>
      <c r="K536" s="178"/>
      <c r="L536" s="94"/>
      <c r="M536" s="94"/>
    </row>
    <row r="537">
      <c r="G537" s="94"/>
      <c r="H537" s="94"/>
      <c r="I537" s="94"/>
      <c r="J537" s="94"/>
      <c r="K537" s="178"/>
      <c r="L537" s="94"/>
      <c r="M537" s="94"/>
    </row>
    <row r="538">
      <c r="G538" s="94"/>
      <c r="H538" s="94"/>
      <c r="I538" s="94"/>
      <c r="J538" s="94"/>
      <c r="K538" s="178"/>
      <c r="L538" s="94"/>
      <c r="M538" s="94"/>
    </row>
    <row r="539">
      <c r="G539" s="94"/>
      <c r="H539" s="94"/>
      <c r="I539" s="94"/>
      <c r="J539" s="94"/>
      <c r="K539" s="178"/>
      <c r="L539" s="94"/>
      <c r="M539" s="94"/>
    </row>
    <row r="540">
      <c r="G540" s="94"/>
      <c r="H540" s="94"/>
      <c r="I540" s="94"/>
      <c r="J540" s="94"/>
      <c r="K540" s="178"/>
      <c r="L540" s="94"/>
      <c r="M540" s="94"/>
    </row>
    <row r="541">
      <c r="G541" s="94"/>
      <c r="H541" s="94"/>
      <c r="I541" s="94"/>
      <c r="J541" s="94"/>
      <c r="K541" s="178"/>
      <c r="L541" s="94"/>
      <c r="M541" s="94"/>
    </row>
    <row r="542">
      <c r="G542" s="94"/>
      <c r="H542" s="94"/>
      <c r="I542" s="94"/>
      <c r="J542" s="94"/>
      <c r="K542" s="178"/>
      <c r="L542" s="94"/>
      <c r="M542" s="94"/>
    </row>
    <row r="543">
      <c r="G543" s="94"/>
      <c r="H543" s="94"/>
      <c r="I543" s="94"/>
      <c r="J543" s="94"/>
      <c r="K543" s="178"/>
      <c r="L543" s="94"/>
      <c r="M543" s="94"/>
    </row>
    <row r="544">
      <c r="G544" s="94"/>
      <c r="H544" s="94"/>
      <c r="I544" s="94"/>
      <c r="J544" s="94"/>
      <c r="K544" s="178"/>
      <c r="L544" s="94"/>
      <c r="M544" s="94"/>
    </row>
    <row r="545">
      <c r="G545" s="94"/>
      <c r="H545" s="94"/>
      <c r="I545" s="94"/>
      <c r="J545" s="94"/>
      <c r="K545" s="178"/>
      <c r="L545" s="94"/>
      <c r="M545" s="94"/>
    </row>
    <row r="546">
      <c r="G546" s="94"/>
      <c r="H546" s="94"/>
      <c r="I546" s="94"/>
      <c r="J546" s="94"/>
      <c r="K546" s="178"/>
      <c r="L546" s="94"/>
      <c r="M546" s="94"/>
    </row>
    <row r="547">
      <c r="G547" s="94"/>
      <c r="H547" s="94"/>
      <c r="I547" s="94"/>
      <c r="J547" s="94"/>
      <c r="K547" s="178"/>
      <c r="L547" s="94"/>
      <c r="M547" s="94"/>
    </row>
    <row r="548">
      <c r="G548" s="94"/>
      <c r="H548" s="94"/>
      <c r="I548" s="94"/>
      <c r="J548" s="94"/>
      <c r="K548" s="178"/>
      <c r="L548" s="94"/>
      <c r="M548" s="94"/>
    </row>
    <row r="549">
      <c r="G549" s="94"/>
      <c r="H549" s="94"/>
      <c r="I549" s="94"/>
      <c r="J549" s="94"/>
      <c r="K549" s="178"/>
      <c r="L549" s="94"/>
      <c r="M549" s="94"/>
    </row>
    <row r="550">
      <c r="G550" s="94"/>
      <c r="H550" s="94"/>
      <c r="I550" s="94"/>
      <c r="J550" s="94"/>
      <c r="K550" s="178"/>
      <c r="L550" s="94"/>
      <c r="M550" s="94"/>
    </row>
    <row r="551">
      <c r="G551" s="94"/>
      <c r="H551" s="94"/>
      <c r="I551" s="94"/>
      <c r="J551" s="94"/>
      <c r="K551" s="178"/>
      <c r="L551" s="94"/>
      <c r="M551" s="94"/>
    </row>
    <row r="552">
      <c r="G552" s="94"/>
      <c r="H552" s="94"/>
      <c r="I552" s="94"/>
      <c r="J552" s="94"/>
      <c r="K552" s="178"/>
      <c r="L552" s="94"/>
      <c r="M552" s="94"/>
    </row>
    <row r="553">
      <c r="G553" s="94"/>
      <c r="H553" s="94"/>
      <c r="I553" s="94"/>
      <c r="J553" s="94"/>
      <c r="K553" s="178"/>
      <c r="L553" s="94"/>
      <c r="M553" s="94"/>
    </row>
    <row r="554">
      <c r="G554" s="94"/>
      <c r="H554" s="94"/>
      <c r="I554" s="94"/>
      <c r="J554" s="94"/>
      <c r="K554" s="178"/>
      <c r="L554" s="94"/>
      <c r="M554" s="94"/>
    </row>
    <row r="555">
      <c r="G555" s="94"/>
      <c r="H555" s="94"/>
      <c r="I555" s="94"/>
      <c r="J555" s="94"/>
      <c r="K555" s="178"/>
      <c r="L555" s="94"/>
      <c r="M555" s="94"/>
    </row>
    <row r="556">
      <c r="G556" s="94"/>
      <c r="H556" s="94"/>
      <c r="I556" s="94"/>
      <c r="J556" s="94"/>
      <c r="K556" s="178"/>
      <c r="L556" s="94"/>
      <c r="M556" s="94"/>
    </row>
    <row r="557">
      <c r="G557" s="94"/>
      <c r="H557" s="94"/>
      <c r="I557" s="94"/>
      <c r="J557" s="94"/>
      <c r="K557" s="178"/>
      <c r="L557" s="94"/>
      <c r="M557" s="94"/>
    </row>
    <row r="558">
      <c r="G558" s="94"/>
      <c r="H558" s="94"/>
      <c r="I558" s="94"/>
      <c r="J558" s="94"/>
      <c r="K558" s="178"/>
      <c r="L558" s="94"/>
      <c r="M558" s="94"/>
    </row>
    <row r="559">
      <c r="G559" s="94"/>
      <c r="H559" s="94"/>
      <c r="I559" s="94"/>
      <c r="J559" s="94"/>
      <c r="K559" s="178"/>
      <c r="L559" s="94"/>
      <c r="M559" s="94"/>
    </row>
    <row r="560">
      <c r="G560" s="94"/>
      <c r="H560" s="94"/>
      <c r="I560" s="94"/>
      <c r="J560" s="94"/>
      <c r="K560" s="178"/>
      <c r="L560" s="94"/>
      <c r="M560" s="94"/>
    </row>
    <row r="561">
      <c r="G561" s="94"/>
      <c r="H561" s="94"/>
      <c r="I561" s="94"/>
      <c r="J561" s="94"/>
      <c r="K561" s="178"/>
      <c r="L561" s="94"/>
      <c r="M561" s="94"/>
    </row>
    <row r="562">
      <c r="G562" s="94"/>
      <c r="H562" s="94"/>
      <c r="I562" s="94"/>
      <c r="J562" s="94"/>
      <c r="K562" s="178"/>
      <c r="L562" s="94"/>
      <c r="M562" s="94"/>
    </row>
    <row r="563">
      <c r="G563" s="94"/>
      <c r="H563" s="94"/>
      <c r="I563" s="94"/>
      <c r="J563" s="94"/>
      <c r="K563" s="178"/>
      <c r="L563" s="94"/>
      <c r="M563" s="94"/>
    </row>
    <row r="564">
      <c r="G564" s="94"/>
      <c r="H564" s="94"/>
      <c r="I564" s="94"/>
      <c r="J564" s="94"/>
      <c r="K564" s="178"/>
      <c r="L564" s="94"/>
      <c r="M564" s="94"/>
    </row>
    <row r="565">
      <c r="G565" s="94"/>
      <c r="H565" s="94"/>
      <c r="I565" s="94"/>
      <c r="J565" s="94"/>
      <c r="K565" s="178"/>
      <c r="L565" s="94"/>
      <c r="M565" s="94"/>
    </row>
    <row r="566">
      <c r="G566" s="94"/>
      <c r="H566" s="94"/>
      <c r="I566" s="94"/>
      <c r="J566" s="94"/>
      <c r="K566" s="178"/>
      <c r="L566" s="94"/>
      <c r="M566" s="94"/>
    </row>
    <row r="567">
      <c r="G567" s="94"/>
      <c r="H567" s="94"/>
      <c r="I567" s="94"/>
      <c r="J567" s="94"/>
      <c r="K567" s="178"/>
      <c r="L567" s="94"/>
      <c r="M567" s="94"/>
    </row>
    <row r="568">
      <c r="G568" s="94"/>
      <c r="H568" s="94"/>
      <c r="I568" s="94"/>
      <c r="J568" s="94"/>
      <c r="K568" s="178"/>
      <c r="L568" s="94"/>
      <c r="M568" s="94"/>
    </row>
    <row r="569">
      <c r="G569" s="94"/>
      <c r="H569" s="94"/>
      <c r="I569" s="94"/>
      <c r="J569" s="94"/>
      <c r="K569" s="178"/>
      <c r="L569" s="94"/>
      <c r="M569" s="94"/>
    </row>
    <row r="570">
      <c r="G570" s="94"/>
      <c r="H570" s="94"/>
      <c r="I570" s="94"/>
      <c r="J570" s="94"/>
      <c r="K570" s="178"/>
      <c r="L570" s="94"/>
      <c r="M570" s="94"/>
    </row>
    <row r="571">
      <c r="G571" s="94"/>
      <c r="H571" s="94"/>
      <c r="I571" s="94"/>
      <c r="J571" s="94"/>
      <c r="K571" s="178"/>
      <c r="L571" s="94"/>
      <c r="M571" s="94"/>
    </row>
    <row r="572">
      <c r="G572" s="94"/>
      <c r="H572" s="94"/>
      <c r="I572" s="94"/>
      <c r="J572" s="94"/>
      <c r="K572" s="178"/>
      <c r="L572" s="94"/>
      <c r="M572" s="94"/>
    </row>
    <row r="573">
      <c r="G573" s="94"/>
      <c r="H573" s="94"/>
      <c r="I573" s="94"/>
      <c r="J573" s="94"/>
      <c r="K573" s="178"/>
      <c r="L573" s="94"/>
      <c r="M573" s="94"/>
    </row>
    <row r="574">
      <c r="G574" s="94"/>
      <c r="H574" s="94"/>
      <c r="I574" s="94"/>
      <c r="J574" s="94"/>
      <c r="K574" s="178"/>
      <c r="L574" s="94"/>
      <c r="M574" s="94"/>
    </row>
    <row r="575">
      <c r="G575" s="94"/>
      <c r="H575" s="94"/>
      <c r="I575" s="94"/>
      <c r="J575" s="94"/>
      <c r="K575" s="178"/>
      <c r="L575" s="94"/>
      <c r="M575" s="94"/>
    </row>
    <row r="576">
      <c r="G576" s="94"/>
      <c r="H576" s="94"/>
      <c r="I576" s="94"/>
      <c r="J576" s="94"/>
      <c r="K576" s="178"/>
      <c r="L576" s="94"/>
      <c r="M576" s="94"/>
    </row>
    <row r="577">
      <c r="G577" s="94"/>
      <c r="H577" s="94"/>
      <c r="I577" s="94"/>
      <c r="J577" s="94"/>
      <c r="K577" s="178"/>
      <c r="L577" s="94"/>
      <c r="M577" s="94"/>
    </row>
    <row r="578">
      <c r="G578" s="94"/>
      <c r="H578" s="94"/>
      <c r="I578" s="94"/>
      <c r="J578" s="94"/>
      <c r="K578" s="178"/>
      <c r="L578" s="94"/>
      <c r="M578" s="94"/>
    </row>
    <row r="579">
      <c r="G579" s="94"/>
      <c r="H579" s="94"/>
      <c r="I579" s="94"/>
      <c r="J579" s="94"/>
      <c r="K579" s="178"/>
      <c r="L579" s="94"/>
      <c r="M579" s="94"/>
    </row>
    <row r="580">
      <c r="G580" s="94"/>
      <c r="H580" s="94"/>
      <c r="I580" s="94"/>
      <c r="J580" s="94"/>
      <c r="K580" s="178"/>
      <c r="L580" s="94"/>
      <c r="M580" s="94"/>
    </row>
    <row r="581">
      <c r="G581" s="94"/>
      <c r="H581" s="94"/>
      <c r="I581" s="94"/>
      <c r="J581" s="94"/>
      <c r="K581" s="178"/>
      <c r="L581" s="94"/>
      <c r="M581" s="94"/>
    </row>
    <row r="582">
      <c r="G582" s="94"/>
      <c r="H582" s="94"/>
      <c r="I582" s="94"/>
      <c r="J582" s="94"/>
      <c r="K582" s="178"/>
      <c r="L582" s="94"/>
      <c r="M582" s="94"/>
    </row>
    <row r="583">
      <c r="G583" s="94"/>
      <c r="H583" s="94"/>
      <c r="I583" s="94"/>
      <c r="J583" s="94"/>
      <c r="K583" s="178"/>
      <c r="L583" s="94"/>
      <c r="M583" s="94"/>
    </row>
    <row r="584">
      <c r="G584" s="94"/>
      <c r="H584" s="94"/>
      <c r="I584" s="94"/>
      <c r="J584" s="94"/>
      <c r="K584" s="178"/>
      <c r="L584" s="94"/>
      <c r="M584" s="94"/>
    </row>
    <row r="585">
      <c r="G585" s="94"/>
      <c r="H585" s="94"/>
      <c r="I585" s="94"/>
      <c r="J585" s="94"/>
      <c r="K585" s="178"/>
      <c r="L585" s="94"/>
      <c r="M585" s="94"/>
    </row>
    <row r="586">
      <c r="G586" s="94"/>
      <c r="H586" s="94"/>
      <c r="I586" s="94"/>
      <c r="J586" s="94"/>
      <c r="K586" s="178"/>
      <c r="L586" s="94"/>
      <c r="M586" s="94"/>
    </row>
    <row r="587">
      <c r="G587" s="94"/>
      <c r="H587" s="94"/>
      <c r="I587" s="94"/>
      <c r="J587" s="94"/>
      <c r="K587" s="178"/>
      <c r="L587" s="94"/>
      <c r="M587" s="94"/>
    </row>
    <row r="588">
      <c r="G588" s="94"/>
      <c r="H588" s="94"/>
      <c r="I588" s="94"/>
      <c r="J588" s="94"/>
      <c r="K588" s="178"/>
      <c r="L588" s="94"/>
      <c r="M588" s="94"/>
    </row>
    <row r="589">
      <c r="G589" s="94"/>
      <c r="H589" s="94"/>
      <c r="I589" s="94"/>
      <c r="J589" s="94"/>
      <c r="K589" s="178"/>
      <c r="L589" s="94"/>
      <c r="M589" s="94"/>
    </row>
    <row r="590">
      <c r="G590" s="94"/>
      <c r="H590" s="94"/>
      <c r="I590" s="94"/>
      <c r="J590" s="94"/>
      <c r="K590" s="178"/>
      <c r="L590" s="94"/>
      <c r="M590" s="94"/>
    </row>
    <row r="591">
      <c r="G591" s="94"/>
      <c r="H591" s="94"/>
      <c r="I591" s="94"/>
      <c r="J591" s="94"/>
      <c r="K591" s="178"/>
      <c r="L591" s="94"/>
      <c r="M591" s="94"/>
    </row>
    <row r="592">
      <c r="G592" s="94"/>
      <c r="H592" s="94"/>
      <c r="I592" s="94"/>
      <c r="J592" s="94"/>
      <c r="K592" s="178"/>
      <c r="L592" s="94"/>
      <c r="M592" s="94"/>
    </row>
    <row r="593">
      <c r="G593" s="94"/>
      <c r="H593" s="94"/>
      <c r="I593" s="94"/>
      <c r="J593" s="94"/>
      <c r="K593" s="178"/>
      <c r="L593" s="94"/>
      <c r="M593" s="94"/>
    </row>
    <row r="594">
      <c r="G594" s="94"/>
      <c r="H594" s="94"/>
      <c r="I594" s="94"/>
      <c r="J594" s="94"/>
      <c r="K594" s="178"/>
      <c r="L594" s="94"/>
      <c r="M594" s="94"/>
    </row>
    <row r="595">
      <c r="G595" s="94"/>
      <c r="H595" s="94"/>
      <c r="I595" s="94"/>
      <c r="J595" s="94"/>
      <c r="K595" s="178"/>
      <c r="L595" s="94"/>
      <c r="M595" s="94"/>
    </row>
    <row r="596">
      <c r="G596" s="94"/>
      <c r="H596" s="94"/>
      <c r="I596" s="94"/>
      <c r="J596" s="94"/>
      <c r="K596" s="178"/>
      <c r="L596" s="94"/>
      <c r="M596" s="94"/>
    </row>
    <row r="597">
      <c r="G597" s="94"/>
      <c r="H597" s="94"/>
      <c r="I597" s="94"/>
      <c r="J597" s="94"/>
      <c r="K597" s="178"/>
      <c r="L597" s="94"/>
      <c r="M597" s="94"/>
    </row>
    <row r="598">
      <c r="G598" s="94"/>
      <c r="H598" s="94"/>
      <c r="I598" s="94"/>
      <c r="J598" s="94"/>
      <c r="K598" s="178"/>
      <c r="L598" s="94"/>
      <c r="M598" s="94"/>
    </row>
    <row r="599">
      <c r="G599" s="94"/>
      <c r="H599" s="94"/>
      <c r="I599" s="94"/>
      <c r="J599" s="94"/>
      <c r="K599" s="178"/>
      <c r="L599" s="94"/>
      <c r="M599" s="94"/>
    </row>
    <row r="600">
      <c r="G600" s="94"/>
      <c r="H600" s="94"/>
      <c r="I600" s="94"/>
      <c r="J600" s="94"/>
      <c r="K600" s="178"/>
      <c r="L600" s="94"/>
      <c r="M600" s="94"/>
    </row>
    <row r="601">
      <c r="G601" s="94"/>
      <c r="H601" s="94"/>
      <c r="I601" s="94"/>
      <c r="J601" s="94"/>
      <c r="K601" s="178"/>
      <c r="L601" s="94"/>
      <c r="M601" s="94"/>
    </row>
    <row r="602">
      <c r="G602" s="94"/>
      <c r="H602" s="94"/>
      <c r="I602" s="94"/>
      <c r="J602" s="94"/>
      <c r="K602" s="178"/>
      <c r="L602" s="94"/>
      <c r="M602" s="94"/>
    </row>
    <row r="603">
      <c r="G603" s="94"/>
      <c r="H603" s="94"/>
      <c r="I603" s="94"/>
      <c r="J603" s="94"/>
      <c r="K603" s="178"/>
      <c r="L603" s="94"/>
      <c r="M603" s="94"/>
    </row>
    <row r="604">
      <c r="G604" s="94"/>
      <c r="H604" s="94"/>
      <c r="I604" s="94"/>
      <c r="J604" s="94"/>
      <c r="K604" s="178"/>
      <c r="L604" s="94"/>
      <c r="M604" s="94"/>
    </row>
    <row r="605">
      <c r="G605" s="94"/>
      <c r="H605" s="94"/>
      <c r="I605" s="94"/>
      <c r="J605" s="94"/>
      <c r="K605" s="178"/>
      <c r="L605" s="94"/>
      <c r="M605" s="94"/>
    </row>
    <row r="606">
      <c r="G606" s="94"/>
      <c r="H606" s="94"/>
      <c r="I606" s="94"/>
      <c r="J606" s="94"/>
      <c r="K606" s="178"/>
      <c r="L606" s="94"/>
      <c r="M606" s="94"/>
    </row>
    <row r="607">
      <c r="G607" s="94"/>
      <c r="H607" s="94"/>
      <c r="I607" s="94"/>
      <c r="J607" s="94"/>
      <c r="K607" s="178"/>
      <c r="L607" s="94"/>
      <c r="M607" s="94"/>
    </row>
    <row r="608">
      <c r="G608" s="94"/>
      <c r="H608" s="94"/>
      <c r="I608" s="94"/>
      <c r="J608" s="94"/>
      <c r="K608" s="178"/>
      <c r="L608" s="94"/>
      <c r="M608" s="94"/>
    </row>
    <row r="609">
      <c r="G609" s="94"/>
      <c r="H609" s="94"/>
      <c r="I609" s="94"/>
      <c r="J609" s="94"/>
      <c r="K609" s="178"/>
      <c r="L609" s="94"/>
      <c r="M609" s="94"/>
    </row>
    <row r="610">
      <c r="G610" s="94"/>
      <c r="H610" s="94"/>
      <c r="I610" s="94"/>
      <c r="J610" s="94"/>
      <c r="K610" s="178"/>
      <c r="L610" s="94"/>
      <c r="M610" s="94"/>
    </row>
    <row r="611">
      <c r="G611" s="94"/>
      <c r="H611" s="94"/>
      <c r="I611" s="94"/>
      <c r="J611" s="94"/>
      <c r="K611" s="178"/>
      <c r="L611" s="94"/>
      <c r="M611" s="94"/>
    </row>
    <row r="612">
      <c r="G612" s="94"/>
      <c r="H612" s="94"/>
      <c r="I612" s="94"/>
      <c r="J612" s="94"/>
      <c r="K612" s="178"/>
      <c r="L612" s="94"/>
      <c r="M612" s="94"/>
    </row>
    <row r="613">
      <c r="G613" s="94"/>
      <c r="H613" s="94"/>
      <c r="I613" s="94"/>
      <c r="J613" s="94"/>
      <c r="K613" s="178"/>
      <c r="L613" s="94"/>
      <c r="M613" s="94"/>
    </row>
    <row r="614">
      <c r="G614" s="94"/>
      <c r="H614" s="94"/>
      <c r="I614" s="94"/>
      <c r="J614" s="94"/>
      <c r="K614" s="178"/>
      <c r="L614" s="94"/>
      <c r="M614" s="94"/>
    </row>
    <row r="615">
      <c r="G615" s="94"/>
      <c r="H615" s="94"/>
      <c r="I615" s="94"/>
      <c r="J615" s="94"/>
      <c r="K615" s="178"/>
      <c r="L615" s="94"/>
      <c r="M615" s="94"/>
    </row>
    <row r="616">
      <c r="G616" s="94"/>
      <c r="H616" s="94"/>
      <c r="I616" s="94"/>
      <c r="J616" s="94"/>
      <c r="K616" s="178"/>
      <c r="L616" s="94"/>
      <c r="M616" s="94"/>
    </row>
    <row r="617">
      <c r="G617" s="94"/>
      <c r="H617" s="94"/>
      <c r="I617" s="94"/>
      <c r="J617" s="94"/>
      <c r="K617" s="178"/>
      <c r="L617" s="94"/>
      <c r="M617" s="94"/>
    </row>
    <row r="618">
      <c r="G618" s="94"/>
      <c r="H618" s="94"/>
      <c r="I618" s="94"/>
      <c r="J618" s="94"/>
      <c r="K618" s="178"/>
      <c r="L618" s="94"/>
      <c r="M618" s="94"/>
    </row>
    <row r="619">
      <c r="G619" s="94"/>
      <c r="H619" s="94"/>
      <c r="I619" s="94"/>
      <c r="J619" s="94"/>
      <c r="K619" s="178"/>
      <c r="L619" s="94"/>
      <c r="M619" s="94"/>
    </row>
    <row r="620">
      <c r="G620" s="94"/>
      <c r="H620" s="94"/>
      <c r="I620" s="94"/>
      <c r="J620" s="94"/>
      <c r="K620" s="178"/>
      <c r="L620" s="94"/>
      <c r="M620" s="94"/>
    </row>
    <row r="621">
      <c r="G621" s="94"/>
      <c r="H621" s="94"/>
      <c r="I621" s="94"/>
      <c r="J621" s="94"/>
      <c r="K621" s="178"/>
      <c r="L621" s="94"/>
      <c r="M621" s="94"/>
    </row>
    <row r="622">
      <c r="G622" s="94"/>
      <c r="H622" s="94"/>
      <c r="I622" s="94"/>
      <c r="J622" s="94"/>
      <c r="K622" s="178"/>
      <c r="L622" s="94"/>
      <c r="M622" s="94"/>
    </row>
    <row r="623">
      <c r="G623" s="94"/>
      <c r="H623" s="94"/>
      <c r="I623" s="94"/>
      <c r="J623" s="94"/>
      <c r="K623" s="178"/>
      <c r="L623" s="94"/>
      <c r="M623" s="94"/>
    </row>
    <row r="624">
      <c r="G624" s="94"/>
      <c r="H624" s="94"/>
      <c r="I624" s="94"/>
      <c r="J624" s="94"/>
      <c r="K624" s="178"/>
      <c r="L624" s="94"/>
      <c r="M624" s="94"/>
    </row>
    <row r="625">
      <c r="G625" s="94"/>
      <c r="H625" s="94"/>
      <c r="I625" s="94"/>
      <c r="J625" s="94"/>
      <c r="K625" s="178"/>
      <c r="L625" s="94"/>
      <c r="M625" s="94"/>
    </row>
    <row r="626">
      <c r="G626" s="94"/>
      <c r="H626" s="94"/>
      <c r="I626" s="94"/>
      <c r="J626" s="94"/>
      <c r="K626" s="178"/>
      <c r="L626" s="94"/>
      <c r="M626" s="94"/>
    </row>
    <row r="627">
      <c r="G627" s="94"/>
      <c r="H627" s="94"/>
      <c r="I627" s="94"/>
      <c r="J627" s="94"/>
      <c r="K627" s="178"/>
      <c r="L627" s="94"/>
      <c r="M627" s="94"/>
    </row>
    <row r="628">
      <c r="G628" s="94"/>
      <c r="H628" s="94"/>
      <c r="I628" s="94"/>
      <c r="J628" s="94"/>
      <c r="K628" s="178"/>
      <c r="L628" s="94"/>
      <c r="M628" s="94"/>
    </row>
    <row r="629">
      <c r="G629" s="94"/>
      <c r="H629" s="94"/>
      <c r="I629" s="94"/>
      <c r="J629" s="94"/>
      <c r="K629" s="178"/>
      <c r="L629" s="94"/>
      <c r="M629" s="94"/>
    </row>
    <row r="630">
      <c r="G630" s="94"/>
      <c r="H630" s="94"/>
      <c r="I630" s="94"/>
      <c r="J630" s="94"/>
      <c r="K630" s="178"/>
      <c r="L630" s="94"/>
      <c r="M630" s="94"/>
    </row>
    <row r="631">
      <c r="G631" s="94"/>
      <c r="H631" s="94"/>
      <c r="I631" s="94"/>
      <c r="J631" s="94"/>
      <c r="K631" s="178"/>
      <c r="L631" s="94"/>
      <c r="M631" s="94"/>
    </row>
    <row r="632">
      <c r="G632" s="94"/>
      <c r="H632" s="94"/>
      <c r="I632" s="94"/>
      <c r="J632" s="94"/>
      <c r="K632" s="178"/>
      <c r="L632" s="94"/>
      <c r="M632" s="94"/>
    </row>
    <row r="633">
      <c r="G633" s="94"/>
      <c r="H633" s="94"/>
      <c r="I633" s="94"/>
      <c r="J633" s="94"/>
      <c r="K633" s="178"/>
      <c r="L633" s="94"/>
      <c r="M633" s="94"/>
    </row>
    <row r="634">
      <c r="G634" s="94"/>
      <c r="H634" s="94"/>
      <c r="I634" s="94"/>
      <c r="J634" s="94"/>
      <c r="K634" s="178"/>
      <c r="L634" s="94"/>
      <c r="M634" s="94"/>
    </row>
    <row r="635">
      <c r="G635" s="94"/>
      <c r="H635" s="94"/>
      <c r="I635" s="94"/>
      <c r="J635" s="94"/>
      <c r="K635" s="178"/>
      <c r="L635" s="94"/>
      <c r="M635" s="94"/>
    </row>
    <row r="636">
      <c r="G636" s="94"/>
      <c r="H636" s="94"/>
      <c r="I636" s="94"/>
      <c r="J636" s="94"/>
      <c r="K636" s="178"/>
      <c r="L636" s="94"/>
      <c r="M636" s="94"/>
    </row>
    <row r="637">
      <c r="G637" s="94"/>
      <c r="H637" s="94"/>
      <c r="I637" s="94"/>
      <c r="J637" s="94"/>
      <c r="K637" s="178"/>
      <c r="L637" s="94"/>
      <c r="M637" s="94"/>
    </row>
    <row r="638">
      <c r="G638" s="94"/>
      <c r="H638" s="94"/>
      <c r="I638" s="94"/>
      <c r="J638" s="94"/>
      <c r="K638" s="178"/>
      <c r="L638" s="94"/>
      <c r="M638" s="94"/>
    </row>
    <row r="639">
      <c r="G639" s="94"/>
      <c r="H639" s="94"/>
      <c r="I639" s="94"/>
      <c r="J639" s="94"/>
      <c r="K639" s="178"/>
      <c r="L639" s="94"/>
      <c r="M639" s="94"/>
    </row>
    <row r="640">
      <c r="G640" s="94"/>
      <c r="H640" s="94"/>
      <c r="I640" s="94"/>
      <c r="J640" s="94"/>
      <c r="K640" s="178"/>
      <c r="L640" s="94"/>
      <c r="M640" s="94"/>
    </row>
    <row r="641">
      <c r="G641" s="94"/>
      <c r="H641" s="94"/>
      <c r="I641" s="94"/>
      <c r="J641" s="94"/>
      <c r="K641" s="178"/>
      <c r="L641" s="94"/>
      <c r="M641" s="94"/>
    </row>
    <row r="642">
      <c r="G642" s="94"/>
      <c r="H642" s="94"/>
      <c r="I642" s="94"/>
      <c r="J642" s="94"/>
      <c r="K642" s="178"/>
      <c r="L642" s="94"/>
      <c r="M642" s="94"/>
    </row>
    <row r="643">
      <c r="G643" s="94"/>
      <c r="H643" s="94"/>
      <c r="I643" s="94"/>
      <c r="J643" s="94"/>
      <c r="K643" s="178"/>
      <c r="L643" s="94"/>
      <c r="M643" s="94"/>
    </row>
    <row r="644">
      <c r="G644" s="94"/>
      <c r="H644" s="94"/>
      <c r="I644" s="94"/>
      <c r="J644" s="94"/>
      <c r="K644" s="178"/>
      <c r="L644" s="94"/>
      <c r="M644" s="94"/>
    </row>
    <row r="645">
      <c r="G645" s="94"/>
      <c r="H645" s="94"/>
      <c r="I645" s="94"/>
      <c r="J645" s="94"/>
      <c r="K645" s="178"/>
      <c r="L645" s="94"/>
      <c r="M645" s="94"/>
    </row>
    <row r="646">
      <c r="G646" s="94"/>
      <c r="H646" s="94"/>
      <c r="I646" s="94"/>
      <c r="J646" s="94"/>
      <c r="K646" s="178"/>
      <c r="L646" s="94"/>
      <c r="M646" s="94"/>
    </row>
    <row r="647">
      <c r="G647" s="94"/>
      <c r="H647" s="94"/>
      <c r="I647" s="94"/>
      <c r="J647" s="94"/>
      <c r="K647" s="178"/>
      <c r="L647" s="94"/>
      <c r="M647" s="94"/>
    </row>
    <row r="648">
      <c r="G648" s="94"/>
      <c r="H648" s="94"/>
      <c r="I648" s="94"/>
      <c r="J648" s="94"/>
      <c r="K648" s="178"/>
      <c r="L648" s="94"/>
      <c r="M648" s="94"/>
    </row>
    <row r="649">
      <c r="G649" s="94"/>
      <c r="H649" s="94"/>
      <c r="I649" s="94"/>
      <c r="J649" s="94"/>
      <c r="K649" s="178"/>
      <c r="L649" s="94"/>
      <c r="M649" s="94"/>
    </row>
    <row r="650">
      <c r="G650" s="94"/>
      <c r="H650" s="94"/>
      <c r="I650" s="94"/>
      <c r="J650" s="94"/>
      <c r="K650" s="178"/>
      <c r="L650" s="94"/>
      <c r="M650" s="94"/>
    </row>
    <row r="651">
      <c r="G651" s="94"/>
      <c r="H651" s="94"/>
      <c r="I651" s="94"/>
      <c r="J651" s="94"/>
      <c r="K651" s="178"/>
      <c r="L651" s="94"/>
      <c r="M651" s="94"/>
    </row>
    <row r="652">
      <c r="G652" s="94"/>
      <c r="H652" s="94"/>
      <c r="I652" s="94"/>
      <c r="J652" s="94"/>
      <c r="K652" s="178"/>
      <c r="L652" s="94"/>
      <c r="M652" s="94"/>
    </row>
    <row r="653">
      <c r="G653" s="94"/>
      <c r="H653" s="94"/>
      <c r="I653" s="94"/>
      <c r="J653" s="94"/>
      <c r="K653" s="178"/>
      <c r="L653" s="94"/>
      <c r="M653" s="94"/>
    </row>
    <row r="654">
      <c r="G654" s="94"/>
      <c r="H654" s="94"/>
      <c r="I654" s="94"/>
      <c r="J654" s="94"/>
      <c r="K654" s="178"/>
      <c r="L654" s="94"/>
      <c r="M654" s="94"/>
    </row>
    <row r="655">
      <c r="G655" s="94"/>
      <c r="H655" s="94"/>
      <c r="I655" s="94"/>
      <c r="J655" s="94"/>
      <c r="K655" s="178"/>
      <c r="L655" s="94"/>
      <c r="M655" s="94"/>
    </row>
    <row r="656">
      <c r="G656" s="94"/>
      <c r="H656" s="94"/>
      <c r="I656" s="94"/>
      <c r="J656" s="94"/>
      <c r="K656" s="178"/>
      <c r="L656" s="94"/>
      <c r="M656" s="94"/>
    </row>
    <row r="657">
      <c r="G657" s="94"/>
      <c r="H657" s="94"/>
      <c r="I657" s="94"/>
      <c r="J657" s="94"/>
      <c r="K657" s="178"/>
      <c r="L657" s="94"/>
      <c r="M657" s="94"/>
    </row>
    <row r="658">
      <c r="G658" s="94"/>
      <c r="H658" s="94"/>
      <c r="I658" s="94"/>
      <c r="J658" s="94"/>
      <c r="K658" s="178"/>
      <c r="L658" s="94"/>
      <c r="M658" s="94"/>
    </row>
    <row r="659">
      <c r="G659" s="94"/>
      <c r="H659" s="94"/>
      <c r="I659" s="94"/>
      <c r="J659" s="94"/>
      <c r="K659" s="178"/>
      <c r="L659" s="94"/>
      <c r="M659" s="94"/>
    </row>
    <row r="660">
      <c r="G660" s="94"/>
      <c r="H660" s="94"/>
      <c r="I660" s="94"/>
      <c r="J660" s="94"/>
      <c r="K660" s="178"/>
      <c r="L660" s="94"/>
      <c r="M660" s="94"/>
    </row>
    <row r="661">
      <c r="G661" s="94"/>
      <c r="H661" s="94"/>
      <c r="I661" s="94"/>
      <c r="J661" s="94"/>
      <c r="K661" s="178"/>
      <c r="L661" s="94"/>
      <c r="M661" s="94"/>
    </row>
    <row r="662">
      <c r="G662" s="94"/>
      <c r="H662" s="94"/>
      <c r="I662" s="94"/>
      <c r="J662" s="94"/>
      <c r="K662" s="178"/>
      <c r="L662" s="94"/>
      <c r="M662" s="94"/>
    </row>
    <row r="663">
      <c r="G663" s="94"/>
      <c r="H663" s="94"/>
      <c r="I663" s="94"/>
      <c r="J663" s="94"/>
      <c r="K663" s="178"/>
      <c r="L663" s="94"/>
      <c r="M663" s="94"/>
    </row>
    <row r="664">
      <c r="G664" s="94"/>
      <c r="H664" s="94"/>
      <c r="I664" s="94"/>
      <c r="J664" s="94"/>
      <c r="K664" s="178"/>
      <c r="L664" s="94"/>
      <c r="M664" s="94"/>
    </row>
    <row r="665">
      <c r="G665" s="94"/>
      <c r="H665" s="94"/>
      <c r="I665" s="94"/>
      <c r="J665" s="94"/>
      <c r="K665" s="178"/>
      <c r="L665" s="94"/>
      <c r="M665" s="94"/>
    </row>
    <row r="666">
      <c r="G666" s="94"/>
      <c r="H666" s="94"/>
      <c r="I666" s="94"/>
      <c r="J666" s="94"/>
      <c r="K666" s="178"/>
      <c r="L666" s="94"/>
      <c r="M666" s="94"/>
    </row>
    <row r="667">
      <c r="G667" s="94"/>
      <c r="H667" s="94"/>
      <c r="I667" s="94"/>
      <c r="J667" s="94"/>
      <c r="K667" s="178"/>
      <c r="L667" s="94"/>
      <c r="M667" s="94"/>
    </row>
    <row r="668">
      <c r="G668" s="94"/>
      <c r="H668" s="94"/>
      <c r="I668" s="94"/>
      <c r="J668" s="94"/>
      <c r="K668" s="178"/>
      <c r="L668" s="94"/>
      <c r="M668" s="94"/>
    </row>
    <row r="669">
      <c r="G669" s="94"/>
      <c r="H669" s="94"/>
      <c r="I669" s="94"/>
      <c r="J669" s="94"/>
      <c r="K669" s="178"/>
      <c r="L669" s="94"/>
      <c r="M669" s="94"/>
    </row>
    <row r="670">
      <c r="G670" s="94"/>
      <c r="H670" s="94"/>
      <c r="I670" s="94"/>
      <c r="J670" s="94"/>
      <c r="K670" s="178"/>
      <c r="L670" s="94"/>
      <c r="M670" s="94"/>
    </row>
    <row r="671">
      <c r="G671" s="94"/>
      <c r="H671" s="94"/>
      <c r="I671" s="94"/>
      <c r="J671" s="94"/>
      <c r="K671" s="178"/>
      <c r="L671" s="94"/>
      <c r="M671" s="94"/>
    </row>
    <row r="672">
      <c r="G672" s="94"/>
      <c r="H672" s="94"/>
      <c r="I672" s="94"/>
      <c r="J672" s="94"/>
      <c r="K672" s="178"/>
      <c r="L672" s="94"/>
      <c r="M672" s="94"/>
    </row>
    <row r="673">
      <c r="G673" s="94"/>
      <c r="H673" s="94"/>
      <c r="I673" s="94"/>
      <c r="J673" s="94"/>
      <c r="K673" s="178"/>
      <c r="L673" s="94"/>
      <c r="M673" s="94"/>
    </row>
    <row r="674">
      <c r="G674" s="94"/>
      <c r="H674" s="94"/>
      <c r="I674" s="94"/>
      <c r="J674" s="94"/>
      <c r="K674" s="178"/>
      <c r="L674" s="94"/>
      <c r="M674" s="94"/>
    </row>
    <row r="675">
      <c r="G675" s="94"/>
      <c r="H675" s="94"/>
      <c r="I675" s="94"/>
      <c r="J675" s="94"/>
      <c r="K675" s="178"/>
      <c r="L675" s="94"/>
      <c r="M675" s="94"/>
    </row>
    <row r="676">
      <c r="G676" s="94"/>
      <c r="H676" s="94"/>
      <c r="I676" s="94"/>
      <c r="J676" s="94"/>
      <c r="K676" s="178"/>
      <c r="L676" s="94"/>
      <c r="M676" s="94"/>
    </row>
    <row r="677">
      <c r="G677" s="94"/>
      <c r="H677" s="94"/>
      <c r="I677" s="94"/>
      <c r="J677" s="94"/>
      <c r="K677" s="178"/>
      <c r="L677" s="94"/>
      <c r="M677" s="94"/>
    </row>
    <row r="678">
      <c r="G678" s="94"/>
      <c r="H678" s="94"/>
      <c r="I678" s="94"/>
      <c r="J678" s="94"/>
      <c r="K678" s="178"/>
      <c r="L678" s="94"/>
      <c r="M678" s="94"/>
    </row>
    <row r="679">
      <c r="G679" s="94"/>
      <c r="H679" s="94"/>
      <c r="I679" s="94"/>
      <c r="J679" s="94"/>
      <c r="K679" s="178"/>
      <c r="L679" s="94"/>
      <c r="M679" s="94"/>
    </row>
    <row r="680">
      <c r="G680" s="94"/>
      <c r="H680" s="94"/>
      <c r="I680" s="94"/>
      <c r="J680" s="94"/>
      <c r="K680" s="178"/>
      <c r="L680" s="94"/>
      <c r="M680" s="94"/>
    </row>
    <row r="681">
      <c r="G681" s="94"/>
      <c r="H681" s="94"/>
      <c r="I681" s="94"/>
      <c r="J681" s="94"/>
      <c r="K681" s="178"/>
      <c r="L681" s="94"/>
      <c r="M681" s="94"/>
    </row>
    <row r="682">
      <c r="G682" s="94"/>
      <c r="H682" s="94"/>
      <c r="I682" s="94"/>
      <c r="J682" s="94"/>
      <c r="K682" s="178"/>
      <c r="L682" s="94"/>
      <c r="M682" s="94"/>
    </row>
    <row r="683">
      <c r="G683" s="94"/>
      <c r="H683" s="94"/>
      <c r="I683" s="94"/>
      <c r="J683" s="94"/>
      <c r="K683" s="178"/>
      <c r="L683" s="94"/>
      <c r="M683" s="94"/>
    </row>
    <row r="684">
      <c r="G684" s="94"/>
      <c r="H684" s="94"/>
      <c r="I684" s="94"/>
      <c r="J684" s="94"/>
      <c r="K684" s="178"/>
      <c r="L684" s="94"/>
      <c r="M684" s="94"/>
    </row>
    <row r="685">
      <c r="G685" s="94"/>
      <c r="H685" s="94"/>
      <c r="I685" s="94"/>
      <c r="J685" s="94"/>
      <c r="K685" s="178"/>
      <c r="L685" s="94"/>
      <c r="M685" s="94"/>
    </row>
    <row r="686">
      <c r="G686" s="94"/>
      <c r="H686" s="94"/>
      <c r="I686" s="94"/>
      <c r="J686" s="94"/>
      <c r="K686" s="178"/>
      <c r="L686" s="94"/>
      <c r="M686" s="94"/>
    </row>
    <row r="687">
      <c r="G687" s="94"/>
      <c r="H687" s="94"/>
      <c r="I687" s="94"/>
      <c r="J687" s="94"/>
      <c r="K687" s="178"/>
      <c r="L687" s="94"/>
      <c r="M687" s="94"/>
    </row>
    <row r="688">
      <c r="G688" s="94"/>
      <c r="H688" s="94"/>
      <c r="I688" s="94"/>
      <c r="J688" s="94"/>
      <c r="K688" s="178"/>
      <c r="L688" s="94"/>
      <c r="M688" s="94"/>
    </row>
    <row r="689">
      <c r="G689" s="94"/>
      <c r="H689" s="94"/>
      <c r="I689" s="94"/>
      <c r="J689" s="94"/>
      <c r="K689" s="178"/>
      <c r="L689" s="94"/>
      <c r="M689" s="94"/>
    </row>
    <row r="690">
      <c r="G690" s="94"/>
      <c r="H690" s="94"/>
      <c r="I690" s="94"/>
      <c r="J690" s="94"/>
      <c r="K690" s="178"/>
      <c r="L690" s="94"/>
      <c r="M690" s="94"/>
    </row>
    <row r="691">
      <c r="G691" s="94"/>
      <c r="H691" s="94"/>
      <c r="I691" s="94"/>
      <c r="J691" s="94"/>
      <c r="K691" s="178"/>
      <c r="L691" s="94"/>
      <c r="M691" s="94"/>
    </row>
    <row r="692">
      <c r="G692" s="94"/>
      <c r="H692" s="94"/>
      <c r="I692" s="94"/>
      <c r="J692" s="94"/>
      <c r="K692" s="178"/>
      <c r="L692" s="94"/>
      <c r="M692" s="94"/>
    </row>
    <row r="693">
      <c r="G693" s="94"/>
      <c r="H693" s="94"/>
      <c r="I693" s="94"/>
      <c r="J693" s="94"/>
      <c r="K693" s="178"/>
      <c r="L693" s="94"/>
      <c r="M693" s="94"/>
    </row>
    <row r="694">
      <c r="G694" s="94"/>
      <c r="H694" s="94"/>
      <c r="I694" s="94"/>
      <c r="J694" s="94"/>
      <c r="K694" s="178"/>
      <c r="L694" s="94"/>
      <c r="M694" s="94"/>
    </row>
    <row r="695">
      <c r="G695" s="94"/>
      <c r="H695" s="94"/>
      <c r="I695" s="94"/>
      <c r="J695" s="94"/>
      <c r="K695" s="178"/>
      <c r="L695" s="94"/>
      <c r="M695" s="94"/>
    </row>
    <row r="696">
      <c r="G696" s="94"/>
      <c r="H696" s="94"/>
      <c r="I696" s="94"/>
      <c r="J696" s="94"/>
      <c r="K696" s="178"/>
      <c r="L696" s="94"/>
      <c r="M696" s="94"/>
    </row>
    <row r="697">
      <c r="G697" s="94"/>
      <c r="H697" s="94"/>
      <c r="I697" s="94"/>
      <c r="J697" s="94"/>
      <c r="K697" s="178"/>
      <c r="L697" s="94"/>
      <c r="M697" s="94"/>
    </row>
    <row r="698">
      <c r="G698" s="94"/>
      <c r="H698" s="94"/>
      <c r="I698" s="94"/>
      <c r="J698" s="94"/>
      <c r="K698" s="178"/>
      <c r="L698" s="94"/>
      <c r="M698" s="94"/>
    </row>
    <row r="699">
      <c r="G699" s="94"/>
      <c r="H699" s="94"/>
      <c r="I699" s="94"/>
      <c r="J699" s="94"/>
      <c r="K699" s="178"/>
      <c r="L699" s="94"/>
      <c r="M699" s="94"/>
    </row>
    <row r="700">
      <c r="G700" s="94"/>
      <c r="H700" s="94"/>
      <c r="I700" s="94"/>
      <c r="J700" s="94"/>
      <c r="K700" s="178"/>
      <c r="L700" s="94"/>
      <c r="M700" s="94"/>
    </row>
    <row r="701">
      <c r="G701" s="94"/>
      <c r="H701" s="94"/>
      <c r="I701" s="94"/>
      <c r="J701" s="94"/>
      <c r="K701" s="178"/>
      <c r="L701" s="94"/>
      <c r="M701" s="94"/>
    </row>
    <row r="702">
      <c r="G702" s="94"/>
      <c r="H702" s="94"/>
      <c r="I702" s="94"/>
      <c r="J702" s="94"/>
      <c r="K702" s="178"/>
      <c r="L702" s="94"/>
      <c r="M702" s="94"/>
    </row>
    <row r="703">
      <c r="G703" s="94"/>
      <c r="H703" s="94"/>
      <c r="I703" s="94"/>
      <c r="J703" s="94"/>
      <c r="K703" s="178"/>
      <c r="L703" s="94"/>
      <c r="M703" s="94"/>
    </row>
    <row r="704">
      <c r="G704" s="94"/>
      <c r="H704" s="94"/>
      <c r="I704" s="94"/>
      <c r="J704" s="94"/>
      <c r="K704" s="178"/>
      <c r="L704" s="94"/>
      <c r="M704" s="94"/>
    </row>
    <row r="705">
      <c r="G705" s="94"/>
      <c r="H705" s="94"/>
      <c r="I705" s="94"/>
      <c r="J705" s="94"/>
      <c r="K705" s="178"/>
      <c r="L705" s="94"/>
      <c r="M705" s="94"/>
    </row>
    <row r="706">
      <c r="G706" s="94"/>
      <c r="H706" s="94"/>
      <c r="I706" s="94"/>
      <c r="J706" s="94"/>
      <c r="K706" s="178"/>
      <c r="L706" s="94"/>
      <c r="M706" s="94"/>
    </row>
    <row r="707">
      <c r="G707" s="94"/>
      <c r="H707" s="94"/>
      <c r="I707" s="94"/>
      <c r="J707" s="94"/>
      <c r="K707" s="178"/>
      <c r="L707" s="94"/>
      <c r="M707" s="94"/>
    </row>
    <row r="708">
      <c r="G708" s="94"/>
      <c r="H708" s="94"/>
      <c r="I708" s="94"/>
      <c r="J708" s="94"/>
      <c r="K708" s="178"/>
      <c r="L708" s="94"/>
      <c r="M708" s="94"/>
    </row>
    <row r="709">
      <c r="G709" s="94"/>
      <c r="H709" s="94"/>
      <c r="I709" s="94"/>
      <c r="J709" s="94"/>
      <c r="K709" s="178"/>
      <c r="L709" s="94"/>
      <c r="M709" s="94"/>
    </row>
    <row r="710">
      <c r="G710" s="94"/>
      <c r="H710" s="94"/>
      <c r="I710" s="94"/>
      <c r="J710" s="94"/>
      <c r="K710" s="178"/>
      <c r="L710" s="94"/>
      <c r="M710" s="94"/>
    </row>
    <row r="711">
      <c r="G711" s="94"/>
      <c r="H711" s="94"/>
      <c r="I711" s="94"/>
      <c r="J711" s="94"/>
      <c r="K711" s="178"/>
      <c r="L711" s="94"/>
      <c r="M711" s="94"/>
    </row>
    <row r="712">
      <c r="G712" s="94"/>
      <c r="H712" s="94"/>
      <c r="I712" s="94"/>
      <c r="J712" s="94"/>
      <c r="K712" s="178"/>
      <c r="L712" s="94"/>
      <c r="M712" s="94"/>
    </row>
    <row r="713">
      <c r="G713" s="94"/>
      <c r="H713" s="94"/>
      <c r="I713" s="94"/>
      <c r="J713" s="94"/>
      <c r="K713" s="178"/>
      <c r="L713" s="94"/>
      <c r="M713" s="94"/>
    </row>
    <row r="714">
      <c r="G714" s="94"/>
      <c r="H714" s="94"/>
      <c r="I714" s="94"/>
      <c r="J714" s="94"/>
      <c r="K714" s="178"/>
      <c r="L714" s="94"/>
      <c r="M714" s="94"/>
    </row>
    <row r="715">
      <c r="G715" s="94"/>
      <c r="H715" s="94"/>
      <c r="I715" s="94"/>
      <c r="J715" s="94"/>
      <c r="K715" s="178"/>
      <c r="L715" s="94"/>
      <c r="M715" s="94"/>
    </row>
    <row r="716">
      <c r="G716" s="94"/>
      <c r="H716" s="94"/>
      <c r="I716" s="94"/>
      <c r="J716" s="94"/>
      <c r="K716" s="178"/>
      <c r="L716" s="94"/>
      <c r="M716" s="94"/>
    </row>
    <row r="717">
      <c r="G717" s="94"/>
      <c r="H717" s="94"/>
      <c r="I717" s="94"/>
      <c r="J717" s="94"/>
      <c r="K717" s="178"/>
      <c r="L717" s="94"/>
      <c r="M717" s="94"/>
    </row>
    <row r="718">
      <c r="G718" s="94"/>
      <c r="H718" s="94"/>
      <c r="I718" s="94"/>
      <c r="J718" s="94"/>
      <c r="K718" s="178"/>
      <c r="L718" s="94"/>
      <c r="M718" s="94"/>
    </row>
    <row r="719">
      <c r="G719" s="94"/>
      <c r="H719" s="94"/>
      <c r="I719" s="94"/>
      <c r="J719" s="94"/>
      <c r="K719" s="178"/>
      <c r="L719" s="94"/>
      <c r="M719" s="94"/>
    </row>
    <row r="720">
      <c r="G720" s="94"/>
      <c r="H720" s="94"/>
      <c r="I720" s="94"/>
      <c r="J720" s="94"/>
      <c r="K720" s="178"/>
      <c r="L720" s="94"/>
      <c r="M720" s="94"/>
    </row>
    <row r="721">
      <c r="G721" s="94"/>
      <c r="H721" s="94"/>
      <c r="I721" s="94"/>
      <c r="J721" s="94"/>
      <c r="K721" s="178"/>
      <c r="L721" s="94"/>
      <c r="M721" s="94"/>
    </row>
    <row r="722">
      <c r="G722" s="94"/>
      <c r="H722" s="94"/>
      <c r="I722" s="94"/>
      <c r="J722" s="94"/>
      <c r="K722" s="178"/>
      <c r="L722" s="94"/>
      <c r="M722" s="94"/>
    </row>
    <row r="723">
      <c r="G723" s="94"/>
      <c r="H723" s="94"/>
      <c r="I723" s="94"/>
      <c r="J723" s="94"/>
      <c r="K723" s="178"/>
      <c r="L723" s="94"/>
      <c r="M723" s="94"/>
    </row>
    <row r="724">
      <c r="G724" s="94"/>
      <c r="H724" s="94"/>
      <c r="I724" s="94"/>
      <c r="J724" s="94"/>
      <c r="K724" s="178"/>
      <c r="L724" s="94"/>
      <c r="M724" s="94"/>
    </row>
    <row r="725">
      <c r="G725" s="94"/>
      <c r="H725" s="94"/>
      <c r="I725" s="94"/>
      <c r="J725" s="94"/>
      <c r="K725" s="178"/>
      <c r="L725" s="94"/>
      <c r="M725" s="94"/>
    </row>
    <row r="726">
      <c r="G726" s="94"/>
      <c r="H726" s="94"/>
      <c r="I726" s="94"/>
      <c r="J726" s="94"/>
      <c r="K726" s="178"/>
      <c r="L726" s="94"/>
      <c r="M726" s="94"/>
    </row>
    <row r="727">
      <c r="G727" s="94"/>
      <c r="H727" s="94"/>
      <c r="I727" s="94"/>
      <c r="J727" s="94"/>
      <c r="K727" s="178"/>
      <c r="L727" s="94"/>
      <c r="M727" s="94"/>
    </row>
    <row r="728">
      <c r="G728" s="94"/>
      <c r="H728" s="94"/>
      <c r="I728" s="94"/>
      <c r="J728" s="94"/>
      <c r="K728" s="178"/>
      <c r="L728" s="94"/>
      <c r="M728" s="94"/>
    </row>
    <row r="729">
      <c r="G729" s="94"/>
      <c r="H729" s="94"/>
      <c r="I729" s="94"/>
      <c r="J729" s="94"/>
      <c r="K729" s="178"/>
      <c r="L729" s="94"/>
      <c r="M729" s="94"/>
    </row>
    <row r="730">
      <c r="G730" s="94"/>
      <c r="H730" s="94"/>
      <c r="I730" s="94"/>
      <c r="J730" s="94"/>
      <c r="K730" s="178"/>
      <c r="L730" s="94"/>
      <c r="M730" s="94"/>
    </row>
    <row r="731">
      <c r="G731" s="94"/>
      <c r="H731" s="94"/>
      <c r="I731" s="94"/>
      <c r="J731" s="94"/>
      <c r="K731" s="178"/>
      <c r="L731" s="94"/>
      <c r="M731" s="94"/>
    </row>
    <row r="732">
      <c r="G732" s="94"/>
      <c r="H732" s="94"/>
      <c r="I732" s="94"/>
      <c r="J732" s="94"/>
      <c r="K732" s="178"/>
      <c r="L732" s="94"/>
      <c r="M732" s="94"/>
    </row>
    <row r="733">
      <c r="G733" s="94"/>
      <c r="H733" s="94"/>
      <c r="I733" s="94"/>
      <c r="J733" s="94"/>
      <c r="K733" s="178"/>
      <c r="L733" s="94"/>
      <c r="M733" s="94"/>
    </row>
    <row r="734">
      <c r="G734" s="94"/>
      <c r="H734" s="94"/>
      <c r="I734" s="94"/>
      <c r="J734" s="94"/>
      <c r="K734" s="178"/>
      <c r="L734" s="94"/>
      <c r="M734" s="94"/>
    </row>
    <row r="735">
      <c r="G735" s="94"/>
      <c r="H735" s="94"/>
      <c r="I735" s="94"/>
      <c r="J735" s="94"/>
      <c r="K735" s="178"/>
      <c r="L735" s="94"/>
      <c r="M735" s="94"/>
    </row>
    <row r="736">
      <c r="G736" s="94"/>
      <c r="H736" s="94"/>
      <c r="I736" s="94"/>
      <c r="J736" s="94"/>
      <c r="K736" s="178"/>
      <c r="L736" s="94"/>
      <c r="M736" s="94"/>
    </row>
    <row r="737">
      <c r="G737" s="94"/>
      <c r="H737" s="94"/>
      <c r="I737" s="94"/>
      <c r="J737" s="94"/>
      <c r="K737" s="178"/>
      <c r="L737" s="94"/>
      <c r="M737" s="94"/>
    </row>
    <row r="738">
      <c r="G738" s="94"/>
      <c r="H738" s="94"/>
      <c r="I738" s="94"/>
      <c r="J738" s="94"/>
      <c r="K738" s="178"/>
      <c r="L738" s="94"/>
      <c r="M738" s="94"/>
    </row>
    <row r="739">
      <c r="G739" s="94"/>
      <c r="H739" s="94"/>
      <c r="I739" s="94"/>
      <c r="J739" s="94"/>
      <c r="K739" s="178"/>
      <c r="L739" s="94"/>
      <c r="M739" s="94"/>
    </row>
    <row r="740">
      <c r="G740" s="94"/>
      <c r="H740" s="94"/>
      <c r="I740" s="94"/>
      <c r="J740" s="94"/>
      <c r="K740" s="178"/>
      <c r="L740" s="94"/>
      <c r="M740" s="94"/>
    </row>
    <row r="741">
      <c r="G741" s="94"/>
      <c r="H741" s="94"/>
      <c r="I741" s="94"/>
      <c r="J741" s="94"/>
      <c r="K741" s="178"/>
      <c r="L741" s="94"/>
      <c r="M741" s="94"/>
    </row>
    <row r="742">
      <c r="G742" s="94"/>
      <c r="H742" s="94"/>
      <c r="I742" s="94"/>
      <c r="J742" s="94"/>
      <c r="K742" s="178"/>
      <c r="L742" s="94"/>
      <c r="M742" s="94"/>
    </row>
    <row r="743">
      <c r="G743" s="94"/>
      <c r="H743" s="94"/>
      <c r="I743" s="94"/>
      <c r="J743" s="94"/>
      <c r="K743" s="178"/>
      <c r="L743" s="94"/>
      <c r="M743" s="94"/>
    </row>
    <row r="744">
      <c r="G744" s="94"/>
      <c r="H744" s="94"/>
      <c r="I744" s="94"/>
      <c r="J744" s="94"/>
      <c r="K744" s="178"/>
      <c r="L744" s="94"/>
      <c r="M744" s="94"/>
    </row>
    <row r="745">
      <c r="G745" s="94"/>
      <c r="H745" s="94"/>
      <c r="I745" s="94"/>
      <c r="J745" s="94"/>
      <c r="K745" s="178"/>
      <c r="L745" s="94"/>
      <c r="M745" s="94"/>
    </row>
    <row r="746">
      <c r="G746" s="94"/>
      <c r="H746" s="94"/>
      <c r="I746" s="94"/>
      <c r="J746" s="94"/>
      <c r="K746" s="178"/>
      <c r="L746" s="94"/>
      <c r="M746" s="94"/>
    </row>
    <row r="747">
      <c r="G747" s="94"/>
      <c r="H747" s="94"/>
      <c r="I747" s="94"/>
      <c r="J747" s="94"/>
      <c r="K747" s="178"/>
      <c r="L747" s="94"/>
      <c r="M747" s="94"/>
    </row>
    <row r="748">
      <c r="G748" s="94"/>
      <c r="H748" s="94"/>
      <c r="I748" s="94"/>
      <c r="J748" s="94"/>
      <c r="K748" s="178"/>
      <c r="L748" s="94"/>
      <c r="M748" s="94"/>
    </row>
    <row r="749">
      <c r="G749" s="94"/>
      <c r="H749" s="94"/>
      <c r="I749" s="94"/>
      <c r="J749" s="94"/>
      <c r="K749" s="178"/>
      <c r="L749" s="94"/>
      <c r="M749" s="94"/>
    </row>
    <row r="750">
      <c r="G750" s="94"/>
      <c r="H750" s="94"/>
      <c r="I750" s="94"/>
      <c r="J750" s="94"/>
      <c r="K750" s="178"/>
      <c r="L750" s="94"/>
      <c r="M750" s="94"/>
    </row>
    <row r="751">
      <c r="G751" s="94"/>
      <c r="H751" s="94"/>
      <c r="I751" s="94"/>
      <c r="J751" s="94"/>
      <c r="K751" s="178"/>
      <c r="L751" s="94"/>
      <c r="M751" s="94"/>
    </row>
    <row r="752">
      <c r="G752" s="94"/>
      <c r="H752" s="94"/>
      <c r="I752" s="94"/>
      <c r="J752" s="94"/>
      <c r="K752" s="178"/>
      <c r="L752" s="94"/>
      <c r="M752" s="94"/>
    </row>
    <row r="753">
      <c r="G753" s="94"/>
      <c r="H753" s="94"/>
      <c r="I753" s="94"/>
      <c r="J753" s="94"/>
      <c r="K753" s="178"/>
      <c r="L753" s="94"/>
      <c r="M753" s="94"/>
    </row>
    <row r="754">
      <c r="G754" s="94"/>
      <c r="H754" s="94"/>
      <c r="I754" s="94"/>
      <c r="J754" s="94"/>
      <c r="K754" s="178"/>
      <c r="L754" s="94"/>
      <c r="M754" s="94"/>
    </row>
    <row r="755">
      <c r="G755" s="94"/>
      <c r="H755" s="94"/>
      <c r="I755" s="94"/>
      <c r="J755" s="94"/>
      <c r="K755" s="178"/>
      <c r="L755" s="94"/>
      <c r="M755" s="94"/>
    </row>
    <row r="756">
      <c r="G756" s="94"/>
      <c r="H756" s="94"/>
      <c r="I756" s="94"/>
      <c r="J756" s="94"/>
      <c r="K756" s="178"/>
      <c r="L756" s="94"/>
      <c r="M756" s="94"/>
    </row>
    <row r="757">
      <c r="G757" s="94"/>
      <c r="H757" s="94"/>
      <c r="I757" s="94"/>
      <c r="J757" s="94"/>
      <c r="K757" s="178"/>
      <c r="L757" s="94"/>
      <c r="M757" s="94"/>
    </row>
    <row r="758">
      <c r="G758" s="94"/>
      <c r="H758" s="94"/>
      <c r="I758" s="94"/>
      <c r="J758" s="94"/>
      <c r="K758" s="178"/>
      <c r="L758" s="94"/>
      <c r="M758" s="94"/>
    </row>
    <row r="759">
      <c r="G759" s="94"/>
      <c r="H759" s="94"/>
      <c r="I759" s="94"/>
      <c r="J759" s="94"/>
      <c r="K759" s="178"/>
      <c r="L759" s="94"/>
      <c r="M759" s="94"/>
    </row>
    <row r="760">
      <c r="G760" s="94"/>
      <c r="H760" s="94"/>
      <c r="I760" s="94"/>
      <c r="J760" s="94"/>
      <c r="K760" s="178"/>
      <c r="L760" s="94"/>
      <c r="M760" s="94"/>
    </row>
    <row r="761">
      <c r="G761" s="94"/>
      <c r="H761" s="94"/>
      <c r="I761" s="94"/>
      <c r="J761" s="94"/>
      <c r="K761" s="178"/>
      <c r="L761" s="94"/>
      <c r="M761" s="94"/>
    </row>
    <row r="762">
      <c r="G762" s="94"/>
      <c r="H762" s="94"/>
      <c r="I762" s="94"/>
      <c r="J762" s="94"/>
      <c r="K762" s="178"/>
      <c r="L762" s="94"/>
      <c r="M762" s="94"/>
    </row>
    <row r="763">
      <c r="G763" s="94"/>
      <c r="H763" s="94"/>
      <c r="I763" s="94"/>
      <c r="J763" s="94"/>
      <c r="K763" s="178"/>
      <c r="L763" s="94"/>
      <c r="M763" s="94"/>
    </row>
    <row r="764">
      <c r="G764" s="94"/>
      <c r="H764" s="94"/>
      <c r="I764" s="94"/>
      <c r="J764" s="94"/>
      <c r="K764" s="178"/>
      <c r="L764" s="94"/>
      <c r="M764" s="94"/>
    </row>
    <row r="765">
      <c r="G765" s="94"/>
      <c r="H765" s="94"/>
      <c r="I765" s="94"/>
      <c r="J765" s="94"/>
      <c r="K765" s="178"/>
      <c r="L765" s="94"/>
      <c r="M765" s="94"/>
    </row>
    <row r="766">
      <c r="G766" s="94"/>
      <c r="H766" s="94"/>
      <c r="I766" s="94"/>
      <c r="J766" s="94"/>
      <c r="K766" s="178"/>
      <c r="L766" s="94"/>
      <c r="M766" s="94"/>
    </row>
    <row r="767">
      <c r="G767" s="94"/>
      <c r="H767" s="94"/>
      <c r="I767" s="94"/>
      <c r="J767" s="94"/>
      <c r="K767" s="178"/>
      <c r="L767" s="94"/>
      <c r="M767" s="94"/>
    </row>
    <row r="768">
      <c r="G768" s="94"/>
      <c r="H768" s="94"/>
      <c r="I768" s="94"/>
      <c r="J768" s="94"/>
      <c r="K768" s="178"/>
      <c r="L768" s="94"/>
      <c r="M768" s="94"/>
    </row>
    <row r="769">
      <c r="G769" s="94"/>
      <c r="H769" s="94"/>
      <c r="I769" s="94"/>
      <c r="J769" s="94"/>
      <c r="K769" s="178"/>
      <c r="L769" s="94"/>
      <c r="M769" s="94"/>
    </row>
    <row r="770">
      <c r="G770" s="94"/>
      <c r="H770" s="94"/>
      <c r="I770" s="94"/>
      <c r="J770" s="94"/>
      <c r="K770" s="178"/>
      <c r="L770" s="94"/>
      <c r="M770" s="94"/>
    </row>
    <row r="771">
      <c r="G771" s="94"/>
      <c r="H771" s="94"/>
      <c r="I771" s="94"/>
      <c r="J771" s="94"/>
      <c r="K771" s="178"/>
      <c r="L771" s="94"/>
      <c r="M771" s="94"/>
    </row>
    <row r="772">
      <c r="G772" s="94"/>
      <c r="H772" s="94"/>
      <c r="I772" s="94"/>
      <c r="J772" s="94"/>
      <c r="K772" s="178"/>
      <c r="L772" s="94"/>
      <c r="M772" s="94"/>
    </row>
    <row r="773">
      <c r="G773" s="94"/>
      <c r="H773" s="94"/>
      <c r="I773" s="94"/>
      <c r="J773" s="94"/>
      <c r="K773" s="178"/>
      <c r="L773" s="94"/>
      <c r="M773" s="94"/>
    </row>
    <row r="774">
      <c r="G774" s="94"/>
      <c r="H774" s="94"/>
      <c r="I774" s="94"/>
      <c r="J774" s="94"/>
      <c r="K774" s="178"/>
      <c r="L774" s="94"/>
      <c r="M774" s="94"/>
    </row>
    <row r="775">
      <c r="G775" s="94"/>
      <c r="H775" s="94"/>
      <c r="I775" s="94"/>
      <c r="J775" s="94"/>
      <c r="K775" s="178"/>
      <c r="L775" s="94"/>
      <c r="M775" s="94"/>
    </row>
    <row r="776">
      <c r="G776" s="94"/>
      <c r="H776" s="94"/>
      <c r="I776" s="94"/>
      <c r="J776" s="94"/>
      <c r="K776" s="178"/>
      <c r="L776" s="94"/>
      <c r="M776" s="94"/>
    </row>
    <row r="777">
      <c r="G777" s="94"/>
      <c r="H777" s="94"/>
      <c r="I777" s="94"/>
      <c r="J777" s="94"/>
      <c r="K777" s="178"/>
      <c r="L777" s="94"/>
      <c r="M777" s="94"/>
    </row>
    <row r="778">
      <c r="G778" s="94"/>
      <c r="H778" s="94"/>
      <c r="I778" s="94"/>
      <c r="J778" s="94"/>
      <c r="K778" s="178"/>
      <c r="L778" s="94"/>
      <c r="M778" s="94"/>
    </row>
    <row r="779">
      <c r="G779" s="94"/>
      <c r="H779" s="94"/>
      <c r="I779" s="94"/>
      <c r="J779" s="94"/>
      <c r="K779" s="178"/>
      <c r="L779" s="94"/>
      <c r="M779" s="94"/>
    </row>
    <row r="780">
      <c r="G780" s="94"/>
      <c r="H780" s="94"/>
      <c r="I780" s="94"/>
      <c r="J780" s="94"/>
      <c r="K780" s="178"/>
      <c r="L780" s="94"/>
      <c r="M780" s="94"/>
    </row>
    <row r="781">
      <c r="G781" s="94"/>
      <c r="H781" s="94"/>
      <c r="I781" s="94"/>
      <c r="J781" s="94"/>
      <c r="K781" s="178"/>
      <c r="L781" s="94"/>
      <c r="M781" s="94"/>
    </row>
    <row r="782">
      <c r="G782" s="94"/>
      <c r="H782" s="94"/>
      <c r="I782" s="94"/>
      <c r="J782" s="94"/>
      <c r="K782" s="178"/>
      <c r="L782" s="94"/>
      <c r="M782" s="94"/>
    </row>
    <row r="783">
      <c r="G783" s="94"/>
      <c r="H783" s="94"/>
      <c r="I783" s="94"/>
      <c r="J783" s="94"/>
      <c r="K783" s="178"/>
      <c r="L783" s="94"/>
      <c r="M783" s="94"/>
    </row>
    <row r="784">
      <c r="G784" s="94"/>
      <c r="H784" s="94"/>
      <c r="I784" s="94"/>
      <c r="J784" s="94"/>
      <c r="K784" s="178"/>
      <c r="L784" s="94"/>
      <c r="M784" s="94"/>
    </row>
    <row r="785">
      <c r="G785" s="94"/>
      <c r="H785" s="94"/>
      <c r="I785" s="94"/>
      <c r="J785" s="94"/>
      <c r="K785" s="178"/>
      <c r="L785" s="94"/>
      <c r="M785" s="94"/>
    </row>
    <row r="786">
      <c r="G786" s="94"/>
      <c r="H786" s="94"/>
      <c r="I786" s="94"/>
      <c r="J786" s="94"/>
      <c r="K786" s="178"/>
      <c r="L786" s="94"/>
      <c r="M786" s="94"/>
    </row>
    <row r="787">
      <c r="G787" s="94"/>
      <c r="H787" s="94"/>
      <c r="I787" s="94"/>
      <c r="J787" s="94"/>
      <c r="K787" s="178"/>
      <c r="L787" s="94"/>
      <c r="M787" s="94"/>
    </row>
    <row r="788">
      <c r="G788" s="94"/>
      <c r="H788" s="94"/>
      <c r="I788" s="94"/>
      <c r="J788" s="94"/>
      <c r="K788" s="178"/>
      <c r="L788" s="94"/>
      <c r="M788" s="94"/>
    </row>
    <row r="789">
      <c r="G789" s="94"/>
      <c r="H789" s="94"/>
      <c r="I789" s="94"/>
      <c r="J789" s="94"/>
      <c r="K789" s="178"/>
      <c r="L789" s="94"/>
      <c r="M789" s="94"/>
    </row>
    <row r="790">
      <c r="G790" s="94"/>
      <c r="H790" s="94"/>
      <c r="I790" s="94"/>
      <c r="J790" s="94"/>
      <c r="K790" s="178"/>
      <c r="L790" s="94"/>
      <c r="M790" s="94"/>
    </row>
    <row r="791">
      <c r="G791" s="94"/>
      <c r="H791" s="94"/>
      <c r="I791" s="94"/>
      <c r="J791" s="94"/>
      <c r="K791" s="178"/>
      <c r="L791" s="94"/>
      <c r="M791" s="94"/>
    </row>
    <row r="792">
      <c r="G792" s="94"/>
      <c r="H792" s="94"/>
      <c r="I792" s="94"/>
      <c r="J792" s="94"/>
      <c r="K792" s="178"/>
      <c r="L792" s="94"/>
      <c r="M792" s="94"/>
    </row>
    <row r="793">
      <c r="G793" s="94"/>
      <c r="H793" s="94"/>
      <c r="I793" s="94"/>
      <c r="J793" s="94"/>
      <c r="K793" s="178"/>
      <c r="L793" s="94"/>
      <c r="M793" s="94"/>
    </row>
    <row r="794">
      <c r="G794" s="94"/>
      <c r="H794" s="94"/>
      <c r="I794" s="94"/>
      <c r="J794" s="94"/>
      <c r="K794" s="178"/>
      <c r="L794" s="94"/>
      <c r="M794" s="94"/>
    </row>
    <row r="795">
      <c r="G795" s="94"/>
      <c r="H795" s="94"/>
      <c r="I795" s="94"/>
      <c r="J795" s="94"/>
      <c r="K795" s="178"/>
      <c r="L795" s="94"/>
      <c r="M795" s="94"/>
    </row>
    <row r="796">
      <c r="G796" s="94"/>
      <c r="H796" s="94"/>
      <c r="I796" s="94"/>
      <c r="J796" s="94"/>
      <c r="K796" s="178"/>
      <c r="L796" s="94"/>
      <c r="M796" s="94"/>
    </row>
    <row r="797">
      <c r="G797" s="94"/>
      <c r="H797" s="94"/>
      <c r="I797" s="94"/>
      <c r="J797" s="94"/>
      <c r="K797" s="178"/>
      <c r="L797" s="94"/>
      <c r="M797" s="94"/>
    </row>
    <row r="798">
      <c r="G798" s="94"/>
      <c r="H798" s="94"/>
      <c r="I798" s="94"/>
      <c r="J798" s="94"/>
      <c r="K798" s="178"/>
      <c r="L798" s="94"/>
      <c r="M798" s="94"/>
    </row>
    <row r="799">
      <c r="G799" s="94"/>
      <c r="H799" s="94"/>
      <c r="I799" s="94"/>
      <c r="J799" s="94"/>
      <c r="K799" s="178"/>
      <c r="L799" s="94"/>
      <c r="M799" s="94"/>
    </row>
    <row r="800">
      <c r="G800" s="94"/>
      <c r="H800" s="94"/>
      <c r="I800" s="94"/>
      <c r="J800" s="94"/>
      <c r="K800" s="178"/>
      <c r="L800" s="94"/>
      <c r="M800" s="94"/>
    </row>
    <row r="801">
      <c r="G801" s="94"/>
      <c r="H801" s="94"/>
      <c r="I801" s="94"/>
      <c r="J801" s="94"/>
      <c r="K801" s="178"/>
      <c r="L801" s="94"/>
      <c r="M801" s="94"/>
    </row>
    <row r="802">
      <c r="G802" s="94"/>
      <c r="H802" s="94"/>
      <c r="I802" s="94"/>
      <c r="J802" s="94"/>
      <c r="K802" s="178"/>
      <c r="L802" s="94"/>
      <c r="M802" s="94"/>
    </row>
    <row r="803">
      <c r="G803" s="94"/>
      <c r="H803" s="94"/>
      <c r="I803" s="94"/>
      <c r="J803" s="94"/>
      <c r="K803" s="178"/>
      <c r="L803" s="94"/>
      <c r="M803" s="94"/>
    </row>
    <row r="804">
      <c r="G804" s="94"/>
      <c r="H804" s="94"/>
      <c r="I804" s="94"/>
      <c r="J804" s="94"/>
      <c r="K804" s="178"/>
      <c r="L804" s="94"/>
      <c r="M804" s="94"/>
    </row>
    <row r="805">
      <c r="G805" s="94"/>
      <c r="H805" s="94"/>
      <c r="I805" s="94"/>
      <c r="J805" s="94"/>
      <c r="K805" s="178"/>
      <c r="L805" s="94"/>
      <c r="M805" s="94"/>
    </row>
    <row r="806">
      <c r="G806" s="94"/>
      <c r="H806" s="94"/>
      <c r="I806" s="94"/>
      <c r="J806" s="94"/>
      <c r="K806" s="178"/>
      <c r="L806" s="94"/>
      <c r="M806" s="94"/>
    </row>
    <row r="807">
      <c r="G807" s="94"/>
      <c r="H807" s="94"/>
      <c r="I807" s="94"/>
      <c r="J807" s="94"/>
      <c r="K807" s="178"/>
      <c r="L807" s="94"/>
      <c r="M807" s="94"/>
    </row>
    <row r="808">
      <c r="G808" s="94"/>
      <c r="H808" s="94"/>
      <c r="I808" s="94"/>
      <c r="J808" s="94"/>
      <c r="K808" s="178"/>
      <c r="L808" s="94"/>
      <c r="M808" s="94"/>
    </row>
    <row r="809">
      <c r="G809" s="94"/>
      <c r="H809" s="94"/>
      <c r="I809" s="94"/>
      <c r="J809" s="94"/>
      <c r="K809" s="178"/>
      <c r="L809" s="94"/>
      <c r="M809" s="94"/>
    </row>
    <row r="810">
      <c r="G810" s="94"/>
      <c r="H810" s="94"/>
      <c r="I810" s="94"/>
      <c r="J810" s="94"/>
      <c r="K810" s="178"/>
      <c r="L810" s="94"/>
      <c r="M810" s="94"/>
    </row>
    <row r="811">
      <c r="G811" s="94"/>
      <c r="H811" s="94"/>
      <c r="I811" s="94"/>
      <c r="J811" s="94"/>
      <c r="K811" s="178"/>
      <c r="L811" s="94"/>
      <c r="M811" s="94"/>
    </row>
    <row r="812">
      <c r="G812" s="94"/>
      <c r="H812" s="94"/>
      <c r="I812" s="94"/>
      <c r="J812" s="94"/>
      <c r="K812" s="178"/>
      <c r="L812" s="94"/>
      <c r="M812" s="94"/>
    </row>
    <row r="813">
      <c r="G813" s="94"/>
      <c r="H813" s="94"/>
      <c r="I813" s="94"/>
      <c r="J813" s="94"/>
      <c r="K813" s="178"/>
      <c r="L813" s="94"/>
      <c r="M813" s="94"/>
    </row>
    <row r="814">
      <c r="G814" s="94"/>
      <c r="H814" s="94"/>
      <c r="I814" s="94"/>
      <c r="J814" s="94"/>
      <c r="K814" s="178"/>
      <c r="L814" s="94"/>
      <c r="M814" s="94"/>
    </row>
    <row r="815">
      <c r="G815" s="94"/>
      <c r="H815" s="94"/>
      <c r="I815" s="94"/>
      <c r="J815" s="94"/>
      <c r="K815" s="178"/>
      <c r="L815" s="94"/>
      <c r="M815" s="94"/>
    </row>
    <row r="816">
      <c r="G816" s="94"/>
      <c r="H816" s="94"/>
      <c r="I816" s="94"/>
      <c r="J816" s="94"/>
      <c r="K816" s="178"/>
      <c r="L816" s="94"/>
      <c r="M816" s="94"/>
    </row>
    <row r="817">
      <c r="G817" s="94"/>
      <c r="H817" s="94"/>
      <c r="I817" s="94"/>
      <c r="J817" s="94"/>
      <c r="K817" s="178"/>
      <c r="L817" s="94"/>
      <c r="M817" s="94"/>
    </row>
    <row r="818">
      <c r="G818" s="94"/>
      <c r="H818" s="94"/>
      <c r="I818" s="94"/>
      <c r="J818" s="94"/>
      <c r="K818" s="178"/>
      <c r="L818" s="94"/>
      <c r="M818" s="94"/>
    </row>
    <row r="819">
      <c r="G819" s="94"/>
      <c r="H819" s="94"/>
      <c r="I819" s="94"/>
      <c r="J819" s="94"/>
      <c r="K819" s="178"/>
      <c r="L819" s="94"/>
      <c r="M819" s="94"/>
    </row>
    <row r="820">
      <c r="G820" s="94"/>
      <c r="H820" s="94"/>
      <c r="I820" s="94"/>
      <c r="J820" s="94"/>
      <c r="K820" s="178"/>
      <c r="L820" s="94"/>
      <c r="M820" s="94"/>
    </row>
    <row r="821">
      <c r="G821" s="94"/>
      <c r="H821" s="94"/>
      <c r="I821" s="94"/>
      <c r="J821" s="94"/>
      <c r="K821" s="178"/>
      <c r="L821" s="94"/>
      <c r="M821" s="94"/>
    </row>
    <row r="822">
      <c r="G822" s="94"/>
      <c r="H822" s="94"/>
      <c r="I822" s="94"/>
      <c r="J822" s="94"/>
      <c r="K822" s="178"/>
      <c r="L822" s="94"/>
      <c r="M822" s="94"/>
    </row>
    <row r="823">
      <c r="G823" s="94"/>
      <c r="H823" s="94"/>
      <c r="I823" s="94"/>
      <c r="J823" s="94"/>
      <c r="K823" s="178"/>
      <c r="L823" s="94"/>
      <c r="M823" s="94"/>
    </row>
    <row r="824">
      <c r="G824" s="94"/>
      <c r="H824" s="94"/>
      <c r="I824" s="94"/>
      <c r="J824" s="94"/>
      <c r="K824" s="178"/>
      <c r="L824" s="94"/>
      <c r="M824" s="94"/>
    </row>
    <row r="825">
      <c r="G825" s="94"/>
      <c r="H825" s="94"/>
      <c r="I825" s="94"/>
      <c r="J825" s="94"/>
      <c r="K825" s="178"/>
      <c r="L825" s="94"/>
      <c r="M825" s="94"/>
    </row>
    <row r="826">
      <c r="G826" s="94"/>
      <c r="H826" s="94"/>
      <c r="I826" s="94"/>
      <c r="J826" s="94"/>
      <c r="K826" s="178"/>
      <c r="L826" s="94"/>
      <c r="M826" s="94"/>
    </row>
    <row r="827">
      <c r="G827" s="94"/>
      <c r="H827" s="94"/>
      <c r="I827" s="94"/>
      <c r="J827" s="94"/>
      <c r="K827" s="178"/>
      <c r="L827" s="94"/>
      <c r="M827" s="94"/>
    </row>
    <row r="828">
      <c r="G828" s="94"/>
      <c r="H828" s="94"/>
      <c r="I828" s="94"/>
      <c r="J828" s="94"/>
      <c r="K828" s="178"/>
      <c r="L828" s="94"/>
      <c r="M828" s="94"/>
    </row>
    <row r="829">
      <c r="G829" s="94"/>
      <c r="H829" s="94"/>
      <c r="I829" s="94"/>
      <c r="J829" s="94"/>
      <c r="K829" s="178"/>
      <c r="L829" s="94"/>
      <c r="M829" s="94"/>
    </row>
    <row r="830">
      <c r="G830" s="94"/>
      <c r="H830" s="94"/>
      <c r="I830" s="94"/>
      <c r="J830" s="94"/>
      <c r="K830" s="178"/>
      <c r="L830" s="94"/>
      <c r="M830" s="94"/>
    </row>
    <row r="831">
      <c r="G831" s="94"/>
      <c r="H831" s="94"/>
      <c r="I831" s="94"/>
      <c r="J831" s="94"/>
      <c r="K831" s="178"/>
      <c r="L831" s="94"/>
      <c r="M831" s="94"/>
    </row>
    <row r="832">
      <c r="G832" s="94"/>
      <c r="H832" s="94"/>
      <c r="I832" s="94"/>
      <c r="J832" s="94"/>
      <c r="K832" s="178"/>
      <c r="L832" s="94"/>
      <c r="M832" s="94"/>
    </row>
    <row r="833">
      <c r="G833" s="94"/>
      <c r="H833" s="94"/>
      <c r="I833" s="94"/>
      <c r="J833" s="94"/>
      <c r="K833" s="178"/>
      <c r="L833" s="94"/>
      <c r="M833" s="94"/>
    </row>
    <row r="834">
      <c r="G834" s="94"/>
      <c r="H834" s="94"/>
      <c r="I834" s="94"/>
      <c r="J834" s="94"/>
      <c r="K834" s="178"/>
      <c r="L834" s="94"/>
      <c r="M834" s="94"/>
    </row>
    <row r="835">
      <c r="G835" s="94"/>
      <c r="H835" s="94"/>
      <c r="I835" s="94"/>
      <c r="J835" s="94"/>
      <c r="K835" s="178"/>
      <c r="L835" s="94"/>
      <c r="M835" s="94"/>
    </row>
    <row r="836">
      <c r="G836" s="94"/>
      <c r="H836" s="94"/>
      <c r="I836" s="94"/>
      <c r="J836" s="94"/>
      <c r="K836" s="178"/>
      <c r="L836" s="94"/>
      <c r="M836" s="94"/>
    </row>
    <row r="837">
      <c r="G837" s="94"/>
      <c r="H837" s="94"/>
      <c r="I837" s="94"/>
      <c r="J837" s="94"/>
      <c r="K837" s="178"/>
      <c r="L837" s="94"/>
      <c r="M837" s="94"/>
    </row>
    <row r="838">
      <c r="G838" s="94"/>
      <c r="H838" s="94"/>
      <c r="I838" s="94"/>
      <c r="J838" s="94"/>
      <c r="K838" s="178"/>
      <c r="L838" s="94"/>
      <c r="M838" s="94"/>
    </row>
    <row r="839">
      <c r="G839" s="94"/>
      <c r="H839" s="94"/>
      <c r="I839" s="94"/>
      <c r="J839" s="94"/>
      <c r="K839" s="178"/>
      <c r="L839" s="94"/>
      <c r="M839" s="94"/>
    </row>
    <row r="840">
      <c r="G840" s="94"/>
      <c r="H840" s="94"/>
      <c r="I840" s="94"/>
      <c r="J840" s="94"/>
      <c r="K840" s="178"/>
      <c r="L840" s="94"/>
      <c r="M840" s="94"/>
    </row>
    <row r="841">
      <c r="G841" s="94"/>
      <c r="H841" s="94"/>
      <c r="I841" s="94"/>
      <c r="J841" s="94"/>
      <c r="K841" s="178"/>
      <c r="L841" s="94"/>
      <c r="M841" s="94"/>
    </row>
    <row r="842">
      <c r="G842" s="94"/>
      <c r="H842" s="94"/>
      <c r="I842" s="94"/>
      <c r="J842" s="94"/>
      <c r="K842" s="178"/>
      <c r="L842" s="94"/>
      <c r="M842" s="94"/>
    </row>
    <row r="843">
      <c r="G843" s="94"/>
      <c r="H843" s="94"/>
      <c r="I843" s="94"/>
      <c r="J843" s="94"/>
      <c r="K843" s="178"/>
      <c r="L843" s="94"/>
      <c r="M843" s="94"/>
    </row>
    <row r="844">
      <c r="G844" s="94"/>
      <c r="H844" s="94"/>
      <c r="I844" s="94"/>
      <c r="J844" s="94"/>
      <c r="K844" s="178"/>
      <c r="L844" s="94"/>
      <c r="M844" s="94"/>
    </row>
    <row r="845">
      <c r="G845" s="94"/>
      <c r="H845" s="94"/>
      <c r="I845" s="94"/>
      <c r="J845" s="94"/>
      <c r="K845" s="178"/>
      <c r="L845" s="94"/>
      <c r="M845" s="94"/>
    </row>
    <row r="846">
      <c r="G846" s="94"/>
      <c r="H846" s="94"/>
      <c r="I846" s="94"/>
      <c r="J846" s="94"/>
      <c r="K846" s="178"/>
      <c r="L846" s="94"/>
      <c r="M846" s="94"/>
    </row>
    <row r="847">
      <c r="G847" s="94"/>
      <c r="H847" s="94"/>
      <c r="I847" s="94"/>
      <c r="J847" s="94"/>
      <c r="K847" s="178"/>
      <c r="L847" s="94"/>
      <c r="M847" s="94"/>
    </row>
    <row r="848">
      <c r="G848" s="94"/>
      <c r="H848" s="94"/>
      <c r="I848" s="94"/>
      <c r="J848" s="94"/>
      <c r="K848" s="178"/>
      <c r="L848" s="94"/>
      <c r="M848" s="94"/>
    </row>
    <row r="849">
      <c r="G849" s="94"/>
      <c r="H849" s="94"/>
      <c r="I849" s="94"/>
      <c r="J849" s="94"/>
      <c r="K849" s="178"/>
      <c r="L849" s="94"/>
      <c r="M849" s="94"/>
    </row>
    <row r="850">
      <c r="G850" s="94"/>
      <c r="H850" s="94"/>
      <c r="I850" s="94"/>
      <c r="J850" s="94"/>
      <c r="K850" s="178"/>
      <c r="L850" s="94"/>
      <c r="M850" s="94"/>
    </row>
    <row r="851">
      <c r="G851" s="94"/>
      <c r="H851" s="94"/>
      <c r="I851" s="94"/>
      <c r="J851" s="94"/>
      <c r="K851" s="178"/>
      <c r="L851" s="94"/>
      <c r="M851" s="94"/>
    </row>
    <row r="852">
      <c r="G852" s="94"/>
      <c r="H852" s="94"/>
      <c r="I852" s="94"/>
      <c r="J852" s="94"/>
      <c r="K852" s="178"/>
      <c r="L852" s="94"/>
      <c r="M852" s="94"/>
    </row>
    <row r="853">
      <c r="G853" s="94"/>
      <c r="H853" s="94"/>
      <c r="I853" s="94"/>
      <c r="J853" s="94"/>
      <c r="K853" s="178"/>
      <c r="L853" s="94"/>
      <c r="M853" s="94"/>
    </row>
    <row r="854">
      <c r="G854" s="94"/>
      <c r="H854" s="94"/>
      <c r="I854" s="94"/>
      <c r="J854" s="94"/>
      <c r="K854" s="178"/>
      <c r="L854" s="94"/>
      <c r="M854" s="94"/>
    </row>
    <row r="855">
      <c r="G855" s="94"/>
      <c r="H855" s="94"/>
      <c r="I855" s="94"/>
      <c r="J855" s="94"/>
      <c r="K855" s="178"/>
      <c r="L855" s="94"/>
      <c r="M855" s="94"/>
    </row>
    <row r="856">
      <c r="G856" s="94"/>
      <c r="H856" s="94"/>
      <c r="I856" s="94"/>
      <c r="J856" s="94"/>
      <c r="K856" s="178"/>
      <c r="L856" s="94"/>
      <c r="M856" s="94"/>
    </row>
    <row r="857">
      <c r="G857" s="94"/>
      <c r="H857" s="94"/>
      <c r="I857" s="94"/>
      <c r="J857" s="94"/>
      <c r="K857" s="178"/>
      <c r="L857" s="94"/>
      <c r="M857" s="94"/>
    </row>
    <row r="858">
      <c r="G858" s="94"/>
      <c r="H858" s="94"/>
      <c r="I858" s="94"/>
      <c r="J858" s="94"/>
      <c r="K858" s="178"/>
      <c r="L858" s="94"/>
      <c r="M858" s="94"/>
    </row>
    <row r="859">
      <c r="G859" s="94"/>
      <c r="H859" s="94"/>
      <c r="I859" s="94"/>
      <c r="J859" s="94"/>
      <c r="K859" s="178"/>
      <c r="L859" s="94"/>
      <c r="M859" s="94"/>
    </row>
    <row r="860">
      <c r="G860" s="94"/>
      <c r="H860" s="94"/>
      <c r="I860" s="94"/>
      <c r="J860" s="94"/>
      <c r="K860" s="178"/>
      <c r="L860" s="94"/>
      <c r="M860" s="94"/>
    </row>
    <row r="861">
      <c r="G861" s="94"/>
      <c r="H861" s="94"/>
      <c r="I861" s="94"/>
      <c r="J861" s="94"/>
      <c r="K861" s="178"/>
      <c r="L861" s="94"/>
      <c r="M861" s="94"/>
    </row>
    <row r="862">
      <c r="G862" s="94"/>
      <c r="H862" s="94"/>
      <c r="I862" s="94"/>
      <c r="J862" s="94"/>
      <c r="K862" s="178"/>
      <c r="L862" s="94"/>
      <c r="M862" s="94"/>
    </row>
    <row r="863">
      <c r="G863" s="94"/>
      <c r="H863" s="94"/>
      <c r="I863" s="94"/>
      <c r="J863" s="94"/>
      <c r="K863" s="178"/>
      <c r="L863" s="94"/>
      <c r="M863" s="94"/>
    </row>
    <row r="864">
      <c r="G864" s="94"/>
      <c r="H864" s="94"/>
      <c r="I864" s="94"/>
      <c r="J864" s="94"/>
      <c r="K864" s="178"/>
      <c r="L864" s="94"/>
      <c r="M864" s="94"/>
    </row>
    <row r="865">
      <c r="G865" s="94"/>
      <c r="H865" s="94"/>
      <c r="I865" s="94"/>
      <c r="J865" s="94"/>
      <c r="K865" s="178"/>
      <c r="L865" s="94"/>
      <c r="M865" s="94"/>
    </row>
    <row r="866">
      <c r="G866" s="94"/>
      <c r="H866" s="94"/>
      <c r="I866" s="94"/>
      <c r="J866" s="94"/>
      <c r="K866" s="178"/>
      <c r="L866" s="94"/>
      <c r="M866" s="94"/>
    </row>
    <row r="867">
      <c r="G867" s="94"/>
      <c r="H867" s="94"/>
      <c r="I867" s="94"/>
      <c r="J867" s="94"/>
      <c r="K867" s="178"/>
      <c r="L867" s="94"/>
      <c r="M867" s="94"/>
    </row>
    <row r="868">
      <c r="G868" s="94"/>
      <c r="H868" s="94"/>
      <c r="I868" s="94"/>
      <c r="J868" s="94"/>
      <c r="K868" s="178"/>
      <c r="L868" s="94"/>
      <c r="M868" s="94"/>
    </row>
    <row r="869">
      <c r="G869" s="94"/>
      <c r="H869" s="94"/>
      <c r="I869" s="94"/>
      <c r="J869" s="94"/>
      <c r="K869" s="178"/>
      <c r="L869" s="94"/>
      <c r="M869" s="94"/>
    </row>
    <row r="870">
      <c r="G870" s="94"/>
      <c r="H870" s="94"/>
      <c r="I870" s="94"/>
      <c r="J870" s="94"/>
      <c r="K870" s="178"/>
      <c r="L870" s="94"/>
      <c r="M870" s="94"/>
    </row>
    <row r="871">
      <c r="G871" s="94"/>
      <c r="H871" s="94"/>
      <c r="I871" s="94"/>
      <c r="J871" s="94"/>
      <c r="K871" s="178"/>
      <c r="L871" s="94"/>
      <c r="M871" s="94"/>
    </row>
    <row r="872">
      <c r="G872" s="94"/>
      <c r="H872" s="94"/>
      <c r="I872" s="94"/>
      <c r="J872" s="94"/>
      <c r="K872" s="178"/>
      <c r="L872" s="94"/>
      <c r="M872" s="94"/>
    </row>
    <row r="873">
      <c r="G873" s="94"/>
      <c r="H873" s="94"/>
      <c r="I873" s="94"/>
      <c r="J873" s="94"/>
      <c r="K873" s="178"/>
      <c r="L873" s="94"/>
      <c r="M873" s="94"/>
    </row>
    <row r="874">
      <c r="G874" s="94"/>
      <c r="H874" s="94"/>
      <c r="I874" s="94"/>
      <c r="J874" s="94"/>
      <c r="K874" s="178"/>
      <c r="L874" s="94"/>
      <c r="M874" s="94"/>
    </row>
    <row r="875">
      <c r="G875" s="94"/>
      <c r="H875" s="94"/>
      <c r="I875" s="94"/>
      <c r="J875" s="94"/>
      <c r="K875" s="178"/>
      <c r="L875" s="94"/>
      <c r="M875" s="94"/>
    </row>
    <row r="876">
      <c r="G876" s="94"/>
      <c r="H876" s="94"/>
      <c r="I876" s="94"/>
      <c r="J876" s="94"/>
      <c r="K876" s="178"/>
      <c r="L876" s="94"/>
      <c r="M876" s="94"/>
    </row>
    <row r="877">
      <c r="G877" s="94"/>
      <c r="H877" s="94"/>
      <c r="I877" s="94"/>
      <c r="J877" s="94"/>
      <c r="K877" s="178"/>
      <c r="L877" s="94"/>
      <c r="M877" s="94"/>
    </row>
    <row r="878">
      <c r="G878" s="94"/>
      <c r="H878" s="94"/>
      <c r="I878" s="94"/>
      <c r="J878" s="94"/>
      <c r="K878" s="178"/>
      <c r="L878" s="94"/>
      <c r="M878" s="94"/>
    </row>
    <row r="879">
      <c r="G879" s="94"/>
      <c r="H879" s="94"/>
      <c r="I879" s="94"/>
      <c r="J879" s="94"/>
      <c r="K879" s="178"/>
      <c r="L879" s="94"/>
      <c r="M879" s="94"/>
    </row>
    <row r="880">
      <c r="G880" s="94"/>
      <c r="H880" s="94"/>
      <c r="I880" s="94"/>
      <c r="J880" s="94"/>
      <c r="K880" s="178"/>
      <c r="L880" s="94"/>
      <c r="M880" s="94"/>
    </row>
    <row r="881">
      <c r="G881" s="94"/>
      <c r="H881" s="94"/>
      <c r="I881" s="94"/>
      <c r="J881" s="94"/>
      <c r="K881" s="178"/>
      <c r="L881" s="94"/>
      <c r="M881" s="94"/>
    </row>
    <row r="882">
      <c r="G882" s="94"/>
      <c r="H882" s="94"/>
      <c r="I882" s="94"/>
      <c r="J882" s="94"/>
      <c r="K882" s="178"/>
      <c r="L882" s="94"/>
      <c r="M882" s="94"/>
    </row>
    <row r="883">
      <c r="G883" s="94"/>
      <c r="H883" s="94"/>
      <c r="I883" s="94"/>
      <c r="J883" s="94"/>
      <c r="K883" s="178"/>
      <c r="L883" s="94"/>
      <c r="M883" s="94"/>
    </row>
    <row r="884">
      <c r="G884" s="94"/>
      <c r="H884" s="94"/>
      <c r="I884" s="94"/>
      <c r="J884" s="94"/>
      <c r="K884" s="178"/>
      <c r="L884" s="94"/>
      <c r="M884" s="94"/>
    </row>
    <row r="885">
      <c r="G885" s="94"/>
      <c r="H885" s="94"/>
      <c r="I885" s="94"/>
      <c r="J885" s="94"/>
      <c r="K885" s="178"/>
      <c r="L885" s="94"/>
      <c r="M885" s="94"/>
    </row>
    <row r="886">
      <c r="G886" s="94"/>
      <c r="H886" s="94"/>
      <c r="I886" s="94"/>
      <c r="J886" s="94"/>
      <c r="K886" s="178"/>
      <c r="L886" s="94"/>
      <c r="M886" s="94"/>
    </row>
    <row r="887">
      <c r="G887" s="94"/>
      <c r="H887" s="94"/>
      <c r="I887" s="94"/>
      <c r="J887" s="94"/>
      <c r="K887" s="178"/>
      <c r="L887" s="94"/>
      <c r="M887" s="94"/>
    </row>
    <row r="888">
      <c r="G888" s="94"/>
      <c r="H888" s="94"/>
      <c r="I888" s="94"/>
      <c r="J888" s="94"/>
      <c r="K888" s="178"/>
      <c r="L888" s="94"/>
      <c r="M888" s="94"/>
    </row>
    <row r="889">
      <c r="G889" s="94"/>
      <c r="H889" s="94"/>
      <c r="I889" s="94"/>
      <c r="J889" s="94"/>
      <c r="K889" s="178"/>
      <c r="L889" s="94"/>
      <c r="M889" s="94"/>
    </row>
    <row r="890">
      <c r="G890" s="94"/>
      <c r="H890" s="94"/>
      <c r="I890" s="94"/>
      <c r="J890" s="94"/>
      <c r="K890" s="178"/>
      <c r="L890" s="94"/>
      <c r="M890" s="94"/>
    </row>
    <row r="891">
      <c r="G891" s="94"/>
      <c r="H891" s="94"/>
      <c r="I891" s="94"/>
      <c r="J891" s="94"/>
      <c r="K891" s="178"/>
      <c r="L891" s="94"/>
      <c r="M891" s="94"/>
    </row>
    <row r="892">
      <c r="G892" s="94"/>
      <c r="H892" s="94"/>
      <c r="I892" s="94"/>
      <c r="J892" s="94"/>
      <c r="K892" s="178"/>
      <c r="L892" s="94"/>
      <c r="M892" s="94"/>
    </row>
    <row r="893">
      <c r="G893" s="94"/>
      <c r="H893" s="94"/>
      <c r="I893" s="94"/>
      <c r="J893" s="94"/>
      <c r="K893" s="178"/>
      <c r="L893" s="94"/>
      <c r="M893" s="94"/>
    </row>
    <row r="894">
      <c r="G894" s="94"/>
      <c r="H894" s="94"/>
      <c r="I894" s="94"/>
      <c r="J894" s="94"/>
      <c r="K894" s="178"/>
      <c r="L894" s="94"/>
      <c r="M894" s="94"/>
    </row>
    <row r="895">
      <c r="G895" s="94"/>
      <c r="H895" s="94"/>
      <c r="I895" s="94"/>
      <c r="J895" s="94"/>
      <c r="K895" s="178"/>
      <c r="L895" s="94"/>
      <c r="M895" s="94"/>
    </row>
    <row r="896">
      <c r="G896" s="94"/>
      <c r="H896" s="94"/>
      <c r="I896" s="94"/>
      <c r="J896" s="94"/>
      <c r="K896" s="178"/>
      <c r="L896" s="94"/>
      <c r="M896" s="94"/>
    </row>
    <row r="897">
      <c r="G897" s="94"/>
      <c r="H897" s="94"/>
      <c r="I897" s="94"/>
      <c r="J897" s="94"/>
      <c r="K897" s="178"/>
      <c r="L897" s="94"/>
      <c r="M897" s="94"/>
    </row>
    <row r="898">
      <c r="G898" s="94"/>
      <c r="H898" s="94"/>
      <c r="I898" s="94"/>
      <c r="J898" s="94"/>
      <c r="K898" s="178"/>
      <c r="L898" s="94"/>
      <c r="M898" s="94"/>
    </row>
    <row r="899">
      <c r="G899" s="94"/>
      <c r="H899" s="94"/>
      <c r="I899" s="94"/>
      <c r="J899" s="94"/>
      <c r="K899" s="178"/>
      <c r="L899" s="94"/>
      <c r="M899" s="94"/>
    </row>
    <row r="900">
      <c r="G900" s="94"/>
      <c r="H900" s="94"/>
      <c r="I900" s="94"/>
      <c r="J900" s="94"/>
      <c r="K900" s="178"/>
      <c r="L900" s="94"/>
      <c r="M900" s="94"/>
    </row>
    <row r="901">
      <c r="G901" s="94"/>
      <c r="H901" s="94"/>
      <c r="I901" s="94"/>
      <c r="J901" s="94"/>
      <c r="K901" s="178"/>
      <c r="L901" s="94"/>
      <c r="M901" s="94"/>
    </row>
    <row r="902">
      <c r="G902" s="94"/>
      <c r="H902" s="94"/>
      <c r="I902" s="94"/>
      <c r="J902" s="94"/>
      <c r="K902" s="178"/>
      <c r="L902" s="94"/>
      <c r="M902" s="94"/>
    </row>
    <row r="903">
      <c r="G903" s="94"/>
      <c r="H903" s="94"/>
      <c r="I903" s="94"/>
      <c r="J903" s="94"/>
      <c r="K903" s="178"/>
      <c r="L903" s="94"/>
      <c r="M903" s="94"/>
    </row>
    <row r="904">
      <c r="G904" s="94"/>
      <c r="H904" s="94"/>
      <c r="I904" s="94"/>
      <c r="J904" s="94"/>
      <c r="K904" s="178"/>
      <c r="L904" s="94"/>
      <c r="M904" s="94"/>
    </row>
    <row r="905">
      <c r="G905" s="94"/>
      <c r="H905" s="94"/>
      <c r="I905" s="94"/>
      <c r="J905" s="94"/>
      <c r="K905" s="178"/>
      <c r="L905" s="94"/>
      <c r="M905" s="94"/>
    </row>
    <row r="906">
      <c r="G906" s="94"/>
      <c r="H906" s="94"/>
      <c r="I906" s="94"/>
      <c r="J906" s="94"/>
      <c r="K906" s="178"/>
      <c r="L906" s="94"/>
      <c r="M906" s="94"/>
    </row>
    <row r="907">
      <c r="G907" s="94"/>
      <c r="H907" s="94"/>
      <c r="I907" s="94"/>
      <c r="J907" s="94"/>
      <c r="K907" s="178"/>
      <c r="L907" s="94"/>
      <c r="M907" s="94"/>
    </row>
    <row r="908">
      <c r="G908" s="94"/>
      <c r="H908" s="94"/>
      <c r="I908" s="94"/>
      <c r="J908" s="94"/>
      <c r="K908" s="178"/>
      <c r="L908" s="94"/>
      <c r="M908" s="94"/>
    </row>
    <row r="909">
      <c r="G909" s="94"/>
      <c r="H909" s="94"/>
      <c r="I909" s="94"/>
      <c r="J909" s="94"/>
      <c r="K909" s="178"/>
      <c r="L909" s="94"/>
      <c r="M909" s="94"/>
    </row>
    <row r="910">
      <c r="G910" s="94"/>
      <c r="H910" s="94"/>
      <c r="I910" s="94"/>
      <c r="J910" s="94"/>
      <c r="K910" s="178"/>
      <c r="L910" s="94"/>
      <c r="M910" s="94"/>
    </row>
    <row r="911">
      <c r="G911" s="94"/>
      <c r="H911" s="94"/>
      <c r="I911" s="94"/>
      <c r="J911" s="94"/>
      <c r="K911" s="178"/>
      <c r="L911" s="94"/>
      <c r="M911" s="94"/>
    </row>
    <row r="912">
      <c r="G912" s="94"/>
      <c r="H912" s="94"/>
      <c r="I912" s="94"/>
      <c r="J912" s="94"/>
      <c r="K912" s="178"/>
      <c r="L912" s="94"/>
      <c r="M912" s="94"/>
    </row>
    <row r="913">
      <c r="G913" s="94"/>
      <c r="H913" s="94"/>
      <c r="I913" s="94"/>
      <c r="J913" s="94"/>
      <c r="K913" s="178"/>
      <c r="L913" s="94"/>
      <c r="M913" s="94"/>
    </row>
    <row r="914">
      <c r="G914" s="94"/>
      <c r="H914" s="94"/>
      <c r="I914" s="94"/>
      <c r="J914" s="94"/>
      <c r="K914" s="178"/>
      <c r="L914" s="94"/>
      <c r="M914" s="94"/>
    </row>
    <row r="915">
      <c r="G915" s="94"/>
      <c r="H915" s="94"/>
      <c r="I915" s="94"/>
      <c r="J915" s="94"/>
      <c r="K915" s="178"/>
      <c r="L915" s="94"/>
      <c r="M915" s="94"/>
    </row>
    <row r="916">
      <c r="G916" s="94"/>
      <c r="H916" s="94"/>
      <c r="I916" s="94"/>
      <c r="J916" s="94"/>
      <c r="K916" s="178"/>
      <c r="L916" s="94"/>
      <c r="M916" s="94"/>
    </row>
    <row r="917">
      <c r="G917" s="94"/>
      <c r="H917" s="94"/>
      <c r="I917" s="94"/>
      <c r="J917" s="94"/>
      <c r="K917" s="178"/>
      <c r="L917" s="94"/>
      <c r="M917" s="94"/>
    </row>
    <row r="918">
      <c r="G918" s="94"/>
      <c r="H918" s="94"/>
      <c r="I918" s="94"/>
      <c r="J918" s="94"/>
      <c r="K918" s="178"/>
      <c r="L918" s="94"/>
      <c r="M918" s="94"/>
    </row>
    <row r="919">
      <c r="G919" s="94"/>
      <c r="H919" s="94"/>
      <c r="I919" s="94"/>
      <c r="J919" s="94"/>
      <c r="K919" s="178"/>
      <c r="L919" s="94"/>
      <c r="M919" s="94"/>
    </row>
    <row r="920">
      <c r="G920" s="94"/>
      <c r="H920" s="94"/>
      <c r="I920" s="94"/>
      <c r="J920" s="94"/>
      <c r="K920" s="178"/>
      <c r="L920" s="94"/>
      <c r="M920" s="94"/>
    </row>
    <row r="921">
      <c r="G921" s="94"/>
      <c r="H921" s="94"/>
      <c r="I921" s="94"/>
      <c r="J921" s="94"/>
      <c r="K921" s="178"/>
      <c r="L921" s="94"/>
      <c r="M921" s="94"/>
    </row>
    <row r="922">
      <c r="G922" s="94"/>
      <c r="H922" s="94"/>
      <c r="I922" s="94"/>
      <c r="J922" s="94"/>
      <c r="K922" s="178"/>
      <c r="L922" s="94"/>
      <c r="M922" s="94"/>
    </row>
    <row r="923">
      <c r="G923" s="94"/>
      <c r="H923" s="94"/>
      <c r="I923" s="94"/>
      <c r="J923" s="94"/>
      <c r="K923" s="178"/>
      <c r="L923" s="94"/>
      <c r="M923" s="94"/>
    </row>
    <row r="924">
      <c r="G924" s="94"/>
      <c r="H924" s="94"/>
      <c r="I924" s="94"/>
      <c r="J924" s="94"/>
      <c r="K924" s="178"/>
      <c r="L924" s="94"/>
      <c r="M924" s="94"/>
    </row>
    <row r="925">
      <c r="G925" s="94"/>
      <c r="H925" s="94"/>
      <c r="I925" s="94"/>
      <c r="J925" s="94"/>
      <c r="K925" s="178"/>
      <c r="L925" s="94"/>
      <c r="M925" s="94"/>
    </row>
    <row r="926">
      <c r="G926" s="94"/>
      <c r="H926" s="94"/>
      <c r="I926" s="94"/>
      <c r="J926" s="94"/>
      <c r="K926" s="178"/>
      <c r="L926" s="94"/>
      <c r="M926" s="94"/>
    </row>
    <row r="927">
      <c r="G927" s="94"/>
      <c r="H927" s="94"/>
      <c r="I927" s="94"/>
      <c r="J927" s="94"/>
      <c r="K927" s="178"/>
      <c r="L927" s="94"/>
      <c r="M927" s="94"/>
    </row>
    <row r="928">
      <c r="G928" s="94"/>
      <c r="H928" s="94"/>
      <c r="I928" s="94"/>
      <c r="J928" s="94"/>
      <c r="K928" s="178"/>
      <c r="L928" s="94"/>
      <c r="M928" s="94"/>
    </row>
    <row r="929">
      <c r="G929" s="94"/>
      <c r="H929" s="94"/>
      <c r="I929" s="94"/>
      <c r="J929" s="94"/>
      <c r="K929" s="178"/>
      <c r="L929" s="94"/>
      <c r="M929" s="94"/>
    </row>
    <row r="930">
      <c r="G930" s="94"/>
      <c r="H930" s="94"/>
      <c r="I930" s="94"/>
      <c r="J930" s="94"/>
      <c r="K930" s="178"/>
      <c r="L930" s="94"/>
      <c r="M930" s="94"/>
    </row>
    <row r="931">
      <c r="G931" s="94"/>
      <c r="H931" s="94"/>
      <c r="I931" s="94"/>
      <c r="J931" s="94"/>
      <c r="K931" s="178"/>
      <c r="L931" s="94"/>
      <c r="M931" s="94"/>
    </row>
    <row r="932">
      <c r="G932" s="94"/>
      <c r="H932" s="94"/>
      <c r="I932" s="94"/>
      <c r="J932" s="94"/>
      <c r="K932" s="178"/>
      <c r="L932" s="94"/>
      <c r="M932" s="94"/>
    </row>
    <row r="933">
      <c r="G933" s="94"/>
      <c r="H933" s="94"/>
      <c r="I933" s="94"/>
      <c r="J933" s="94"/>
      <c r="K933" s="178"/>
      <c r="L933" s="94"/>
      <c r="M933" s="94"/>
    </row>
    <row r="934">
      <c r="G934" s="94"/>
      <c r="H934" s="94"/>
      <c r="I934" s="94"/>
      <c r="J934" s="94"/>
      <c r="K934" s="178"/>
      <c r="L934" s="94"/>
      <c r="M934" s="94"/>
    </row>
    <row r="935">
      <c r="G935" s="94"/>
      <c r="H935" s="94"/>
      <c r="I935" s="94"/>
      <c r="J935" s="94"/>
      <c r="K935" s="178"/>
      <c r="L935" s="94"/>
      <c r="M935" s="94"/>
    </row>
    <row r="936">
      <c r="G936" s="94"/>
      <c r="H936" s="94"/>
      <c r="I936" s="94"/>
      <c r="J936" s="94"/>
      <c r="K936" s="178"/>
      <c r="L936" s="94"/>
      <c r="M936" s="94"/>
    </row>
    <row r="937">
      <c r="G937" s="94"/>
      <c r="H937" s="94"/>
      <c r="I937" s="94"/>
      <c r="J937" s="94"/>
      <c r="K937" s="178"/>
      <c r="L937" s="94"/>
      <c r="M937" s="94"/>
    </row>
    <row r="938">
      <c r="G938" s="94"/>
      <c r="H938" s="94"/>
      <c r="I938" s="94"/>
      <c r="J938" s="94"/>
      <c r="K938" s="178"/>
      <c r="L938" s="94"/>
      <c r="M938" s="94"/>
    </row>
    <row r="939">
      <c r="G939" s="94"/>
      <c r="H939" s="94"/>
      <c r="I939" s="94"/>
      <c r="J939" s="94"/>
      <c r="K939" s="178"/>
      <c r="L939" s="94"/>
      <c r="M939" s="94"/>
    </row>
    <row r="940">
      <c r="G940" s="94"/>
      <c r="H940" s="94"/>
      <c r="I940" s="94"/>
      <c r="J940" s="94"/>
      <c r="K940" s="178"/>
      <c r="L940" s="94"/>
      <c r="M940" s="94"/>
    </row>
    <row r="941">
      <c r="G941" s="94"/>
      <c r="H941" s="94"/>
      <c r="I941" s="94"/>
      <c r="J941" s="94"/>
      <c r="K941" s="178"/>
      <c r="L941" s="94"/>
      <c r="M941" s="94"/>
    </row>
    <row r="942">
      <c r="G942" s="94"/>
      <c r="H942" s="94"/>
      <c r="I942" s="94"/>
      <c r="J942" s="94"/>
      <c r="K942" s="178"/>
      <c r="L942" s="94"/>
      <c r="M942" s="94"/>
    </row>
    <row r="943">
      <c r="G943" s="94"/>
      <c r="H943" s="94"/>
      <c r="I943" s="94"/>
      <c r="J943" s="94"/>
      <c r="K943" s="178"/>
      <c r="L943" s="94"/>
      <c r="M943" s="94"/>
    </row>
    <row r="944">
      <c r="G944" s="94"/>
      <c r="H944" s="94"/>
      <c r="I944" s="94"/>
      <c r="J944" s="94"/>
      <c r="K944" s="178"/>
      <c r="L944" s="94"/>
      <c r="M944" s="94"/>
    </row>
    <row r="945">
      <c r="G945" s="94"/>
      <c r="H945" s="94"/>
      <c r="I945" s="94"/>
      <c r="J945" s="94"/>
      <c r="K945" s="178"/>
      <c r="L945" s="94"/>
      <c r="M945" s="94"/>
    </row>
    <row r="946">
      <c r="G946" s="94"/>
      <c r="H946" s="94"/>
      <c r="I946" s="94"/>
      <c r="J946" s="94"/>
      <c r="K946" s="178"/>
      <c r="L946" s="94"/>
      <c r="M946" s="94"/>
    </row>
    <row r="947">
      <c r="G947" s="94"/>
      <c r="H947" s="94"/>
      <c r="I947" s="94"/>
      <c r="J947" s="94"/>
      <c r="K947" s="178"/>
      <c r="L947" s="94"/>
      <c r="M947" s="94"/>
    </row>
    <row r="948">
      <c r="G948" s="94"/>
      <c r="H948" s="94"/>
      <c r="I948" s="94"/>
      <c r="J948" s="94"/>
      <c r="K948" s="178"/>
      <c r="L948" s="94"/>
      <c r="M948" s="94"/>
    </row>
    <row r="949">
      <c r="G949" s="94"/>
      <c r="H949" s="94"/>
      <c r="I949" s="94"/>
      <c r="J949" s="94"/>
      <c r="K949" s="178"/>
      <c r="L949" s="94"/>
      <c r="M949" s="94"/>
    </row>
    <row r="950">
      <c r="G950" s="94"/>
      <c r="H950" s="94"/>
      <c r="I950" s="94"/>
      <c r="J950" s="94"/>
      <c r="K950" s="178"/>
      <c r="L950" s="94"/>
      <c r="M950" s="94"/>
    </row>
    <row r="951">
      <c r="G951" s="94"/>
      <c r="H951" s="94"/>
      <c r="I951" s="94"/>
      <c r="J951" s="94"/>
      <c r="K951" s="178"/>
      <c r="L951" s="94"/>
      <c r="M951" s="94"/>
    </row>
    <row r="952">
      <c r="G952" s="94"/>
      <c r="H952" s="94"/>
      <c r="I952" s="94"/>
      <c r="J952" s="94"/>
      <c r="K952" s="178"/>
      <c r="L952" s="94"/>
      <c r="M952" s="94"/>
    </row>
    <row r="953">
      <c r="G953" s="94"/>
      <c r="H953" s="94"/>
      <c r="I953" s="94"/>
      <c r="J953" s="94"/>
      <c r="K953" s="178"/>
      <c r="L953" s="94"/>
      <c r="M953" s="94"/>
    </row>
    <row r="954">
      <c r="G954" s="94"/>
      <c r="H954" s="94"/>
      <c r="I954" s="94"/>
      <c r="J954" s="94"/>
      <c r="K954" s="178"/>
      <c r="L954" s="94"/>
      <c r="M954" s="94"/>
    </row>
    <row r="955">
      <c r="G955" s="94"/>
      <c r="H955" s="94"/>
      <c r="I955" s="94"/>
      <c r="J955" s="94"/>
      <c r="K955" s="178"/>
      <c r="L955" s="94"/>
      <c r="M955" s="94"/>
    </row>
    <row r="956">
      <c r="G956" s="94"/>
      <c r="H956" s="94"/>
      <c r="I956" s="94"/>
      <c r="J956" s="94"/>
      <c r="K956" s="178"/>
      <c r="L956" s="94"/>
      <c r="M956" s="94"/>
    </row>
    <row r="957">
      <c r="G957" s="94"/>
      <c r="H957" s="94"/>
      <c r="I957" s="94"/>
      <c r="J957" s="94"/>
      <c r="K957" s="178"/>
      <c r="L957" s="94"/>
      <c r="M957" s="94"/>
    </row>
    <row r="958">
      <c r="G958" s="94"/>
      <c r="H958" s="94"/>
      <c r="I958" s="94"/>
      <c r="J958" s="94"/>
      <c r="K958" s="178"/>
      <c r="L958" s="94"/>
      <c r="M958" s="94"/>
    </row>
    <row r="959">
      <c r="G959" s="94"/>
      <c r="H959" s="94"/>
      <c r="I959" s="94"/>
      <c r="J959" s="94"/>
      <c r="K959" s="178"/>
      <c r="L959" s="94"/>
      <c r="M959" s="94"/>
    </row>
    <row r="960">
      <c r="G960" s="94"/>
      <c r="H960" s="94"/>
      <c r="I960" s="94"/>
      <c r="J960" s="94"/>
      <c r="K960" s="178"/>
      <c r="L960" s="94"/>
      <c r="M960" s="94"/>
    </row>
    <row r="961">
      <c r="G961" s="94"/>
      <c r="H961" s="94"/>
      <c r="I961" s="94"/>
      <c r="J961" s="94"/>
      <c r="K961" s="178"/>
      <c r="L961" s="94"/>
      <c r="M961" s="94"/>
    </row>
    <row r="962">
      <c r="G962" s="94"/>
      <c r="H962" s="94"/>
      <c r="I962" s="94"/>
      <c r="J962" s="94"/>
      <c r="K962" s="178"/>
      <c r="L962" s="94"/>
      <c r="M962" s="94"/>
    </row>
    <row r="963">
      <c r="G963" s="94"/>
      <c r="H963" s="94"/>
      <c r="I963" s="94"/>
      <c r="J963" s="94"/>
      <c r="K963" s="178"/>
      <c r="L963" s="94"/>
      <c r="M963" s="94"/>
    </row>
    <row r="964">
      <c r="G964" s="94"/>
      <c r="H964" s="94"/>
      <c r="I964" s="94"/>
      <c r="J964" s="94"/>
      <c r="K964" s="178"/>
      <c r="L964" s="94"/>
      <c r="M964" s="94"/>
    </row>
    <row r="965">
      <c r="G965" s="94"/>
      <c r="H965" s="94"/>
      <c r="I965" s="94"/>
      <c r="J965" s="94"/>
      <c r="K965" s="178"/>
      <c r="L965" s="94"/>
      <c r="M965" s="94"/>
    </row>
    <row r="966">
      <c r="G966" s="94"/>
      <c r="H966" s="94"/>
      <c r="I966" s="94"/>
      <c r="J966" s="94"/>
      <c r="K966" s="178"/>
      <c r="L966" s="94"/>
      <c r="M966" s="94"/>
    </row>
    <row r="967">
      <c r="G967" s="94"/>
      <c r="H967" s="94"/>
      <c r="I967" s="94"/>
      <c r="J967" s="94"/>
      <c r="K967" s="178"/>
      <c r="L967" s="94"/>
      <c r="M967" s="94"/>
    </row>
    <row r="968">
      <c r="G968" s="94"/>
      <c r="H968" s="94"/>
      <c r="I968" s="94"/>
      <c r="J968" s="94"/>
      <c r="K968" s="178"/>
      <c r="L968" s="94"/>
      <c r="M968" s="94"/>
    </row>
    <row r="969">
      <c r="G969" s="94"/>
      <c r="H969" s="94"/>
      <c r="I969" s="94"/>
      <c r="J969" s="94"/>
      <c r="K969" s="178"/>
      <c r="L969" s="94"/>
      <c r="M969" s="94"/>
    </row>
    <row r="970">
      <c r="G970" s="94"/>
      <c r="H970" s="94"/>
      <c r="I970" s="94"/>
      <c r="J970" s="94"/>
      <c r="K970" s="178"/>
      <c r="L970" s="94"/>
      <c r="M970" s="94"/>
    </row>
    <row r="971">
      <c r="G971" s="94"/>
      <c r="H971" s="94"/>
      <c r="I971" s="94"/>
      <c r="J971" s="94"/>
      <c r="K971" s="178"/>
      <c r="L971" s="94"/>
      <c r="M971" s="94"/>
    </row>
    <row r="972">
      <c r="G972" s="94"/>
      <c r="H972" s="94"/>
      <c r="I972" s="94"/>
      <c r="J972" s="94"/>
      <c r="K972" s="178"/>
      <c r="L972" s="94"/>
      <c r="M972" s="94"/>
    </row>
    <row r="973">
      <c r="G973" s="94"/>
      <c r="H973" s="94"/>
      <c r="I973" s="94"/>
      <c r="J973" s="94"/>
      <c r="K973" s="178"/>
      <c r="L973" s="94"/>
      <c r="M973" s="94"/>
    </row>
    <row r="974">
      <c r="G974" s="94"/>
      <c r="H974" s="94"/>
      <c r="I974" s="94"/>
      <c r="J974" s="94"/>
      <c r="K974" s="178"/>
      <c r="L974" s="94"/>
      <c r="M974" s="94"/>
    </row>
    <row r="975">
      <c r="G975" s="94"/>
      <c r="H975" s="94"/>
      <c r="I975" s="94"/>
      <c r="J975" s="94"/>
      <c r="K975" s="178"/>
      <c r="L975" s="94"/>
      <c r="M975" s="94"/>
    </row>
    <row r="976">
      <c r="G976" s="94"/>
      <c r="H976" s="94"/>
      <c r="I976" s="94"/>
      <c r="J976" s="94"/>
      <c r="K976" s="178"/>
      <c r="L976" s="94"/>
      <c r="M976" s="94"/>
    </row>
    <row r="977">
      <c r="G977" s="94"/>
      <c r="H977" s="94"/>
      <c r="I977" s="94"/>
      <c r="J977" s="94"/>
      <c r="K977" s="178"/>
      <c r="L977" s="94"/>
      <c r="M977" s="94"/>
    </row>
    <row r="978">
      <c r="G978" s="94"/>
      <c r="H978" s="94"/>
      <c r="I978" s="94"/>
      <c r="J978" s="94"/>
      <c r="K978" s="178"/>
      <c r="L978" s="94"/>
      <c r="M978" s="94"/>
    </row>
    <row r="979">
      <c r="G979" s="94"/>
      <c r="H979" s="94"/>
      <c r="I979" s="94"/>
      <c r="J979" s="94"/>
      <c r="K979" s="178"/>
      <c r="L979" s="94"/>
      <c r="M979" s="94"/>
    </row>
    <row r="980">
      <c r="G980" s="94"/>
      <c r="H980" s="94"/>
      <c r="I980" s="94"/>
      <c r="J980" s="94"/>
      <c r="K980" s="178"/>
      <c r="L980" s="94"/>
      <c r="M980" s="94"/>
    </row>
    <row r="981">
      <c r="G981" s="94"/>
      <c r="H981" s="94"/>
      <c r="I981" s="94"/>
      <c r="J981" s="94"/>
      <c r="K981" s="178"/>
      <c r="L981" s="94"/>
      <c r="M981" s="94"/>
    </row>
    <row r="982">
      <c r="G982" s="94"/>
      <c r="H982" s="94"/>
      <c r="I982" s="94"/>
      <c r="J982" s="94"/>
      <c r="K982" s="178"/>
      <c r="L982" s="94"/>
      <c r="M982" s="94"/>
    </row>
    <row r="983">
      <c r="G983" s="94"/>
      <c r="H983" s="94"/>
      <c r="I983" s="94"/>
      <c r="J983" s="94"/>
      <c r="K983" s="178"/>
      <c r="L983" s="94"/>
      <c r="M983" s="94"/>
    </row>
    <row r="984">
      <c r="G984" s="94"/>
      <c r="H984" s="94"/>
      <c r="I984" s="94"/>
      <c r="J984" s="94"/>
      <c r="K984" s="178"/>
      <c r="L984" s="94"/>
      <c r="M984" s="94"/>
    </row>
    <row r="985">
      <c r="G985" s="94"/>
      <c r="H985" s="94"/>
      <c r="I985" s="94"/>
      <c r="J985" s="94"/>
      <c r="K985" s="178"/>
      <c r="L985" s="94"/>
      <c r="M985" s="94"/>
    </row>
    <row r="986">
      <c r="G986" s="94"/>
      <c r="H986" s="94"/>
      <c r="I986" s="94"/>
      <c r="J986" s="94"/>
      <c r="K986" s="178"/>
      <c r="L986" s="94"/>
      <c r="M986" s="94"/>
    </row>
    <row r="987">
      <c r="G987" s="94"/>
      <c r="H987" s="94"/>
      <c r="I987" s="94"/>
      <c r="J987" s="94"/>
      <c r="K987" s="178"/>
      <c r="L987" s="94"/>
      <c r="M987" s="94"/>
    </row>
    <row r="988">
      <c r="G988" s="94"/>
      <c r="H988" s="94"/>
      <c r="I988" s="94"/>
      <c r="J988" s="94"/>
      <c r="K988" s="178"/>
      <c r="L988" s="94"/>
      <c r="M988" s="94"/>
    </row>
    <row r="989">
      <c r="G989" s="94"/>
      <c r="H989" s="94"/>
      <c r="I989" s="94"/>
      <c r="J989" s="94"/>
      <c r="K989" s="178"/>
      <c r="L989" s="94"/>
      <c r="M989" s="94"/>
    </row>
    <row r="990">
      <c r="G990" s="94"/>
      <c r="H990" s="94"/>
      <c r="I990" s="94"/>
      <c r="J990" s="94"/>
      <c r="K990" s="178"/>
      <c r="L990" s="94"/>
      <c r="M990" s="94"/>
    </row>
    <row r="991">
      <c r="G991" s="94"/>
      <c r="H991" s="94"/>
      <c r="I991" s="94"/>
      <c r="J991" s="94"/>
      <c r="K991" s="178"/>
      <c r="L991" s="94"/>
      <c r="M991" s="94"/>
    </row>
    <row r="992">
      <c r="G992" s="94"/>
      <c r="H992" s="94"/>
      <c r="I992" s="94"/>
      <c r="J992" s="94"/>
      <c r="K992" s="178"/>
      <c r="L992" s="94"/>
      <c r="M992" s="94"/>
    </row>
    <row r="993">
      <c r="G993" s="94"/>
      <c r="H993" s="94"/>
      <c r="I993" s="94"/>
      <c r="J993" s="94"/>
      <c r="K993" s="178"/>
      <c r="L993" s="94"/>
      <c r="M993" s="94"/>
    </row>
    <row r="994">
      <c r="G994" s="94"/>
      <c r="H994" s="94"/>
      <c r="I994" s="94"/>
      <c r="J994" s="94"/>
      <c r="K994" s="178"/>
      <c r="L994" s="94"/>
      <c r="M994" s="94"/>
    </row>
    <row r="995">
      <c r="G995" s="94"/>
      <c r="H995" s="94"/>
      <c r="I995" s="94"/>
      <c r="J995" s="94"/>
      <c r="K995" s="178"/>
      <c r="L995" s="94"/>
      <c r="M995" s="94"/>
    </row>
    <row r="996">
      <c r="G996" s="94"/>
      <c r="H996" s="94"/>
      <c r="I996" s="94"/>
      <c r="J996" s="94"/>
      <c r="K996" s="178"/>
      <c r="L996" s="94"/>
      <c r="M996" s="94"/>
    </row>
    <row r="997">
      <c r="G997" s="94"/>
      <c r="H997" s="94"/>
      <c r="I997" s="94"/>
      <c r="J997" s="94"/>
      <c r="K997" s="178"/>
      <c r="L997" s="94"/>
      <c r="M997" s="94"/>
    </row>
    <row r="998">
      <c r="G998" s="94"/>
      <c r="H998" s="94"/>
      <c r="I998" s="94"/>
      <c r="J998" s="94"/>
      <c r="K998" s="178"/>
      <c r="L998" s="94"/>
      <c r="M998" s="94"/>
    </row>
    <row r="999">
      <c r="G999" s="94"/>
      <c r="H999" s="94"/>
      <c r="I999" s="94"/>
      <c r="J999" s="94"/>
      <c r="K999" s="178"/>
      <c r="L999" s="94"/>
      <c r="M999" s="94"/>
    </row>
    <row r="1000">
      <c r="G1000" s="94"/>
      <c r="H1000" s="94"/>
      <c r="I1000" s="94"/>
      <c r="J1000" s="94"/>
      <c r="K1000" s="178"/>
      <c r="L1000" s="94"/>
      <c r="M1000" s="94"/>
    </row>
    <row r="1001">
      <c r="G1001" s="94"/>
      <c r="H1001" s="94"/>
      <c r="I1001" s="94"/>
      <c r="J1001" s="94"/>
      <c r="K1001" s="178"/>
      <c r="L1001" s="94"/>
      <c r="M1001" s="94"/>
    </row>
  </sheetData>
  <dataValidations>
    <dataValidation type="list" allowBlank="1" showErrorMessage="1" sqref="H2:H301">
      <formula1>"ADULT CARDIAC ICU,PS,CATH/SO"</formula1>
    </dataValidation>
    <dataValidation type="list" allowBlank="1" showErrorMessage="1" sqref="A2:A285">
      <formula1>ANAGRAFICA!$B$2:$B$506</formula1>
    </dataValidation>
    <dataValidation type="list" allowBlank="1" showErrorMessage="1" sqref="L2:M301">
      <formula1>'TENDINE SLIM'!$E$2:$E$12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93D9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13"/>
    <col customWidth="1" min="2" max="2" width="14.38"/>
    <col customWidth="1" min="3" max="3" width="14.63"/>
    <col customWidth="1" min="4" max="4" width="11.88"/>
    <col customWidth="1" min="5" max="5" width="16.38"/>
    <col customWidth="1" min="6" max="6" width="6.38"/>
    <col customWidth="1" min="7" max="7" width="5.0"/>
    <col customWidth="1" min="8" max="8" width="10.25"/>
    <col customWidth="1" min="9" max="9" width="9.5"/>
    <col customWidth="1" min="10" max="11" width="4.63"/>
    <col customWidth="1" min="12" max="12" width="5.88"/>
    <col customWidth="1" min="13" max="13" width="6.75"/>
    <col customWidth="1" min="14" max="15" width="4.13"/>
    <col customWidth="1" min="16" max="16" width="4.38"/>
    <col customWidth="1" min="17" max="17" width="3.5"/>
    <col customWidth="1" min="18" max="18" width="5.88"/>
    <col customWidth="1" min="19" max="19" width="19.63"/>
    <col customWidth="1" min="20" max="20" width="19.25"/>
    <col customWidth="1" min="21" max="21" width="5.75"/>
    <col customWidth="1" min="22" max="22" width="3.63"/>
    <col customWidth="1" min="23" max="23" width="5.88"/>
    <col customWidth="1" min="24" max="24" width="7.5"/>
    <col customWidth="1" min="25" max="25" width="7.0"/>
    <col customWidth="1" min="26" max="26" width="5.5"/>
    <col customWidth="1" min="27" max="27" width="4.0"/>
    <col customWidth="1" min="28" max="28" width="7.25"/>
    <col customWidth="1" min="29" max="29" width="19.75"/>
    <col customWidth="1" min="30" max="30" width="19.25"/>
    <col customWidth="1" min="31" max="31" width="4.63"/>
    <col customWidth="1" min="32" max="32" width="4.75"/>
    <col customWidth="1" min="33" max="33" width="4.88"/>
    <col customWidth="1" min="34" max="34" width="5.88"/>
    <col customWidth="1" min="35" max="35" width="3.75"/>
    <col customWidth="1" min="36" max="36" width="6.0"/>
    <col customWidth="1" min="37" max="37" width="5.63"/>
    <col customWidth="1" min="38" max="38" width="5.75"/>
    <col customWidth="1" min="39" max="39" width="6.25"/>
    <col customWidth="1" min="40" max="40" width="2.88"/>
    <col customWidth="1" min="41" max="41" width="8.75"/>
    <col customWidth="1" min="42" max="42" width="9.75"/>
    <col customWidth="1" min="43" max="43" width="18.75"/>
    <col customWidth="1" min="44" max="44" width="19.38"/>
  </cols>
  <sheetData>
    <row r="1">
      <c r="A1" s="179" t="s">
        <v>1</v>
      </c>
      <c r="B1" s="180" t="s">
        <v>2</v>
      </c>
      <c r="C1" s="179" t="s">
        <v>3</v>
      </c>
      <c r="D1" s="179" t="s">
        <v>4</v>
      </c>
      <c r="E1" s="179" t="s">
        <v>385</v>
      </c>
      <c r="F1" s="181" t="s">
        <v>6</v>
      </c>
      <c r="G1" s="179" t="s">
        <v>386</v>
      </c>
      <c r="H1" s="179" t="s">
        <v>866</v>
      </c>
      <c r="I1" s="179" t="s">
        <v>867</v>
      </c>
      <c r="J1" s="179" t="s">
        <v>868</v>
      </c>
      <c r="K1" s="179" t="s">
        <v>869</v>
      </c>
      <c r="L1" s="179" t="s">
        <v>870</v>
      </c>
      <c r="M1" s="179" t="s">
        <v>871</v>
      </c>
      <c r="N1" s="179" t="s">
        <v>872</v>
      </c>
      <c r="O1" s="179" t="s">
        <v>873</v>
      </c>
      <c r="P1" s="179" t="s">
        <v>874</v>
      </c>
      <c r="Q1" s="179" t="s">
        <v>875</v>
      </c>
      <c r="R1" s="179" t="s">
        <v>876</v>
      </c>
      <c r="S1" s="182" t="s">
        <v>877</v>
      </c>
      <c r="T1" s="182" t="s">
        <v>878</v>
      </c>
      <c r="U1" s="182" t="s">
        <v>879</v>
      </c>
      <c r="V1" s="182" t="s">
        <v>880</v>
      </c>
      <c r="W1" s="182" t="s">
        <v>881</v>
      </c>
      <c r="X1" s="182" t="s">
        <v>882</v>
      </c>
      <c r="Y1" s="182" t="s">
        <v>883</v>
      </c>
      <c r="Z1" s="182" t="s">
        <v>884</v>
      </c>
      <c r="AA1" s="182" t="s">
        <v>885</v>
      </c>
      <c r="AB1" s="183" t="s">
        <v>1011</v>
      </c>
      <c r="AC1" s="184" t="s">
        <v>886</v>
      </c>
      <c r="AD1" s="184" t="s">
        <v>887</v>
      </c>
      <c r="AE1" s="184" t="s">
        <v>888</v>
      </c>
      <c r="AF1" s="184" t="s">
        <v>889</v>
      </c>
      <c r="AG1" s="184" t="s">
        <v>890</v>
      </c>
      <c r="AH1" s="184" t="s">
        <v>891</v>
      </c>
      <c r="AI1" s="184" t="s">
        <v>892</v>
      </c>
      <c r="AJ1" s="184" t="s">
        <v>893</v>
      </c>
      <c r="AK1" s="184" t="s">
        <v>894</v>
      </c>
      <c r="AL1" s="184" t="s">
        <v>895</v>
      </c>
      <c r="AM1" s="184" t="s">
        <v>896</v>
      </c>
      <c r="AN1" s="184" t="s">
        <v>897</v>
      </c>
      <c r="AO1" s="184" t="s">
        <v>1012</v>
      </c>
      <c r="AP1" s="184" t="s">
        <v>1013</v>
      </c>
      <c r="AQ1" s="179" t="s">
        <v>1014</v>
      </c>
      <c r="AR1" s="179" t="s">
        <v>1015</v>
      </c>
    </row>
    <row r="2">
      <c r="A2" s="57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11">
        <v>1.0</v>
      </c>
      <c r="H2" s="116">
        <v>45488.0</v>
      </c>
      <c r="I2" s="115" t="s">
        <v>87</v>
      </c>
      <c r="J2" s="115">
        <v>7.42</v>
      </c>
      <c r="K2" s="115">
        <v>81.0</v>
      </c>
      <c r="L2" s="115">
        <v>36.0</v>
      </c>
      <c r="M2" s="115">
        <v>23.4</v>
      </c>
      <c r="N2" s="115">
        <v>1.1</v>
      </c>
      <c r="O2" s="115">
        <v>-1.1</v>
      </c>
      <c r="P2" s="115">
        <v>11.5</v>
      </c>
      <c r="Q2" s="115">
        <v>35.0</v>
      </c>
      <c r="R2" s="115">
        <v>94.6</v>
      </c>
      <c r="S2" s="116">
        <v>45488.0</v>
      </c>
      <c r="T2" s="115" t="s">
        <v>87</v>
      </c>
      <c r="U2" s="115" t="s">
        <v>906</v>
      </c>
      <c r="V2" s="115">
        <v>8.0</v>
      </c>
      <c r="W2" s="115">
        <v>12.0</v>
      </c>
      <c r="X2" s="11" t="s">
        <v>516</v>
      </c>
      <c r="Y2" s="11" t="s">
        <v>516</v>
      </c>
      <c r="Z2" s="115">
        <v>21.0</v>
      </c>
      <c r="AA2" s="115">
        <v>500.0</v>
      </c>
      <c r="AB2" s="115"/>
      <c r="AC2" s="116">
        <v>45488.0</v>
      </c>
      <c r="AD2" s="115" t="s">
        <v>87</v>
      </c>
      <c r="AE2" s="115">
        <v>128.0</v>
      </c>
      <c r="AF2" s="115">
        <v>75.0</v>
      </c>
      <c r="AG2" s="115">
        <v>91.0</v>
      </c>
      <c r="AH2" s="115">
        <v>77.0</v>
      </c>
      <c r="AI2" s="115">
        <v>3.5</v>
      </c>
      <c r="AJ2" s="66"/>
      <c r="AK2" s="115">
        <v>32.0</v>
      </c>
      <c r="AL2" s="115">
        <v>16.0</v>
      </c>
      <c r="AM2" s="115">
        <v>21.0</v>
      </c>
      <c r="AN2" s="11" t="s">
        <v>516</v>
      </c>
      <c r="AO2" s="11">
        <v>3.5</v>
      </c>
      <c r="AP2" s="11">
        <v>3.2</v>
      </c>
      <c r="AQ2" s="11" t="s">
        <v>1016</v>
      </c>
      <c r="AR2" s="66" t="b">
        <v>0</v>
      </c>
    </row>
    <row r="3">
      <c r="A3" s="57">
        <v>2.123023299E9</v>
      </c>
      <c r="B3" s="109" t="str">
        <f>VLOOKUP($A3,ANAGRAFICA!$B$1:$G$306,2,FALSE)</f>
        <v>BEATRICE</v>
      </c>
      <c r="C3" s="109" t="str">
        <f>VLOOKUP($A3,ANAGRAFICA!$B$1:$G$306,3,FALSE)</f>
        <v>GERARDINA</v>
      </c>
      <c r="D3" s="109" t="str">
        <f>VLOOKUP($A3,ANAGRAFICA!$B$1:$G$306,4,FALSE)</f>
        <v/>
      </c>
      <c r="E3" s="109">
        <f>VLOOKUP($A3,ANAGRAFICA!$B$1:$G$306,5,FALSE)</f>
        <v>3272024098</v>
      </c>
      <c r="F3" s="109">
        <f>VLOOKUP($A3,ANAGRAFICA!$B$1:$G$306,6,FALSE)</f>
        <v>2024</v>
      </c>
      <c r="G3" s="185">
        <v>1.0</v>
      </c>
      <c r="H3" s="110">
        <v>45293.0</v>
      </c>
      <c r="I3" s="57" t="s">
        <v>199</v>
      </c>
      <c r="J3" s="57">
        <v>7.24</v>
      </c>
      <c r="K3" s="57">
        <v>30.0</v>
      </c>
      <c r="L3" s="57">
        <v>40.0</v>
      </c>
      <c r="M3" s="57">
        <v>16.9</v>
      </c>
      <c r="N3" s="57">
        <v>13.5</v>
      </c>
      <c r="O3" s="57">
        <v>-9.7</v>
      </c>
      <c r="P3" s="57">
        <v>10.3</v>
      </c>
      <c r="Q3" s="57">
        <v>30.0</v>
      </c>
      <c r="R3" s="57">
        <v>46.8</v>
      </c>
      <c r="S3" s="110">
        <v>45293.0</v>
      </c>
      <c r="T3" s="57" t="s">
        <v>199</v>
      </c>
      <c r="U3" s="57" t="s">
        <v>906</v>
      </c>
      <c r="V3" s="57">
        <v>4.0</v>
      </c>
      <c r="W3" s="57">
        <v>8.0</v>
      </c>
      <c r="X3" s="57" t="s">
        <v>905</v>
      </c>
      <c r="Y3" s="57" t="s">
        <v>905</v>
      </c>
      <c r="Z3" s="57" t="s">
        <v>905</v>
      </c>
      <c r="AA3" s="57">
        <v>370.0</v>
      </c>
      <c r="AB3" s="57">
        <v>60.0</v>
      </c>
      <c r="AC3" s="110">
        <v>45293.0</v>
      </c>
      <c r="AD3" s="57" t="s">
        <v>199</v>
      </c>
      <c r="AE3" s="57">
        <v>62.0</v>
      </c>
      <c r="AF3" s="57">
        <v>61.0</v>
      </c>
      <c r="AG3" s="57">
        <v>61.0</v>
      </c>
      <c r="AH3" s="57" t="s">
        <v>905</v>
      </c>
      <c r="AI3" s="57" t="s">
        <v>905</v>
      </c>
      <c r="AJ3" s="57" t="s">
        <v>905</v>
      </c>
      <c r="AK3" s="57" t="s">
        <v>905</v>
      </c>
      <c r="AL3" s="57" t="s">
        <v>905</v>
      </c>
      <c r="AM3" s="57" t="s">
        <v>905</v>
      </c>
      <c r="AN3" s="57" t="s">
        <v>905</v>
      </c>
      <c r="AO3" s="57">
        <v>3.0</v>
      </c>
      <c r="AP3" s="57" t="s">
        <v>1017</v>
      </c>
      <c r="AQ3" s="11" t="s">
        <v>1016</v>
      </c>
      <c r="AR3" s="66" t="b">
        <v>0</v>
      </c>
    </row>
    <row r="4">
      <c r="A4" s="57">
        <v>2.124000149E9</v>
      </c>
      <c r="B4" s="109" t="str">
        <f>VLOOKUP($A4,ANAGRAFICA!$B$1:$G$306,2,FALSE)</f>
        <v>MOTTA</v>
      </c>
      <c r="C4" s="109" t="str">
        <f>VLOOKUP($A4,ANAGRAFICA!$B$1:$G$306,3,FALSE)</f>
        <v>FABIO</v>
      </c>
      <c r="D4" s="109" t="str">
        <f>VLOOKUP($A4,ANAGRAFICA!$B$1:$G$306,4,FALSE)</f>
        <v/>
      </c>
      <c r="E4" s="109">
        <f>VLOOKUP($A4,ANAGRAFICA!$B$1:$G$306,5,FALSE)</f>
        <v>3272024051</v>
      </c>
      <c r="F4" s="109">
        <f>VLOOKUP($A4,ANAGRAFICA!$B$1:$G$306,6,FALSE)</f>
        <v>2024</v>
      </c>
      <c r="G4" s="57">
        <v>1.0</v>
      </c>
      <c r="H4" s="110">
        <v>45296.0</v>
      </c>
      <c r="I4" s="57" t="s">
        <v>28</v>
      </c>
      <c r="J4" s="57">
        <v>7.49</v>
      </c>
      <c r="K4" s="57">
        <v>204.5</v>
      </c>
      <c r="L4" s="57">
        <v>30.7</v>
      </c>
      <c r="M4" s="57">
        <v>22.9</v>
      </c>
      <c r="N4" s="57">
        <v>6.85</v>
      </c>
      <c r="O4" s="57">
        <v>-0.1</v>
      </c>
      <c r="P4" s="57">
        <v>8.8</v>
      </c>
      <c r="Q4" s="57">
        <v>26.0</v>
      </c>
      <c r="R4" s="57">
        <v>98.2</v>
      </c>
      <c r="S4" s="110">
        <v>45296.0</v>
      </c>
      <c r="T4" s="57" t="s">
        <v>87</v>
      </c>
      <c r="U4" s="57" t="s">
        <v>901</v>
      </c>
      <c r="V4" s="57">
        <v>5.0</v>
      </c>
      <c r="W4" s="57">
        <v>6.0</v>
      </c>
      <c r="X4" s="94"/>
      <c r="Y4" s="94"/>
      <c r="Z4" s="94"/>
      <c r="AA4" s="57">
        <v>450.0</v>
      </c>
      <c r="AB4" s="57"/>
      <c r="AC4" s="110">
        <v>45296.0</v>
      </c>
      <c r="AD4" s="57" t="s">
        <v>87</v>
      </c>
      <c r="AE4" s="57">
        <v>99.0</v>
      </c>
      <c r="AF4" s="57">
        <v>82.0</v>
      </c>
      <c r="AG4" s="57">
        <v>86.0</v>
      </c>
      <c r="AH4" s="57" t="s">
        <v>516</v>
      </c>
      <c r="AI4" s="57" t="s">
        <v>516</v>
      </c>
      <c r="AJ4" s="57" t="s">
        <v>516</v>
      </c>
      <c r="AK4" s="57" t="s">
        <v>516</v>
      </c>
      <c r="AL4" s="57" t="s">
        <v>516</v>
      </c>
      <c r="AM4" s="57" t="s">
        <v>516</v>
      </c>
      <c r="AN4" s="57" t="s">
        <v>516</v>
      </c>
      <c r="AO4" s="57">
        <v>2.4</v>
      </c>
      <c r="AP4" s="57">
        <v>3.7</v>
      </c>
      <c r="AQ4" s="11" t="s">
        <v>1016</v>
      </c>
      <c r="AR4" s="115" t="b">
        <v>1</v>
      </c>
    </row>
    <row r="5">
      <c r="A5" s="57">
        <v>2.124000241E9</v>
      </c>
      <c r="B5" s="109" t="str">
        <f>VLOOKUP($A5,ANAGRAFICA!$B$1:$G$306,2,FALSE)</f>
        <v>ISELLA</v>
      </c>
      <c r="C5" s="109" t="str">
        <f>VLOOKUP($A5,ANAGRAFICA!$B$1:$G$306,3,FALSE)</f>
        <v>VINCENZO</v>
      </c>
      <c r="D5" s="109" t="str">
        <f>VLOOKUP($A5,ANAGRAFICA!$B$1:$G$306,4,FALSE)</f>
        <v/>
      </c>
      <c r="E5" s="109">
        <f>VLOOKUP($A5,ANAGRAFICA!$B$1:$G$306,5,FALSE)</f>
        <v>3272024052</v>
      </c>
      <c r="F5" s="109">
        <f>VLOOKUP($A5,ANAGRAFICA!$B$1:$G$306,6,FALSE)</f>
        <v>2024</v>
      </c>
      <c r="G5" s="57">
        <v>1.0</v>
      </c>
      <c r="H5" s="110">
        <v>45297.0</v>
      </c>
      <c r="I5" s="57" t="s">
        <v>199</v>
      </c>
      <c r="J5" s="57">
        <v>7.02</v>
      </c>
      <c r="K5" s="57">
        <v>137.9</v>
      </c>
      <c r="L5" s="57">
        <v>40.9</v>
      </c>
      <c r="M5" s="57">
        <v>10.3</v>
      </c>
      <c r="N5" s="57">
        <v>14.4</v>
      </c>
      <c r="O5" s="57">
        <v>-20.2</v>
      </c>
      <c r="P5" s="57">
        <v>15.8</v>
      </c>
      <c r="Q5" s="57">
        <v>46.0</v>
      </c>
      <c r="R5" s="57">
        <v>96.1</v>
      </c>
      <c r="S5" s="110">
        <v>45297.0</v>
      </c>
      <c r="T5" s="57" t="s">
        <v>199</v>
      </c>
      <c r="U5" s="57" t="s">
        <v>901</v>
      </c>
      <c r="V5" s="57">
        <v>4.0</v>
      </c>
      <c r="W5" s="57">
        <v>20.0</v>
      </c>
      <c r="X5" s="57" t="s">
        <v>516</v>
      </c>
      <c r="Y5" s="57" t="s">
        <v>516</v>
      </c>
      <c r="Z5" s="57" t="s">
        <v>516</v>
      </c>
      <c r="AA5" s="57">
        <v>360.0</v>
      </c>
      <c r="AB5" s="57"/>
      <c r="AC5" s="110">
        <v>45297.0</v>
      </c>
      <c r="AD5" s="57" t="s">
        <v>199</v>
      </c>
      <c r="AE5" s="57">
        <v>37.0</v>
      </c>
      <c r="AF5" s="57">
        <v>34.0</v>
      </c>
      <c r="AG5" s="57">
        <v>35.0</v>
      </c>
      <c r="AH5" s="57" t="s">
        <v>516</v>
      </c>
      <c r="AI5" s="57" t="s">
        <v>516</v>
      </c>
      <c r="AJ5" s="57" t="s">
        <v>516</v>
      </c>
      <c r="AK5" s="57" t="s">
        <v>516</v>
      </c>
      <c r="AL5" s="57" t="s">
        <v>516</v>
      </c>
      <c r="AM5" s="57" t="s">
        <v>516</v>
      </c>
      <c r="AN5" s="57" t="s">
        <v>516</v>
      </c>
      <c r="AO5" s="57">
        <v>4.5</v>
      </c>
      <c r="AP5" s="57" t="s">
        <v>1017</v>
      </c>
      <c r="AQ5" s="11" t="s">
        <v>1016</v>
      </c>
      <c r="AR5" s="66" t="b">
        <v>0</v>
      </c>
    </row>
    <row r="6">
      <c r="A6" s="57">
        <v>2.124000328E9</v>
      </c>
      <c r="B6" s="109" t="str">
        <f>VLOOKUP($A6,ANAGRAFICA!$B$1:$G$306,2,FALSE)</f>
        <v>LAVANGA</v>
      </c>
      <c r="C6" s="109" t="str">
        <f>VLOOKUP($A6,ANAGRAFICA!$B$1:$G$306,3,FALSE)</f>
        <v>DONATO</v>
      </c>
      <c r="D6" s="109" t="str">
        <f>VLOOKUP($A6,ANAGRAFICA!$B$1:$G$306,4,FALSE)</f>
        <v/>
      </c>
      <c r="E6" s="109">
        <f>VLOOKUP($A6,ANAGRAFICA!$B$1:$G$306,5,FALSE)</f>
        <v>3272024053</v>
      </c>
      <c r="F6" s="109">
        <f>VLOOKUP($A6,ANAGRAFICA!$B$1:$G$306,6,FALSE)</f>
        <v>2024</v>
      </c>
      <c r="G6" s="57">
        <v>1.0</v>
      </c>
      <c r="H6" s="110">
        <v>45299.0</v>
      </c>
      <c r="I6" s="57" t="s">
        <v>203</v>
      </c>
      <c r="J6" s="57">
        <v>7.42</v>
      </c>
      <c r="K6" s="57">
        <v>141.0</v>
      </c>
      <c r="L6" s="57">
        <v>39.5</v>
      </c>
      <c r="M6" s="57">
        <v>25.6</v>
      </c>
      <c r="N6" s="57">
        <v>2.79</v>
      </c>
      <c r="O6" s="57">
        <v>1.3</v>
      </c>
      <c r="P6" s="57">
        <v>12.9</v>
      </c>
      <c r="Q6" s="57">
        <v>38.0</v>
      </c>
      <c r="R6" s="57">
        <v>97.7</v>
      </c>
      <c r="S6" s="110">
        <v>45299.0</v>
      </c>
      <c r="T6" s="57" t="s">
        <v>203</v>
      </c>
      <c r="U6" s="57" t="s">
        <v>906</v>
      </c>
      <c r="V6" s="57">
        <v>8.0</v>
      </c>
      <c r="W6" s="57">
        <v>10.0</v>
      </c>
      <c r="X6" s="94"/>
      <c r="Y6" s="94"/>
      <c r="Z6" s="57">
        <v>18.0</v>
      </c>
      <c r="AA6" s="57">
        <v>480.0</v>
      </c>
      <c r="AB6" s="57"/>
      <c r="AC6" s="110">
        <v>45299.0</v>
      </c>
      <c r="AD6" s="57" t="s">
        <v>203</v>
      </c>
      <c r="AE6" s="57">
        <v>61.0</v>
      </c>
      <c r="AF6" s="57">
        <v>50.0</v>
      </c>
      <c r="AG6" s="57">
        <v>53.0</v>
      </c>
      <c r="AH6" s="57">
        <v>85.7</v>
      </c>
      <c r="AI6" s="57" t="s">
        <v>516</v>
      </c>
      <c r="AJ6" s="57" t="s">
        <v>516</v>
      </c>
      <c r="AK6" s="57" t="s">
        <v>516</v>
      </c>
      <c r="AL6" s="57" t="s">
        <v>516</v>
      </c>
      <c r="AM6" s="57" t="s">
        <v>516</v>
      </c>
      <c r="AN6" s="57" t="s">
        <v>516</v>
      </c>
      <c r="AO6" s="57">
        <v>4.5</v>
      </c>
      <c r="AP6" s="57">
        <v>4.2</v>
      </c>
      <c r="AQ6" s="11" t="s">
        <v>1016</v>
      </c>
      <c r="AR6" s="66" t="b">
        <v>0</v>
      </c>
    </row>
    <row r="7">
      <c r="A7" s="57">
        <v>2.124001121E9</v>
      </c>
      <c r="B7" s="109" t="str">
        <f>VLOOKUP($A7,ANAGRAFICA!$B$1:$G$306,2,FALSE)</f>
        <v>TIEGHI</v>
      </c>
      <c r="C7" s="109" t="str">
        <f>VLOOKUP($A7,ANAGRAFICA!$B$1:$G$306,3,FALSE)</f>
        <v>MASSIMO</v>
      </c>
      <c r="D7" s="109" t="str">
        <f>VLOOKUP($A7,ANAGRAFICA!$B$1:$G$306,4,FALSE)</f>
        <v/>
      </c>
      <c r="E7" s="109">
        <f>VLOOKUP($A7,ANAGRAFICA!$B$1:$G$306,5,FALSE)</f>
        <v>3272024054</v>
      </c>
      <c r="F7" s="109">
        <f>VLOOKUP($A7,ANAGRAFICA!$B$1:$G$306,6,FALSE)</f>
        <v>2024</v>
      </c>
      <c r="G7" s="57">
        <v>1.0</v>
      </c>
      <c r="H7" s="110">
        <v>45310.0</v>
      </c>
      <c r="I7" s="57" t="s">
        <v>87</v>
      </c>
      <c r="J7" s="57">
        <v>7.4</v>
      </c>
      <c r="K7" s="57">
        <v>122.0</v>
      </c>
      <c r="L7" s="57">
        <v>45.0</v>
      </c>
      <c r="M7" s="57">
        <v>26.4</v>
      </c>
      <c r="N7" s="57">
        <v>0.8</v>
      </c>
      <c r="O7" s="57">
        <v>3.1</v>
      </c>
      <c r="P7" s="57">
        <v>11.2</v>
      </c>
      <c r="Q7" s="57">
        <v>34.0</v>
      </c>
      <c r="R7" s="57">
        <v>98.7</v>
      </c>
      <c r="S7" s="110">
        <v>45310.0</v>
      </c>
      <c r="T7" s="57" t="s">
        <v>87</v>
      </c>
      <c r="U7" s="57" t="s">
        <v>1018</v>
      </c>
      <c r="V7" s="57">
        <v>5.0</v>
      </c>
      <c r="W7" s="57">
        <v>8.0</v>
      </c>
      <c r="X7" s="94"/>
      <c r="Y7" s="94"/>
      <c r="Z7" s="94"/>
      <c r="AA7" s="57">
        <v>480.0</v>
      </c>
      <c r="AB7" s="57"/>
      <c r="AC7" s="110">
        <v>45310.0</v>
      </c>
      <c r="AD7" s="57" t="s">
        <v>87</v>
      </c>
      <c r="AE7" s="57">
        <v>128.0</v>
      </c>
      <c r="AF7" s="57">
        <v>64.0</v>
      </c>
      <c r="AG7" s="57">
        <v>83.0</v>
      </c>
      <c r="AH7" s="57">
        <v>73.0</v>
      </c>
      <c r="AI7" s="57" t="s">
        <v>516</v>
      </c>
      <c r="AJ7" s="57" t="s">
        <v>516</v>
      </c>
      <c r="AK7" s="57" t="s">
        <v>516</v>
      </c>
      <c r="AL7" s="57" t="s">
        <v>516</v>
      </c>
      <c r="AM7" s="57" t="s">
        <v>516</v>
      </c>
      <c r="AN7" s="57" t="s">
        <v>516</v>
      </c>
      <c r="AO7" s="57">
        <v>4.0</v>
      </c>
      <c r="AP7" s="57">
        <v>4.2</v>
      </c>
      <c r="AQ7" s="11" t="s">
        <v>1016</v>
      </c>
      <c r="AR7" s="66" t="b">
        <v>0</v>
      </c>
    </row>
    <row r="8">
      <c r="A8" s="57">
        <v>2.124002215E9</v>
      </c>
      <c r="B8" s="109" t="str">
        <f>VLOOKUP($A8,ANAGRAFICA!$B$1:$G$306,2,FALSE)</f>
        <v>SCHIFANO</v>
      </c>
      <c r="C8" s="109" t="str">
        <f>VLOOKUP($A8,ANAGRAFICA!$B$1:$G$306,3,FALSE)</f>
        <v>FRANCESCO</v>
      </c>
      <c r="D8" s="109" t="str">
        <f>VLOOKUP($A8,ANAGRAFICA!$B$1:$G$306,4,FALSE)</f>
        <v/>
      </c>
      <c r="E8" s="109">
        <f>VLOOKUP($A8,ANAGRAFICA!$B$1:$G$306,5,FALSE)</f>
        <v>3272024055</v>
      </c>
      <c r="F8" s="109">
        <f>VLOOKUP($A8,ANAGRAFICA!$B$1:$G$306,6,FALSE)</f>
        <v>2024</v>
      </c>
      <c r="G8" s="57">
        <v>1.0</v>
      </c>
      <c r="H8" s="110">
        <v>45326.0</v>
      </c>
      <c r="I8" s="57" t="s">
        <v>28</v>
      </c>
      <c r="J8" s="57">
        <v>7.36</v>
      </c>
      <c r="K8" s="57">
        <v>116.0</v>
      </c>
      <c r="L8" s="57">
        <v>49.0</v>
      </c>
      <c r="M8" s="57">
        <v>26.4</v>
      </c>
      <c r="N8" s="57">
        <v>1.2</v>
      </c>
      <c r="O8" s="57">
        <v>2.3</v>
      </c>
      <c r="P8" s="57">
        <v>8.2</v>
      </c>
      <c r="Q8" s="57">
        <v>25.0</v>
      </c>
      <c r="R8" s="57">
        <v>98.4</v>
      </c>
      <c r="S8" s="110">
        <v>45326.0</v>
      </c>
      <c r="T8" s="57" t="s">
        <v>87</v>
      </c>
      <c r="U8" s="57" t="s">
        <v>906</v>
      </c>
      <c r="V8" s="57">
        <v>7.0</v>
      </c>
      <c r="W8" s="57">
        <v>8.0</v>
      </c>
      <c r="X8" s="94"/>
      <c r="Y8" s="94"/>
      <c r="Z8" s="94"/>
      <c r="AA8" s="57">
        <v>400.0</v>
      </c>
      <c r="AB8" s="57"/>
      <c r="AC8" s="110">
        <v>45326.0</v>
      </c>
      <c r="AD8" s="57" t="s">
        <v>68</v>
      </c>
      <c r="AE8" s="57">
        <v>97.0</v>
      </c>
      <c r="AF8" s="57">
        <v>64.0</v>
      </c>
      <c r="AG8" s="57">
        <v>74.0</v>
      </c>
      <c r="AH8" s="57">
        <v>85.0</v>
      </c>
      <c r="AI8" s="57" t="s">
        <v>516</v>
      </c>
      <c r="AJ8" s="57" t="s">
        <v>516</v>
      </c>
      <c r="AK8" s="57" t="s">
        <v>516</v>
      </c>
      <c r="AL8" s="57" t="s">
        <v>516</v>
      </c>
      <c r="AM8" s="57" t="s">
        <v>516</v>
      </c>
      <c r="AN8" s="57" t="s">
        <v>516</v>
      </c>
      <c r="AO8" s="57">
        <v>3.0</v>
      </c>
      <c r="AP8" s="57">
        <v>3.5</v>
      </c>
      <c r="AQ8" s="11" t="s">
        <v>1016</v>
      </c>
      <c r="AR8" s="66" t="b">
        <v>0</v>
      </c>
    </row>
    <row r="9">
      <c r="A9" s="57">
        <v>2.124202869E9</v>
      </c>
      <c r="B9" s="109" t="str">
        <f>VLOOKUP($A9,ANAGRAFICA!$B$1:$G$306,2,FALSE)</f>
        <v>VALSECCHI</v>
      </c>
      <c r="C9" s="109" t="str">
        <f>VLOOKUP($A9,ANAGRAFICA!$B$1:$G$306,3,FALSE)</f>
        <v>ANDREA</v>
      </c>
      <c r="D9" s="109" t="str">
        <f>VLOOKUP($A9,ANAGRAFICA!$B$1:$G$306,4,FALSE)</f>
        <v/>
      </c>
      <c r="E9" s="109">
        <f>VLOOKUP($A9,ANAGRAFICA!$B$1:$G$306,5,FALSE)</f>
        <v>3272024056</v>
      </c>
      <c r="F9" s="109">
        <f>VLOOKUP($A9,ANAGRAFICA!$B$1:$G$306,6,FALSE)</f>
        <v>2024</v>
      </c>
      <c r="G9" s="57">
        <v>1.0</v>
      </c>
      <c r="H9" s="110">
        <v>45337.0</v>
      </c>
      <c r="I9" s="57" t="s">
        <v>446</v>
      </c>
      <c r="J9" s="57">
        <v>7.44</v>
      </c>
      <c r="K9" s="57">
        <v>76.0</v>
      </c>
      <c r="L9" s="57">
        <v>47.0</v>
      </c>
      <c r="M9" s="57">
        <v>30.3</v>
      </c>
      <c r="N9" s="57">
        <v>1.0</v>
      </c>
      <c r="O9" s="57">
        <v>7.7</v>
      </c>
      <c r="P9" s="57">
        <v>8.7</v>
      </c>
      <c r="Q9" s="57">
        <v>26.0</v>
      </c>
      <c r="R9" s="57">
        <v>95.6</v>
      </c>
      <c r="S9" s="110">
        <v>45336.0</v>
      </c>
      <c r="T9" s="57" t="s">
        <v>353</v>
      </c>
      <c r="U9" s="57" t="s">
        <v>906</v>
      </c>
      <c r="V9" s="57"/>
      <c r="W9" s="57">
        <v>15.0</v>
      </c>
      <c r="X9" s="94"/>
      <c r="Y9" s="94"/>
      <c r="Z9" s="94"/>
      <c r="AA9" s="57">
        <v>400.0</v>
      </c>
      <c r="AB9" s="57"/>
      <c r="AC9" s="112">
        <v>45337.0</v>
      </c>
      <c r="AD9" s="57" t="s">
        <v>446</v>
      </c>
      <c r="AE9" s="57">
        <v>97.0</v>
      </c>
      <c r="AF9" s="57">
        <v>66.0</v>
      </c>
      <c r="AG9" s="57">
        <v>75.0</v>
      </c>
      <c r="AH9" s="57">
        <v>69.0</v>
      </c>
      <c r="AI9" s="57">
        <v>5.5</v>
      </c>
      <c r="AJ9" s="57">
        <v>17.0</v>
      </c>
      <c r="AK9" s="57">
        <v>48.0</v>
      </c>
      <c r="AL9" s="57">
        <v>21.0</v>
      </c>
      <c r="AM9" s="57">
        <v>30.0</v>
      </c>
      <c r="AN9" s="57" t="s">
        <v>516</v>
      </c>
      <c r="AO9" s="57">
        <v>4.1</v>
      </c>
      <c r="AP9" s="57">
        <v>3.7</v>
      </c>
      <c r="AQ9" s="11" t="s">
        <v>1016</v>
      </c>
      <c r="AR9" s="66" t="b">
        <v>0</v>
      </c>
    </row>
    <row r="10">
      <c r="A10" s="57">
        <v>2.124003531E9</v>
      </c>
      <c r="B10" s="109" t="str">
        <f>VLOOKUP($A10,ANAGRAFICA!$B$1:$G$306,2,FALSE)</f>
        <v>RASPANTI</v>
      </c>
      <c r="C10" s="109" t="str">
        <f>VLOOKUP($A10,ANAGRAFICA!$B$1:$G$306,3,FALSE)</f>
        <v>ANDREA</v>
      </c>
      <c r="D10" s="109" t="str">
        <f>VLOOKUP($A10,ANAGRAFICA!$B$1:$G$306,4,FALSE)</f>
        <v/>
      </c>
      <c r="E10" s="109">
        <f>VLOOKUP($A10,ANAGRAFICA!$B$1:$G$306,5,FALSE)</f>
        <v>3272024057</v>
      </c>
      <c r="F10" s="109">
        <f>VLOOKUP($A10,ANAGRAFICA!$B$1:$G$306,6,FALSE)</f>
        <v>2024</v>
      </c>
      <c r="G10" s="57">
        <v>1.0</v>
      </c>
      <c r="H10" s="186">
        <v>45344.0</v>
      </c>
      <c r="I10" s="185" t="s">
        <v>71</v>
      </c>
      <c r="J10" s="185">
        <v>7.38</v>
      </c>
      <c r="K10" s="185">
        <v>107.0</v>
      </c>
      <c r="L10" s="185">
        <v>40.0</v>
      </c>
      <c r="M10" s="57">
        <v>23.9</v>
      </c>
      <c r="N10" s="57">
        <v>1.28</v>
      </c>
      <c r="O10" s="57">
        <v>-1.4</v>
      </c>
      <c r="P10" s="57">
        <v>8.4</v>
      </c>
      <c r="Q10" s="57">
        <v>25.0</v>
      </c>
      <c r="R10" s="57">
        <v>98.0</v>
      </c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110">
        <v>45344.0</v>
      </c>
      <c r="AD10" s="57" t="s">
        <v>39</v>
      </c>
      <c r="AE10" s="57">
        <v>76.0</v>
      </c>
      <c r="AF10" s="57">
        <v>59.0</v>
      </c>
      <c r="AG10" s="57">
        <v>64.0</v>
      </c>
      <c r="AH10" s="57" t="s">
        <v>516</v>
      </c>
      <c r="AI10" s="57">
        <v>5.3</v>
      </c>
      <c r="AJ10" s="57" t="s">
        <v>516</v>
      </c>
      <c r="AK10" s="57">
        <v>29.0</v>
      </c>
      <c r="AL10" s="57">
        <v>19.0</v>
      </c>
      <c r="AM10" s="57">
        <v>23.0</v>
      </c>
      <c r="AN10" s="57" t="s">
        <v>516</v>
      </c>
      <c r="AO10" s="57">
        <v>4.6</v>
      </c>
      <c r="AP10" s="57">
        <v>5.6</v>
      </c>
      <c r="AQ10" s="11" t="s">
        <v>1016</v>
      </c>
      <c r="AR10" s="66" t="b">
        <v>0</v>
      </c>
    </row>
    <row r="11">
      <c r="A11" s="57">
        <v>2.124203781E9</v>
      </c>
      <c r="B11" s="109" t="str">
        <f>VLOOKUP($A11,ANAGRAFICA!$B$1:$G$306,2,FALSE)</f>
        <v>CONCA</v>
      </c>
      <c r="C11" s="109" t="str">
        <f>VLOOKUP($A11,ANAGRAFICA!$B$1:$G$306,3,FALSE)</f>
        <v>CAMILLA</v>
      </c>
      <c r="D11" s="109" t="str">
        <f>VLOOKUP($A11,ANAGRAFICA!$B$1:$G$306,4,FALSE)</f>
        <v/>
      </c>
      <c r="E11" s="109">
        <f>VLOOKUP($A11,ANAGRAFICA!$B$1:$G$306,5,FALSE)</f>
        <v>3272024058</v>
      </c>
      <c r="F11" s="109">
        <f>VLOOKUP($A11,ANAGRAFICA!$B$1:$G$306,6,FALSE)</f>
        <v>2024</v>
      </c>
      <c r="G11" s="57">
        <v>1.0</v>
      </c>
      <c r="H11" s="110">
        <v>45352.0</v>
      </c>
      <c r="I11" s="57" t="s">
        <v>739</v>
      </c>
      <c r="J11" s="57">
        <v>7.21</v>
      </c>
      <c r="K11" s="57">
        <v>48.0</v>
      </c>
      <c r="L11" s="57">
        <v>50.0</v>
      </c>
      <c r="M11" s="57">
        <v>18.5</v>
      </c>
      <c r="N11" s="57">
        <v>1.03</v>
      </c>
      <c r="O11" s="57">
        <v>-7.9</v>
      </c>
      <c r="P11" s="57">
        <v>9.9</v>
      </c>
      <c r="Q11" s="57">
        <v>30.0</v>
      </c>
      <c r="R11" s="57">
        <v>73.3</v>
      </c>
      <c r="S11" s="110">
        <v>45352.0</v>
      </c>
      <c r="T11" s="57" t="s">
        <v>739</v>
      </c>
      <c r="U11" s="57" t="s">
        <v>901</v>
      </c>
      <c r="V11" s="57">
        <v>10.0</v>
      </c>
      <c r="W11" s="57">
        <v>13.0</v>
      </c>
      <c r="X11" s="94"/>
      <c r="Y11" s="94"/>
      <c r="Z11" s="94"/>
      <c r="AA11" s="57">
        <v>490.0</v>
      </c>
      <c r="AB11" s="57"/>
      <c r="AC11" s="110">
        <v>45352.0</v>
      </c>
      <c r="AD11" s="57" t="s">
        <v>739</v>
      </c>
      <c r="AE11" s="57">
        <v>50.0</v>
      </c>
      <c r="AF11" s="57">
        <v>41.0</v>
      </c>
      <c r="AG11" s="57">
        <v>45.0</v>
      </c>
      <c r="AH11" s="57" t="s">
        <v>516</v>
      </c>
      <c r="AI11" s="57" t="s">
        <v>516</v>
      </c>
      <c r="AJ11" s="57" t="s">
        <v>516</v>
      </c>
      <c r="AK11" s="57" t="s">
        <v>516</v>
      </c>
      <c r="AL11" s="57" t="s">
        <v>516</v>
      </c>
      <c r="AM11" s="57" t="s">
        <v>516</v>
      </c>
      <c r="AN11" s="57" t="s">
        <v>516</v>
      </c>
      <c r="AO11" s="57">
        <v>2.7</v>
      </c>
      <c r="AP11" s="57">
        <v>2.7</v>
      </c>
      <c r="AQ11" s="11" t="s">
        <v>1016</v>
      </c>
      <c r="AR11" s="66" t="b">
        <v>0</v>
      </c>
    </row>
    <row r="12">
      <c r="A12" s="57">
        <v>2.124019725E9</v>
      </c>
      <c r="B12" s="109" t="str">
        <f>VLOOKUP($A12,ANAGRAFICA!$B$1:$G$306,2,FALSE)</f>
        <v>AMIWO</v>
      </c>
      <c r="C12" s="109" t="str">
        <f>VLOOKUP($A12,ANAGRAFICA!$B$1:$G$306,3,FALSE)</f>
        <v>REX STEVE</v>
      </c>
      <c r="D12" s="109" t="str">
        <f>VLOOKUP($A12,ANAGRAFICA!$B$1:$G$306,4,FALSE)</f>
        <v>758-18</v>
      </c>
      <c r="E12" s="109">
        <f>VLOOKUP($A12,ANAGRAFICA!$B$1:$G$306,5,FALSE)</f>
        <v>3272024084</v>
      </c>
      <c r="F12" s="109">
        <f>VLOOKUP($A12,ANAGRAFICA!$B$1:$G$306,6,FALSE)</f>
        <v>2024</v>
      </c>
      <c r="G12" s="57">
        <v>1.0</v>
      </c>
      <c r="H12" s="110">
        <v>45602.0</v>
      </c>
      <c r="I12" s="57" t="s">
        <v>967</v>
      </c>
      <c r="J12" s="57">
        <v>7.05</v>
      </c>
      <c r="K12" s="57">
        <v>103.0</v>
      </c>
      <c r="L12" s="57">
        <v>33.0</v>
      </c>
      <c r="M12" s="57">
        <v>9.3</v>
      </c>
      <c r="N12" s="57" t="s">
        <v>941</v>
      </c>
      <c r="O12" s="57">
        <v>-21.0</v>
      </c>
      <c r="P12" s="57">
        <v>8.6</v>
      </c>
      <c r="Q12" s="57">
        <v>26.0</v>
      </c>
      <c r="R12" s="57">
        <v>94.0</v>
      </c>
      <c r="S12" s="110">
        <v>45602.0</v>
      </c>
      <c r="T12" s="57" t="s">
        <v>967</v>
      </c>
      <c r="U12" s="57" t="s">
        <v>901</v>
      </c>
      <c r="V12" s="57">
        <v>4.0</v>
      </c>
      <c r="W12" s="57">
        <v>8.0</v>
      </c>
      <c r="X12" s="57" t="s">
        <v>516</v>
      </c>
      <c r="Y12" s="57" t="s">
        <v>516</v>
      </c>
      <c r="Z12" s="57" t="s">
        <v>516</v>
      </c>
      <c r="AA12" s="57">
        <v>500.0</v>
      </c>
      <c r="AB12" s="57"/>
      <c r="AC12" s="110">
        <v>45602.0</v>
      </c>
      <c r="AD12" s="57" t="s">
        <v>967</v>
      </c>
      <c r="AE12" s="57">
        <v>34.0</v>
      </c>
      <c r="AF12" s="57">
        <v>31.0</v>
      </c>
      <c r="AG12" s="57">
        <v>32.0</v>
      </c>
      <c r="AH12" s="57" t="s">
        <v>516</v>
      </c>
      <c r="AI12" s="57" t="s">
        <v>516</v>
      </c>
      <c r="AJ12" s="57" t="s">
        <v>516</v>
      </c>
      <c r="AK12" s="57" t="s">
        <v>516</v>
      </c>
      <c r="AL12" s="57" t="s">
        <v>516</v>
      </c>
      <c r="AM12" s="57" t="s">
        <v>516</v>
      </c>
      <c r="AN12" s="57" t="s">
        <v>516</v>
      </c>
      <c r="AO12" s="57">
        <v>2.5</v>
      </c>
      <c r="AP12" s="57">
        <v>2.8</v>
      </c>
      <c r="AQ12" s="11" t="s">
        <v>1016</v>
      </c>
      <c r="AR12" s="66" t="b">
        <v>0</v>
      </c>
    </row>
    <row r="13">
      <c r="A13" s="57">
        <v>2.12401869E9</v>
      </c>
      <c r="B13" s="109" t="str">
        <f>VLOOKUP($A13,ANAGRAFICA!$B$1:$G$306,2,FALSE)</f>
        <v>AVENIDO</v>
      </c>
      <c r="C13" s="109" t="str">
        <f>VLOOKUP($A13,ANAGRAFICA!$B$1:$G$306,3,FALSE)</f>
        <v>DELFIN</v>
      </c>
      <c r="D13" s="109" t="str">
        <f>VLOOKUP($A13,ANAGRAFICA!$B$1:$G$306,4,FALSE)</f>
        <v>758-16</v>
      </c>
      <c r="E13" s="109">
        <f>VLOOKUP($A13,ANAGRAFICA!$B$1:$G$306,5,FALSE)</f>
        <v>3272024082</v>
      </c>
      <c r="F13" s="109">
        <f>VLOOKUP($A13,ANAGRAFICA!$B$1:$G$306,6,FALSE)</f>
        <v>2024</v>
      </c>
      <c r="G13" s="57">
        <v>1.0</v>
      </c>
      <c r="H13" s="112">
        <v>45586.0</v>
      </c>
      <c r="I13" s="57" t="s">
        <v>473</v>
      </c>
      <c r="J13" s="57">
        <v>7.44</v>
      </c>
      <c r="K13" s="57">
        <v>109.0</v>
      </c>
      <c r="L13" s="57">
        <v>42.0</v>
      </c>
      <c r="M13" s="57">
        <v>28.0</v>
      </c>
      <c r="N13" s="57">
        <v>4.3</v>
      </c>
      <c r="O13" s="57">
        <v>4.0</v>
      </c>
      <c r="P13" s="57">
        <v>8.3</v>
      </c>
      <c r="Q13" s="57">
        <v>25.0</v>
      </c>
      <c r="R13" s="57">
        <v>97.3</v>
      </c>
      <c r="S13" s="112">
        <v>45586.0</v>
      </c>
      <c r="T13" s="57" t="s">
        <v>59</v>
      </c>
      <c r="U13" s="57" t="s">
        <v>901</v>
      </c>
      <c r="V13" s="57">
        <v>4.0</v>
      </c>
      <c r="W13" s="57">
        <v>16.0</v>
      </c>
      <c r="X13" s="57" t="s">
        <v>516</v>
      </c>
      <c r="Y13" s="57" t="s">
        <v>516</v>
      </c>
      <c r="Z13" s="57">
        <v>25.0</v>
      </c>
      <c r="AA13" s="57">
        <v>430.0</v>
      </c>
      <c r="AB13" s="57"/>
      <c r="AC13" s="112">
        <v>45586.0</v>
      </c>
      <c r="AD13" s="57" t="s">
        <v>59</v>
      </c>
      <c r="AE13" s="57">
        <v>118.0</v>
      </c>
      <c r="AF13" s="57">
        <v>88.0</v>
      </c>
      <c r="AG13" s="57">
        <v>96.0</v>
      </c>
      <c r="AH13" s="57">
        <v>70.0</v>
      </c>
      <c r="AI13" s="57">
        <v>2.5</v>
      </c>
      <c r="AJ13" s="57" t="s">
        <v>516</v>
      </c>
      <c r="AK13" s="57" t="s">
        <v>516</v>
      </c>
      <c r="AL13" s="57" t="s">
        <v>516</v>
      </c>
      <c r="AM13" s="57" t="s">
        <v>516</v>
      </c>
      <c r="AN13" s="57" t="s">
        <v>516</v>
      </c>
      <c r="AO13" s="57">
        <v>3.86</v>
      </c>
      <c r="AP13" s="57">
        <v>3.42</v>
      </c>
      <c r="AQ13" s="11" t="s">
        <v>1016</v>
      </c>
      <c r="AR13" s="66" t="b">
        <v>0</v>
      </c>
    </row>
    <row r="14">
      <c r="A14" s="57">
        <v>2.124018637E9</v>
      </c>
      <c r="B14" s="109" t="str">
        <f>VLOOKUP($A14,ANAGRAFICA!$B$1:$G$306,2,FALSE)</f>
        <v>CARIBONI</v>
      </c>
      <c r="C14" s="109" t="str">
        <f>VLOOKUP($A14,ANAGRAFICA!$B$1:$G$306,3,FALSE)</f>
        <v>LORENZA</v>
      </c>
      <c r="D14" s="109" t="str">
        <f>VLOOKUP($A14,ANAGRAFICA!$B$1:$G$306,4,FALSE)</f>
        <v>758-15</v>
      </c>
      <c r="E14" s="109">
        <f>VLOOKUP($A14,ANAGRAFICA!$B$1:$G$306,5,FALSE)</f>
        <v>3272024081</v>
      </c>
      <c r="F14" s="109">
        <f>VLOOKUP($A14,ANAGRAFICA!$B$1:$G$306,6,FALSE)</f>
        <v>2024</v>
      </c>
      <c r="G14" s="57">
        <v>1.0</v>
      </c>
      <c r="H14" s="112">
        <v>45585.0</v>
      </c>
      <c r="I14" s="57" t="s">
        <v>1019</v>
      </c>
      <c r="J14" s="57">
        <v>7.42</v>
      </c>
      <c r="K14" s="57">
        <v>182.0</v>
      </c>
      <c r="L14" s="57">
        <v>42.0</v>
      </c>
      <c r="M14" s="57">
        <v>26.8</v>
      </c>
      <c r="N14" s="57">
        <v>2.1</v>
      </c>
      <c r="O14" s="57">
        <v>2.4</v>
      </c>
      <c r="P14" s="57">
        <v>9.6</v>
      </c>
      <c r="Q14" s="57">
        <v>29.0</v>
      </c>
      <c r="R14" s="57">
        <v>97.1</v>
      </c>
      <c r="S14" s="112">
        <v>45585.0</v>
      </c>
      <c r="T14" s="57" t="s">
        <v>71</v>
      </c>
      <c r="U14" s="57" t="s">
        <v>901</v>
      </c>
      <c r="V14" s="57">
        <v>4.0</v>
      </c>
      <c r="W14" s="57">
        <v>8.0</v>
      </c>
      <c r="X14" s="57" t="s">
        <v>516</v>
      </c>
      <c r="Y14" s="57" t="s">
        <v>516</v>
      </c>
      <c r="Z14" s="57" t="s">
        <v>516</v>
      </c>
      <c r="AA14" s="57">
        <v>380.0</v>
      </c>
      <c r="AB14" s="57"/>
      <c r="AC14" s="112">
        <v>45585.0</v>
      </c>
      <c r="AD14" s="57" t="s">
        <v>333</v>
      </c>
      <c r="AE14" s="57">
        <v>78.0</v>
      </c>
      <c r="AF14" s="57">
        <v>63.0</v>
      </c>
      <c r="AG14" s="57">
        <v>68.0</v>
      </c>
      <c r="AH14" s="57" t="s">
        <v>516</v>
      </c>
      <c r="AI14" s="57" t="s">
        <v>516</v>
      </c>
      <c r="AJ14" s="57" t="s">
        <v>516</v>
      </c>
      <c r="AK14" s="57" t="s">
        <v>516</v>
      </c>
      <c r="AL14" s="57" t="s">
        <v>516</v>
      </c>
      <c r="AM14" s="57" t="s">
        <v>516</v>
      </c>
      <c r="AN14" s="57" t="s">
        <v>516</v>
      </c>
      <c r="AO14" s="57">
        <v>3.7</v>
      </c>
      <c r="AP14" s="57">
        <v>3.7</v>
      </c>
      <c r="AQ14" s="11" t="s">
        <v>1016</v>
      </c>
      <c r="AR14" s="66" t="b">
        <v>0</v>
      </c>
    </row>
    <row r="15">
      <c r="A15" s="57">
        <v>2.124019184E9</v>
      </c>
      <c r="B15" s="109" t="str">
        <f>VLOOKUP($A15,ANAGRAFICA!$B$1:$G$306,2,FALSE)</f>
        <v>SERVIDIO</v>
      </c>
      <c r="C15" s="109" t="str">
        <f>VLOOKUP($A15,ANAGRAFICA!$B$1:$G$306,3,FALSE)</f>
        <v>GIOVANNI</v>
      </c>
      <c r="D15" s="109" t="str">
        <f>VLOOKUP($A15,ANAGRAFICA!$B$1:$G$306,4,FALSE)</f>
        <v>758-17</v>
      </c>
      <c r="E15" s="109">
        <f>VLOOKUP($A15,ANAGRAFICA!$B$1:$G$306,5,FALSE)</f>
        <v>3272024083</v>
      </c>
      <c r="F15" s="109">
        <f>VLOOKUP($A15,ANAGRAFICA!$B$1:$G$306,6,FALSE)</f>
        <v>2024</v>
      </c>
      <c r="G15" s="57">
        <v>1.0</v>
      </c>
      <c r="H15" s="112">
        <v>45595.0</v>
      </c>
      <c r="I15" s="57" t="s">
        <v>353</v>
      </c>
      <c r="J15" s="57">
        <v>7.35</v>
      </c>
      <c r="K15" s="57">
        <v>163.0</v>
      </c>
      <c r="L15" s="57">
        <v>41.0</v>
      </c>
      <c r="M15" s="57">
        <v>22.8</v>
      </c>
      <c r="N15" s="57">
        <v>2.4</v>
      </c>
      <c r="O15" s="57">
        <v>-3.0</v>
      </c>
      <c r="P15" s="57">
        <v>7.9</v>
      </c>
      <c r="Q15" s="57">
        <v>24.0</v>
      </c>
      <c r="R15" s="57">
        <v>97.9</v>
      </c>
      <c r="S15" s="112">
        <v>45595.0</v>
      </c>
      <c r="T15" s="57" t="s">
        <v>353</v>
      </c>
      <c r="U15" s="57" t="s">
        <v>901</v>
      </c>
      <c r="V15" s="57">
        <v>4.0</v>
      </c>
      <c r="W15" s="57">
        <v>10.0</v>
      </c>
      <c r="X15" s="57" t="s">
        <v>516</v>
      </c>
      <c r="Y15" s="57" t="s">
        <v>516</v>
      </c>
      <c r="Z15" s="57" t="s">
        <v>516</v>
      </c>
      <c r="AA15" s="57">
        <v>400.0</v>
      </c>
      <c r="AB15" s="57"/>
      <c r="AC15" s="112">
        <v>45595.0</v>
      </c>
      <c r="AD15" s="57" t="s">
        <v>353</v>
      </c>
      <c r="AE15" s="57">
        <v>106.0</v>
      </c>
      <c r="AF15" s="57">
        <v>36.0</v>
      </c>
      <c r="AG15" s="57">
        <v>63.0</v>
      </c>
      <c r="AH15" s="57" t="s">
        <v>516</v>
      </c>
      <c r="AI15" s="57" t="s">
        <v>516</v>
      </c>
      <c r="AJ15" s="57" t="s">
        <v>516</v>
      </c>
      <c r="AK15" s="57" t="s">
        <v>516</v>
      </c>
      <c r="AL15" s="57" t="s">
        <v>516</v>
      </c>
      <c r="AM15" s="57" t="s">
        <v>516</v>
      </c>
      <c r="AN15" s="57" t="s">
        <v>516</v>
      </c>
      <c r="AO15" s="57" t="s">
        <v>1020</v>
      </c>
      <c r="AP15" s="57">
        <v>3.0</v>
      </c>
      <c r="AQ15" s="11" t="s">
        <v>1016</v>
      </c>
      <c r="AR15" s="66" t="b">
        <v>0</v>
      </c>
    </row>
    <row r="16">
      <c r="A16" s="57">
        <v>2.124017757E9</v>
      </c>
      <c r="B16" s="109" t="str">
        <f>VLOOKUP($A16,ANAGRAFICA!$B$1:$G$306,2,FALSE)</f>
        <v>SALA</v>
      </c>
      <c r="C16" s="109" t="str">
        <f>VLOOKUP($A16,ANAGRAFICA!$B$1:$G$306,3,FALSE)</f>
        <v>FELICE</v>
      </c>
      <c r="D16" s="109" t="str">
        <f>VLOOKUP($A16,ANAGRAFICA!$B$1:$G$306,4,FALSE)</f>
        <v>758-14</v>
      </c>
      <c r="E16" s="109">
        <f>VLOOKUP($A16,ANAGRAFICA!$B$1:$G$306,5,FALSE)</f>
        <v>3272024080</v>
      </c>
      <c r="F16" s="109">
        <f>VLOOKUP($A16,ANAGRAFICA!$B$1:$G$306,6,FALSE)</f>
        <v>2024</v>
      </c>
      <c r="G16" s="57">
        <v>1.0</v>
      </c>
      <c r="H16" s="112">
        <v>45573.0</v>
      </c>
      <c r="I16" s="57" t="s">
        <v>837</v>
      </c>
      <c r="J16" s="57">
        <v>7.43</v>
      </c>
      <c r="K16" s="57">
        <v>174.0</v>
      </c>
      <c r="L16" s="57">
        <v>48.0</v>
      </c>
      <c r="M16" s="57">
        <v>30.0</v>
      </c>
      <c r="N16" s="57">
        <v>3.0</v>
      </c>
      <c r="O16" s="57">
        <v>7.6</v>
      </c>
      <c r="P16" s="57">
        <v>9.3</v>
      </c>
      <c r="Q16" s="57">
        <v>28.0</v>
      </c>
      <c r="R16" s="57">
        <v>99.0</v>
      </c>
      <c r="S16" s="112">
        <v>45573.0</v>
      </c>
      <c r="T16" s="57" t="s">
        <v>87</v>
      </c>
      <c r="U16" s="57" t="s">
        <v>901</v>
      </c>
      <c r="V16" s="57">
        <v>5.0</v>
      </c>
      <c r="W16" s="57">
        <v>10.0</v>
      </c>
      <c r="X16" s="57" t="s">
        <v>516</v>
      </c>
      <c r="Y16" s="57" t="s">
        <v>516</v>
      </c>
      <c r="Z16" s="57" t="s">
        <v>516</v>
      </c>
      <c r="AA16" s="57">
        <v>450.0</v>
      </c>
      <c r="AB16" s="57"/>
      <c r="AC16" s="112">
        <v>45573.0</v>
      </c>
      <c r="AD16" s="57" t="s">
        <v>87</v>
      </c>
      <c r="AE16" s="57">
        <v>101.0</v>
      </c>
      <c r="AF16" s="57">
        <v>47.0</v>
      </c>
      <c r="AG16" s="57">
        <v>71.0</v>
      </c>
      <c r="AH16" s="57">
        <v>99.0</v>
      </c>
      <c r="AI16" s="57" t="s">
        <v>516</v>
      </c>
      <c r="AJ16" s="57">
        <v>20.0</v>
      </c>
      <c r="AK16" s="57">
        <v>22.0</v>
      </c>
      <c r="AL16" s="57">
        <v>18.0</v>
      </c>
      <c r="AM16" s="57" t="s">
        <v>516</v>
      </c>
      <c r="AN16" s="57" t="s">
        <v>516</v>
      </c>
      <c r="AO16" s="114">
        <v>0.15138888888888888</v>
      </c>
      <c r="AP16" s="57">
        <v>4.02</v>
      </c>
      <c r="AQ16" s="11" t="s">
        <v>1016</v>
      </c>
      <c r="AR16" s="115" t="b">
        <v>1</v>
      </c>
    </row>
    <row r="17">
      <c r="A17" s="57">
        <v>2.124211722E9</v>
      </c>
      <c r="B17" s="109" t="str">
        <f>VLOOKUP($A17,ANAGRAFICA!$B$1:$G$306,2,FALSE)</f>
        <v>CORIO</v>
      </c>
      <c r="C17" s="109" t="str">
        <f>VLOOKUP($A17,ANAGRAFICA!$B$1:$G$306,3,FALSE)</f>
        <v>GIOVANNI</v>
      </c>
      <c r="D17" s="109" t="str">
        <f>VLOOKUP($A17,ANAGRAFICA!$B$1:$G$306,4,FALSE)</f>
        <v>758-13</v>
      </c>
      <c r="E17" s="109">
        <f>VLOOKUP($A17,ANAGRAFICA!$B$1:$G$306,5,FALSE)</f>
        <v>3272024079</v>
      </c>
      <c r="F17" s="109">
        <f>VLOOKUP($A17,ANAGRAFICA!$B$1:$G$306,6,FALSE)</f>
        <v>2024</v>
      </c>
      <c r="G17" s="57">
        <v>1.0</v>
      </c>
      <c r="H17" s="112">
        <v>45572.0</v>
      </c>
      <c r="I17" s="57" t="s">
        <v>50</v>
      </c>
      <c r="J17" s="57">
        <v>7.36</v>
      </c>
      <c r="K17" s="57">
        <v>84.0</v>
      </c>
      <c r="L17" s="57">
        <v>46.0</v>
      </c>
      <c r="M17" s="57">
        <v>25.1</v>
      </c>
      <c r="N17" s="57">
        <v>1.3</v>
      </c>
      <c r="O17" s="57">
        <v>0.6</v>
      </c>
      <c r="P17" s="57">
        <v>9.5</v>
      </c>
      <c r="Q17" s="57">
        <v>29.0</v>
      </c>
      <c r="R17" s="57">
        <v>95.8</v>
      </c>
      <c r="S17" s="110">
        <v>45572.0</v>
      </c>
      <c r="T17" s="57" t="s">
        <v>39</v>
      </c>
      <c r="U17" s="57" t="s">
        <v>901</v>
      </c>
      <c r="V17" s="57">
        <v>4.0</v>
      </c>
      <c r="W17" s="57">
        <v>14.0</v>
      </c>
      <c r="X17" s="57" t="s">
        <v>516</v>
      </c>
      <c r="Y17" s="57" t="s">
        <v>516</v>
      </c>
      <c r="Z17" s="57">
        <v>17.0</v>
      </c>
      <c r="AA17" s="57">
        <v>500.0</v>
      </c>
      <c r="AB17" s="57"/>
      <c r="AC17" s="110">
        <v>45572.0</v>
      </c>
      <c r="AD17" s="57" t="s">
        <v>71</v>
      </c>
      <c r="AE17" s="57">
        <v>99.0</v>
      </c>
      <c r="AF17" s="57">
        <v>60.0</v>
      </c>
      <c r="AG17" s="57">
        <v>69.0</v>
      </c>
      <c r="AH17" s="57" t="s">
        <v>516</v>
      </c>
      <c r="AI17" s="57" t="s">
        <v>516</v>
      </c>
      <c r="AJ17" s="57" t="s">
        <v>516</v>
      </c>
      <c r="AK17" s="57" t="s">
        <v>516</v>
      </c>
      <c r="AL17" s="57" t="s">
        <v>516</v>
      </c>
      <c r="AM17" s="57" t="s">
        <v>516</v>
      </c>
      <c r="AN17" s="57" t="s">
        <v>516</v>
      </c>
      <c r="AO17" s="57">
        <v>2.5</v>
      </c>
      <c r="AP17" s="57">
        <v>3.2</v>
      </c>
      <c r="AQ17" s="11" t="s">
        <v>1016</v>
      </c>
      <c r="AR17" s="115" t="b">
        <v>1</v>
      </c>
    </row>
    <row r="18">
      <c r="A18" s="57">
        <v>2.124014334E9</v>
      </c>
      <c r="B18" s="109" t="str">
        <f>VLOOKUP($A18,ANAGRAFICA!$B$1:$G$306,2,FALSE)</f>
        <v>PONTIGGIA</v>
      </c>
      <c r="C18" s="109" t="str">
        <f>VLOOKUP($A18,ANAGRAFICA!$B$1:$G$306,3,FALSE)</f>
        <v>FLAVIO</v>
      </c>
      <c r="D18" s="109" t="str">
        <f>VLOOKUP($A18,ANAGRAFICA!$B$1:$G$306,4,FALSE)</f>
        <v>758-9</v>
      </c>
      <c r="E18" s="109">
        <f>VLOOKUP($A18,ANAGRAFICA!$B$1:$G$306,5,FALSE)</f>
        <v>3272024075</v>
      </c>
      <c r="F18" s="109">
        <f>VLOOKUP($A18,ANAGRAFICA!$B$1:$G$306,6,FALSE)</f>
        <v>2024</v>
      </c>
      <c r="G18" s="57">
        <v>8.0</v>
      </c>
      <c r="H18" s="110">
        <v>45513.0</v>
      </c>
      <c r="I18" s="57" t="s">
        <v>324</v>
      </c>
      <c r="J18" s="57">
        <v>7.2</v>
      </c>
      <c r="K18" s="57">
        <v>118.0</v>
      </c>
      <c r="L18" s="57">
        <v>35.0</v>
      </c>
      <c r="M18" s="57">
        <v>14.5</v>
      </c>
      <c r="N18" s="57">
        <v>12.0</v>
      </c>
      <c r="O18" s="57">
        <v>-14.0</v>
      </c>
      <c r="P18" s="57">
        <v>11.9</v>
      </c>
      <c r="Q18" s="57">
        <v>36.0</v>
      </c>
      <c r="R18" s="57">
        <v>99.4</v>
      </c>
      <c r="S18" s="110">
        <v>45513.0</v>
      </c>
      <c r="T18" s="57" t="s">
        <v>324</v>
      </c>
      <c r="U18" s="57" t="s">
        <v>901</v>
      </c>
      <c r="V18" s="57">
        <v>8.0</v>
      </c>
      <c r="W18" s="57">
        <v>10.0</v>
      </c>
      <c r="X18" s="57" t="s">
        <v>516</v>
      </c>
      <c r="Y18" s="57" t="s">
        <v>516</v>
      </c>
      <c r="Z18" s="57" t="s">
        <v>516</v>
      </c>
      <c r="AA18" s="57">
        <v>400.0</v>
      </c>
      <c r="AB18" s="57"/>
      <c r="AC18" s="110">
        <v>45574.0</v>
      </c>
      <c r="AD18" s="57" t="s">
        <v>324</v>
      </c>
      <c r="AE18" s="57">
        <v>54.0</v>
      </c>
      <c r="AF18" s="57">
        <v>47.0</v>
      </c>
      <c r="AG18" s="57">
        <v>49.0</v>
      </c>
      <c r="AH18" s="57" t="s">
        <v>516</v>
      </c>
      <c r="AI18" s="57" t="s">
        <v>516</v>
      </c>
      <c r="AJ18" s="57" t="s">
        <v>516</v>
      </c>
      <c r="AK18" s="57" t="s">
        <v>516</v>
      </c>
      <c r="AL18" s="57" t="s">
        <v>516</v>
      </c>
      <c r="AM18" s="57" t="s">
        <v>516</v>
      </c>
      <c r="AN18" s="57" t="s">
        <v>516</v>
      </c>
      <c r="AO18" s="57">
        <v>2.2</v>
      </c>
      <c r="AP18" s="57">
        <v>3.0</v>
      </c>
      <c r="AQ18" s="11" t="s">
        <v>1016</v>
      </c>
      <c r="AR18" s="66" t="b">
        <v>0</v>
      </c>
    </row>
    <row r="19">
      <c r="A19" s="57">
        <v>2.124013801E9</v>
      </c>
      <c r="B19" s="109" t="str">
        <f>VLOOKUP($A19,ANAGRAFICA!$B$1:$G$306,2,FALSE)</f>
        <v>SGOBBA</v>
      </c>
      <c r="C19" s="109" t="str">
        <f>VLOOKUP($A19,ANAGRAFICA!$B$1:$G$306,3,FALSE)</f>
        <v>ANNA</v>
      </c>
      <c r="D19" s="109" t="str">
        <f>VLOOKUP($A19,ANAGRAFICA!$B$1:$G$306,4,FALSE)</f>
        <v>758-8</v>
      </c>
      <c r="E19" s="109">
        <f>VLOOKUP($A19,ANAGRAFICA!$B$1:$G$306,5,FALSE)</f>
        <v>3272024074</v>
      </c>
      <c r="F19" s="109">
        <f>VLOOKUP($A19,ANAGRAFICA!$B$1:$G$306,6,FALSE)</f>
        <v>2024</v>
      </c>
      <c r="G19" s="57">
        <v>1.0</v>
      </c>
      <c r="H19" s="110">
        <v>45512.0</v>
      </c>
      <c r="I19" s="57" t="s">
        <v>45</v>
      </c>
      <c r="J19" s="114">
        <v>0.31805555555555554</v>
      </c>
      <c r="K19" s="57">
        <v>183.0</v>
      </c>
      <c r="L19" s="57">
        <v>32.0</v>
      </c>
      <c r="M19" s="114">
        <v>0.8381944444444445</v>
      </c>
      <c r="N19" s="57" t="s">
        <v>1021</v>
      </c>
      <c r="O19" s="57" t="s">
        <v>1022</v>
      </c>
      <c r="P19" s="57" t="s">
        <v>1023</v>
      </c>
      <c r="Q19" s="57">
        <v>31.0</v>
      </c>
      <c r="R19" s="57">
        <v>99.0</v>
      </c>
      <c r="S19" s="110">
        <v>45512.0</v>
      </c>
      <c r="T19" s="57" t="s">
        <v>45</v>
      </c>
      <c r="U19" s="57" t="s">
        <v>906</v>
      </c>
      <c r="V19" s="57">
        <v>4.0</v>
      </c>
      <c r="W19" s="57">
        <v>10.0</v>
      </c>
      <c r="X19" s="57" t="s">
        <v>516</v>
      </c>
      <c r="Y19" s="57" t="s">
        <v>516</v>
      </c>
      <c r="Z19" s="57">
        <v>20.0</v>
      </c>
      <c r="AA19" s="57">
        <v>320.0</v>
      </c>
      <c r="AB19" s="57"/>
      <c r="AC19" s="110">
        <v>45512.0</v>
      </c>
      <c r="AD19" s="57" t="s">
        <v>45</v>
      </c>
      <c r="AE19" s="57">
        <v>54.0</v>
      </c>
      <c r="AF19" s="57">
        <v>51.0</v>
      </c>
      <c r="AG19" s="57">
        <v>45.0</v>
      </c>
      <c r="AH19" s="57" t="s">
        <v>516</v>
      </c>
      <c r="AI19" s="57" t="s">
        <v>516</v>
      </c>
      <c r="AJ19" s="57" t="s">
        <v>516</v>
      </c>
      <c r="AK19" s="57" t="s">
        <v>516</v>
      </c>
      <c r="AL19" s="57" t="s">
        <v>516</v>
      </c>
      <c r="AM19" s="57" t="s">
        <v>516</v>
      </c>
      <c r="AN19" s="57" t="s">
        <v>516</v>
      </c>
      <c r="AO19" s="57" t="s">
        <v>913</v>
      </c>
      <c r="AP19" s="57" t="s">
        <v>913</v>
      </c>
      <c r="AQ19" s="11" t="s">
        <v>1016</v>
      </c>
      <c r="AR19" s="66" t="b">
        <v>0</v>
      </c>
    </row>
    <row r="20">
      <c r="A20" s="57">
        <v>2.124012915E9</v>
      </c>
      <c r="B20" s="109" t="str">
        <f>VLOOKUP($A20,ANAGRAFICA!$B$1:$G$306,2,FALSE)</f>
        <v>GARGIONI</v>
      </c>
      <c r="C20" s="109" t="str">
        <f>VLOOKUP($A20,ANAGRAFICA!$B$1:$G$306,3,FALSE)</f>
        <v>GIULIO</v>
      </c>
      <c r="D20" s="109" t="str">
        <f>VLOOKUP($A20,ANAGRAFICA!$B$1:$G$306,4,FALSE)</f>
        <v>758-6</v>
      </c>
      <c r="E20" s="109">
        <f>VLOOKUP($A20,ANAGRAFICA!$B$1:$G$306,5,FALSE)</f>
        <v>3272024072</v>
      </c>
      <c r="F20" s="109">
        <f>VLOOKUP($A20,ANAGRAFICA!$B$1:$G$306,6,FALSE)</f>
        <v>2024</v>
      </c>
      <c r="G20" s="57">
        <v>1.0</v>
      </c>
      <c r="H20" s="110">
        <v>45486.0</v>
      </c>
      <c r="I20" s="57" t="s">
        <v>639</v>
      </c>
      <c r="J20" s="114">
        <v>0.3159722222222222</v>
      </c>
      <c r="K20" s="57">
        <v>132.0</v>
      </c>
      <c r="L20" s="57">
        <v>49.0</v>
      </c>
      <c r="M20" s="57" t="s">
        <v>1024</v>
      </c>
      <c r="N20" s="57">
        <v>1.0</v>
      </c>
      <c r="O20" s="57" t="s">
        <v>1025</v>
      </c>
      <c r="P20" s="57" t="s">
        <v>1026</v>
      </c>
      <c r="Q20" s="57">
        <v>34.0</v>
      </c>
      <c r="R20" s="57" t="s">
        <v>1027</v>
      </c>
      <c r="S20" s="110">
        <v>45486.0</v>
      </c>
      <c r="T20" s="57" t="s">
        <v>516</v>
      </c>
      <c r="U20" s="57" t="s">
        <v>901</v>
      </c>
      <c r="V20" s="57">
        <v>5.0</v>
      </c>
      <c r="W20" s="57">
        <v>10.0</v>
      </c>
      <c r="X20" s="57" t="s">
        <v>516</v>
      </c>
      <c r="Y20" s="57" t="s">
        <v>516</v>
      </c>
      <c r="Z20" s="57" t="s">
        <v>516</v>
      </c>
      <c r="AA20" s="57">
        <v>400.0</v>
      </c>
      <c r="AB20" s="57"/>
      <c r="AC20" s="110">
        <v>45486.0</v>
      </c>
      <c r="AD20" s="57" t="s">
        <v>71</v>
      </c>
      <c r="AE20" s="57">
        <v>81.0</v>
      </c>
      <c r="AF20" s="57">
        <v>62.0</v>
      </c>
      <c r="AG20" s="57">
        <v>68.0</v>
      </c>
      <c r="AH20" s="3">
        <v>76.0</v>
      </c>
      <c r="AI20" s="57" t="s">
        <v>516</v>
      </c>
      <c r="AJ20" s="57" t="s">
        <v>516</v>
      </c>
      <c r="AK20" s="57" t="s">
        <v>516</v>
      </c>
      <c r="AL20" s="57" t="s">
        <v>516</v>
      </c>
      <c r="AM20" s="57" t="s">
        <v>516</v>
      </c>
      <c r="AN20" s="57" t="s">
        <v>516</v>
      </c>
      <c r="AO20" s="57">
        <v>2.8</v>
      </c>
      <c r="AP20" s="57">
        <v>2.7</v>
      </c>
      <c r="AQ20" s="11" t="s">
        <v>1016</v>
      </c>
      <c r="AR20" s="66" t="b">
        <v>0</v>
      </c>
    </row>
    <row r="21">
      <c r="A21" s="57">
        <v>2.124011588E9</v>
      </c>
      <c r="B21" s="109" t="str">
        <f>VLOOKUP($A21,ANAGRAFICA!$B$1:$G$306,2,FALSE)</f>
        <v>FRATINO</v>
      </c>
      <c r="C21" s="109" t="str">
        <f>VLOOKUP($A21,ANAGRAFICA!$B$1:$G$306,3,FALSE)</f>
        <v>OLIVIERO</v>
      </c>
      <c r="D21" s="109" t="str">
        <f>VLOOKUP($A21,ANAGRAFICA!$B$1:$G$306,4,FALSE)</f>
        <v>758-4</v>
      </c>
      <c r="E21" s="109">
        <f>VLOOKUP($A21,ANAGRAFICA!$B$1:$G$306,5,FALSE)</f>
        <v>3272024070</v>
      </c>
      <c r="F21" s="109">
        <f>VLOOKUP($A21,ANAGRAFICA!$B$1:$G$306,6,FALSE)</f>
        <v>2024</v>
      </c>
      <c r="G21" s="57">
        <v>1.0</v>
      </c>
      <c r="H21" s="110">
        <v>45463.0</v>
      </c>
      <c r="I21" s="57" t="s">
        <v>292</v>
      </c>
      <c r="J21" s="57">
        <v>7.44</v>
      </c>
      <c r="K21" s="57">
        <v>160.0</v>
      </c>
      <c r="L21" s="57">
        <v>38.0</v>
      </c>
      <c r="M21" s="57">
        <v>26.2</v>
      </c>
      <c r="N21" s="57">
        <v>4.4</v>
      </c>
      <c r="O21" s="57">
        <v>1.6</v>
      </c>
      <c r="P21" s="57">
        <v>9.8</v>
      </c>
      <c r="Q21" s="57">
        <v>29.0</v>
      </c>
      <c r="R21" s="57">
        <v>99.5</v>
      </c>
      <c r="S21" s="110">
        <v>45463.0</v>
      </c>
      <c r="T21" s="57" t="s">
        <v>516</v>
      </c>
      <c r="U21" s="57" t="s">
        <v>937</v>
      </c>
      <c r="V21" s="57" t="s">
        <v>516</v>
      </c>
      <c r="W21" s="57">
        <v>10.0</v>
      </c>
      <c r="X21" s="57" t="s">
        <v>516</v>
      </c>
      <c r="Y21" s="57" t="s">
        <v>516</v>
      </c>
      <c r="Z21" s="57" t="s">
        <v>516</v>
      </c>
      <c r="AA21" s="57" t="s">
        <v>516</v>
      </c>
      <c r="AB21" s="57"/>
      <c r="AC21" s="110">
        <v>45463.0</v>
      </c>
      <c r="AD21" s="57" t="s">
        <v>292</v>
      </c>
      <c r="AE21" s="57">
        <v>87.0</v>
      </c>
      <c r="AF21" s="57">
        <v>75.0</v>
      </c>
      <c r="AG21" s="57">
        <v>79.0</v>
      </c>
      <c r="AH21" s="57" t="s">
        <v>516</v>
      </c>
      <c r="AI21" s="57" t="s">
        <v>1028</v>
      </c>
      <c r="AJ21" s="57" t="s">
        <v>516</v>
      </c>
      <c r="AK21" s="57">
        <v>11.0</v>
      </c>
      <c r="AL21" s="57">
        <v>9.0</v>
      </c>
      <c r="AM21" s="57">
        <v>6.0</v>
      </c>
      <c r="AN21" s="57" t="s">
        <v>516</v>
      </c>
      <c r="AO21" s="57">
        <v>2.5</v>
      </c>
      <c r="AP21" s="57">
        <v>3.4</v>
      </c>
      <c r="AQ21" s="11" t="s">
        <v>1016</v>
      </c>
      <c r="AR21" s="66" t="b">
        <v>0</v>
      </c>
    </row>
    <row r="22">
      <c r="A22" s="57">
        <v>2.124208629E9</v>
      </c>
      <c r="B22" s="109" t="str">
        <f>VLOOKUP($A22,ANAGRAFICA!$B$1:$G$306,2,FALSE)</f>
        <v>D'ANDREA</v>
      </c>
      <c r="C22" s="109" t="str">
        <f>VLOOKUP($A22,ANAGRAFICA!$B$1:$G$306,3,FALSE)</f>
        <v>FERNANDO ANTONIO</v>
      </c>
      <c r="D22" s="109" t="str">
        <f>VLOOKUP($A22,ANAGRAFICA!$B$1:$G$306,4,FALSE)</f>
        <v>758-5</v>
      </c>
      <c r="E22" s="109">
        <f>VLOOKUP($A22,ANAGRAFICA!$B$1:$G$306,5,FALSE)</f>
        <v>3272024071</v>
      </c>
      <c r="F22" s="109">
        <f>VLOOKUP($A22,ANAGRAFICA!$B$1:$G$306,6,FALSE)</f>
        <v>2024</v>
      </c>
      <c r="G22" s="57">
        <v>1.0</v>
      </c>
      <c r="H22" s="110">
        <v>45471.0</v>
      </c>
      <c r="I22" s="57" t="s">
        <v>39</v>
      </c>
      <c r="J22" s="114">
        <v>0.32083333333333336</v>
      </c>
      <c r="K22" s="57">
        <v>88.0</v>
      </c>
      <c r="L22" s="57">
        <v>37.0</v>
      </c>
      <c r="M22" s="57" t="s">
        <v>1029</v>
      </c>
      <c r="N22" s="57" t="s">
        <v>1030</v>
      </c>
      <c r="O22" s="57" t="s">
        <v>1031</v>
      </c>
      <c r="P22" s="57" t="s">
        <v>1032</v>
      </c>
      <c r="Q22" s="57">
        <v>36.0</v>
      </c>
      <c r="R22" s="57" t="s">
        <v>1033</v>
      </c>
      <c r="S22" s="110">
        <v>45471.0</v>
      </c>
      <c r="T22" s="57" t="s">
        <v>516</v>
      </c>
      <c r="U22" s="57" t="s">
        <v>1034</v>
      </c>
      <c r="V22" s="57">
        <v>5.0</v>
      </c>
      <c r="W22" s="57">
        <v>8.0</v>
      </c>
      <c r="X22" s="57" t="s">
        <v>516</v>
      </c>
      <c r="Y22" s="57" t="s">
        <v>516</v>
      </c>
      <c r="Z22" s="57">
        <v>17.0</v>
      </c>
      <c r="AA22" s="57">
        <v>480.0</v>
      </c>
      <c r="AB22" s="57"/>
      <c r="AC22" s="110">
        <v>45471.0</v>
      </c>
      <c r="AD22" s="57" t="s">
        <v>446</v>
      </c>
      <c r="AE22" s="57">
        <v>93.0</v>
      </c>
      <c r="AF22" s="57">
        <v>64.0</v>
      </c>
      <c r="AG22" s="57">
        <v>71.0</v>
      </c>
      <c r="AH22" s="57">
        <v>84.0</v>
      </c>
      <c r="AI22" s="57" t="s">
        <v>516</v>
      </c>
      <c r="AJ22" s="57" t="s">
        <v>516</v>
      </c>
      <c r="AK22" s="57" t="s">
        <v>516</v>
      </c>
      <c r="AL22" s="57" t="s">
        <v>516</v>
      </c>
      <c r="AM22" s="57" t="s">
        <v>516</v>
      </c>
      <c r="AN22" s="57" t="s">
        <v>516</v>
      </c>
      <c r="AO22" s="57">
        <v>3.64</v>
      </c>
      <c r="AP22" s="57">
        <v>3.64</v>
      </c>
      <c r="AQ22" s="11" t="s">
        <v>1016</v>
      </c>
      <c r="AR22" s="66" t="b">
        <v>0</v>
      </c>
    </row>
    <row r="23">
      <c r="A23" s="57">
        <v>2.1240107E9</v>
      </c>
      <c r="B23" s="109" t="str">
        <f>VLOOKUP($A23,ANAGRAFICA!$B$1:$G$306,2,FALSE)</f>
        <v>ORNAGHI</v>
      </c>
      <c r="C23" s="109" t="str">
        <f>VLOOKUP($A23,ANAGRAFICA!$B$1:$G$306,3,FALSE)</f>
        <v>LORENZO</v>
      </c>
      <c r="D23" s="109" t="str">
        <f>VLOOKUP($A23,ANAGRAFICA!$B$1:$G$306,4,FALSE)</f>
        <v>758-2</v>
      </c>
      <c r="E23" s="109">
        <f>VLOOKUP($A23,ANAGRAFICA!$B$1:$G$306,5,FALSE)</f>
        <v>3272024068</v>
      </c>
      <c r="F23" s="109">
        <f>VLOOKUP($A23,ANAGRAFICA!$B$1:$G$306,6,FALSE)</f>
        <v>2024</v>
      </c>
      <c r="G23" s="57">
        <v>1.0</v>
      </c>
      <c r="H23" s="110">
        <v>45449.0</v>
      </c>
      <c r="I23" s="57" t="s">
        <v>353</v>
      </c>
      <c r="J23" s="57">
        <v>7.4</v>
      </c>
      <c r="K23" s="57">
        <v>90.0</v>
      </c>
      <c r="L23" s="57">
        <v>46.0</v>
      </c>
      <c r="M23" s="57">
        <v>27.4</v>
      </c>
      <c r="N23" s="57">
        <v>2.9</v>
      </c>
      <c r="O23" s="57">
        <v>3.7</v>
      </c>
      <c r="P23" s="57">
        <v>92.0</v>
      </c>
      <c r="Q23" s="57">
        <v>28.0</v>
      </c>
      <c r="R23" s="57">
        <v>95.8</v>
      </c>
      <c r="S23" s="110">
        <v>45449.0</v>
      </c>
      <c r="T23" s="57" t="s">
        <v>353</v>
      </c>
      <c r="U23" s="57" t="s">
        <v>901</v>
      </c>
      <c r="V23" s="57">
        <v>6.0</v>
      </c>
      <c r="W23" s="57">
        <v>18.0</v>
      </c>
      <c r="X23" s="57" t="s">
        <v>516</v>
      </c>
      <c r="Y23" s="57" t="s">
        <v>516</v>
      </c>
      <c r="Z23" s="57" t="s">
        <v>516</v>
      </c>
      <c r="AA23" s="57">
        <v>200.0</v>
      </c>
      <c r="AB23" s="57"/>
      <c r="AC23" s="110">
        <v>45449.0</v>
      </c>
      <c r="AD23" s="57" t="s">
        <v>353</v>
      </c>
      <c r="AE23" s="57">
        <v>65.0</v>
      </c>
      <c r="AF23" s="57">
        <v>64.0</v>
      </c>
      <c r="AG23" s="57">
        <v>65.0</v>
      </c>
      <c r="AH23" s="57">
        <v>71.0</v>
      </c>
      <c r="AI23" s="57" t="s">
        <v>516</v>
      </c>
      <c r="AJ23" s="57" t="s">
        <v>516</v>
      </c>
      <c r="AK23" s="57" t="s">
        <v>516</v>
      </c>
      <c r="AL23" s="57" t="s">
        <v>516</v>
      </c>
      <c r="AM23" s="57" t="s">
        <v>516</v>
      </c>
      <c r="AN23" s="57" t="s">
        <v>516</v>
      </c>
      <c r="AO23" s="57">
        <v>3.2</v>
      </c>
      <c r="AP23" s="57">
        <v>3.2</v>
      </c>
      <c r="AQ23" s="11" t="s">
        <v>1016</v>
      </c>
      <c r="AR23" s="66" t="b">
        <v>0</v>
      </c>
    </row>
    <row r="24">
      <c r="A24" s="57">
        <v>2.124009735E9</v>
      </c>
      <c r="B24" s="109" t="str">
        <f>VLOOKUP($A24,ANAGRAFICA!$B$1:$G$306,2,FALSE)</f>
        <v>BOSSI</v>
      </c>
      <c r="C24" s="109" t="str">
        <f>VLOOKUP($A24,ANAGRAFICA!$B$1:$G$306,3,FALSE)</f>
        <v>LUDOVICO</v>
      </c>
      <c r="D24" s="109" t="str">
        <f>VLOOKUP($A24,ANAGRAFICA!$B$1:$G$306,4,FALSE)</f>
        <v>758-1</v>
      </c>
      <c r="E24" s="109">
        <f>VLOOKUP($A24,ANAGRAFICA!$B$1:$G$306,5,FALSE)</f>
        <v>3272024067</v>
      </c>
      <c r="F24" s="109">
        <f>VLOOKUP($A24,ANAGRAFICA!$B$1:$G$306,6,FALSE)</f>
        <v>2024</v>
      </c>
      <c r="G24" s="57">
        <v>1.0</v>
      </c>
      <c r="H24" s="110">
        <v>45436.0</v>
      </c>
      <c r="I24" s="57" t="s">
        <v>639</v>
      </c>
      <c r="J24" s="57">
        <v>7.47</v>
      </c>
      <c r="K24" s="57">
        <v>84.0</v>
      </c>
      <c r="L24" s="57">
        <v>36.0</v>
      </c>
      <c r="M24" s="57">
        <v>26.8</v>
      </c>
      <c r="N24" s="57">
        <v>1.15</v>
      </c>
      <c r="O24" s="57">
        <v>2.5</v>
      </c>
      <c r="P24" s="57">
        <v>8.3</v>
      </c>
      <c r="Q24" s="57">
        <v>25.0</v>
      </c>
      <c r="R24" s="57">
        <v>95.7</v>
      </c>
      <c r="S24" s="110">
        <v>45436.0</v>
      </c>
      <c r="T24" s="57" t="s">
        <v>639</v>
      </c>
      <c r="U24" s="57" t="s">
        <v>901</v>
      </c>
      <c r="V24" s="57">
        <v>4.0</v>
      </c>
      <c r="W24" s="57">
        <v>15.0</v>
      </c>
      <c r="X24" s="57" t="s">
        <v>516</v>
      </c>
      <c r="Y24" s="57" t="s">
        <v>516</v>
      </c>
      <c r="Z24" s="57" t="s">
        <v>516</v>
      </c>
      <c r="AA24" s="57">
        <v>500.0</v>
      </c>
      <c r="AB24" s="57"/>
      <c r="AC24" s="110">
        <v>45436.0</v>
      </c>
      <c r="AD24" s="57" t="s">
        <v>639</v>
      </c>
      <c r="AE24" s="57">
        <v>76.0</v>
      </c>
      <c r="AF24" s="57">
        <v>67.0</v>
      </c>
      <c r="AG24" s="57">
        <v>69.0</v>
      </c>
      <c r="AH24" s="57">
        <v>80.0</v>
      </c>
      <c r="AI24" s="57">
        <v>4.5</v>
      </c>
      <c r="AJ24" s="57" t="s">
        <v>516</v>
      </c>
      <c r="AK24" s="57" t="s">
        <v>516</v>
      </c>
      <c r="AL24" s="57" t="s">
        <v>516</v>
      </c>
      <c r="AM24" s="57" t="s">
        <v>516</v>
      </c>
      <c r="AN24" s="57" t="s">
        <v>516</v>
      </c>
      <c r="AO24" s="57">
        <v>3.4</v>
      </c>
      <c r="AP24" s="57">
        <v>4.5</v>
      </c>
      <c r="AQ24" s="11" t="s">
        <v>1016</v>
      </c>
      <c r="AR24" s="66" t="b">
        <v>0</v>
      </c>
    </row>
    <row r="25">
      <c r="A25" s="57">
        <v>2.124008291E9</v>
      </c>
      <c r="B25" s="109" t="str">
        <f>VLOOKUP($A25,ANAGRAFICA!$B$1:$G$306,2,FALSE)</f>
        <v>FUMAGALLI</v>
      </c>
      <c r="C25" s="109" t="str">
        <f>VLOOKUP($A25,ANAGRAFICA!$B$1:$G$306,3,FALSE)</f>
        <v>PIERO</v>
      </c>
      <c r="D25" s="109" t="str">
        <f>VLOOKUP($A25,ANAGRAFICA!$B$1:$G$306,4,FALSE)</f>
        <v/>
      </c>
      <c r="E25" s="109">
        <f>VLOOKUP($A25,ANAGRAFICA!$B$1:$G$306,5,FALSE)</f>
        <v>3272024065</v>
      </c>
      <c r="F25" s="109">
        <f>VLOOKUP($A25,ANAGRAFICA!$B$1:$G$306,6,FALSE)</f>
        <v>2024</v>
      </c>
      <c r="G25" s="57">
        <v>1.0</v>
      </c>
      <c r="H25" s="110">
        <v>45415.0</v>
      </c>
      <c r="I25" s="57" t="s">
        <v>203</v>
      </c>
      <c r="J25" s="114">
        <v>0.32708333333333334</v>
      </c>
      <c r="K25" s="57">
        <v>224.0</v>
      </c>
      <c r="L25" s="57">
        <v>37.0</v>
      </c>
      <c r="M25" s="57" t="s">
        <v>1035</v>
      </c>
      <c r="N25" s="114">
        <v>0.059027777777777776</v>
      </c>
      <c r="O25" s="57" t="s">
        <v>1036</v>
      </c>
      <c r="P25" s="57" t="s">
        <v>1037</v>
      </c>
      <c r="Q25" s="57">
        <v>22.0</v>
      </c>
      <c r="R25" s="57" t="s">
        <v>1038</v>
      </c>
      <c r="S25" s="110">
        <v>45415.0</v>
      </c>
      <c r="T25" s="57" t="s">
        <v>516</v>
      </c>
      <c r="U25" s="57" t="s">
        <v>901</v>
      </c>
      <c r="V25" s="57">
        <v>4.0</v>
      </c>
      <c r="W25" s="57">
        <v>10.0</v>
      </c>
      <c r="X25" s="57" t="s">
        <v>516</v>
      </c>
      <c r="Y25" s="57" t="s">
        <v>516</v>
      </c>
      <c r="Z25" s="57" t="s">
        <v>516</v>
      </c>
      <c r="AA25" s="57">
        <v>460.0</v>
      </c>
      <c r="AB25" s="57"/>
      <c r="AC25" s="110">
        <v>45415.0</v>
      </c>
      <c r="AD25" s="57" t="s">
        <v>87</v>
      </c>
      <c r="AE25" s="57">
        <v>81.0</v>
      </c>
      <c r="AF25" s="57">
        <v>73.0</v>
      </c>
      <c r="AG25" s="57">
        <v>75.0</v>
      </c>
      <c r="AH25" s="57" t="s">
        <v>516</v>
      </c>
      <c r="AI25" s="57" t="s">
        <v>516</v>
      </c>
      <c r="AJ25" s="57" t="s">
        <v>516</v>
      </c>
      <c r="AK25" s="57" t="s">
        <v>516</v>
      </c>
      <c r="AL25" s="57" t="s">
        <v>516</v>
      </c>
      <c r="AM25" s="57" t="s">
        <v>516</v>
      </c>
      <c r="AN25" s="57" t="s">
        <v>516</v>
      </c>
      <c r="AO25" s="57" t="s">
        <v>1039</v>
      </c>
      <c r="AP25" s="57" t="s">
        <v>1040</v>
      </c>
      <c r="AQ25" s="11" t="s">
        <v>1016</v>
      </c>
      <c r="AR25" s="66" t="b">
        <v>0</v>
      </c>
    </row>
    <row r="26">
      <c r="A26" s="57">
        <v>2.124206072E9</v>
      </c>
      <c r="B26" s="109" t="str">
        <f>VLOOKUP($A26,ANAGRAFICA!$B$1:$G$306,2,FALSE)</f>
        <v>CONSONNI</v>
      </c>
      <c r="C26" s="109" t="str">
        <f>VLOOKUP($A26,ANAGRAFICA!$B$1:$G$306,3,FALSE)</f>
        <v>GIULIO</v>
      </c>
      <c r="D26" s="109" t="str">
        <f>VLOOKUP($A26,ANAGRAFICA!$B$1:$G$306,4,FALSE)</f>
        <v/>
      </c>
      <c r="E26" s="109">
        <f>VLOOKUP($A26,ANAGRAFICA!$B$1:$G$306,5,FALSE)</f>
        <v>3272024064</v>
      </c>
      <c r="F26" s="109">
        <f>VLOOKUP($A26,ANAGRAFICA!$B$1:$G$306,6,FALSE)</f>
        <v>2024</v>
      </c>
      <c r="G26" s="57">
        <v>1.0</v>
      </c>
      <c r="H26" s="110">
        <v>45409.0</v>
      </c>
      <c r="I26" s="57" t="s">
        <v>446</v>
      </c>
      <c r="J26" s="57">
        <v>7.41</v>
      </c>
      <c r="K26" s="57">
        <v>89.0</v>
      </c>
      <c r="L26" s="57">
        <v>45.0</v>
      </c>
      <c r="M26" s="57">
        <v>27.6</v>
      </c>
      <c r="N26" s="57">
        <v>1.13</v>
      </c>
      <c r="O26" s="57">
        <v>3.9</v>
      </c>
      <c r="P26" s="57">
        <v>9.0</v>
      </c>
      <c r="Q26" s="57">
        <v>27.0</v>
      </c>
      <c r="R26" s="57">
        <v>95.8</v>
      </c>
      <c r="S26" s="124">
        <v>45409.0</v>
      </c>
      <c r="T26" s="57" t="s">
        <v>446</v>
      </c>
      <c r="U26" s="57" t="s">
        <v>901</v>
      </c>
      <c r="V26" s="57">
        <v>4.0</v>
      </c>
      <c r="W26" s="57">
        <v>8.0</v>
      </c>
      <c r="X26" s="57" t="s">
        <v>516</v>
      </c>
      <c r="Y26" s="57" t="s">
        <v>516</v>
      </c>
      <c r="Z26" s="57" t="s">
        <v>516</v>
      </c>
      <c r="AA26" s="57">
        <v>500.0</v>
      </c>
      <c r="AB26" s="57"/>
      <c r="AC26" s="110">
        <v>45409.0</v>
      </c>
      <c r="AD26" s="57">
        <v>19.0</v>
      </c>
      <c r="AE26" s="57">
        <v>99.0</v>
      </c>
      <c r="AF26" s="57">
        <v>71.0</v>
      </c>
      <c r="AG26" s="57">
        <v>77.0</v>
      </c>
      <c r="AH26" s="57" t="s">
        <v>516</v>
      </c>
      <c r="AI26" s="57" t="s">
        <v>516</v>
      </c>
      <c r="AJ26" s="57" t="s">
        <v>516</v>
      </c>
      <c r="AK26" s="57" t="s">
        <v>516</v>
      </c>
      <c r="AL26" s="57" t="s">
        <v>516</v>
      </c>
      <c r="AM26" s="57" t="s">
        <v>516</v>
      </c>
      <c r="AN26" s="57" t="s">
        <v>516</v>
      </c>
      <c r="AO26" s="57">
        <v>4.4</v>
      </c>
      <c r="AP26" s="57">
        <v>4.4</v>
      </c>
      <c r="AQ26" s="11" t="s">
        <v>1016</v>
      </c>
      <c r="AR26" s="66" t="b">
        <v>0</v>
      </c>
    </row>
    <row r="27">
      <c r="A27" s="57">
        <v>2.124007138E9</v>
      </c>
      <c r="B27" s="109" t="str">
        <f>VLOOKUP($A27,ANAGRAFICA!$B$1:$G$306,2,FALSE)</f>
        <v>TARTARELLI</v>
      </c>
      <c r="C27" s="109" t="str">
        <f>VLOOKUP($A27,ANAGRAFICA!$B$1:$G$306,3,FALSE)</f>
        <v>GIUSEPPE</v>
      </c>
      <c r="D27" s="109" t="str">
        <f>VLOOKUP($A27,ANAGRAFICA!$B$1:$G$306,4,FALSE)</f>
        <v/>
      </c>
      <c r="E27" s="109">
        <f>VLOOKUP($A27,ANAGRAFICA!$B$1:$G$306,5,FALSE)</f>
        <v>3272024063</v>
      </c>
      <c r="F27" s="109">
        <f>VLOOKUP($A27,ANAGRAFICA!$B$1:$G$306,6,FALSE)</f>
        <v>2024</v>
      </c>
      <c r="G27" s="57">
        <v>1.0</v>
      </c>
      <c r="H27" s="110">
        <v>45396.0</v>
      </c>
      <c r="I27" s="57" t="s">
        <v>59</v>
      </c>
      <c r="J27" s="57">
        <v>7.27</v>
      </c>
      <c r="K27" s="57">
        <v>72.0</v>
      </c>
      <c r="L27" s="57">
        <v>84.0</v>
      </c>
      <c r="M27" s="57">
        <v>33.1</v>
      </c>
      <c r="N27" s="57">
        <v>1.3</v>
      </c>
      <c r="O27" s="57">
        <v>6.2</v>
      </c>
      <c r="P27" s="57">
        <v>10.1</v>
      </c>
      <c r="Q27" s="57">
        <v>30.0</v>
      </c>
      <c r="R27" s="57">
        <v>93.8</v>
      </c>
      <c r="S27" s="110">
        <v>45396.0</v>
      </c>
      <c r="T27" s="57" t="s">
        <v>446</v>
      </c>
      <c r="U27" s="57" t="s">
        <v>901</v>
      </c>
      <c r="V27" s="57">
        <v>5.0</v>
      </c>
      <c r="W27" s="57">
        <v>8.0</v>
      </c>
      <c r="X27" s="57" t="s">
        <v>516</v>
      </c>
      <c r="Y27" s="57" t="s">
        <v>516</v>
      </c>
      <c r="Z27" s="57" t="s">
        <v>516</v>
      </c>
      <c r="AA27" s="57">
        <v>500.0</v>
      </c>
      <c r="AB27" s="57"/>
      <c r="AC27" s="110">
        <v>45396.0</v>
      </c>
      <c r="AD27" s="57" t="s">
        <v>59</v>
      </c>
      <c r="AE27" s="57">
        <v>51.0</v>
      </c>
      <c r="AF27" s="57">
        <v>43.0</v>
      </c>
      <c r="AG27" s="57">
        <v>45.0</v>
      </c>
      <c r="AH27" s="57" t="s">
        <v>516</v>
      </c>
      <c r="AI27" s="57" t="s">
        <v>516</v>
      </c>
      <c r="AJ27" s="57" t="s">
        <v>516</v>
      </c>
      <c r="AK27" s="57" t="s">
        <v>516</v>
      </c>
      <c r="AL27" s="57" t="s">
        <v>516</v>
      </c>
      <c r="AM27" s="57" t="s">
        <v>516</v>
      </c>
      <c r="AN27" s="57" t="s">
        <v>516</v>
      </c>
      <c r="AO27" s="57">
        <v>4.5</v>
      </c>
      <c r="AP27" s="57">
        <v>4.3</v>
      </c>
      <c r="AQ27" s="11" t="s">
        <v>1016</v>
      </c>
      <c r="AR27" s="66" t="b">
        <v>0</v>
      </c>
    </row>
    <row r="28">
      <c r="A28" s="57">
        <v>2.124008603E9</v>
      </c>
      <c r="B28" s="109" t="str">
        <f>VLOOKUP($A28,ANAGRAFICA!$B$1:$G$306,2,FALSE)</f>
        <v>MARIANI</v>
      </c>
      <c r="C28" s="109" t="str">
        <f>VLOOKUP($A28,ANAGRAFICA!$B$1:$G$306,3,FALSE)</f>
        <v>MARCO</v>
      </c>
      <c r="D28" s="109" t="str">
        <f>VLOOKUP($A28,ANAGRAFICA!$B$1:$G$306,4,FALSE)</f>
        <v/>
      </c>
      <c r="E28" s="109">
        <f>VLOOKUP($A28,ANAGRAFICA!$B$1:$G$306,5,FALSE)</f>
        <v>3272024066</v>
      </c>
      <c r="F28" s="109">
        <f>VLOOKUP($A28,ANAGRAFICA!$B$1:$G$306,6,FALSE)</f>
        <v>2024</v>
      </c>
      <c r="G28" s="57">
        <v>1.0</v>
      </c>
      <c r="H28" s="110">
        <v>45426.0</v>
      </c>
      <c r="I28" s="57" t="s">
        <v>45</v>
      </c>
      <c r="J28" s="57">
        <v>7.42</v>
      </c>
      <c r="K28" s="57">
        <v>109.0</v>
      </c>
      <c r="L28" s="57">
        <v>46.0</v>
      </c>
      <c r="M28" s="57">
        <v>28.6</v>
      </c>
      <c r="N28" s="57">
        <v>1.13</v>
      </c>
      <c r="O28" s="57">
        <v>5.3</v>
      </c>
      <c r="P28" s="57">
        <v>8.7</v>
      </c>
      <c r="Q28" s="57">
        <v>26.0</v>
      </c>
      <c r="R28" s="57">
        <v>98.3</v>
      </c>
      <c r="S28" s="110">
        <v>45426.0</v>
      </c>
      <c r="T28" s="57" t="s">
        <v>59</v>
      </c>
      <c r="U28" s="57" t="s">
        <v>901</v>
      </c>
      <c r="V28" s="57">
        <v>10.0</v>
      </c>
      <c r="W28" s="57">
        <v>4.0</v>
      </c>
      <c r="X28" s="57" t="s">
        <v>516</v>
      </c>
      <c r="Y28" s="57" t="s">
        <v>516</v>
      </c>
      <c r="Z28" s="57" t="s">
        <v>516</v>
      </c>
      <c r="AA28" s="57">
        <v>200.0</v>
      </c>
      <c r="AB28" s="57"/>
      <c r="AC28" s="110">
        <v>45426.0</v>
      </c>
      <c r="AD28" s="57" t="s">
        <v>59</v>
      </c>
      <c r="AE28" s="57">
        <v>130.0</v>
      </c>
      <c r="AF28" s="57">
        <v>58.0</v>
      </c>
      <c r="AG28" s="57">
        <v>74.0</v>
      </c>
      <c r="AH28" s="57" t="s">
        <v>516</v>
      </c>
      <c r="AI28" s="57" t="s">
        <v>516</v>
      </c>
      <c r="AJ28" s="57" t="s">
        <v>516</v>
      </c>
      <c r="AK28" s="57" t="s">
        <v>516</v>
      </c>
      <c r="AL28" s="57" t="s">
        <v>516</v>
      </c>
      <c r="AM28" s="57" t="s">
        <v>516</v>
      </c>
      <c r="AN28" s="57" t="s">
        <v>516</v>
      </c>
      <c r="AO28" s="57">
        <v>3.0</v>
      </c>
      <c r="AP28" s="57">
        <v>3.0</v>
      </c>
      <c r="AQ28" s="11" t="s">
        <v>1016</v>
      </c>
      <c r="AR28" s="66" t="b">
        <v>0</v>
      </c>
    </row>
    <row r="29">
      <c r="A29" s="57">
        <v>2.124015827E9</v>
      </c>
      <c r="B29" s="109" t="str">
        <f>VLOOKUP($A29,ANAGRAFICA!$B$1:$G$306,2,FALSE)</f>
        <v>SCHIAVON</v>
      </c>
      <c r="C29" s="109" t="str">
        <f>VLOOKUP($A29,ANAGRAFICA!$B$1:$G$306,3,FALSE)</f>
        <v>ELIO PAOLO</v>
      </c>
      <c r="D29" s="109" t="str">
        <f>VLOOKUP($A29,ANAGRAFICA!$B$1:$G$306,4,FALSE)</f>
        <v>758-11</v>
      </c>
      <c r="E29" s="109">
        <f>VLOOKUP($A29,ANAGRAFICA!$B$1:$G$306,5,FALSE)</f>
        <v>3272024077</v>
      </c>
      <c r="F29" s="109">
        <f>VLOOKUP($A29,ANAGRAFICA!$B$1:$G$306,6,FALSE)</f>
        <v>2024</v>
      </c>
      <c r="G29" s="57">
        <v>1.0</v>
      </c>
      <c r="H29" s="110">
        <v>45544.0</v>
      </c>
      <c r="I29" s="57" t="s">
        <v>71</v>
      </c>
      <c r="J29" s="57">
        <v>7.48</v>
      </c>
      <c r="K29" s="57">
        <v>160.0</v>
      </c>
      <c r="L29" s="57">
        <v>38.0</v>
      </c>
      <c r="M29" s="57">
        <v>28.5</v>
      </c>
      <c r="N29" s="57">
        <v>1.6</v>
      </c>
      <c r="O29" s="57">
        <v>4.8</v>
      </c>
      <c r="P29" s="57">
        <v>12.3</v>
      </c>
      <c r="Q29" s="57">
        <v>37.0</v>
      </c>
      <c r="R29" s="57">
        <v>96.7</v>
      </c>
      <c r="S29" s="110">
        <v>45544.0</v>
      </c>
      <c r="T29" s="57" t="s">
        <v>71</v>
      </c>
      <c r="U29" s="57" t="s">
        <v>901</v>
      </c>
      <c r="V29" s="57">
        <v>4.0</v>
      </c>
      <c r="W29" s="57">
        <v>6.0</v>
      </c>
      <c r="X29" s="57" t="s">
        <v>516</v>
      </c>
      <c r="Y29" s="57" t="s">
        <v>516</v>
      </c>
      <c r="Z29" s="57" t="s">
        <v>516</v>
      </c>
      <c r="AA29" s="57">
        <v>500.0</v>
      </c>
      <c r="AB29" s="57"/>
      <c r="AC29" s="110">
        <v>45544.0</v>
      </c>
      <c r="AD29" s="57" t="s">
        <v>71</v>
      </c>
      <c r="AE29" s="57">
        <v>58.0</v>
      </c>
      <c r="AF29" s="57">
        <v>47.0</v>
      </c>
      <c r="AG29" s="57">
        <v>50.0</v>
      </c>
      <c r="AH29" s="57">
        <v>73.0</v>
      </c>
      <c r="AI29" s="57" t="s">
        <v>516</v>
      </c>
      <c r="AJ29" s="57" t="s">
        <v>516</v>
      </c>
      <c r="AK29" s="57" t="s">
        <v>516</v>
      </c>
      <c r="AL29" s="57" t="s">
        <v>516</v>
      </c>
      <c r="AM29" s="57" t="s">
        <v>516</v>
      </c>
      <c r="AN29" s="57" t="s">
        <v>516</v>
      </c>
      <c r="AO29" s="57">
        <v>4.5</v>
      </c>
      <c r="AP29" s="57">
        <v>4.5</v>
      </c>
      <c r="AQ29" s="11" t="s">
        <v>1016</v>
      </c>
      <c r="AR29" s="66" t="b">
        <v>0</v>
      </c>
    </row>
    <row r="30">
      <c r="A30" s="57">
        <v>2.12400578E9</v>
      </c>
      <c r="B30" s="109" t="str">
        <f>VLOOKUP($A30,ANAGRAFICA!$B$1:$G$306,2,FALSE)</f>
        <v>SAINCIUC</v>
      </c>
      <c r="C30" s="109" t="str">
        <f>VLOOKUP($A30,ANAGRAFICA!$B$1:$G$306,3,FALSE)</f>
        <v>AUREL</v>
      </c>
      <c r="D30" s="109" t="str">
        <f>VLOOKUP($A30,ANAGRAFICA!$B$1:$G$306,4,FALSE)</f>
        <v/>
      </c>
      <c r="E30" s="109">
        <f>VLOOKUP($A30,ANAGRAFICA!$B$1:$G$306,5,FALSE)</f>
        <v>3272024061</v>
      </c>
      <c r="F30" s="109">
        <f>VLOOKUP($A30,ANAGRAFICA!$B$1:$G$306,6,FALSE)</f>
        <v>2024</v>
      </c>
      <c r="G30" s="57">
        <v>1.0</v>
      </c>
      <c r="H30" s="110">
        <v>45377.0</v>
      </c>
      <c r="I30" s="57" t="s">
        <v>1041</v>
      </c>
      <c r="J30" s="57">
        <v>7.43</v>
      </c>
      <c r="K30" s="57">
        <v>196.0</v>
      </c>
      <c r="L30" s="57">
        <v>46.0</v>
      </c>
      <c r="M30" s="57">
        <v>29.2</v>
      </c>
      <c r="N30" s="57">
        <v>1.4</v>
      </c>
      <c r="O30" s="57">
        <v>6.2</v>
      </c>
      <c r="P30" s="57">
        <v>11.9</v>
      </c>
      <c r="Q30" s="57">
        <v>36.0</v>
      </c>
      <c r="R30" s="57">
        <v>97.7</v>
      </c>
      <c r="S30" s="110">
        <v>45377.0</v>
      </c>
      <c r="T30" s="57" t="s">
        <v>967</v>
      </c>
      <c r="U30" s="57" t="s">
        <v>901</v>
      </c>
      <c r="V30" s="57">
        <v>4.0</v>
      </c>
      <c r="W30" s="57">
        <v>12.0</v>
      </c>
      <c r="X30" s="57" t="s">
        <v>516</v>
      </c>
      <c r="Y30" s="57" t="s">
        <v>516</v>
      </c>
      <c r="Z30" s="57" t="s">
        <v>516</v>
      </c>
      <c r="AA30" s="57">
        <v>480.0</v>
      </c>
      <c r="AB30" s="57"/>
      <c r="AC30" s="110">
        <v>45377.0</v>
      </c>
      <c r="AD30" s="57" t="s">
        <v>1042</v>
      </c>
      <c r="AE30" s="57">
        <v>86.0</v>
      </c>
      <c r="AF30" s="57">
        <v>64.0</v>
      </c>
      <c r="AG30" s="57">
        <v>71.0</v>
      </c>
      <c r="AH30" s="57" t="s">
        <v>516</v>
      </c>
      <c r="AI30" s="57" t="s">
        <v>516</v>
      </c>
      <c r="AJ30" s="57" t="s">
        <v>516</v>
      </c>
      <c r="AK30" s="57" t="s">
        <v>516</v>
      </c>
      <c r="AL30" s="57" t="s">
        <v>516</v>
      </c>
      <c r="AM30" s="57" t="s">
        <v>516</v>
      </c>
      <c r="AN30" s="57" t="s">
        <v>516</v>
      </c>
      <c r="AO30" s="57">
        <v>3.0</v>
      </c>
      <c r="AP30" s="57">
        <v>3.0</v>
      </c>
      <c r="AQ30" s="11" t="s">
        <v>1016</v>
      </c>
      <c r="AR30" s="66" t="b">
        <v>0</v>
      </c>
    </row>
    <row r="31">
      <c r="A31" s="57">
        <v>2.124006081E9</v>
      </c>
      <c r="B31" s="109" t="str">
        <f>VLOOKUP($A31,ANAGRAFICA!$B$1:$G$306,2,FALSE)</f>
        <v>DOSSI</v>
      </c>
      <c r="C31" s="109" t="str">
        <f>VLOOKUP($A31,ANAGRAFICA!$B$1:$G$306,3,FALSE)</f>
        <v>MAURIZIO ANTONIO</v>
      </c>
      <c r="D31" s="109" t="str">
        <f>VLOOKUP($A31,ANAGRAFICA!$B$1:$G$306,4,FALSE)</f>
        <v/>
      </c>
      <c r="E31" s="109">
        <f>VLOOKUP($A31,ANAGRAFICA!$B$1:$G$306,5,FALSE)</f>
        <v>3272024062</v>
      </c>
      <c r="F31" s="109">
        <f>VLOOKUP($A31,ANAGRAFICA!$B$1:$G$306,6,FALSE)</f>
        <v>2024</v>
      </c>
      <c r="G31" s="57">
        <v>1.0</v>
      </c>
      <c r="H31" s="110">
        <v>45388.0</v>
      </c>
      <c r="I31" s="57" t="s">
        <v>292</v>
      </c>
      <c r="J31" s="57">
        <v>7.49</v>
      </c>
      <c r="K31" s="57">
        <v>117.0</v>
      </c>
      <c r="L31" s="57">
        <v>32.0</v>
      </c>
      <c r="M31" s="57">
        <v>26.0</v>
      </c>
      <c r="N31" s="57">
        <v>0.8</v>
      </c>
      <c r="O31" s="57">
        <v>1.1</v>
      </c>
      <c r="P31" s="57">
        <v>9.3</v>
      </c>
      <c r="Q31" s="57">
        <v>28.0</v>
      </c>
      <c r="R31" s="57">
        <v>98.9</v>
      </c>
      <c r="S31" s="110">
        <v>45388.0</v>
      </c>
      <c r="T31" s="57" t="s">
        <v>71</v>
      </c>
      <c r="U31" s="57" t="s">
        <v>1043</v>
      </c>
      <c r="V31" s="57">
        <v>6.0</v>
      </c>
      <c r="W31" s="57">
        <v>10.0</v>
      </c>
      <c r="X31" s="57" t="s">
        <v>516</v>
      </c>
      <c r="Y31" s="57" t="s">
        <v>516</v>
      </c>
      <c r="Z31" s="57" t="s">
        <v>516</v>
      </c>
      <c r="AA31" s="57">
        <v>500.0</v>
      </c>
      <c r="AB31" s="57"/>
      <c r="AC31" s="110">
        <v>45388.0</v>
      </c>
      <c r="AD31" s="57" t="s">
        <v>292</v>
      </c>
      <c r="AE31" s="57">
        <v>82.0</v>
      </c>
      <c r="AF31" s="57">
        <v>66.0</v>
      </c>
      <c r="AG31" s="57">
        <v>70.0</v>
      </c>
      <c r="AH31" s="57" t="s">
        <v>516</v>
      </c>
      <c r="AI31" s="57" t="s">
        <v>516</v>
      </c>
      <c r="AJ31" s="57" t="s">
        <v>516</v>
      </c>
      <c r="AK31" s="57" t="s">
        <v>516</v>
      </c>
      <c r="AL31" s="57" t="s">
        <v>516</v>
      </c>
      <c r="AM31" s="57" t="s">
        <v>516</v>
      </c>
      <c r="AN31" s="57" t="s">
        <v>516</v>
      </c>
      <c r="AO31" s="57">
        <v>4.25</v>
      </c>
      <c r="AP31" s="57">
        <v>5.0</v>
      </c>
      <c r="AQ31" s="11" t="s">
        <v>1016</v>
      </c>
      <c r="AR31" s="115" t="b">
        <v>1</v>
      </c>
    </row>
    <row r="32">
      <c r="A32" s="57">
        <v>2.124004761E9</v>
      </c>
      <c r="B32" s="109" t="str">
        <f>VLOOKUP($A32,ANAGRAFICA!$B$1:$G$306,2,FALSE)</f>
        <v>TRAMPOLIN</v>
      </c>
      <c r="C32" s="109" t="str">
        <f>VLOOKUP($A32,ANAGRAFICA!$B$1:$G$306,3,FALSE)</f>
        <v>FABIO</v>
      </c>
      <c r="D32" s="109" t="str">
        <f>VLOOKUP($A32,ANAGRAFICA!$B$1:$G$306,4,FALSE)</f>
        <v/>
      </c>
      <c r="E32" s="109">
        <f>VLOOKUP($A32,ANAGRAFICA!$B$1:$G$306,5,FALSE)</f>
        <v>3272024060</v>
      </c>
      <c r="F32" s="109">
        <f>VLOOKUP($A32,ANAGRAFICA!$B$1:$G$306,6,FALSE)</f>
        <v>2024</v>
      </c>
      <c r="G32" s="57">
        <v>1.0</v>
      </c>
      <c r="H32" s="110">
        <v>45362.0</v>
      </c>
      <c r="I32" s="57" t="s">
        <v>28</v>
      </c>
      <c r="J32" s="57">
        <v>7.49</v>
      </c>
      <c r="K32" s="57">
        <v>112.0</v>
      </c>
      <c r="L32" s="57">
        <v>35.0</v>
      </c>
      <c r="M32" s="57">
        <v>27.5</v>
      </c>
      <c r="N32" s="57">
        <v>1.29</v>
      </c>
      <c r="O32" s="57">
        <v>3.4</v>
      </c>
      <c r="P32" s="57">
        <v>10.0</v>
      </c>
      <c r="Q32" s="57">
        <v>30.0</v>
      </c>
      <c r="R32" s="57">
        <v>98.7</v>
      </c>
      <c r="S32" s="110">
        <v>45362.0</v>
      </c>
      <c r="T32" s="57" t="s">
        <v>104</v>
      </c>
      <c r="U32" s="57" t="s">
        <v>901</v>
      </c>
      <c r="V32" s="57">
        <v>4.0</v>
      </c>
      <c r="W32" s="57">
        <v>8.0</v>
      </c>
      <c r="X32" s="57" t="s">
        <v>516</v>
      </c>
      <c r="Y32" s="57" t="s">
        <v>516</v>
      </c>
      <c r="Z32" s="57" t="s">
        <v>516</v>
      </c>
      <c r="AA32" s="57">
        <v>480.0</v>
      </c>
      <c r="AB32" s="57"/>
      <c r="AC32" s="110">
        <v>45362.0</v>
      </c>
      <c r="AD32" s="57" t="s">
        <v>87</v>
      </c>
      <c r="AE32" s="57">
        <v>63.0</v>
      </c>
      <c r="AF32" s="57">
        <v>56.0</v>
      </c>
      <c r="AG32" s="57">
        <v>58.0</v>
      </c>
      <c r="AH32" s="57" t="s">
        <v>516</v>
      </c>
      <c r="AI32" s="57" t="s">
        <v>516</v>
      </c>
      <c r="AJ32" s="57" t="s">
        <v>516</v>
      </c>
      <c r="AK32" s="57" t="s">
        <v>516</v>
      </c>
      <c r="AL32" s="57" t="s">
        <v>516</v>
      </c>
      <c r="AM32" s="57" t="s">
        <v>516</v>
      </c>
      <c r="AN32" s="57" t="s">
        <v>516</v>
      </c>
      <c r="AO32" s="57">
        <v>4.4</v>
      </c>
      <c r="AP32" s="57">
        <v>4.5</v>
      </c>
      <c r="AQ32" s="11" t="s">
        <v>1016</v>
      </c>
      <c r="AR32" s="66" t="b">
        <v>0</v>
      </c>
    </row>
    <row r="33">
      <c r="A33" s="57">
        <v>2.124003924E9</v>
      </c>
      <c r="B33" s="109" t="str">
        <f>VLOOKUP($A33,ANAGRAFICA!$B$1:$G$306,2,FALSE)</f>
        <v>MUHAMMAD</v>
      </c>
      <c r="C33" s="109" t="str">
        <f>VLOOKUP($A33,ANAGRAFICA!$B$1:$G$306,3,FALSE)</f>
        <v>SHARIF</v>
      </c>
      <c r="D33" s="109" t="str">
        <f>VLOOKUP($A33,ANAGRAFICA!$B$1:$G$306,4,FALSE)</f>
        <v/>
      </c>
      <c r="E33" s="109">
        <f>VLOOKUP($A33,ANAGRAFICA!$B$1:$G$306,5,FALSE)</f>
        <v>3272024059</v>
      </c>
      <c r="F33" s="109">
        <f>VLOOKUP($A33,ANAGRAFICA!$B$1:$G$306,6,FALSE)</f>
        <v>2024</v>
      </c>
      <c r="G33" s="57">
        <v>1.0</v>
      </c>
      <c r="H33" s="110">
        <v>45350.0</v>
      </c>
      <c r="I33" s="57" t="s">
        <v>324</v>
      </c>
      <c r="J33" s="57">
        <v>7.39</v>
      </c>
      <c r="K33" s="57">
        <v>350.0</v>
      </c>
      <c r="L33" s="57">
        <v>39.0</v>
      </c>
      <c r="M33" s="57">
        <v>24.0</v>
      </c>
      <c r="N33" s="57">
        <v>6.8</v>
      </c>
      <c r="O33" s="57">
        <v>-1.1</v>
      </c>
      <c r="P33" s="57">
        <v>7.5</v>
      </c>
      <c r="Q33" s="57">
        <v>23.0</v>
      </c>
      <c r="R33" s="57">
        <v>99.9</v>
      </c>
      <c r="S33" s="110">
        <v>45350.0</v>
      </c>
      <c r="T33" s="57" t="s">
        <v>324</v>
      </c>
      <c r="U33" s="57" t="s">
        <v>1034</v>
      </c>
      <c r="V33" s="57">
        <v>12.0</v>
      </c>
      <c r="W33" s="57">
        <v>8.0</v>
      </c>
      <c r="X33" s="57" t="s">
        <v>516</v>
      </c>
      <c r="Y33" s="57" t="s">
        <v>516</v>
      </c>
      <c r="Z33" s="57" t="s">
        <v>516</v>
      </c>
      <c r="AA33" s="57">
        <v>420.0</v>
      </c>
      <c r="AB33" s="57"/>
      <c r="AC33" s="110">
        <v>45350.0</v>
      </c>
      <c r="AD33" s="57" t="s">
        <v>324</v>
      </c>
      <c r="AE33" s="57">
        <v>45.0</v>
      </c>
      <c r="AF33" s="57">
        <v>41.0</v>
      </c>
      <c r="AG33" s="57">
        <v>44.0</v>
      </c>
      <c r="AH33" s="57" t="s">
        <v>516</v>
      </c>
      <c r="AI33" s="57" t="s">
        <v>516</v>
      </c>
      <c r="AJ33" s="57" t="s">
        <v>516</v>
      </c>
      <c r="AK33" s="57" t="s">
        <v>516</v>
      </c>
      <c r="AL33" s="57" t="s">
        <v>516</v>
      </c>
      <c r="AM33" s="57" t="s">
        <v>516</v>
      </c>
      <c r="AN33" s="57" t="s">
        <v>516</v>
      </c>
      <c r="AO33" s="57">
        <v>3.8</v>
      </c>
      <c r="AP33" s="57" t="s">
        <v>516</v>
      </c>
      <c r="AQ33" s="11" t="s">
        <v>1016</v>
      </c>
      <c r="AR33" s="66" t="b">
        <v>0</v>
      </c>
    </row>
    <row r="34">
      <c r="A34" s="57">
        <v>2.124206072E9</v>
      </c>
      <c r="B34" s="109" t="str">
        <f>VLOOKUP($A34,ANAGRAFICA!$B$1:$G$306,2,FALSE)</f>
        <v>CONSONNI</v>
      </c>
      <c r="C34" s="109" t="str">
        <f>VLOOKUP($A34,ANAGRAFICA!$B$1:$G$306,3,FALSE)</f>
        <v>GIULIO</v>
      </c>
      <c r="D34" s="109" t="str">
        <f>VLOOKUP($A34,ANAGRAFICA!$B$1:$G$306,4,FALSE)</f>
        <v/>
      </c>
      <c r="E34" s="109">
        <f>VLOOKUP($A34,ANAGRAFICA!$B$1:$G$306,5,FALSE)</f>
        <v>3272024064</v>
      </c>
      <c r="F34" s="109">
        <f>VLOOKUP($A34,ANAGRAFICA!$B$1:$G$306,6,FALSE)</f>
        <v>2024</v>
      </c>
      <c r="G34" s="57">
        <v>2.0</v>
      </c>
      <c r="H34" s="110">
        <v>45417.0</v>
      </c>
      <c r="I34" s="57" t="s">
        <v>64</v>
      </c>
      <c r="J34" s="57">
        <v>7.36</v>
      </c>
      <c r="K34" s="57">
        <v>260.0</v>
      </c>
      <c r="L34" s="57">
        <v>42.0</v>
      </c>
      <c r="M34" s="57">
        <v>23.7</v>
      </c>
      <c r="N34" s="57">
        <v>5.8</v>
      </c>
      <c r="O34" s="57">
        <v>-1.7</v>
      </c>
      <c r="P34" s="57">
        <v>6.8</v>
      </c>
      <c r="Q34" s="57">
        <v>20.0</v>
      </c>
      <c r="R34" s="57">
        <v>99.8</v>
      </c>
      <c r="S34" s="110">
        <v>45417.0</v>
      </c>
      <c r="T34" s="57" t="s">
        <v>264</v>
      </c>
      <c r="U34" s="57" t="s">
        <v>1044</v>
      </c>
      <c r="V34" s="57">
        <v>4.0</v>
      </c>
      <c r="W34" s="57">
        <v>10.0</v>
      </c>
      <c r="X34" s="57" t="s">
        <v>516</v>
      </c>
      <c r="Y34" s="57" t="s">
        <v>516</v>
      </c>
      <c r="Z34" s="57">
        <v>22.0</v>
      </c>
      <c r="AA34" s="57">
        <v>400.0</v>
      </c>
      <c r="AB34" s="57"/>
      <c r="AC34" s="110">
        <v>45417.0</v>
      </c>
      <c r="AD34" s="57" t="s">
        <v>264</v>
      </c>
      <c r="AE34" s="57">
        <v>78.0</v>
      </c>
      <c r="AF34" s="57">
        <v>65.0</v>
      </c>
      <c r="AG34" s="57">
        <v>71.0</v>
      </c>
      <c r="AH34" s="57" t="s">
        <v>516</v>
      </c>
      <c r="AI34" s="57">
        <v>2.2</v>
      </c>
      <c r="AJ34" s="57" t="s">
        <v>516</v>
      </c>
      <c r="AK34" s="57" t="s">
        <v>516</v>
      </c>
      <c r="AL34" s="57" t="s">
        <v>516</v>
      </c>
      <c r="AM34" s="57" t="s">
        <v>516</v>
      </c>
      <c r="AN34" s="57" t="s">
        <v>516</v>
      </c>
      <c r="AO34" s="57">
        <v>2.6</v>
      </c>
      <c r="AP34" s="57">
        <v>3.4</v>
      </c>
      <c r="AQ34" s="11" t="s">
        <v>1016</v>
      </c>
      <c r="AR34" s="66" t="b">
        <v>0</v>
      </c>
    </row>
    <row r="35">
      <c r="A35" s="57">
        <v>2.124023603E9</v>
      </c>
      <c r="B35" s="109" t="str">
        <f>VLOOKUP($A35,ANAGRAFICA!$B$1:$G$306,2,FALSE)</f>
        <v>MAZZARDIS </v>
      </c>
      <c r="C35" s="109" t="str">
        <f>VLOOKUP($A35,ANAGRAFICA!$B$1:$G$306,3,FALSE)</f>
        <v>DAVIDE</v>
      </c>
      <c r="D35" s="109" t="str">
        <f>VLOOKUP($A35,ANAGRAFICA!$B$1:$G$306,4,FALSE)</f>
        <v>758-19</v>
      </c>
      <c r="E35" s="109">
        <f>VLOOKUP($A35,ANAGRAFICA!$B$1:$G$306,5,FALSE)</f>
        <v>3272024085</v>
      </c>
      <c r="F35" s="109">
        <f>VLOOKUP($A35,ANAGRAFICA!$B$1:$G$306,6,FALSE)</f>
        <v>2024</v>
      </c>
      <c r="G35" s="57">
        <v>1.0</v>
      </c>
      <c r="H35" s="112">
        <v>45623.0</v>
      </c>
      <c r="I35" s="57" t="s">
        <v>59</v>
      </c>
      <c r="J35" s="114">
        <v>0.32569444444444445</v>
      </c>
      <c r="K35" s="57">
        <v>150.0</v>
      </c>
      <c r="L35" s="57">
        <v>35.0</v>
      </c>
      <c r="M35" s="57">
        <v>27.0</v>
      </c>
      <c r="N35" s="57" t="s">
        <v>1045</v>
      </c>
      <c r="O35" s="57" t="s">
        <v>1046</v>
      </c>
      <c r="P35" s="57" t="s">
        <v>1047</v>
      </c>
      <c r="Q35" s="57">
        <v>29.0</v>
      </c>
      <c r="R35" s="57">
        <v>99.0</v>
      </c>
      <c r="S35" s="112">
        <v>45623.0</v>
      </c>
      <c r="T35" s="57" t="s">
        <v>516</v>
      </c>
      <c r="U35" s="57" t="s">
        <v>901</v>
      </c>
      <c r="V35" s="57">
        <v>6.0</v>
      </c>
      <c r="W35" s="57">
        <v>10.0</v>
      </c>
      <c r="X35" s="57" t="s">
        <v>516</v>
      </c>
      <c r="Y35" s="57" t="s">
        <v>516</v>
      </c>
      <c r="Z35" s="57" t="s">
        <v>516</v>
      </c>
      <c r="AA35" s="57">
        <v>400.0</v>
      </c>
      <c r="AB35" s="57"/>
      <c r="AC35" s="112">
        <v>45623.0</v>
      </c>
      <c r="AD35" s="57" t="s">
        <v>516</v>
      </c>
      <c r="AE35" s="57">
        <v>99.0</v>
      </c>
      <c r="AF35" s="57">
        <v>68.0</v>
      </c>
      <c r="AG35" s="57">
        <v>78.0</v>
      </c>
      <c r="AH35" s="57">
        <v>84.0</v>
      </c>
      <c r="AI35" s="57" t="s">
        <v>516</v>
      </c>
      <c r="AJ35" s="57" t="s">
        <v>516</v>
      </c>
      <c r="AK35" s="57">
        <v>35.0</v>
      </c>
      <c r="AL35" s="57" t="s">
        <v>516</v>
      </c>
      <c r="AM35" s="57" t="s">
        <v>516</v>
      </c>
      <c r="AN35" s="57" t="s">
        <v>516</v>
      </c>
      <c r="AO35" s="57" t="s">
        <v>1048</v>
      </c>
      <c r="AP35" s="114">
        <v>0.15902777777777777</v>
      </c>
      <c r="AQ35" s="11" t="s">
        <v>1016</v>
      </c>
      <c r="AR35" s="66" t="b">
        <v>0</v>
      </c>
    </row>
    <row r="36">
      <c r="A36" s="57">
        <v>2.124014461E9</v>
      </c>
      <c r="B36" s="109" t="str">
        <f>VLOOKUP($A36,ANAGRAFICA!$B$1:$G$306,2,FALSE)</f>
        <v>FUMAGALLI</v>
      </c>
      <c r="C36" s="109" t="str">
        <f>VLOOKUP($A36,ANAGRAFICA!$B$1:$G$306,3,FALSE)</f>
        <v>LUCA</v>
      </c>
      <c r="D36" s="109" t="str">
        <f>VLOOKUP($A36,ANAGRAFICA!$B$1:$G$306,4,FALSE)</f>
        <v>758-10</v>
      </c>
      <c r="E36" s="109">
        <f>VLOOKUP($A36,ANAGRAFICA!$B$1:$G$306,5,FALSE)</f>
        <v>3272024076</v>
      </c>
      <c r="F36" s="109">
        <f>VLOOKUP($A36,ANAGRAFICA!$B$1:$G$306,6,FALSE)</f>
        <v>2024</v>
      </c>
      <c r="G36" s="57">
        <v>1.0</v>
      </c>
      <c r="H36" s="110">
        <v>45525.0</v>
      </c>
      <c r="I36" s="57" t="s">
        <v>292</v>
      </c>
      <c r="J36" s="57">
        <v>7.49</v>
      </c>
      <c r="K36" s="57">
        <v>83.0</v>
      </c>
      <c r="L36" s="57">
        <v>35.0</v>
      </c>
      <c r="M36" s="57">
        <v>27.5</v>
      </c>
      <c r="N36" s="57">
        <v>2.2</v>
      </c>
      <c r="O36" s="57">
        <v>3.4</v>
      </c>
      <c r="P36" s="57">
        <v>9.3</v>
      </c>
      <c r="Q36" s="57">
        <v>28.0</v>
      </c>
      <c r="R36" s="57">
        <v>97.0</v>
      </c>
      <c r="S36" s="110">
        <v>45525.0</v>
      </c>
      <c r="T36" s="57" t="s">
        <v>50</v>
      </c>
      <c r="U36" s="57" t="s">
        <v>901</v>
      </c>
      <c r="V36" s="57">
        <v>4.0</v>
      </c>
      <c r="W36" s="57">
        <v>6.0</v>
      </c>
      <c r="X36" s="57" t="s">
        <v>516</v>
      </c>
      <c r="Y36" s="57" t="s">
        <v>516</v>
      </c>
      <c r="Z36" s="57" t="s">
        <v>516</v>
      </c>
      <c r="AA36" s="57">
        <v>400.0</v>
      </c>
      <c r="AB36" s="57"/>
      <c r="AC36" s="110">
        <v>45525.0</v>
      </c>
      <c r="AD36" s="57" t="s">
        <v>639</v>
      </c>
      <c r="AE36" s="57">
        <v>82.0</v>
      </c>
      <c r="AF36" s="57">
        <v>69.0</v>
      </c>
      <c r="AG36" s="57">
        <v>73.0</v>
      </c>
      <c r="AH36" s="57">
        <v>60.0</v>
      </c>
      <c r="AI36" s="57" t="s">
        <v>516</v>
      </c>
      <c r="AJ36" s="57">
        <v>14.0</v>
      </c>
      <c r="AK36" s="57">
        <v>21.0</v>
      </c>
      <c r="AL36" s="57">
        <v>17.0</v>
      </c>
      <c r="AM36" s="57">
        <v>19.0</v>
      </c>
      <c r="AN36" s="57" t="s">
        <v>516</v>
      </c>
      <c r="AO36" s="57">
        <v>2.5</v>
      </c>
      <c r="AP36" s="57">
        <v>4.2</v>
      </c>
      <c r="AQ36" s="11" t="s">
        <v>1016</v>
      </c>
      <c r="AR36" s="66" t="b">
        <v>0</v>
      </c>
    </row>
    <row r="37">
      <c r="A37" s="57">
        <v>2.124016781E9</v>
      </c>
      <c r="B37" s="109" t="str">
        <f>VLOOKUP($A37,ANAGRAFICA!$B$1:$G$306,2,FALSE)</f>
        <v>TURNO ARTHEMALLE</v>
      </c>
      <c r="C37" s="109" t="str">
        <f>VLOOKUP($A37,ANAGRAFICA!$B$1:$G$306,3,FALSE)</f>
        <v>ALICE</v>
      </c>
      <c r="D37" s="109" t="str">
        <f>VLOOKUP($A37,ANAGRAFICA!$B$1:$G$306,4,FALSE)</f>
        <v>758-12</v>
      </c>
      <c r="E37" s="109">
        <f>VLOOKUP($A37,ANAGRAFICA!$B$1:$G$306,5,FALSE)</f>
        <v>3272024078</v>
      </c>
      <c r="F37" s="109">
        <f>VLOOKUP($A37,ANAGRAFICA!$B$1:$G$306,6,FALSE)</f>
        <v>2024</v>
      </c>
      <c r="G37" s="57">
        <v>1.0</v>
      </c>
      <c r="H37" s="110">
        <v>45562.0</v>
      </c>
      <c r="I37" s="57" t="s">
        <v>45</v>
      </c>
      <c r="J37" s="57">
        <v>7.39</v>
      </c>
      <c r="K37" s="57">
        <v>78.0</v>
      </c>
      <c r="L37" s="57">
        <v>41.0</v>
      </c>
      <c r="M37" s="57">
        <v>22.6</v>
      </c>
      <c r="N37" s="57">
        <v>5.8</v>
      </c>
      <c r="O37" s="57">
        <v>-3.0</v>
      </c>
      <c r="P37" s="57">
        <v>11.6</v>
      </c>
      <c r="Q37" s="57">
        <v>34.0</v>
      </c>
      <c r="R37" s="57">
        <v>94.7</v>
      </c>
      <c r="S37" s="110">
        <v>45562.0</v>
      </c>
      <c r="T37" s="57" t="s">
        <v>45</v>
      </c>
      <c r="U37" s="57" t="s">
        <v>901</v>
      </c>
      <c r="V37" s="57">
        <v>3.0</v>
      </c>
      <c r="W37" s="57">
        <v>10.0</v>
      </c>
      <c r="X37" s="57" t="s">
        <v>516</v>
      </c>
      <c r="Y37" s="57" t="s">
        <v>516</v>
      </c>
      <c r="Z37" s="57" t="s">
        <v>516</v>
      </c>
      <c r="AA37" s="57">
        <v>400.0</v>
      </c>
      <c r="AB37" s="57"/>
      <c r="AC37" s="110">
        <v>45562.0</v>
      </c>
      <c r="AD37" s="57" t="s">
        <v>45</v>
      </c>
      <c r="AE37" s="57">
        <v>82.0</v>
      </c>
      <c r="AF37" s="57">
        <v>67.0</v>
      </c>
      <c r="AG37" s="57">
        <v>70.0</v>
      </c>
      <c r="AH37" s="57" t="s">
        <v>516</v>
      </c>
      <c r="AI37" s="57" t="s">
        <v>516</v>
      </c>
      <c r="AJ37" s="57" t="s">
        <v>516</v>
      </c>
      <c r="AK37" s="57" t="s">
        <v>516</v>
      </c>
      <c r="AL37" s="57" t="s">
        <v>516</v>
      </c>
      <c r="AM37" s="57" t="s">
        <v>516</v>
      </c>
      <c r="AN37" s="57" t="s">
        <v>516</v>
      </c>
      <c r="AO37" s="57">
        <v>3.15</v>
      </c>
      <c r="AP37" s="57">
        <v>4.2</v>
      </c>
      <c r="AQ37" s="11" t="s">
        <v>1016</v>
      </c>
      <c r="AR37" s="66" t="b">
        <v>0</v>
      </c>
    </row>
    <row r="38">
      <c r="A38" s="57">
        <v>2.124011236E9</v>
      </c>
      <c r="B38" s="109" t="str">
        <f>VLOOKUP($A38,ANAGRAFICA!$B$1:$G$306,2,FALSE)</f>
        <v>BERETTA</v>
      </c>
      <c r="C38" s="109" t="str">
        <f>VLOOKUP($A38,ANAGRAFICA!$B$1:$G$306,3,FALSE)</f>
        <v>ENZO LUCIANO</v>
      </c>
      <c r="D38" s="109" t="str">
        <f>VLOOKUP($A38,ANAGRAFICA!$B$1:$G$306,4,FALSE)</f>
        <v>758-3</v>
      </c>
      <c r="E38" s="109">
        <f>VLOOKUP($A38,ANAGRAFICA!$B$1:$G$306,5,FALSE)</f>
        <v>3272024069</v>
      </c>
      <c r="F38" s="109">
        <f>VLOOKUP($A38,ANAGRAFICA!$B$1:$G$306,6,FALSE)</f>
        <v>2024</v>
      </c>
      <c r="G38" s="57">
        <v>1.0</v>
      </c>
      <c r="H38" s="110">
        <v>45462.0</v>
      </c>
      <c r="I38" s="57" t="s">
        <v>104</v>
      </c>
      <c r="J38" s="57">
        <v>7.36</v>
      </c>
      <c r="K38" s="57">
        <v>98.0</v>
      </c>
      <c r="L38" s="57">
        <v>37.0</v>
      </c>
      <c r="M38" s="57">
        <v>21.8</v>
      </c>
      <c r="N38" s="57">
        <v>4.4</v>
      </c>
      <c r="O38" s="57">
        <v>-3.7</v>
      </c>
      <c r="P38" s="57">
        <v>13.0</v>
      </c>
      <c r="Q38" s="57">
        <v>40.0</v>
      </c>
      <c r="R38" s="57">
        <v>97.0</v>
      </c>
      <c r="S38" s="110">
        <v>45462.0</v>
      </c>
      <c r="T38" s="57" t="s">
        <v>104</v>
      </c>
      <c r="U38" s="57" t="s">
        <v>901</v>
      </c>
      <c r="V38" s="57">
        <v>4.0</v>
      </c>
      <c r="W38" s="57">
        <v>9.0</v>
      </c>
      <c r="X38" s="57" t="s">
        <v>516</v>
      </c>
      <c r="Y38" s="57" t="s">
        <v>516</v>
      </c>
      <c r="Z38" s="57" t="s">
        <v>516</v>
      </c>
      <c r="AA38" s="57">
        <v>420.0</v>
      </c>
      <c r="AB38" s="94"/>
      <c r="AC38" s="110">
        <v>45462.0</v>
      </c>
      <c r="AD38" s="57" t="s">
        <v>104</v>
      </c>
      <c r="AE38" s="57">
        <v>94.0</v>
      </c>
      <c r="AF38" s="57">
        <v>79.0</v>
      </c>
      <c r="AG38" s="57">
        <v>83.0</v>
      </c>
      <c r="AH38" s="57" t="s">
        <v>516</v>
      </c>
      <c r="AI38" s="57" t="s">
        <v>516</v>
      </c>
      <c r="AJ38" s="57" t="s">
        <v>516</v>
      </c>
      <c r="AK38" s="57" t="s">
        <v>516</v>
      </c>
      <c r="AL38" s="57" t="s">
        <v>516</v>
      </c>
      <c r="AM38" s="57" t="s">
        <v>516</v>
      </c>
      <c r="AN38" s="57" t="s">
        <v>516</v>
      </c>
      <c r="AO38" s="57">
        <v>3.8</v>
      </c>
      <c r="AP38" s="57">
        <v>3.8</v>
      </c>
      <c r="AQ38" s="11" t="s">
        <v>1016</v>
      </c>
      <c r="AR38" s="66" t="b">
        <v>0</v>
      </c>
    </row>
    <row r="39">
      <c r="A39" s="57">
        <v>2.124024078E9</v>
      </c>
      <c r="B39" s="109" t="str">
        <f>VLOOKUP($A39,ANAGRAFICA!$B$1:$G$306,2,FALSE)</f>
        <v>ROVARIS</v>
      </c>
      <c r="C39" s="109" t="str">
        <f>VLOOKUP($A39,ANAGRAFICA!$B$1:$G$306,3,FALSE)</f>
        <v>ANGELO FELICE</v>
      </c>
      <c r="D39" s="109" t="str">
        <f>VLOOKUP($A39,ANAGRAFICA!$B$1:$G$306,4,FALSE)</f>
        <v>758-20</v>
      </c>
      <c r="E39" s="109">
        <f>VLOOKUP($A39,ANAGRAFICA!$B$1:$G$306,5,FALSE)</f>
        <v>3272024086</v>
      </c>
      <c r="F39" s="109">
        <f>VLOOKUP($A39,ANAGRAFICA!$B$1:$G$306,6,FALSE)</f>
        <v>2024</v>
      </c>
      <c r="G39" s="57">
        <v>1.0</v>
      </c>
      <c r="H39" s="112">
        <v>45625.0</v>
      </c>
      <c r="I39" s="57" t="s">
        <v>292</v>
      </c>
      <c r="J39" s="57">
        <v>7.43</v>
      </c>
      <c r="K39" s="57">
        <v>90.0</v>
      </c>
      <c r="L39" s="57">
        <v>41.0</v>
      </c>
      <c r="M39" s="57">
        <v>27.0</v>
      </c>
      <c r="N39" s="57">
        <v>0.8</v>
      </c>
      <c r="O39" s="57">
        <v>2.9</v>
      </c>
      <c r="P39" s="57">
        <v>8.9</v>
      </c>
      <c r="Q39" s="57">
        <v>27.0</v>
      </c>
      <c r="R39" s="57">
        <v>97.0</v>
      </c>
      <c r="S39" s="112">
        <v>45625.0</v>
      </c>
      <c r="T39" s="57" t="s">
        <v>292</v>
      </c>
      <c r="U39" s="57" t="s">
        <v>901</v>
      </c>
      <c r="V39" s="57">
        <v>6.0</v>
      </c>
      <c r="W39" s="57">
        <v>10.0</v>
      </c>
      <c r="X39" s="57" t="s">
        <v>516</v>
      </c>
      <c r="Y39" s="57" t="s">
        <v>516</v>
      </c>
      <c r="Z39" s="57" t="s">
        <v>516</v>
      </c>
      <c r="AA39" s="57">
        <v>400.0</v>
      </c>
      <c r="AB39" s="94"/>
      <c r="AC39" s="112">
        <v>45625.0</v>
      </c>
      <c r="AD39" s="57" t="s">
        <v>292</v>
      </c>
      <c r="AE39" s="57">
        <v>89.0</v>
      </c>
      <c r="AF39" s="57">
        <v>70.0</v>
      </c>
      <c r="AG39" s="57">
        <v>75.0</v>
      </c>
      <c r="AH39" s="57">
        <v>76.0</v>
      </c>
      <c r="AI39" s="57" t="s">
        <v>516</v>
      </c>
      <c r="AJ39" s="57" t="s">
        <v>516</v>
      </c>
      <c r="AK39" s="57" t="s">
        <v>516</v>
      </c>
      <c r="AL39" s="57" t="s">
        <v>516</v>
      </c>
      <c r="AM39" s="57" t="s">
        <v>516</v>
      </c>
      <c r="AN39" s="57" t="s">
        <v>516</v>
      </c>
      <c r="AO39" s="57">
        <v>4.1</v>
      </c>
      <c r="AP39" s="57">
        <v>4.1</v>
      </c>
      <c r="AQ39" s="11" t="s">
        <v>1016</v>
      </c>
      <c r="AR39" s="66" t="b">
        <v>0</v>
      </c>
    </row>
    <row r="40">
      <c r="A40" s="57">
        <v>2.124025195E9</v>
      </c>
      <c r="B40" s="109" t="str">
        <f>VLOOKUP($A40,ANAGRAFICA!$B$1:$G$306,2,FALSE)</f>
        <v>FAZIO</v>
      </c>
      <c r="C40" s="109" t="str">
        <f>VLOOKUP($A40,ANAGRAFICA!$B$1:$G$306,3,FALSE)</f>
        <v>FRANCESCO ANTONIO</v>
      </c>
      <c r="D40" s="109" t="str">
        <f>VLOOKUP($A40,ANAGRAFICA!$B$1:$G$306,4,FALSE)</f>
        <v>758-21</v>
      </c>
      <c r="E40" s="109">
        <f>VLOOKUP($A40,ANAGRAFICA!$B$1:$G$306,5,FALSE)</f>
        <v>3272024087</v>
      </c>
      <c r="F40" s="109">
        <f>VLOOKUP($A40,ANAGRAFICA!$B$1:$G$306,6,FALSE)</f>
        <v>2024</v>
      </c>
      <c r="G40" s="57">
        <v>1.0</v>
      </c>
      <c r="H40" s="110">
        <v>45634.0</v>
      </c>
      <c r="I40" s="57" t="s">
        <v>967</v>
      </c>
      <c r="J40" s="57">
        <v>7.36</v>
      </c>
      <c r="K40" s="57">
        <v>97.0</v>
      </c>
      <c r="L40" s="57">
        <v>41.0</v>
      </c>
      <c r="M40" s="57">
        <v>23.0</v>
      </c>
      <c r="N40" s="57">
        <v>1.5</v>
      </c>
      <c r="O40" s="57">
        <v>-2.2</v>
      </c>
      <c r="P40" s="57">
        <v>13.4</v>
      </c>
      <c r="Q40" s="57">
        <v>40.0</v>
      </c>
      <c r="R40" s="57">
        <v>97.0</v>
      </c>
      <c r="S40" s="110">
        <v>45634.0</v>
      </c>
      <c r="T40" s="57" t="s">
        <v>64</v>
      </c>
      <c r="U40" s="57" t="s">
        <v>901</v>
      </c>
      <c r="V40" s="57">
        <v>8.0</v>
      </c>
      <c r="W40" s="57">
        <v>10.0</v>
      </c>
      <c r="X40" s="57" t="s">
        <v>516</v>
      </c>
      <c r="Y40" s="57" t="s">
        <v>516</v>
      </c>
      <c r="Z40" s="57" t="s">
        <v>516</v>
      </c>
      <c r="AA40" s="57">
        <v>400.0</v>
      </c>
      <c r="AB40" s="94"/>
      <c r="AC40" s="110">
        <v>45634.0</v>
      </c>
      <c r="AD40" s="57" t="s">
        <v>64</v>
      </c>
      <c r="AE40" s="57">
        <v>122.0</v>
      </c>
      <c r="AF40" s="57">
        <v>72.0</v>
      </c>
      <c r="AG40" s="57">
        <v>87.0</v>
      </c>
      <c r="AH40" s="57" t="s">
        <v>516</v>
      </c>
      <c r="AI40" s="57" t="s">
        <v>516</v>
      </c>
      <c r="AJ40" s="57" t="s">
        <v>516</v>
      </c>
      <c r="AK40" s="57" t="s">
        <v>516</v>
      </c>
      <c r="AL40" s="57" t="s">
        <v>516</v>
      </c>
      <c r="AM40" s="57" t="s">
        <v>516</v>
      </c>
      <c r="AN40" s="57" t="s">
        <v>516</v>
      </c>
      <c r="AO40" s="57">
        <v>3.17</v>
      </c>
      <c r="AP40" s="57">
        <v>3.6</v>
      </c>
      <c r="AQ40" s="11" t="s">
        <v>1016</v>
      </c>
      <c r="AR40" s="66" t="b">
        <v>0</v>
      </c>
    </row>
    <row r="41">
      <c r="A41" s="57">
        <v>2.125000348E9</v>
      </c>
      <c r="B41" s="109" t="str">
        <f>VLOOKUP($A41,ANAGRAFICA!$B$1:$G$306,2,FALSE)</f>
        <v>SLAVKOVA</v>
      </c>
      <c r="C41" s="109" t="str">
        <f>VLOOKUP($A41,ANAGRAFICA!$B$1:$G$306,3,FALSE)</f>
        <v>EVELINA PLAMENOVA</v>
      </c>
      <c r="D41" s="109" t="str">
        <f>VLOOKUP($A41,ANAGRAFICA!$B$1:$G$306,4,FALSE)</f>
        <v/>
      </c>
      <c r="E41" s="109">
        <f>VLOOKUP($A41,ANAGRAFICA!$B$1:$G$306,5,FALSE)</f>
        <v>3272025051</v>
      </c>
      <c r="F41" s="109">
        <f>VLOOKUP($A41,ANAGRAFICA!$B$1:$G$306,6,FALSE)</f>
        <v>2025</v>
      </c>
      <c r="G41" s="57">
        <v>1.0</v>
      </c>
      <c r="H41" s="110">
        <v>45664.0</v>
      </c>
      <c r="I41" s="57" t="s">
        <v>64</v>
      </c>
      <c r="J41" s="57">
        <v>7.55</v>
      </c>
      <c r="K41" s="57">
        <v>116.0</v>
      </c>
      <c r="L41" s="57">
        <v>38.0</v>
      </c>
      <c r="M41" s="57">
        <v>32.7</v>
      </c>
      <c r="N41" s="57">
        <v>2.2</v>
      </c>
      <c r="O41" s="57">
        <v>8.9</v>
      </c>
      <c r="P41" s="57">
        <v>7.2</v>
      </c>
      <c r="Q41" s="57">
        <v>22.0</v>
      </c>
      <c r="R41" s="57">
        <v>99.0</v>
      </c>
      <c r="S41" s="110">
        <v>45664.0</v>
      </c>
      <c r="T41" s="57" t="s">
        <v>64</v>
      </c>
      <c r="U41" s="57" t="s">
        <v>1049</v>
      </c>
      <c r="V41" s="57">
        <v>4.0</v>
      </c>
      <c r="W41" s="57">
        <v>8.0</v>
      </c>
      <c r="X41" s="57" t="s">
        <v>516</v>
      </c>
      <c r="Y41" s="57" t="s">
        <v>516</v>
      </c>
      <c r="Z41" s="57" t="s">
        <v>516</v>
      </c>
      <c r="AA41" s="57">
        <v>480.0</v>
      </c>
      <c r="AB41" s="57">
        <v>35.0</v>
      </c>
      <c r="AC41" s="110">
        <v>45663.0</v>
      </c>
      <c r="AD41" s="57" t="s">
        <v>71</v>
      </c>
      <c r="AE41" s="57">
        <v>74.0</v>
      </c>
      <c r="AF41" s="57">
        <v>68.0</v>
      </c>
      <c r="AG41" s="57">
        <v>72.0</v>
      </c>
      <c r="AH41" s="57" t="s">
        <v>516</v>
      </c>
      <c r="AI41" s="57" t="s">
        <v>516</v>
      </c>
      <c r="AJ41" s="57" t="s">
        <v>516</v>
      </c>
      <c r="AK41" s="57" t="s">
        <v>516</v>
      </c>
      <c r="AL41" s="57" t="s">
        <v>516</v>
      </c>
      <c r="AM41" s="57" t="s">
        <v>516</v>
      </c>
      <c r="AN41" s="57" t="s">
        <v>934</v>
      </c>
      <c r="AO41" s="57">
        <v>2.11</v>
      </c>
      <c r="AP41" s="57">
        <v>2.2</v>
      </c>
      <c r="AQ41" s="11" t="s">
        <v>1016</v>
      </c>
      <c r="AR41" s="66" t="b">
        <v>0</v>
      </c>
    </row>
    <row r="42">
      <c r="A42" s="57">
        <v>2.124025878E9</v>
      </c>
      <c r="B42" s="109" t="str">
        <f>VLOOKUP($A42,ANAGRAFICA!$B$1:$G$306,2,FALSE)</f>
        <v>PEDRONI </v>
      </c>
      <c r="C42" s="109" t="str">
        <f>VLOOKUP($A42,ANAGRAFICA!$B$1:$G$306,3,FALSE)</f>
        <v>PIERANGELO</v>
      </c>
      <c r="D42" s="109" t="str">
        <f>VLOOKUP($A42,ANAGRAFICA!$B$1:$G$306,4,FALSE)</f>
        <v>758-22</v>
      </c>
      <c r="E42" s="109">
        <f>VLOOKUP($A42,ANAGRAFICA!$B$1:$G$306,5,FALSE)</f>
        <v>3272024088</v>
      </c>
      <c r="F42" s="109">
        <f>VLOOKUP($A42,ANAGRAFICA!$B$1:$G$306,6,FALSE)</f>
        <v>2024</v>
      </c>
      <c r="G42" s="57">
        <v>1.0</v>
      </c>
      <c r="H42" s="112">
        <v>45637.0</v>
      </c>
      <c r="I42" s="57" t="s">
        <v>71</v>
      </c>
      <c r="J42" s="57">
        <v>7.36</v>
      </c>
      <c r="K42" s="57">
        <v>137.0</v>
      </c>
      <c r="L42" s="57">
        <v>40.0</v>
      </c>
      <c r="M42" s="57">
        <v>7.31</v>
      </c>
      <c r="N42" s="57">
        <v>0.9</v>
      </c>
      <c r="O42" s="57">
        <v>-6.2</v>
      </c>
      <c r="P42" s="57">
        <v>11.2</v>
      </c>
      <c r="Q42" s="57">
        <v>34.0</v>
      </c>
      <c r="R42" s="57">
        <v>99.0</v>
      </c>
      <c r="S42" s="112">
        <v>45637.0</v>
      </c>
      <c r="T42" s="57" t="s">
        <v>71</v>
      </c>
      <c r="U42" s="57" t="s">
        <v>901</v>
      </c>
      <c r="V42" s="57">
        <v>4.0</v>
      </c>
      <c r="W42" s="57">
        <v>16.0</v>
      </c>
      <c r="X42" s="57" t="s">
        <v>516</v>
      </c>
      <c r="Y42" s="57" t="s">
        <v>516</v>
      </c>
      <c r="Z42" s="57">
        <v>24.0</v>
      </c>
      <c r="AA42" s="57">
        <v>400.0</v>
      </c>
      <c r="AB42" s="57">
        <v>30.0</v>
      </c>
      <c r="AC42" s="112">
        <v>45637.0</v>
      </c>
      <c r="AD42" s="57" t="s">
        <v>71</v>
      </c>
      <c r="AE42" s="57">
        <v>74.0</v>
      </c>
      <c r="AF42" s="57">
        <v>68.0</v>
      </c>
      <c r="AG42" s="57">
        <v>70.0</v>
      </c>
      <c r="AH42" s="57">
        <v>89.0</v>
      </c>
      <c r="AI42" s="57" t="s">
        <v>516</v>
      </c>
      <c r="AJ42" s="57">
        <v>18.0</v>
      </c>
      <c r="AK42" s="57">
        <v>15.0</v>
      </c>
      <c r="AL42" s="57">
        <v>13.0</v>
      </c>
      <c r="AM42" s="57">
        <v>14.0</v>
      </c>
      <c r="AN42" s="57" t="s">
        <v>516</v>
      </c>
      <c r="AO42" s="57">
        <v>4.0</v>
      </c>
      <c r="AP42" s="57">
        <v>4.0</v>
      </c>
      <c r="AQ42" s="11" t="s">
        <v>1016</v>
      </c>
      <c r="AR42" s="115" t="b">
        <v>1</v>
      </c>
    </row>
    <row r="43">
      <c r="A43" s="57">
        <v>2.125004454E9</v>
      </c>
      <c r="B43" s="109" t="str">
        <f>VLOOKUP($A43,ANAGRAFICA!$B$1:$G$306,2,FALSE)</f>
        <v>ANTIGNANO</v>
      </c>
      <c r="C43" s="109" t="str">
        <f>VLOOKUP($A43,ANAGRAFICA!$B$1:$G$306,3,FALSE)</f>
        <v>MAURO</v>
      </c>
      <c r="D43" s="109" t="str">
        <f>VLOOKUP($A43,ANAGRAFICA!$B$1:$G$306,4,FALSE)</f>
        <v>758-23</v>
      </c>
      <c r="E43" s="109">
        <f>VLOOKUP($A43,ANAGRAFICA!$B$1:$G$306,5,FALSE)</f>
        <v>3272025052</v>
      </c>
      <c r="F43" s="109">
        <f>VLOOKUP($A43,ANAGRAFICA!$B$1:$G$306,6,FALSE)</f>
        <v>2025</v>
      </c>
      <c r="G43" s="57">
        <v>1.0</v>
      </c>
      <c r="H43" s="110">
        <v>45688.0</v>
      </c>
      <c r="I43" s="57" t="s">
        <v>1050</v>
      </c>
      <c r="J43" s="57">
        <v>7.24</v>
      </c>
      <c r="K43" s="57">
        <v>112.0</v>
      </c>
      <c r="L43" s="57">
        <v>42.0</v>
      </c>
      <c r="M43" s="57">
        <v>18.0</v>
      </c>
      <c r="N43" s="57">
        <v>6.8</v>
      </c>
      <c r="O43" s="57">
        <v>-9.4</v>
      </c>
      <c r="P43" s="57">
        <v>10.0</v>
      </c>
      <c r="Q43" s="57">
        <v>30.0</v>
      </c>
      <c r="R43" s="57">
        <v>95.6</v>
      </c>
      <c r="S43" s="110">
        <v>45688.0</v>
      </c>
      <c r="T43" s="57" t="s">
        <v>621</v>
      </c>
      <c r="U43" s="57" t="s">
        <v>901</v>
      </c>
      <c r="V43" s="57">
        <v>5.0</v>
      </c>
      <c r="W43" s="57">
        <v>6.0</v>
      </c>
      <c r="X43" s="57" t="s">
        <v>516</v>
      </c>
      <c r="Y43" s="57" t="s">
        <v>516</v>
      </c>
      <c r="Z43" s="57" t="s">
        <v>516</v>
      </c>
      <c r="AA43" s="57">
        <v>480.0</v>
      </c>
      <c r="AB43" s="57">
        <v>60.0</v>
      </c>
      <c r="AC43" s="110">
        <v>45688.0</v>
      </c>
      <c r="AD43" s="57" t="s">
        <v>199</v>
      </c>
      <c r="AE43" s="57">
        <v>21.0</v>
      </c>
      <c r="AF43" s="57">
        <v>18.0</v>
      </c>
      <c r="AG43" s="57">
        <v>19.0</v>
      </c>
      <c r="AH43" s="3" t="s">
        <v>516</v>
      </c>
      <c r="AI43" s="57" t="s">
        <v>516</v>
      </c>
      <c r="AJ43" s="57" t="s">
        <v>516</v>
      </c>
      <c r="AK43" s="57" t="s">
        <v>516</v>
      </c>
      <c r="AL43" s="57" t="s">
        <v>516</v>
      </c>
      <c r="AM43" s="57" t="s">
        <v>516</v>
      </c>
      <c r="AN43" s="57" t="s">
        <v>516</v>
      </c>
      <c r="AO43" s="57">
        <v>2.0</v>
      </c>
      <c r="AP43" s="57" t="s">
        <v>516</v>
      </c>
      <c r="AQ43" s="11" t="s">
        <v>1016</v>
      </c>
      <c r="AR43" s="66" t="b">
        <v>0</v>
      </c>
    </row>
    <row r="44">
      <c r="A44" s="57">
        <v>2.125004867E9</v>
      </c>
      <c r="B44" s="109" t="str">
        <f>VLOOKUP($A44,ANAGRAFICA!$B$1:$G$306,2,FALSE)</f>
        <v>MARCONI</v>
      </c>
      <c r="C44" s="109" t="str">
        <f>VLOOKUP($A44,ANAGRAFICA!$B$1:$G$306,3,FALSE)</f>
        <v>PIETRO VITTORIO</v>
      </c>
      <c r="D44" s="109" t="str">
        <f>VLOOKUP($A44,ANAGRAFICA!$B$1:$G$306,4,FALSE)</f>
        <v/>
      </c>
      <c r="E44" s="154" t="s">
        <v>691</v>
      </c>
      <c r="F44" s="109">
        <f>VLOOKUP($A44,ANAGRAFICA!$B$1:$G$306,6,FALSE)</f>
        <v>2025</v>
      </c>
      <c r="G44" s="57">
        <v>1.0</v>
      </c>
      <c r="H44" s="110">
        <v>45692.0</v>
      </c>
      <c r="I44" s="57" t="s">
        <v>28</v>
      </c>
      <c r="J44" s="57">
        <v>7.36</v>
      </c>
      <c r="K44" s="57">
        <v>231.0</v>
      </c>
      <c r="L44" s="57">
        <v>41.0</v>
      </c>
      <c r="M44" s="57">
        <v>23.3</v>
      </c>
      <c r="N44" s="57">
        <v>2.6</v>
      </c>
      <c r="O44" s="57">
        <v>-2.2</v>
      </c>
      <c r="P44" s="57">
        <v>80.0</v>
      </c>
      <c r="Q44" s="57">
        <v>24.0</v>
      </c>
      <c r="R44" s="57">
        <v>96.3</v>
      </c>
      <c r="S44" s="110">
        <v>45692.0</v>
      </c>
      <c r="T44" s="57" t="s">
        <v>28</v>
      </c>
      <c r="U44" s="57" t="s">
        <v>901</v>
      </c>
      <c r="V44" s="57">
        <v>5.0</v>
      </c>
      <c r="W44" s="57">
        <v>12.0</v>
      </c>
      <c r="X44" s="57" t="s">
        <v>516</v>
      </c>
      <c r="Y44" s="57" t="s">
        <v>516</v>
      </c>
      <c r="Z44" s="57">
        <v>17.0</v>
      </c>
      <c r="AA44" s="57">
        <v>500.0</v>
      </c>
      <c r="AB44" s="57">
        <v>80.0</v>
      </c>
      <c r="AC44" s="110">
        <v>45692.0</v>
      </c>
      <c r="AD44" s="57" t="s">
        <v>28</v>
      </c>
      <c r="AE44" s="57">
        <v>39.0</v>
      </c>
      <c r="AF44" s="57">
        <v>38.0</v>
      </c>
      <c r="AG44" s="57">
        <v>38.0</v>
      </c>
      <c r="AH44" s="57">
        <v>80.0</v>
      </c>
      <c r="AI44" s="57" t="s">
        <v>516</v>
      </c>
      <c r="AJ44" s="57" t="s">
        <v>516</v>
      </c>
      <c r="AK44" s="57" t="s">
        <v>516</v>
      </c>
      <c r="AL44" s="57" t="s">
        <v>516</v>
      </c>
      <c r="AM44" s="57" t="s">
        <v>516</v>
      </c>
      <c r="AN44" s="57" t="s">
        <v>516</v>
      </c>
      <c r="AO44" s="57">
        <v>4.0</v>
      </c>
      <c r="AP44" s="57">
        <v>3.5</v>
      </c>
      <c r="AQ44" s="11" t="s">
        <v>1016</v>
      </c>
      <c r="AR44" s="66" t="b">
        <v>0</v>
      </c>
    </row>
    <row r="45">
      <c r="A45" s="57">
        <v>2.025010247E9</v>
      </c>
      <c r="B45" s="109" t="str">
        <f>VLOOKUP($A45,ANAGRAFICA!$B$1:$G$306,2,FALSE)</f>
        <v>TREMOLADA</v>
      </c>
      <c r="C45" s="109" t="str">
        <f>VLOOKUP($A45,ANAGRAFICA!$B$1:$G$306,3,FALSE)</f>
        <v>MARCO</v>
      </c>
      <c r="D45" s="109" t="str">
        <f>VLOOKUP($A45,ANAGRAFICA!$B$1:$G$306,4,FALSE)</f>
        <v>758-25</v>
      </c>
      <c r="E45" s="109">
        <f>VLOOKUP($A45,ANAGRAFICA!$B$1:$G$306,5,FALSE)</f>
        <v>3272025054</v>
      </c>
      <c r="F45" s="109">
        <f>VLOOKUP($A45,ANAGRAFICA!$B$1:$G$306,6,FALSE)</f>
        <v>2025</v>
      </c>
      <c r="G45" s="57">
        <v>1.0</v>
      </c>
      <c r="H45" s="110">
        <v>45721.0</v>
      </c>
      <c r="I45" s="57" t="s">
        <v>203</v>
      </c>
      <c r="J45" s="57">
        <v>7.41</v>
      </c>
      <c r="K45" s="57">
        <v>128.0</v>
      </c>
      <c r="L45" s="57">
        <v>42.0</v>
      </c>
      <c r="M45" s="57">
        <v>26.3</v>
      </c>
      <c r="N45" s="57">
        <v>1.9</v>
      </c>
      <c r="O45" s="57">
        <v>2.0</v>
      </c>
      <c r="P45" s="57">
        <v>9.4</v>
      </c>
      <c r="Q45" s="57">
        <v>28.0</v>
      </c>
      <c r="R45" s="57">
        <v>98.9</v>
      </c>
      <c r="S45" s="110">
        <v>45721.0</v>
      </c>
      <c r="T45" s="57" t="s">
        <v>203</v>
      </c>
      <c r="U45" s="57" t="s">
        <v>901</v>
      </c>
      <c r="V45" s="57">
        <v>4.0</v>
      </c>
      <c r="W45" s="57">
        <v>8.0</v>
      </c>
      <c r="X45" s="57" t="s">
        <v>516</v>
      </c>
      <c r="Y45" s="57" t="s">
        <v>516</v>
      </c>
      <c r="Z45" s="57">
        <v>17.0</v>
      </c>
      <c r="AA45" s="57">
        <v>500.0</v>
      </c>
      <c r="AB45" s="57">
        <v>65.0</v>
      </c>
      <c r="AC45" s="110">
        <v>45721.0</v>
      </c>
      <c r="AD45" s="57" t="s">
        <v>203</v>
      </c>
      <c r="AE45" s="57">
        <v>76.0</v>
      </c>
      <c r="AF45" s="57">
        <v>67.0</v>
      </c>
      <c r="AG45" s="57">
        <v>62.0</v>
      </c>
      <c r="AH45" s="57">
        <v>80.0</v>
      </c>
      <c r="AI45" s="57" t="s">
        <v>516</v>
      </c>
      <c r="AJ45" s="57" t="s">
        <v>516</v>
      </c>
      <c r="AK45" s="57" t="s">
        <v>516</v>
      </c>
      <c r="AL45" s="57" t="s">
        <v>516</v>
      </c>
      <c r="AM45" s="57" t="s">
        <v>516</v>
      </c>
      <c r="AN45" s="57" t="s">
        <v>516</v>
      </c>
      <c r="AO45" s="57">
        <v>2.5</v>
      </c>
      <c r="AP45" s="57">
        <v>3.5</v>
      </c>
      <c r="AQ45" s="11" t="s">
        <v>1016</v>
      </c>
      <c r="AR45" s="66" t="b">
        <v>0</v>
      </c>
    </row>
    <row r="46">
      <c r="A46" s="57">
        <v>2.025010247E9</v>
      </c>
      <c r="B46" s="109" t="str">
        <f>VLOOKUP($A46,ANAGRAFICA!$B$1:$G$306,2,FALSE)</f>
        <v>TREMOLADA</v>
      </c>
      <c r="C46" s="109" t="str">
        <f>VLOOKUP($A46,ANAGRAFICA!$B$1:$G$306,3,FALSE)</f>
        <v>MARCO</v>
      </c>
      <c r="D46" s="109" t="str">
        <f>VLOOKUP($A46,ANAGRAFICA!$B$1:$G$306,4,FALSE)</f>
        <v>758-25</v>
      </c>
      <c r="E46" s="109">
        <f>VLOOKUP($A46,ANAGRAFICA!$B$1:$G$306,5,FALSE)</f>
        <v>3272025054</v>
      </c>
      <c r="F46" s="109">
        <f>VLOOKUP($A46,ANAGRAFICA!$B$1:$G$306,6,FALSE)</f>
        <v>2025</v>
      </c>
      <c r="G46" s="57">
        <v>2.0</v>
      </c>
      <c r="H46" s="110">
        <v>45733.0</v>
      </c>
      <c r="I46" s="57" t="s">
        <v>39</v>
      </c>
      <c r="J46" s="57">
        <v>7.41</v>
      </c>
      <c r="K46" s="57">
        <v>131.0</v>
      </c>
      <c r="L46" s="57">
        <v>40.0</v>
      </c>
      <c r="M46" s="57">
        <v>25.2</v>
      </c>
      <c r="N46" s="57">
        <v>1.7</v>
      </c>
      <c r="O46" s="57">
        <v>0.8</v>
      </c>
      <c r="P46" s="57">
        <v>8.4</v>
      </c>
      <c r="Q46" s="57">
        <v>25.0</v>
      </c>
      <c r="R46" s="57">
        <v>99.0</v>
      </c>
      <c r="S46" s="110">
        <v>45733.0</v>
      </c>
      <c r="T46" s="57" t="s">
        <v>28</v>
      </c>
      <c r="U46" s="57" t="s">
        <v>937</v>
      </c>
      <c r="V46" s="57">
        <v>6.0</v>
      </c>
      <c r="W46" s="57">
        <v>12.0</v>
      </c>
      <c r="X46" s="57" t="s">
        <v>516</v>
      </c>
      <c r="Y46" s="57" t="s">
        <v>516</v>
      </c>
      <c r="Z46" s="57">
        <v>20.0</v>
      </c>
      <c r="AA46" s="57">
        <v>600.0</v>
      </c>
      <c r="AB46" s="57">
        <v>30.0</v>
      </c>
      <c r="AC46" s="110">
        <v>45733.0</v>
      </c>
      <c r="AD46" s="57" t="s">
        <v>446</v>
      </c>
      <c r="AE46" s="57">
        <v>102.0</v>
      </c>
      <c r="AF46" s="57">
        <v>80.0</v>
      </c>
      <c r="AG46" s="57">
        <v>88.0</v>
      </c>
      <c r="AH46" s="57">
        <v>85.0</v>
      </c>
      <c r="AI46" s="57">
        <v>3.5</v>
      </c>
      <c r="AJ46" s="57">
        <v>26.0</v>
      </c>
      <c r="AK46" s="57">
        <v>28.0</v>
      </c>
      <c r="AL46" s="57">
        <v>17.0</v>
      </c>
      <c r="AM46" s="57">
        <v>19.0</v>
      </c>
      <c r="AN46" s="57" t="s">
        <v>516</v>
      </c>
      <c r="AO46" s="57">
        <v>4.0</v>
      </c>
      <c r="AP46" s="57">
        <v>4.0</v>
      </c>
      <c r="AQ46" s="11" t="s">
        <v>1016</v>
      </c>
      <c r="AR46" s="115" t="b">
        <v>0</v>
      </c>
    </row>
    <row r="47">
      <c r="A47" s="57">
        <v>2.125020858E9</v>
      </c>
      <c r="B47" s="109" t="str">
        <f>VLOOKUP($A47,ANAGRAFICA!$B$1:$G$306,2,FALSE)</f>
        <v>FALVO</v>
      </c>
      <c r="C47" s="109" t="str">
        <f>VLOOKUP($A47,ANAGRAFICA!$B$1:$G$306,3,FALSE)</f>
        <v>FRANCESCO</v>
      </c>
      <c r="D47" s="109" t="str">
        <f>VLOOKUP($A47,ANAGRAFICA!$B$1:$G$306,4,FALSE)</f>
        <v/>
      </c>
      <c r="E47" s="109">
        <f>VLOOKUP($A47,ANAGRAFICA!$B$1:$G$306,5,FALSE)</f>
        <v>3272025055</v>
      </c>
      <c r="F47" s="109">
        <f>VLOOKUP($A47,ANAGRAFICA!$B$1:$G$306,6,FALSE)</f>
        <v>2025</v>
      </c>
      <c r="G47" s="57">
        <v>1.0</v>
      </c>
      <c r="H47" s="110">
        <v>45788.0</v>
      </c>
      <c r="I47" s="57" t="s">
        <v>1042</v>
      </c>
      <c r="J47" s="57">
        <v>7.24</v>
      </c>
      <c r="K47" s="57">
        <v>82.0</v>
      </c>
      <c r="L47" s="57">
        <v>35.0</v>
      </c>
      <c r="M47" s="57">
        <v>15.9</v>
      </c>
      <c r="N47" s="57">
        <v>6.3</v>
      </c>
      <c r="O47" s="57">
        <v>-12.4</v>
      </c>
      <c r="P47" s="57">
        <v>9.9</v>
      </c>
      <c r="Q47" s="57">
        <v>30.0</v>
      </c>
      <c r="R47" s="57">
        <v>93.7</v>
      </c>
      <c r="S47" s="110">
        <v>45788.0</v>
      </c>
      <c r="T47" s="57" t="s">
        <v>516</v>
      </c>
      <c r="U47" s="57" t="s">
        <v>901</v>
      </c>
      <c r="V47" s="57">
        <v>4.0</v>
      </c>
      <c r="W47" s="57">
        <v>8.0</v>
      </c>
      <c r="X47" s="57" t="s">
        <v>516</v>
      </c>
      <c r="Y47" s="57" t="s">
        <v>516</v>
      </c>
      <c r="Z47" s="57" t="s">
        <v>516</v>
      </c>
      <c r="AA47" s="57">
        <v>480.0</v>
      </c>
      <c r="AB47" s="57">
        <v>65.0</v>
      </c>
      <c r="AC47" s="110">
        <v>45788.0</v>
      </c>
      <c r="AD47" s="57" t="s">
        <v>1042</v>
      </c>
      <c r="AE47" s="57">
        <v>71.0</v>
      </c>
      <c r="AF47" s="57">
        <v>60.0</v>
      </c>
      <c r="AG47" s="57">
        <v>65.0</v>
      </c>
      <c r="AH47" s="57" t="s">
        <v>516</v>
      </c>
      <c r="AI47" s="57" t="s">
        <v>516</v>
      </c>
      <c r="AJ47" s="57" t="s">
        <v>516</v>
      </c>
      <c r="AK47" s="57" t="s">
        <v>516</v>
      </c>
      <c r="AL47" s="57" t="s">
        <v>516</v>
      </c>
      <c r="AM47" s="57" t="s">
        <v>516</v>
      </c>
      <c r="AN47" s="57" t="s">
        <v>516</v>
      </c>
      <c r="AO47" s="57">
        <v>2.8</v>
      </c>
      <c r="AP47" s="57">
        <v>2.8</v>
      </c>
      <c r="AQ47" s="11" t="s">
        <v>1016</v>
      </c>
      <c r="AR47" s="66" t="b">
        <v>0</v>
      </c>
    </row>
    <row r="48">
      <c r="A48" s="57">
        <v>2.125024608E9</v>
      </c>
      <c r="B48" s="109" t="str">
        <f>VLOOKUP($A48,ANAGRAFICA!$B$1:$G$306,2,FALSE)</f>
        <v>ZAPPIA</v>
      </c>
      <c r="C48" s="109" t="str">
        <f>VLOOKUP($A48,ANAGRAFICA!$B$1:$G$306,3,FALSE)</f>
        <v>LEONARDO</v>
      </c>
      <c r="D48" s="109" t="str">
        <f>VLOOKUP($A48,ANAGRAFICA!$B$1:$G$306,4,FALSE)</f>
        <v>758-29</v>
      </c>
      <c r="E48" s="109">
        <f>VLOOKUP($A48,ANAGRAFICA!$B$1:$G$306,5,FALSE)</f>
        <v>3272025057</v>
      </c>
      <c r="F48" s="109">
        <f>VLOOKUP($A48,ANAGRAFICA!$B$1:$G$306,6,FALSE)</f>
        <v>2025</v>
      </c>
      <c r="G48" s="57">
        <v>1.0</v>
      </c>
      <c r="H48" s="110">
        <v>45812.0</v>
      </c>
      <c r="I48" s="57" t="s">
        <v>29</v>
      </c>
      <c r="J48" s="57" t="s">
        <v>1051</v>
      </c>
      <c r="K48" s="57">
        <v>187.0</v>
      </c>
      <c r="L48" s="57">
        <v>31.0</v>
      </c>
      <c r="M48" s="57">
        <v>19.2</v>
      </c>
      <c r="N48" s="57">
        <v>2.4</v>
      </c>
      <c r="O48" s="57">
        <v>-4.6</v>
      </c>
      <c r="P48" s="57">
        <v>133.0</v>
      </c>
      <c r="Q48" s="57">
        <v>40.0</v>
      </c>
      <c r="R48" s="57">
        <v>96.5</v>
      </c>
      <c r="S48" s="110">
        <v>45812.0</v>
      </c>
      <c r="T48" s="57" t="s">
        <v>516</v>
      </c>
      <c r="U48" s="57" t="s">
        <v>955</v>
      </c>
      <c r="V48" s="57" t="s">
        <v>516</v>
      </c>
      <c r="W48" s="57">
        <v>10.0</v>
      </c>
      <c r="X48" s="57" t="s">
        <v>516</v>
      </c>
      <c r="Y48" s="57" t="s">
        <v>516</v>
      </c>
      <c r="Z48" s="57" t="s">
        <v>516</v>
      </c>
      <c r="AA48" s="57" t="s">
        <v>516</v>
      </c>
      <c r="AB48" s="57">
        <v>50.0</v>
      </c>
      <c r="AC48" s="110">
        <v>45812.0</v>
      </c>
      <c r="AD48" s="57" t="s">
        <v>87</v>
      </c>
      <c r="AE48" s="57">
        <v>69.0</v>
      </c>
      <c r="AF48" s="57">
        <v>59.0</v>
      </c>
      <c r="AG48" s="57">
        <v>61.0</v>
      </c>
      <c r="AH48" s="57" t="s">
        <v>516</v>
      </c>
      <c r="AI48" s="57" t="s">
        <v>516</v>
      </c>
      <c r="AJ48" s="57" t="s">
        <v>516</v>
      </c>
      <c r="AK48" s="57" t="s">
        <v>516</v>
      </c>
      <c r="AL48" s="57" t="s">
        <v>516</v>
      </c>
      <c r="AM48" s="57" t="s">
        <v>516</v>
      </c>
      <c r="AN48" s="57" t="s">
        <v>516</v>
      </c>
      <c r="AO48" s="57">
        <v>2.9</v>
      </c>
      <c r="AP48" s="57">
        <v>3.2</v>
      </c>
      <c r="AQ48" s="11" t="s">
        <v>1016</v>
      </c>
      <c r="AR48" s="66" t="b">
        <v>0</v>
      </c>
    </row>
    <row r="49">
      <c r="A49" s="57">
        <v>2.125024565E9</v>
      </c>
      <c r="B49" s="109" t="str">
        <f>VLOOKUP($A49,ANAGRAFICA!$B$1:$G$306,2,FALSE)</f>
        <v>POLICARPO</v>
      </c>
      <c r="C49" s="109" t="str">
        <f>VLOOKUP($A49,ANAGRAFICA!$B$1:$G$306,3,FALSE)</f>
        <v>FRANCESCO</v>
      </c>
      <c r="D49" s="109" t="str">
        <f>VLOOKUP($A49,ANAGRAFICA!$B$1:$G$306,4,FALSE)</f>
        <v>758-30</v>
      </c>
      <c r="E49" s="109" t="str">
        <f>VLOOKUP($A49,ANAGRAFICA!$B$1:$G$306,5,FALSE)</f>
        <v/>
      </c>
      <c r="F49" s="109">
        <f>VLOOKUP($A49,ANAGRAFICA!$B$1:$G$306,6,FALSE)</f>
        <v>2025</v>
      </c>
      <c r="G49" s="57">
        <v>1.0</v>
      </c>
      <c r="H49" s="57" t="s">
        <v>516</v>
      </c>
      <c r="I49" s="57" t="s">
        <v>516</v>
      </c>
      <c r="J49" s="57" t="s">
        <v>516</v>
      </c>
      <c r="K49" s="57" t="s">
        <v>516</v>
      </c>
      <c r="L49" s="57" t="s">
        <v>516</v>
      </c>
      <c r="M49" s="57" t="s">
        <v>516</v>
      </c>
      <c r="N49" s="57" t="s">
        <v>516</v>
      </c>
      <c r="O49" s="57" t="s">
        <v>516</v>
      </c>
      <c r="P49" s="57" t="s">
        <v>516</v>
      </c>
      <c r="Q49" s="57" t="s">
        <v>516</v>
      </c>
      <c r="R49" s="57" t="s">
        <v>516</v>
      </c>
      <c r="S49" s="57" t="s">
        <v>516</v>
      </c>
      <c r="T49" s="57" t="s">
        <v>516</v>
      </c>
      <c r="U49" s="57" t="s">
        <v>516</v>
      </c>
      <c r="V49" s="57" t="s">
        <v>516</v>
      </c>
      <c r="W49" s="57" t="s">
        <v>516</v>
      </c>
      <c r="X49" s="57" t="s">
        <v>516</v>
      </c>
      <c r="Y49" s="57" t="s">
        <v>516</v>
      </c>
      <c r="Z49" s="57" t="s">
        <v>516</v>
      </c>
      <c r="AA49" s="57" t="s">
        <v>516</v>
      </c>
      <c r="AB49" s="57" t="s">
        <v>516</v>
      </c>
      <c r="AC49" s="57" t="s">
        <v>516</v>
      </c>
      <c r="AD49" s="57" t="s">
        <v>516</v>
      </c>
      <c r="AE49" s="57" t="s">
        <v>516</v>
      </c>
      <c r="AF49" s="57" t="s">
        <v>516</v>
      </c>
      <c r="AG49" s="57" t="s">
        <v>516</v>
      </c>
      <c r="AH49" s="57" t="s">
        <v>516</v>
      </c>
      <c r="AI49" s="57" t="s">
        <v>516</v>
      </c>
      <c r="AJ49" s="57" t="s">
        <v>516</v>
      </c>
      <c r="AK49" s="57" t="s">
        <v>516</v>
      </c>
      <c r="AL49" s="57" t="s">
        <v>516</v>
      </c>
      <c r="AM49" s="57" t="s">
        <v>516</v>
      </c>
      <c r="AN49" s="57" t="s">
        <v>516</v>
      </c>
      <c r="AO49" s="57">
        <v>3.9</v>
      </c>
      <c r="AP49" s="57" t="s">
        <v>516</v>
      </c>
      <c r="AQ49" s="11" t="s">
        <v>1016</v>
      </c>
      <c r="AR49" s="66" t="b">
        <v>0</v>
      </c>
    </row>
    <row r="50">
      <c r="A50" s="57">
        <v>2.125025861E9</v>
      </c>
      <c r="B50" s="109" t="str">
        <f>VLOOKUP($A50,ANAGRAFICA!$B$1:$G$306,2,FALSE)</f>
        <v>CASSANI</v>
      </c>
      <c r="C50" s="109" t="str">
        <f>VLOOKUP($A50,ANAGRAFICA!$B$1:$G$306,3,FALSE)</f>
        <v>DAVIDE VIRGILIO</v>
      </c>
      <c r="D50" s="109" t="str">
        <f>VLOOKUP($A50,ANAGRAFICA!$B$1:$G$306,4,FALSE)</f>
        <v>758-31</v>
      </c>
      <c r="E50" s="109">
        <f>VLOOKUP($A50,ANAGRAFICA!$B$1:$G$306,5,FALSE)</f>
        <v>3272025058</v>
      </c>
      <c r="F50" s="109">
        <f>VLOOKUP($A50,ANAGRAFICA!$B$1:$G$306,6,FALSE)</f>
        <v>2025</v>
      </c>
      <c r="G50" s="57">
        <v>1.0</v>
      </c>
      <c r="H50" s="110">
        <v>45818.0</v>
      </c>
      <c r="I50" s="57" t="s">
        <v>71</v>
      </c>
      <c r="J50" s="57">
        <v>7.43</v>
      </c>
      <c r="K50" s="57">
        <v>213.0</v>
      </c>
      <c r="L50" s="57">
        <v>25.0</v>
      </c>
      <c r="M50" s="57">
        <v>21.6</v>
      </c>
      <c r="N50" s="57">
        <v>3.4</v>
      </c>
      <c r="O50" s="57">
        <v>-5.7</v>
      </c>
      <c r="P50" s="57">
        <v>15.5</v>
      </c>
      <c r="Q50" s="57" t="s">
        <v>516</v>
      </c>
      <c r="R50" s="57" t="s">
        <v>516</v>
      </c>
      <c r="S50" s="110">
        <v>45818.0</v>
      </c>
      <c r="T50" s="57" t="s">
        <v>353</v>
      </c>
      <c r="U50" s="57" t="s">
        <v>901</v>
      </c>
      <c r="V50" s="57">
        <v>5.0</v>
      </c>
      <c r="W50" s="57">
        <v>10.0</v>
      </c>
      <c r="X50" s="57" t="s">
        <v>516</v>
      </c>
      <c r="Y50" s="57" t="s">
        <v>516</v>
      </c>
      <c r="Z50" s="57" t="s">
        <v>516</v>
      </c>
      <c r="AA50" s="57">
        <v>500.0</v>
      </c>
      <c r="AB50" s="57">
        <v>80.0</v>
      </c>
      <c r="AC50" s="110">
        <v>45818.0</v>
      </c>
      <c r="AD50" s="57" t="s">
        <v>353</v>
      </c>
      <c r="AE50" s="57">
        <v>120.0</v>
      </c>
      <c r="AF50" s="57">
        <v>80.0</v>
      </c>
      <c r="AG50" s="57">
        <v>90.0</v>
      </c>
      <c r="AH50" s="57" t="s">
        <v>516</v>
      </c>
      <c r="AI50" s="57" t="s">
        <v>516</v>
      </c>
      <c r="AJ50" s="57" t="s">
        <v>516</v>
      </c>
      <c r="AK50" s="57" t="s">
        <v>516</v>
      </c>
      <c r="AL50" s="57" t="s">
        <v>516</v>
      </c>
      <c r="AM50" s="57" t="s">
        <v>516</v>
      </c>
      <c r="AN50" s="57" t="s">
        <v>516</v>
      </c>
      <c r="AO50" s="57">
        <v>3.5</v>
      </c>
      <c r="AP50" s="57">
        <v>3.9</v>
      </c>
      <c r="AQ50" s="11" t="s">
        <v>1016</v>
      </c>
      <c r="AR50" s="66" t="b">
        <v>0</v>
      </c>
    </row>
    <row r="51">
      <c r="A51" s="57">
        <v>2.125026559E9</v>
      </c>
      <c r="B51" s="109" t="str">
        <f>VLOOKUP($A51,ANAGRAFICA!$B$1:$G$306,2,FALSE)</f>
        <v>VEDUTI</v>
      </c>
      <c r="C51" s="109" t="str">
        <f>VLOOKUP($A51,ANAGRAFICA!$B$1:$G$306,3,FALSE)</f>
        <v>LORENZO</v>
      </c>
      <c r="D51" s="109" t="str">
        <f>VLOOKUP($A51,ANAGRAFICA!$B$1:$G$306,4,FALSE)</f>
        <v>758-32</v>
      </c>
      <c r="E51" s="109">
        <f>VLOOKUP($A51,ANAGRAFICA!$B$1:$G$306,5,FALSE)</f>
        <v>3272025059</v>
      </c>
      <c r="F51" s="109">
        <f>VLOOKUP($A51,ANAGRAFICA!$B$1:$G$306,6,FALSE)</f>
        <v>2025</v>
      </c>
      <c r="G51" s="94"/>
      <c r="H51" s="110">
        <v>45824.0</v>
      </c>
      <c r="I51" s="57" t="s">
        <v>247</v>
      </c>
      <c r="J51" s="57">
        <v>7.18</v>
      </c>
      <c r="K51" s="57">
        <v>214.0</v>
      </c>
      <c r="L51" s="57">
        <v>51.0</v>
      </c>
      <c r="M51" s="57" t="s">
        <v>516</v>
      </c>
      <c r="N51" s="57">
        <v>7.8</v>
      </c>
      <c r="O51" s="57">
        <v>-9.4</v>
      </c>
      <c r="P51" s="57">
        <v>14.9</v>
      </c>
      <c r="Q51" s="57" t="s">
        <v>516</v>
      </c>
      <c r="R51" s="57" t="s">
        <v>516</v>
      </c>
      <c r="S51" s="110">
        <v>45824.0</v>
      </c>
      <c r="T51" s="57" t="s">
        <v>333</v>
      </c>
      <c r="U51" s="57" t="s">
        <v>901</v>
      </c>
      <c r="V51" s="57">
        <v>4.0</v>
      </c>
      <c r="W51" s="57">
        <v>10.0</v>
      </c>
      <c r="X51" s="57" t="s">
        <v>516</v>
      </c>
      <c r="Y51" s="57" t="s">
        <v>516</v>
      </c>
      <c r="Z51" s="57" t="s">
        <v>516</v>
      </c>
      <c r="AA51" s="57">
        <v>480.0</v>
      </c>
      <c r="AB51" s="57">
        <v>40.0</v>
      </c>
      <c r="AC51" s="110">
        <v>45824.0</v>
      </c>
      <c r="AD51" s="57" t="s">
        <v>621</v>
      </c>
      <c r="AE51" s="57">
        <v>64.0</v>
      </c>
      <c r="AF51" s="57">
        <v>61.0</v>
      </c>
      <c r="AG51" s="57">
        <v>59.0</v>
      </c>
      <c r="AH51" s="57" t="s">
        <v>516</v>
      </c>
      <c r="AI51" s="57" t="s">
        <v>516</v>
      </c>
      <c r="AJ51" s="57" t="s">
        <v>516</v>
      </c>
      <c r="AK51" s="57" t="s">
        <v>516</v>
      </c>
      <c r="AL51" s="57" t="s">
        <v>516</v>
      </c>
      <c r="AM51" s="57" t="s">
        <v>516</v>
      </c>
      <c r="AN51" s="57" t="s">
        <v>516</v>
      </c>
      <c r="AO51" s="57" t="s">
        <v>516</v>
      </c>
      <c r="AP51" s="57" t="s">
        <v>516</v>
      </c>
      <c r="AQ51" s="11" t="s">
        <v>1016</v>
      </c>
      <c r="AR51" s="115" t="b">
        <v>1</v>
      </c>
    </row>
    <row r="52">
      <c r="A52" s="57">
        <v>2.125027331E9</v>
      </c>
      <c r="B52" s="109" t="str">
        <f>VLOOKUP($A52,ANAGRAFICA!$B$1:$G$306,2,FALSE)</f>
        <v>QUARIN</v>
      </c>
      <c r="C52" s="109" t="str">
        <f>VLOOKUP($A52,ANAGRAFICA!$B$1:$G$306,3,FALSE)</f>
        <v>FRANCO</v>
      </c>
      <c r="D52" s="109" t="str">
        <f>VLOOKUP($A52,ANAGRAFICA!$B$1:$G$306,4,FALSE)</f>
        <v>758-34</v>
      </c>
      <c r="E52" s="109" t="str">
        <f>VLOOKUP($A52,ANAGRAFICA!$B$1:$G$306,5,FALSE)</f>
        <v/>
      </c>
      <c r="F52" s="109">
        <f>VLOOKUP($A52,ANAGRAFICA!$B$1:$G$306,6,FALSE)</f>
        <v>2025</v>
      </c>
      <c r="G52" s="57">
        <v>1.0</v>
      </c>
      <c r="H52" s="110">
        <v>45828.0</v>
      </c>
      <c r="I52" s="57" t="s">
        <v>1052</v>
      </c>
      <c r="J52" s="57">
        <v>7.41</v>
      </c>
      <c r="K52" s="57">
        <v>209.0</v>
      </c>
      <c r="L52" s="57">
        <v>33.0</v>
      </c>
      <c r="M52" s="57" t="s">
        <v>516</v>
      </c>
      <c r="N52" s="57">
        <v>8.7</v>
      </c>
      <c r="O52" s="57" t="s">
        <v>516</v>
      </c>
      <c r="P52" s="57">
        <v>11.9</v>
      </c>
      <c r="Q52" s="57" t="s">
        <v>516</v>
      </c>
      <c r="R52" s="57" t="s">
        <v>516</v>
      </c>
      <c r="S52" s="110">
        <v>45828.0</v>
      </c>
      <c r="T52" s="57" t="s">
        <v>259</v>
      </c>
      <c r="U52" s="57" t="s">
        <v>901</v>
      </c>
      <c r="V52" s="57">
        <v>4.0</v>
      </c>
      <c r="W52" s="57">
        <v>10.0</v>
      </c>
      <c r="X52" s="57" t="s">
        <v>516</v>
      </c>
      <c r="Y52" s="57" t="s">
        <v>516</v>
      </c>
      <c r="Z52" s="57" t="s">
        <v>516</v>
      </c>
      <c r="AA52" s="57">
        <v>500.0</v>
      </c>
      <c r="AB52" s="57">
        <v>80.0</v>
      </c>
      <c r="AC52" s="110">
        <v>45828.0</v>
      </c>
      <c r="AD52" s="57" t="s">
        <v>259</v>
      </c>
      <c r="AE52" s="57">
        <v>50.0</v>
      </c>
      <c r="AF52" s="57">
        <v>44.0</v>
      </c>
      <c r="AG52" s="57">
        <v>46.0</v>
      </c>
      <c r="AH52" s="57" t="s">
        <v>516</v>
      </c>
      <c r="AI52" s="57" t="s">
        <v>516</v>
      </c>
      <c r="AJ52" s="57" t="s">
        <v>516</v>
      </c>
      <c r="AK52" s="57" t="s">
        <v>516</v>
      </c>
      <c r="AL52" s="57" t="s">
        <v>516</v>
      </c>
      <c r="AM52" s="57" t="s">
        <v>516</v>
      </c>
      <c r="AN52" s="57" t="s">
        <v>516</v>
      </c>
      <c r="AO52" s="57">
        <v>2.5</v>
      </c>
      <c r="AP52" s="57" t="s">
        <v>516</v>
      </c>
      <c r="AQ52" s="11" t="s">
        <v>1016</v>
      </c>
      <c r="AR52" s="66" t="b">
        <v>0</v>
      </c>
    </row>
    <row r="53">
      <c r="A53" s="57">
        <v>2.125029623E9</v>
      </c>
      <c r="B53" s="109" t="str">
        <f>VLOOKUP($A53,ANAGRAFICA!$B$1:$G$306,2,FALSE)</f>
        <v>IANDIORIO</v>
      </c>
      <c r="C53" s="109" t="str">
        <f>VLOOKUP($A53,ANAGRAFICA!$B$1:$G$306,3,FALSE)</f>
        <v>ALDO NATALINO</v>
      </c>
      <c r="D53" s="109" t="str">
        <f>VLOOKUP($A53,ANAGRAFICA!$B$1:$G$306,4,FALSE)</f>
        <v>758-36</v>
      </c>
      <c r="E53" s="109">
        <f>VLOOKUP($A53,ANAGRAFICA!$B$1:$G$306,5,FALSE)</f>
        <v>3272025062</v>
      </c>
      <c r="F53" s="109">
        <f>VLOOKUP($A53,ANAGRAFICA!$B$1:$G$306,6,FALSE)</f>
        <v>2025</v>
      </c>
      <c r="G53" s="57">
        <v>1.0</v>
      </c>
      <c r="H53" s="110">
        <v>45846.0</v>
      </c>
      <c r="I53" s="57" t="s">
        <v>446</v>
      </c>
      <c r="J53" s="57">
        <v>7.41</v>
      </c>
      <c r="K53" s="57">
        <v>172.0</v>
      </c>
      <c r="L53" s="57">
        <v>44.0</v>
      </c>
      <c r="M53" s="57">
        <v>27.2</v>
      </c>
      <c r="N53" s="57">
        <v>4.5</v>
      </c>
      <c r="O53" s="57">
        <v>3.1</v>
      </c>
      <c r="P53" s="57">
        <v>8.3</v>
      </c>
      <c r="Q53" s="94"/>
      <c r="R53" s="94"/>
      <c r="S53" s="110">
        <v>45845.0</v>
      </c>
      <c r="T53" s="57" t="s">
        <v>446</v>
      </c>
      <c r="U53" s="57" t="s">
        <v>901</v>
      </c>
      <c r="V53" s="57">
        <v>6.0</v>
      </c>
      <c r="W53" s="57">
        <v>10.0</v>
      </c>
      <c r="X53" s="57" t="s">
        <v>516</v>
      </c>
      <c r="Y53" s="57" t="s">
        <v>516</v>
      </c>
      <c r="Z53" s="57" t="s">
        <v>516</v>
      </c>
      <c r="AA53" s="57">
        <v>450.0</v>
      </c>
      <c r="AB53" s="57">
        <v>70.0</v>
      </c>
      <c r="AC53" s="110">
        <v>45846.0</v>
      </c>
      <c r="AD53" s="57" t="s">
        <v>446</v>
      </c>
      <c r="AE53" s="57">
        <v>69.0</v>
      </c>
      <c r="AF53" s="57">
        <v>32.0</v>
      </c>
      <c r="AG53" s="57">
        <v>46.0</v>
      </c>
      <c r="AH53" s="57" t="s">
        <v>516</v>
      </c>
      <c r="AI53" s="57" t="s">
        <v>516</v>
      </c>
      <c r="AJ53" s="57" t="s">
        <v>516</v>
      </c>
      <c r="AK53" s="57" t="s">
        <v>516</v>
      </c>
      <c r="AL53" s="57" t="s">
        <v>516</v>
      </c>
      <c r="AM53" s="57" t="s">
        <v>516</v>
      </c>
      <c r="AN53" s="57" t="s">
        <v>516</v>
      </c>
      <c r="AO53" s="57">
        <v>2.5</v>
      </c>
      <c r="AP53" s="57">
        <v>2.5</v>
      </c>
      <c r="AQ53" s="11" t="s">
        <v>1016</v>
      </c>
      <c r="AR53" s="66" t="b">
        <v>0</v>
      </c>
    </row>
    <row r="54">
      <c r="A54" s="57">
        <v>2.125026384E9</v>
      </c>
      <c r="B54" s="109" t="str">
        <f>VLOOKUP($A54,ANAGRAFICA!$B$1:$G$306,2,FALSE)</f>
        <v>PRINCIPATO</v>
      </c>
      <c r="C54" s="109" t="str">
        <f>VLOOKUP($A54,ANAGRAFICA!$B$1:$G$306,3,FALSE)</f>
        <v>FRANCO ANGELO</v>
      </c>
      <c r="D54" s="109" t="str">
        <f>VLOOKUP($A54,ANAGRAFICA!$B$1:$G$306,4,FALSE)</f>
        <v>758-35</v>
      </c>
      <c r="E54" s="109">
        <f>VLOOKUP($A54,ANAGRAFICA!$B$1:$G$306,5,FALSE)</f>
        <v>3272025061</v>
      </c>
      <c r="F54" s="109">
        <f>VLOOKUP($A54,ANAGRAFICA!$B$1:$G$306,6,FALSE)</f>
        <v>2025</v>
      </c>
      <c r="G54" s="57">
        <v>1.0</v>
      </c>
      <c r="H54" s="110">
        <v>45833.0</v>
      </c>
      <c r="I54" s="57" t="s">
        <v>1053</v>
      </c>
      <c r="J54" s="114">
        <v>0.30833333333333335</v>
      </c>
      <c r="K54" s="57">
        <v>119.0</v>
      </c>
      <c r="L54" s="57">
        <v>31.0</v>
      </c>
      <c r="M54" s="57">
        <v>21.0</v>
      </c>
      <c r="N54" s="57" t="s">
        <v>1054</v>
      </c>
      <c r="O54" s="57" t="s">
        <v>1055</v>
      </c>
      <c r="P54" s="57">
        <v>8.7</v>
      </c>
      <c r="Q54" s="94"/>
      <c r="R54" s="57">
        <v>97.0</v>
      </c>
      <c r="S54" s="110">
        <v>45833.0</v>
      </c>
      <c r="T54" s="57" t="s">
        <v>1056</v>
      </c>
      <c r="U54" s="57" t="s">
        <v>901</v>
      </c>
      <c r="V54" s="57">
        <v>4.0</v>
      </c>
      <c r="W54" s="57">
        <v>6.0</v>
      </c>
      <c r="X54" s="57" t="s">
        <v>516</v>
      </c>
      <c r="Y54" s="57" t="s">
        <v>516</v>
      </c>
      <c r="Z54" s="57" t="s">
        <v>516</v>
      </c>
      <c r="AA54" s="57">
        <v>450.0</v>
      </c>
      <c r="AB54" s="57">
        <v>50.0</v>
      </c>
      <c r="AC54" s="110">
        <v>45833.0</v>
      </c>
      <c r="AD54" s="57" t="s">
        <v>967</v>
      </c>
      <c r="AE54" s="57">
        <v>116.0</v>
      </c>
      <c r="AF54" s="57">
        <v>42.0</v>
      </c>
      <c r="AG54" s="57">
        <v>66.0</v>
      </c>
      <c r="AH54" s="57" t="s">
        <v>516</v>
      </c>
      <c r="AI54" s="57" t="s">
        <v>516</v>
      </c>
      <c r="AJ54" s="57" t="s">
        <v>516</v>
      </c>
      <c r="AK54" s="57" t="s">
        <v>516</v>
      </c>
      <c r="AL54" s="57" t="s">
        <v>516</v>
      </c>
      <c r="AM54" s="57" t="s">
        <v>516</v>
      </c>
      <c r="AN54" s="57" t="s">
        <v>516</v>
      </c>
      <c r="AO54" s="57">
        <v>2.9</v>
      </c>
      <c r="AP54" s="57">
        <v>2.9</v>
      </c>
      <c r="AQ54" s="11" t="s">
        <v>1016</v>
      </c>
      <c r="AR54" s="66" t="b">
        <v>0</v>
      </c>
    </row>
    <row r="55">
      <c r="A55" s="57">
        <v>2.125032902E9</v>
      </c>
      <c r="B55" s="109" t="str">
        <f>VLOOKUP($A55,ANAGRAFICA!$B$1:$G$306,2,FALSE)</f>
        <v>BRAIDA</v>
      </c>
      <c r="C55" s="109" t="str">
        <f>VLOOKUP($A55,ANAGRAFICA!$B$1:$G$306,3,FALSE)</f>
        <v>ILARIO</v>
      </c>
      <c r="D55" s="109" t="str">
        <f>VLOOKUP($A55,ANAGRAFICA!$B$1:$G$306,4,FALSE)</f>
        <v>758-37</v>
      </c>
      <c r="E55" s="109">
        <f>VLOOKUP($A55,ANAGRAFICA!$B$1:$G$306,5,FALSE)</f>
        <v>3272025063</v>
      </c>
      <c r="F55" s="109">
        <f>VLOOKUP($A55,ANAGRAFICA!$B$1:$G$306,6,FALSE)</f>
        <v>2025</v>
      </c>
      <c r="G55" s="57">
        <v>1.0</v>
      </c>
      <c r="H55" s="110">
        <v>45870.0</v>
      </c>
      <c r="I55" s="57" t="s">
        <v>104</v>
      </c>
      <c r="J55" s="57">
        <v>7.44</v>
      </c>
      <c r="K55" s="57">
        <v>190.0</v>
      </c>
      <c r="L55" s="57">
        <v>33.0</v>
      </c>
      <c r="M55" s="57">
        <v>23.9</v>
      </c>
      <c r="N55" s="57">
        <v>15.5</v>
      </c>
      <c r="O55" s="57">
        <v>-1.8</v>
      </c>
      <c r="P55" s="57">
        <v>9.2</v>
      </c>
      <c r="Q55" s="94"/>
      <c r="R55" s="94"/>
      <c r="S55" s="110">
        <v>45872.0</v>
      </c>
      <c r="T55" s="57" t="s">
        <v>104</v>
      </c>
      <c r="U55" s="57" t="s">
        <v>901</v>
      </c>
      <c r="V55" s="57">
        <v>4.0</v>
      </c>
      <c r="W55" s="57">
        <v>10.0</v>
      </c>
      <c r="X55" s="57" t="s">
        <v>516</v>
      </c>
      <c r="Y55" s="57" t="s">
        <v>516</v>
      </c>
      <c r="Z55" s="57" t="s">
        <v>516</v>
      </c>
      <c r="AA55" s="57">
        <v>550.0</v>
      </c>
      <c r="AB55" s="187">
        <v>0.4</v>
      </c>
      <c r="AC55" s="110">
        <v>45870.0</v>
      </c>
      <c r="AD55" s="57" t="s">
        <v>104</v>
      </c>
      <c r="AE55" s="57">
        <v>61.0</v>
      </c>
      <c r="AF55" s="57">
        <v>48.0</v>
      </c>
      <c r="AG55" s="57">
        <v>55.0</v>
      </c>
      <c r="AH55" s="57">
        <v>84.0</v>
      </c>
      <c r="AI55" s="57">
        <v>3.3</v>
      </c>
      <c r="AJ55" s="57" t="s">
        <v>516</v>
      </c>
      <c r="AK55" s="57" t="s">
        <v>516</v>
      </c>
      <c r="AL55" s="57" t="s">
        <v>516</v>
      </c>
      <c r="AM55" s="57" t="s">
        <v>516</v>
      </c>
      <c r="AN55" s="57" t="s">
        <v>516</v>
      </c>
      <c r="AO55" s="57">
        <v>2.5</v>
      </c>
      <c r="AP55" s="57">
        <v>3.1</v>
      </c>
      <c r="AQ55" s="11" t="s">
        <v>1016</v>
      </c>
      <c r="AR55" s="66" t="b">
        <v>0</v>
      </c>
    </row>
    <row r="56">
      <c r="A56" s="57">
        <v>2.125026869E9</v>
      </c>
      <c r="B56" s="109" t="str">
        <f>VLOOKUP($A56,ANAGRAFICA!$B$1:$G$306,2,FALSE)</f>
        <v>NACCARI</v>
      </c>
      <c r="C56" s="109" t="str">
        <f>VLOOKUP($A56,ANAGRAFICA!$B$1:$G$306,3,FALSE)</f>
        <v>ROBERTO</v>
      </c>
      <c r="D56" s="109" t="str">
        <f>VLOOKUP($A56,ANAGRAFICA!$B$1:$G$306,4,FALSE)</f>
        <v>758-33</v>
      </c>
      <c r="E56" s="109">
        <f>VLOOKUP($A56,ANAGRAFICA!$B$1:$G$306,5,FALSE)</f>
        <v>3272025060</v>
      </c>
      <c r="F56" s="109">
        <f>VLOOKUP($A56,ANAGRAFICA!$B$1:$G$306,6,FALSE)</f>
        <v>2025</v>
      </c>
      <c r="G56" s="57">
        <v>1.0</v>
      </c>
      <c r="H56" s="110">
        <v>45825.0</v>
      </c>
      <c r="I56" s="57" t="s">
        <v>50</v>
      </c>
      <c r="J56" s="57">
        <v>7.32</v>
      </c>
      <c r="K56" s="57">
        <v>154.0</v>
      </c>
      <c r="L56" s="57">
        <v>53.0</v>
      </c>
      <c r="M56" s="57" t="s">
        <v>516</v>
      </c>
      <c r="N56" s="57">
        <v>0.8</v>
      </c>
      <c r="O56" s="57">
        <v>1.4</v>
      </c>
      <c r="P56" s="57">
        <v>14.6</v>
      </c>
      <c r="Q56" s="57" t="s">
        <v>516</v>
      </c>
      <c r="R56" s="57">
        <v>98.2</v>
      </c>
      <c r="S56" s="110">
        <v>45825.0</v>
      </c>
      <c r="T56" s="57" t="s">
        <v>1057</v>
      </c>
      <c r="U56" s="57" t="s">
        <v>901</v>
      </c>
      <c r="V56" s="57">
        <v>4.0</v>
      </c>
      <c r="W56" s="57">
        <v>8.0</v>
      </c>
      <c r="X56" s="57" t="s">
        <v>516</v>
      </c>
      <c r="Y56" s="57" t="s">
        <v>516</v>
      </c>
      <c r="Z56" s="57" t="s">
        <v>516</v>
      </c>
      <c r="AA56" s="57">
        <v>500.0</v>
      </c>
      <c r="AB56" s="187">
        <v>0.6</v>
      </c>
      <c r="AC56" s="110">
        <v>45825.0</v>
      </c>
      <c r="AD56" s="57" t="s">
        <v>1057</v>
      </c>
      <c r="AE56" s="57">
        <v>101.0</v>
      </c>
      <c r="AF56" s="57">
        <v>72.0</v>
      </c>
      <c r="AG56" s="57">
        <v>82.0</v>
      </c>
      <c r="AH56" s="57" t="s">
        <v>516</v>
      </c>
      <c r="AI56" s="57">
        <v>3.0</v>
      </c>
      <c r="AJ56" s="57" t="s">
        <v>516</v>
      </c>
      <c r="AK56" s="57" t="s">
        <v>516</v>
      </c>
      <c r="AL56" s="57" t="s">
        <v>516</v>
      </c>
      <c r="AM56" s="57" t="s">
        <v>516</v>
      </c>
      <c r="AN56" s="57" t="s">
        <v>516</v>
      </c>
      <c r="AO56" s="57" t="s">
        <v>516</v>
      </c>
      <c r="AP56" s="57" t="s">
        <v>516</v>
      </c>
      <c r="AQ56" s="11" t="s">
        <v>1016</v>
      </c>
      <c r="AR56" s="115" t="b">
        <v>1</v>
      </c>
    </row>
    <row r="57">
      <c r="A57" s="57">
        <v>2.125032653E9</v>
      </c>
      <c r="B57" s="109" t="str">
        <f>VLOOKUP($A57,ANAGRAFICA!$B$1:$G$306,2,FALSE)</f>
        <v>BAIOCCO</v>
      </c>
      <c r="C57" s="109" t="str">
        <f>VLOOKUP($A57,ANAGRAFICA!$B$1:$G$306,3,FALSE)</f>
        <v>RICCARDO</v>
      </c>
      <c r="D57" s="109" t="str">
        <f>VLOOKUP($A57,ANAGRAFICA!$B$1:$G$306,4,FALSE)</f>
        <v/>
      </c>
      <c r="E57" s="109">
        <f>VLOOKUP($A57,ANAGRAFICA!$B$1:$G$306,5,FALSE)</f>
        <v>3272025064</v>
      </c>
      <c r="F57" s="109">
        <f>VLOOKUP($A57,ANAGRAFICA!$B$1:$G$306,6,FALSE)</f>
        <v>2025</v>
      </c>
      <c r="G57" s="57">
        <v>1.0</v>
      </c>
      <c r="H57" s="110">
        <v>45871.0</v>
      </c>
      <c r="I57" s="57" t="s">
        <v>292</v>
      </c>
      <c r="J57" s="57">
        <v>7.36</v>
      </c>
      <c r="K57" s="57">
        <v>276.0</v>
      </c>
      <c r="L57" s="57">
        <v>41.0</v>
      </c>
      <c r="M57" s="57">
        <v>23.2</v>
      </c>
      <c r="N57" s="57">
        <v>3.1</v>
      </c>
      <c r="O57" s="57">
        <v>-2.2</v>
      </c>
      <c r="P57" s="57">
        <v>12.2</v>
      </c>
      <c r="Q57" s="57">
        <v>37.0</v>
      </c>
      <c r="R57" s="57">
        <v>99.9</v>
      </c>
      <c r="S57" s="110">
        <v>45871.0</v>
      </c>
      <c r="T57" s="57" t="s">
        <v>292</v>
      </c>
      <c r="U57" s="57" t="s">
        <v>901</v>
      </c>
      <c r="V57" s="57">
        <v>6.0</v>
      </c>
      <c r="W57" s="57">
        <v>14.0</v>
      </c>
      <c r="X57" s="57" t="s">
        <v>516</v>
      </c>
      <c r="Y57" s="57" t="s">
        <v>516</v>
      </c>
      <c r="Z57" s="57">
        <v>25.0</v>
      </c>
      <c r="AA57" s="57">
        <v>500.0</v>
      </c>
      <c r="AB57" s="187">
        <v>0.4</v>
      </c>
      <c r="AC57" s="110">
        <v>45871.0</v>
      </c>
      <c r="AD57" s="57" t="s">
        <v>292</v>
      </c>
      <c r="AE57" s="57">
        <v>80.0</v>
      </c>
      <c r="AF57" s="57">
        <v>60.0</v>
      </c>
      <c r="AG57" s="57">
        <v>70.0</v>
      </c>
      <c r="AH57" s="57" t="s">
        <v>516</v>
      </c>
      <c r="AI57" s="57" t="s">
        <v>516</v>
      </c>
      <c r="AJ57" s="57" t="s">
        <v>516</v>
      </c>
      <c r="AK57" s="57" t="s">
        <v>516</v>
      </c>
      <c r="AL57" s="57" t="s">
        <v>516</v>
      </c>
      <c r="AM57" s="57" t="s">
        <v>516</v>
      </c>
      <c r="AN57" s="57" t="s">
        <v>516</v>
      </c>
      <c r="AO57" s="57" t="s">
        <v>516</v>
      </c>
      <c r="AP57" s="57" t="s">
        <v>516</v>
      </c>
      <c r="AQ57" s="11" t="s">
        <v>1016</v>
      </c>
      <c r="AR57" s="66" t="b">
        <v>0</v>
      </c>
    </row>
    <row r="58">
      <c r="A58" s="57">
        <v>2.125037782E9</v>
      </c>
      <c r="B58" s="109" t="str">
        <f>VLOOKUP($A58,ANAGRAFICA!$B$1:$G$306,2,FALSE)</f>
        <v>GILARDI</v>
      </c>
      <c r="C58" s="109" t="str">
        <f>VLOOKUP($A58,ANAGRAFICA!$B$1:$G$306,3,FALSE)</f>
        <v>CARLO VIRGINIO</v>
      </c>
      <c r="D58" s="109" t="str">
        <f>VLOOKUP($A58,ANAGRAFICA!$B$1:$G$306,4,FALSE)</f>
        <v>758-38</v>
      </c>
      <c r="E58" s="109">
        <f>VLOOKUP($A58,ANAGRAFICA!$B$1:$G$306,5,FALSE)</f>
        <v>3272025065</v>
      </c>
      <c r="F58" s="109">
        <f>VLOOKUP($A58,ANAGRAFICA!$B$1:$G$306,6,FALSE)</f>
        <v>2025</v>
      </c>
      <c r="G58" s="57">
        <v>1.0</v>
      </c>
      <c r="H58" s="110">
        <v>45913.0</v>
      </c>
      <c r="I58" s="57" t="s">
        <v>199</v>
      </c>
      <c r="J58" s="57">
        <v>7.37</v>
      </c>
      <c r="K58" s="57">
        <v>88.0</v>
      </c>
      <c r="L58" s="57">
        <v>44.0</v>
      </c>
      <c r="M58" s="57">
        <v>24.9</v>
      </c>
      <c r="N58" s="57">
        <v>3.3</v>
      </c>
      <c r="O58" s="57">
        <v>0.1</v>
      </c>
      <c r="P58" s="57">
        <v>8.4</v>
      </c>
      <c r="Q58" s="57">
        <v>25.0</v>
      </c>
      <c r="R58" s="94"/>
      <c r="S58" s="110">
        <v>45913.0</v>
      </c>
      <c r="T58" s="57" t="s">
        <v>199</v>
      </c>
      <c r="U58" s="57" t="s">
        <v>906</v>
      </c>
      <c r="V58" s="57">
        <v>4.0</v>
      </c>
      <c r="W58" s="57">
        <v>12.0</v>
      </c>
      <c r="X58" s="94"/>
      <c r="Y58" s="94"/>
      <c r="Z58" s="94"/>
      <c r="AA58" s="57">
        <v>460.0</v>
      </c>
      <c r="AB58" s="57">
        <v>70.0</v>
      </c>
      <c r="AC58" s="110">
        <v>45913.0</v>
      </c>
      <c r="AD58" s="57" t="s">
        <v>199</v>
      </c>
      <c r="AE58" s="94"/>
      <c r="AF58" s="94"/>
      <c r="AG58" s="57">
        <v>90.0</v>
      </c>
      <c r="AH58" s="57" t="s">
        <v>516</v>
      </c>
      <c r="AI58" s="57" t="s">
        <v>516</v>
      </c>
      <c r="AJ58" s="57" t="s">
        <v>516</v>
      </c>
      <c r="AK58" s="57" t="s">
        <v>516</v>
      </c>
      <c r="AL58" s="57" t="s">
        <v>516</v>
      </c>
      <c r="AM58" s="57" t="s">
        <v>516</v>
      </c>
      <c r="AN58" s="57" t="s">
        <v>516</v>
      </c>
      <c r="AO58" s="57">
        <v>2.5</v>
      </c>
      <c r="AP58" s="57">
        <v>2.9</v>
      </c>
      <c r="AQ58" s="11" t="s">
        <v>1016</v>
      </c>
      <c r="AR58" s="66" t="b">
        <v>0</v>
      </c>
    </row>
    <row r="59">
      <c r="A59" s="57">
        <v>2.125040106E9</v>
      </c>
      <c r="B59" s="109" t="str">
        <f>VLOOKUP($A59,ANAGRAFICA!$B$1:$G$306,2,FALSE)</f>
        <v>COLNAGHI</v>
      </c>
      <c r="C59" s="109" t="str">
        <f>VLOOKUP($A59,ANAGRAFICA!$B$1:$G$306,3,FALSE)</f>
        <v>EUGENIO PIERO</v>
      </c>
      <c r="D59" s="109" t="str">
        <f>VLOOKUP($A59,ANAGRAFICA!$B$1:$G$306,4,FALSE)</f>
        <v>758-41</v>
      </c>
      <c r="E59" s="109">
        <f>VLOOKUP($A59,ANAGRAFICA!$B$1:$G$306,5,FALSE)</f>
        <v>3272025068</v>
      </c>
      <c r="F59" s="109">
        <f>VLOOKUP($A59,ANAGRAFICA!$B$1:$G$306,6,FALSE)</f>
        <v>2025</v>
      </c>
      <c r="G59" s="57">
        <v>1.0</v>
      </c>
      <c r="H59" s="110">
        <v>45931.0</v>
      </c>
      <c r="I59" s="57" t="s">
        <v>199</v>
      </c>
      <c r="J59" s="57">
        <v>7.45</v>
      </c>
      <c r="K59" s="57">
        <v>119.0</v>
      </c>
      <c r="L59" s="57">
        <v>30.0</v>
      </c>
      <c r="M59" s="57">
        <v>27.6</v>
      </c>
      <c r="N59" s="57">
        <v>1.3</v>
      </c>
      <c r="O59" s="57">
        <v>3.9</v>
      </c>
      <c r="P59" s="57">
        <v>9.8</v>
      </c>
      <c r="Q59" s="57">
        <v>29.0</v>
      </c>
      <c r="R59" s="94"/>
      <c r="S59" s="110">
        <v>45930.0</v>
      </c>
      <c r="T59" s="57" t="s">
        <v>292</v>
      </c>
      <c r="U59" s="57" t="s">
        <v>901</v>
      </c>
      <c r="V59" s="57">
        <v>4.0</v>
      </c>
      <c r="W59" s="57">
        <v>8.0</v>
      </c>
      <c r="X59" s="57" t="s">
        <v>516</v>
      </c>
      <c r="Y59" s="57" t="s">
        <v>516</v>
      </c>
      <c r="Z59" s="57" t="s">
        <v>516</v>
      </c>
      <c r="AA59" s="57">
        <v>500.0</v>
      </c>
      <c r="AB59" s="57">
        <v>60.0</v>
      </c>
      <c r="AC59" s="110">
        <v>45932.0</v>
      </c>
      <c r="AD59" s="57" t="s">
        <v>68</v>
      </c>
      <c r="AE59" s="57">
        <v>66.0</v>
      </c>
      <c r="AF59" s="57">
        <v>53.0</v>
      </c>
      <c r="AG59" s="57">
        <v>48.0</v>
      </c>
      <c r="AH59" s="57" t="s">
        <v>516</v>
      </c>
      <c r="AI59" s="57" t="s">
        <v>516</v>
      </c>
      <c r="AJ59" s="57" t="s">
        <v>516</v>
      </c>
      <c r="AK59" s="57" t="s">
        <v>516</v>
      </c>
      <c r="AL59" s="57" t="s">
        <v>516</v>
      </c>
      <c r="AM59" s="57" t="s">
        <v>516</v>
      </c>
      <c r="AN59" s="57" t="s">
        <v>516</v>
      </c>
      <c r="AO59" s="57">
        <v>4.0</v>
      </c>
      <c r="AP59" s="57">
        <v>3.2</v>
      </c>
      <c r="AQ59" s="11" t="s">
        <v>1016</v>
      </c>
      <c r="AR59" s="66" t="b">
        <v>0</v>
      </c>
    </row>
    <row r="60">
      <c r="A60" s="57">
        <v>2.125040052E9</v>
      </c>
      <c r="B60" s="109" t="str">
        <f>VLOOKUP($A60,ANAGRAFICA!$B$1:$G$306,2,FALSE)</f>
        <v>TODESCATO</v>
      </c>
      <c r="C60" s="109" t="str">
        <f>VLOOKUP($A60,ANAGRAFICA!$B$1:$G$306,3,FALSE)</f>
        <v>GIANLUCA</v>
      </c>
      <c r="D60" s="109" t="str">
        <f>VLOOKUP($A60,ANAGRAFICA!$B$1:$G$306,4,FALSE)</f>
        <v>758-40</v>
      </c>
      <c r="E60" s="109">
        <f>VLOOKUP($A60,ANAGRAFICA!$B$1:$G$306,5,FALSE)</f>
        <v>3272025067</v>
      </c>
      <c r="F60" s="109">
        <f>VLOOKUP($A60,ANAGRAFICA!$B$1:$G$306,6,FALSE)</f>
        <v>2025</v>
      </c>
      <c r="G60" s="57">
        <v>1.0</v>
      </c>
      <c r="H60" s="110">
        <v>45927.0</v>
      </c>
      <c r="I60" s="57">
        <v>600.0</v>
      </c>
      <c r="J60" s="57">
        <v>7.39</v>
      </c>
      <c r="K60" s="57">
        <v>153.0</v>
      </c>
      <c r="L60" s="57">
        <v>39.0</v>
      </c>
      <c r="M60" s="57">
        <v>23.5</v>
      </c>
      <c r="N60" s="57">
        <v>1.9</v>
      </c>
      <c r="O60" s="57">
        <v>-2.0</v>
      </c>
      <c r="P60" s="57">
        <v>12.0</v>
      </c>
      <c r="Q60" s="57">
        <v>38.0</v>
      </c>
      <c r="R60" s="57">
        <v>96.3</v>
      </c>
      <c r="S60" s="110">
        <v>45927.0</v>
      </c>
      <c r="T60" s="57" t="s">
        <v>199</v>
      </c>
      <c r="U60" s="57" t="s">
        <v>901</v>
      </c>
      <c r="V60" s="57">
        <v>5.0</v>
      </c>
      <c r="W60" s="57">
        <v>10.0</v>
      </c>
      <c r="X60" s="57" t="s">
        <v>516</v>
      </c>
      <c r="Y60" s="57" t="s">
        <v>516</v>
      </c>
      <c r="Z60" s="57" t="s">
        <v>516</v>
      </c>
      <c r="AA60" s="57">
        <v>450.0</v>
      </c>
      <c r="AB60" s="57">
        <v>30.0</v>
      </c>
      <c r="AC60" s="110">
        <v>45927.0</v>
      </c>
      <c r="AD60" s="57" t="s">
        <v>199</v>
      </c>
      <c r="AE60" s="57">
        <v>70.0</v>
      </c>
      <c r="AF60" s="57">
        <v>40.0</v>
      </c>
      <c r="AG60" s="57" t="s">
        <v>516</v>
      </c>
      <c r="AH60" s="57" t="s">
        <v>516</v>
      </c>
      <c r="AI60" s="57" t="s">
        <v>516</v>
      </c>
      <c r="AJ60" s="57" t="s">
        <v>516</v>
      </c>
      <c r="AK60" s="57" t="s">
        <v>516</v>
      </c>
      <c r="AL60" s="57" t="s">
        <v>516</v>
      </c>
      <c r="AM60" s="57" t="s">
        <v>516</v>
      </c>
      <c r="AN60" s="57" t="s">
        <v>516</v>
      </c>
      <c r="AO60" s="57">
        <v>4.6</v>
      </c>
      <c r="AP60" s="57">
        <v>3.3</v>
      </c>
      <c r="AQ60" s="11" t="s">
        <v>1016</v>
      </c>
      <c r="AR60" s="115" t="b">
        <v>1</v>
      </c>
    </row>
    <row r="61">
      <c r="A61" s="57">
        <v>2.125040835E9</v>
      </c>
      <c r="B61" s="109" t="str">
        <f>VLOOKUP($A61,ANAGRAFICA!$B$1:$G$306,2,FALSE)</f>
        <v>PESACANE</v>
      </c>
      <c r="C61" s="109" t="str">
        <f>VLOOKUP($A61,ANAGRAFICA!$B$1:$G$306,3,FALSE)</f>
        <v>MATTEO VALERIO</v>
      </c>
      <c r="D61" s="109" t="str">
        <f>VLOOKUP($A61,ANAGRAFICA!$B$1:$G$306,4,FALSE)</f>
        <v>758-42</v>
      </c>
      <c r="E61" s="109">
        <f>VLOOKUP($A61,ANAGRAFICA!$B$1:$G$306,5,FALSE)</f>
        <v>3272025069</v>
      </c>
      <c r="F61" s="109">
        <f>VLOOKUP($A61,ANAGRAFICA!$B$1:$G$306,6,FALSE)</f>
        <v>2025</v>
      </c>
      <c r="G61" s="57">
        <v>1.0</v>
      </c>
      <c r="H61" s="110">
        <v>45932.0</v>
      </c>
      <c r="I61" s="57">
        <v>600.0</v>
      </c>
      <c r="J61" s="57">
        <v>6.98</v>
      </c>
      <c r="K61" s="57">
        <v>58.0</v>
      </c>
      <c r="L61" s="57">
        <v>63.0</v>
      </c>
      <c r="M61" s="94"/>
      <c r="N61" s="57">
        <v>9.8</v>
      </c>
      <c r="O61" s="57">
        <v>-16.0</v>
      </c>
      <c r="P61" s="57">
        <v>13.8</v>
      </c>
      <c r="Q61" s="94"/>
      <c r="R61" s="94"/>
      <c r="S61" s="110">
        <v>45932.0</v>
      </c>
      <c r="T61" s="57">
        <v>600.0</v>
      </c>
      <c r="U61" s="57" t="s">
        <v>1058</v>
      </c>
      <c r="V61" s="57">
        <v>10.0</v>
      </c>
      <c r="W61" s="57">
        <v>10.0</v>
      </c>
      <c r="X61" s="94"/>
      <c r="Y61" s="94"/>
      <c r="Z61" s="94"/>
      <c r="AA61" s="57">
        <v>500.0</v>
      </c>
      <c r="AB61" s="57">
        <v>100.0</v>
      </c>
      <c r="AC61" s="110">
        <v>45932.0</v>
      </c>
      <c r="AD61" s="57" t="s">
        <v>199</v>
      </c>
      <c r="AE61" s="57">
        <v>90.0</v>
      </c>
      <c r="AF61" s="57">
        <v>60.0</v>
      </c>
      <c r="AG61" s="57" t="s">
        <v>516</v>
      </c>
      <c r="AH61" s="57" t="s">
        <v>516</v>
      </c>
      <c r="AI61" s="57" t="s">
        <v>516</v>
      </c>
      <c r="AJ61" s="57" t="s">
        <v>516</v>
      </c>
      <c r="AK61" s="57" t="s">
        <v>516</v>
      </c>
      <c r="AL61" s="57" t="s">
        <v>516</v>
      </c>
      <c r="AM61" s="57" t="s">
        <v>516</v>
      </c>
      <c r="AN61" s="57" t="s">
        <v>516</v>
      </c>
      <c r="AO61" s="57">
        <v>3.0</v>
      </c>
      <c r="AP61" s="57">
        <v>2.5</v>
      </c>
      <c r="AQ61" s="11" t="s">
        <v>1016</v>
      </c>
      <c r="AR61" s="115" t="b">
        <v>0</v>
      </c>
    </row>
    <row r="62">
      <c r="A62" s="57">
        <v>2.125042368E9</v>
      </c>
      <c r="B62" s="109" t="str">
        <f>VLOOKUP($A62,ANAGRAFICA!$B$1:$G$306,2,FALSE)</f>
        <v>MARKOVIC</v>
      </c>
      <c r="C62" s="109" t="str">
        <f>VLOOKUP($A62,ANAGRAFICA!$B$1:$G$306,3,FALSE)</f>
        <v>BRANKO</v>
      </c>
      <c r="D62" s="109" t="str">
        <f>VLOOKUP($A62,ANAGRAFICA!$B$1:$G$306,4,FALSE)</f>
        <v>758-43</v>
      </c>
      <c r="E62" s="109">
        <f>VLOOKUP($A62,ANAGRAFICA!$B$1:$G$306,5,FALSE)</f>
        <v>3272025070</v>
      </c>
      <c r="F62" s="109">
        <f>VLOOKUP($A62,ANAGRAFICA!$B$1:$G$306,6,FALSE)</f>
        <v>2025</v>
      </c>
      <c r="G62" s="57">
        <v>1.0</v>
      </c>
      <c r="H62" s="112">
        <v>45941.0</v>
      </c>
      <c r="I62" s="57" t="s">
        <v>1059</v>
      </c>
      <c r="J62" s="57">
        <v>7.28</v>
      </c>
      <c r="K62" s="57">
        <v>201.0</v>
      </c>
      <c r="L62" s="57">
        <v>44.0</v>
      </c>
      <c r="M62" s="57">
        <v>20.3</v>
      </c>
      <c r="N62" s="57">
        <v>3.0</v>
      </c>
      <c r="O62" s="57">
        <v>-6.0</v>
      </c>
      <c r="P62" s="57">
        <v>11.9</v>
      </c>
      <c r="Q62" s="57">
        <v>36.0</v>
      </c>
      <c r="R62" s="57">
        <v>99.6</v>
      </c>
      <c r="S62" s="112">
        <v>45941.0</v>
      </c>
      <c r="T62" s="57" t="s">
        <v>1059</v>
      </c>
      <c r="U62" s="57" t="s">
        <v>901</v>
      </c>
      <c r="V62" s="57">
        <v>6.0</v>
      </c>
      <c r="W62" s="57">
        <v>6.0</v>
      </c>
      <c r="X62" s="57" t="s">
        <v>516</v>
      </c>
      <c r="Y62" s="57" t="s">
        <v>516</v>
      </c>
      <c r="Z62" s="57" t="s">
        <v>516</v>
      </c>
      <c r="AA62" s="57">
        <v>500.0</v>
      </c>
      <c r="AB62" s="57">
        <v>60.0</v>
      </c>
      <c r="AC62" s="112">
        <v>45941.0</v>
      </c>
      <c r="AD62" s="57" t="s">
        <v>1060</v>
      </c>
      <c r="AE62" s="57">
        <v>71.0</v>
      </c>
      <c r="AF62" s="57">
        <v>61.0</v>
      </c>
      <c r="AG62" s="57">
        <v>64.0</v>
      </c>
      <c r="AH62" s="57" t="s">
        <v>516</v>
      </c>
      <c r="AI62" s="57" t="s">
        <v>516</v>
      </c>
      <c r="AJ62" s="57" t="s">
        <v>516</v>
      </c>
      <c r="AK62" s="57" t="s">
        <v>516</v>
      </c>
      <c r="AL62" s="57" t="s">
        <v>516</v>
      </c>
      <c r="AM62" s="57" t="s">
        <v>516</v>
      </c>
      <c r="AN62" s="57" t="s">
        <v>516</v>
      </c>
      <c r="AO62" s="57">
        <v>2.93</v>
      </c>
      <c r="AP62" s="57">
        <v>3.8</v>
      </c>
      <c r="AQ62" s="11" t="s">
        <v>1016</v>
      </c>
      <c r="AR62" s="66" t="b">
        <v>0</v>
      </c>
    </row>
    <row r="63">
      <c r="A63" s="57">
        <v>2.125046195E9</v>
      </c>
      <c r="B63" s="109" t="str">
        <f>VLOOKUP($A63,ANAGRAFICA!$B$1:$G$306,2,FALSE)</f>
        <v>CASILLO</v>
      </c>
      <c r="C63" s="109" t="str">
        <f>VLOOKUP($A63,ANAGRAFICA!$B$1:$G$306,3,FALSE)</f>
        <v>SALVATORE</v>
      </c>
      <c r="D63" s="109" t="str">
        <f>VLOOKUP($A63,ANAGRAFICA!$B$1:$G$306,4,FALSE)</f>
        <v>758-44</v>
      </c>
      <c r="E63" s="109">
        <f>VLOOKUP($A63,ANAGRAFICA!$B$1:$G$306,5,FALSE)</f>
        <v>3272025071</v>
      </c>
      <c r="F63" s="109">
        <f>VLOOKUP($A63,ANAGRAFICA!$B$1:$G$306,6,FALSE)</f>
        <v>2025</v>
      </c>
      <c r="G63" s="57">
        <v>1.0</v>
      </c>
      <c r="H63" s="110">
        <v>45965.0</v>
      </c>
      <c r="I63" s="57" t="s">
        <v>353</v>
      </c>
      <c r="J63" s="57">
        <v>7.46</v>
      </c>
      <c r="K63" s="57">
        <v>102.0</v>
      </c>
      <c r="L63" s="57">
        <v>35.0</v>
      </c>
      <c r="M63" s="57">
        <v>25.0</v>
      </c>
      <c r="N63" s="57">
        <v>1.5</v>
      </c>
      <c r="O63" s="57">
        <v>0.3</v>
      </c>
      <c r="P63" s="57">
        <v>9.6</v>
      </c>
      <c r="Q63" s="57">
        <v>29.0</v>
      </c>
      <c r="R63" s="57">
        <v>97.7</v>
      </c>
      <c r="S63" s="110">
        <v>45965.0</v>
      </c>
      <c r="T63" s="57" t="s">
        <v>353</v>
      </c>
      <c r="U63" s="57" t="s">
        <v>901</v>
      </c>
      <c r="V63" s="57">
        <v>6.0</v>
      </c>
      <c r="W63" s="57">
        <v>8.0</v>
      </c>
      <c r="X63" s="57" t="s">
        <v>516</v>
      </c>
      <c r="Y63" s="57" t="s">
        <v>516</v>
      </c>
      <c r="Z63" s="57" t="s">
        <v>516</v>
      </c>
      <c r="AA63" s="57">
        <v>500.0</v>
      </c>
      <c r="AB63" s="57">
        <v>70.0</v>
      </c>
      <c r="AC63" s="110">
        <v>45965.0</v>
      </c>
      <c r="AD63" s="57" t="s">
        <v>446</v>
      </c>
      <c r="AE63" s="57">
        <v>115.0</v>
      </c>
      <c r="AF63" s="57">
        <v>85.0</v>
      </c>
      <c r="AG63" s="57">
        <v>95.0</v>
      </c>
      <c r="AH63" s="57" t="s">
        <v>516</v>
      </c>
      <c r="AI63" s="57" t="s">
        <v>516</v>
      </c>
      <c r="AJ63" s="57" t="s">
        <v>516</v>
      </c>
      <c r="AK63" s="57" t="s">
        <v>516</v>
      </c>
      <c r="AL63" s="57" t="s">
        <v>516</v>
      </c>
      <c r="AM63" s="57" t="s">
        <v>516</v>
      </c>
      <c r="AN63" s="57" t="s">
        <v>516</v>
      </c>
      <c r="AO63" s="57">
        <v>3.2</v>
      </c>
      <c r="AP63" s="57">
        <v>3.24</v>
      </c>
      <c r="AQ63" s="11" t="s">
        <v>1016</v>
      </c>
      <c r="AR63" s="66" t="b">
        <v>0</v>
      </c>
    </row>
    <row r="64">
      <c r="A64" s="57">
        <v>2.125023093E9</v>
      </c>
      <c r="B64" s="109" t="str">
        <f>VLOOKUP($A64,ANAGRAFICA!$B$1:$G$306,2,FALSE)</f>
        <v>GHEZZI</v>
      </c>
      <c r="C64" s="109" t="str">
        <f>VLOOKUP($A64,ANAGRAFICA!$B$1:$G$306,3,FALSE)</f>
        <v>FABIO</v>
      </c>
      <c r="D64" s="109" t="str">
        <f>VLOOKUP($A64,ANAGRAFICA!$B$1:$G$306,4,FALSE)</f>
        <v>758-28</v>
      </c>
      <c r="E64" s="109">
        <f>VLOOKUP($A64,ANAGRAFICA!$B$1:$G$306,5,FALSE)</f>
        <v>3272025056</v>
      </c>
      <c r="F64" s="109">
        <f>VLOOKUP($A64,ANAGRAFICA!$B$1:$G$306,6,FALSE)</f>
        <v>2025</v>
      </c>
      <c r="G64" s="57">
        <v>1.0</v>
      </c>
      <c r="H64" s="110">
        <v>45801.0</v>
      </c>
      <c r="I64" s="57" t="s">
        <v>28</v>
      </c>
      <c r="J64" s="57">
        <v>7.32</v>
      </c>
      <c r="K64" s="57">
        <v>104.0</v>
      </c>
      <c r="L64" s="57">
        <v>44.0</v>
      </c>
      <c r="M64" s="57">
        <v>22.4</v>
      </c>
      <c r="N64" s="57">
        <v>2.8</v>
      </c>
      <c r="O64" s="57">
        <v>-3.4</v>
      </c>
      <c r="P64" s="57">
        <v>9.6</v>
      </c>
      <c r="Q64" s="57">
        <v>29.0</v>
      </c>
      <c r="R64" s="57">
        <v>97.5</v>
      </c>
      <c r="S64" s="110">
        <v>45801.0</v>
      </c>
      <c r="T64" s="57" t="s">
        <v>28</v>
      </c>
      <c r="U64" s="57" t="s">
        <v>901</v>
      </c>
      <c r="V64" s="57">
        <v>4.0</v>
      </c>
      <c r="W64" s="57">
        <v>6.0</v>
      </c>
      <c r="X64" s="57" t="s">
        <v>516</v>
      </c>
      <c r="Y64" s="57" t="s">
        <v>516</v>
      </c>
      <c r="Z64" s="57" t="s">
        <v>516</v>
      </c>
      <c r="AA64" s="57">
        <v>400.0</v>
      </c>
      <c r="AB64" s="57">
        <v>90.0</v>
      </c>
      <c r="AC64" s="110">
        <v>45801.0</v>
      </c>
      <c r="AD64" s="57" t="s">
        <v>28</v>
      </c>
      <c r="AE64" s="57">
        <v>61.0</v>
      </c>
      <c r="AF64" s="57">
        <v>60.0</v>
      </c>
      <c r="AG64" s="57">
        <v>60.0</v>
      </c>
      <c r="AH64" s="57" t="s">
        <v>516</v>
      </c>
      <c r="AI64" s="57" t="s">
        <v>516</v>
      </c>
      <c r="AJ64" s="57" t="s">
        <v>516</v>
      </c>
      <c r="AK64" s="57" t="s">
        <v>516</v>
      </c>
      <c r="AL64" s="57" t="s">
        <v>516</v>
      </c>
      <c r="AM64" s="57" t="s">
        <v>516</v>
      </c>
      <c r="AN64" s="57" t="s">
        <v>516</v>
      </c>
      <c r="AO64" s="57">
        <v>3.2</v>
      </c>
      <c r="AP64" s="57">
        <v>4.2</v>
      </c>
      <c r="AQ64" s="11" t="s">
        <v>1016</v>
      </c>
      <c r="AR64" s="66" t="b">
        <v>0</v>
      </c>
    </row>
    <row r="65">
      <c r="A65" s="57">
        <v>2.125037955E9</v>
      </c>
      <c r="B65" s="109" t="str">
        <f>VLOOKUP($A65,ANAGRAFICA!$B$1:$G$306,2,FALSE)</f>
        <v>MANNINO</v>
      </c>
      <c r="C65" s="109" t="str">
        <f>VLOOKUP($A65,ANAGRAFICA!$B$1:$G$306,3,FALSE)</f>
        <v>ANDREA</v>
      </c>
      <c r="D65" s="109" t="str">
        <f>VLOOKUP($A65,ANAGRAFICA!$B$1:$G$306,4,FALSE)</f>
        <v>758-39</v>
      </c>
      <c r="E65" s="109">
        <f>VLOOKUP($A65,ANAGRAFICA!$B$1:$G$306,5,FALSE)</f>
        <v>3272025066</v>
      </c>
      <c r="F65" s="109">
        <f>VLOOKUP($A65,ANAGRAFICA!$B$1:$G$306,6,FALSE)</f>
        <v>2025</v>
      </c>
      <c r="G65" s="57">
        <v>1.0</v>
      </c>
      <c r="H65" s="110">
        <v>45914.0</v>
      </c>
      <c r="I65" s="57" t="s">
        <v>1042</v>
      </c>
      <c r="J65" s="57">
        <v>7.34</v>
      </c>
      <c r="K65" s="57">
        <v>228.0</v>
      </c>
      <c r="L65" s="57">
        <v>43.0</v>
      </c>
      <c r="M65" s="57">
        <v>25.0</v>
      </c>
      <c r="N65" s="57">
        <v>1.5</v>
      </c>
      <c r="O65" s="57">
        <v>-2.6</v>
      </c>
      <c r="P65" s="57">
        <v>11.4</v>
      </c>
      <c r="Q65" s="57">
        <v>34.0</v>
      </c>
      <c r="R65" s="57">
        <v>99.0</v>
      </c>
      <c r="S65" s="110">
        <v>45914.0</v>
      </c>
      <c r="T65" s="57" t="s">
        <v>1061</v>
      </c>
      <c r="U65" s="57" t="s">
        <v>906</v>
      </c>
      <c r="V65" s="57">
        <v>4.0</v>
      </c>
      <c r="W65" s="57">
        <v>10.0</v>
      </c>
      <c r="X65" s="57" t="s">
        <v>516</v>
      </c>
      <c r="Y65" s="57" t="s">
        <v>516</v>
      </c>
      <c r="Z65" s="57" t="s">
        <v>516</v>
      </c>
      <c r="AA65" s="57">
        <v>400.0</v>
      </c>
      <c r="AB65" s="57">
        <v>50.0</v>
      </c>
      <c r="AC65" s="112">
        <v>45914.0</v>
      </c>
      <c r="AD65" s="57" t="s">
        <v>1061</v>
      </c>
      <c r="AE65" s="57">
        <v>103.0</v>
      </c>
      <c r="AF65" s="57">
        <v>68.0</v>
      </c>
      <c r="AG65" s="57">
        <v>98.0</v>
      </c>
      <c r="AH65" s="57" t="s">
        <v>516</v>
      </c>
      <c r="AI65" s="57" t="s">
        <v>516</v>
      </c>
      <c r="AJ65" s="57" t="s">
        <v>516</v>
      </c>
      <c r="AK65" s="57" t="s">
        <v>516</v>
      </c>
      <c r="AL65" s="57" t="s">
        <v>516</v>
      </c>
      <c r="AM65" s="57" t="s">
        <v>516</v>
      </c>
      <c r="AN65" s="57" t="s">
        <v>516</v>
      </c>
      <c r="AO65" s="57">
        <v>3.2</v>
      </c>
      <c r="AP65" s="57">
        <v>3.2</v>
      </c>
      <c r="AQ65" s="11" t="s">
        <v>1016</v>
      </c>
      <c r="AR65" s="66" t="b">
        <v>0</v>
      </c>
    </row>
    <row r="66">
      <c r="A66" s="57">
        <v>2.125051424E9</v>
      </c>
      <c r="B66" s="109" t="str">
        <f>VLOOKUP($A66,ANAGRAFICA!$B$1:$G$306,2,FALSE)</f>
        <v>CASABURI</v>
      </c>
      <c r="C66" s="109" t="str">
        <f>VLOOKUP($A66,ANAGRAFICA!$B$1:$G$306,3,FALSE)</f>
        <v>ERRICO</v>
      </c>
      <c r="D66" s="109" t="str">
        <f>VLOOKUP($A66,ANAGRAFICA!$B$1:$G$306,4,FALSE)</f>
        <v>758-45</v>
      </c>
      <c r="E66" s="109">
        <f>VLOOKUP($A66,ANAGRAFICA!$B$1:$G$306,5,FALSE)</f>
        <v>3272025072</v>
      </c>
      <c r="F66" s="109">
        <f>VLOOKUP($A66,ANAGRAFICA!$B$1:$G$306,6,FALSE)</f>
        <v>2025</v>
      </c>
      <c r="G66" s="57">
        <v>1.0</v>
      </c>
      <c r="H66" s="110">
        <v>46000.0</v>
      </c>
      <c r="I66" s="57" t="s">
        <v>50</v>
      </c>
      <c r="J66" s="57">
        <v>7.4</v>
      </c>
      <c r="K66" s="57">
        <v>81.0</v>
      </c>
      <c r="L66" s="57">
        <v>41.0</v>
      </c>
      <c r="M66" s="57">
        <v>25.3</v>
      </c>
      <c r="N66" s="57">
        <v>1.1</v>
      </c>
      <c r="O66" s="57">
        <v>0.6</v>
      </c>
      <c r="P66" s="57">
        <v>8.5</v>
      </c>
      <c r="Q66" s="57">
        <v>26.0</v>
      </c>
      <c r="R66" s="57">
        <v>95.9</v>
      </c>
      <c r="S66" s="110">
        <v>46000.0</v>
      </c>
      <c r="T66" s="57" t="s">
        <v>50</v>
      </c>
      <c r="U66" s="57" t="s">
        <v>901</v>
      </c>
      <c r="V66" s="57">
        <v>10.0</v>
      </c>
      <c r="W66" s="57">
        <v>10.0</v>
      </c>
      <c r="X66" s="57" t="s">
        <v>516</v>
      </c>
      <c r="Y66" s="57" t="s">
        <v>516</v>
      </c>
      <c r="Z66" s="57" t="s">
        <v>516</v>
      </c>
      <c r="AA66" s="57">
        <v>500.0</v>
      </c>
      <c r="AB66" s="57">
        <v>60.0</v>
      </c>
      <c r="AC66" s="110">
        <v>45970.0</v>
      </c>
      <c r="AD66" s="57" t="s">
        <v>50</v>
      </c>
      <c r="AE66" s="57">
        <v>89.0</v>
      </c>
      <c r="AF66" s="57">
        <v>59.0</v>
      </c>
      <c r="AG66" s="57">
        <v>70.0</v>
      </c>
      <c r="AH66" s="57" t="s">
        <v>516</v>
      </c>
      <c r="AI66" s="57" t="s">
        <v>516</v>
      </c>
      <c r="AJ66" s="57" t="s">
        <v>516</v>
      </c>
      <c r="AK66" s="57" t="s">
        <v>516</v>
      </c>
      <c r="AL66" s="57" t="s">
        <v>516</v>
      </c>
      <c r="AM66" s="57" t="s">
        <v>516</v>
      </c>
      <c r="AN66" s="57" t="s">
        <v>516</v>
      </c>
      <c r="AO66" s="57">
        <v>4.2</v>
      </c>
      <c r="AP66" s="57">
        <v>4.2</v>
      </c>
      <c r="AQ66" s="11" t="s">
        <v>1016</v>
      </c>
      <c r="AR66" s="66" t="b">
        <v>0</v>
      </c>
    </row>
    <row r="67">
      <c r="A67" s="57">
        <v>2.1250527E9</v>
      </c>
      <c r="B67" s="109" t="str">
        <f>VLOOKUP($A67,ANAGRAFICA!$B$1:$G$306,2,FALSE)</f>
        <v>GADDA</v>
      </c>
      <c r="C67" s="109" t="str">
        <f>VLOOKUP($A67,ANAGRAFICA!$B$1:$G$306,3,FALSE)</f>
        <v>LILIANA</v>
      </c>
      <c r="D67" s="109" t="str">
        <f>VLOOKUP($A67,ANAGRAFICA!$B$1:$G$306,4,FALSE)</f>
        <v>758-46</v>
      </c>
      <c r="E67" s="109">
        <f>VLOOKUP($A67,ANAGRAFICA!$B$1:$G$306,5,FALSE)</f>
        <v>3272025073</v>
      </c>
      <c r="F67" s="109">
        <f>VLOOKUP($A67,ANAGRAFICA!$B$1:$G$306,6,FALSE)</f>
        <v>2025</v>
      </c>
      <c r="G67" s="57">
        <v>1.0</v>
      </c>
      <c r="H67" s="112">
        <v>46007.0</v>
      </c>
      <c r="I67" s="57" t="s">
        <v>50</v>
      </c>
      <c r="J67" s="57">
        <v>7.44</v>
      </c>
      <c r="K67" s="57">
        <v>144.0</v>
      </c>
      <c r="L67" s="57">
        <v>33.0</v>
      </c>
      <c r="M67" s="57">
        <v>23.8</v>
      </c>
      <c r="N67" s="57">
        <v>1.6</v>
      </c>
      <c r="O67" s="57">
        <v>-1.8</v>
      </c>
      <c r="P67" s="57">
        <v>7.4</v>
      </c>
      <c r="Q67" s="57">
        <v>22.0</v>
      </c>
      <c r="R67" s="57">
        <v>99.3</v>
      </c>
      <c r="S67" s="112">
        <v>46007.0</v>
      </c>
      <c r="T67" s="57" t="s">
        <v>50</v>
      </c>
      <c r="U67" s="57" t="s">
        <v>901</v>
      </c>
      <c r="V67" s="57">
        <v>8.0</v>
      </c>
      <c r="W67" s="57">
        <v>10.0</v>
      </c>
      <c r="X67" s="57" t="s">
        <v>516</v>
      </c>
      <c r="Y67" s="57" t="s">
        <v>516</v>
      </c>
      <c r="Z67" s="57" t="s">
        <v>516</v>
      </c>
      <c r="AA67" s="57">
        <v>500.0</v>
      </c>
      <c r="AB67" s="57">
        <v>50.0</v>
      </c>
      <c r="AC67" s="112">
        <v>46007.0</v>
      </c>
      <c r="AD67" s="57" t="s">
        <v>50</v>
      </c>
      <c r="AE67" s="57">
        <v>105.0</v>
      </c>
      <c r="AF67" s="57">
        <v>65.0</v>
      </c>
      <c r="AG67" s="57">
        <v>77.0</v>
      </c>
      <c r="AH67" s="57" t="s">
        <v>516</v>
      </c>
      <c r="AI67" s="57" t="s">
        <v>516</v>
      </c>
      <c r="AJ67" s="57" t="s">
        <v>516</v>
      </c>
      <c r="AK67" s="57" t="s">
        <v>516</v>
      </c>
      <c r="AL67" s="57" t="s">
        <v>516</v>
      </c>
      <c r="AM67" s="57" t="s">
        <v>516</v>
      </c>
      <c r="AN67" s="57" t="s">
        <v>516</v>
      </c>
      <c r="AO67" s="57">
        <v>3.09</v>
      </c>
      <c r="AP67" s="57">
        <v>3.2</v>
      </c>
      <c r="AQ67" s="11" t="s">
        <v>1016</v>
      </c>
      <c r="AR67" s="115" t="b">
        <v>0</v>
      </c>
    </row>
    <row r="68">
      <c r="A68" s="57">
        <v>2.125053097E9</v>
      </c>
      <c r="B68" s="109" t="str">
        <f>VLOOKUP($A68,ANAGRAFICA!$B$1:$G$306,2,FALSE)</f>
        <v>LISSONI</v>
      </c>
      <c r="C68" s="109" t="str">
        <f>VLOOKUP($A68,ANAGRAFICA!$B$1:$G$306,3,FALSE)</f>
        <v>ALESSANDRA</v>
      </c>
      <c r="D68" s="109" t="str">
        <f>VLOOKUP($A68,ANAGRAFICA!$B$1:$G$306,4,FALSE)</f>
        <v>758-47</v>
      </c>
      <c r="E68" s="109">
        <f>VLOOKUP($A68,ANAGRAFICA!$B$1:$G$306,5,FALSE)</f>
        <v>3272025074</v>
      </c>
      <c r="F68" s="109">
        <f>VLOOKUP($A68,ANAGRAFICA!$B$1:$G$306,6,FALSE)</f>
        <v>2025</v>
      </c>
      <c r="G68" s="57">
        <v>1.0</v>
      </c>
      <c r="H68" s="112">
        <v>46010.0</v>
      </c>
      <c r="I68" s="57" t="s">
        <v>1060</v>
      </c>
      <c r="J68" s="57">
        <v>7.42</v>
      </c>
      <c r="K68" s="57">
        <v>71.0</v>
      </c>
      <c r="L68" s="57">
        <v>44.0</v>
      </c>
      <c r="M68" s="57">
        <v>27.6</v>
      </c>
      <c r="N68" s="57">
        <v>1.1</v>
      </c>
      <c r="O68" s="57">
        <v>1.5</v>
      </c>
      <c r="P68" s="57">
        <v>10.5</v>
      </c>
      <c r="Q68" s="57">
        <v>32.0</v>
      </c>
      <c r="R68" s="57">
        <v>94.3</v>
      </c>
      <c r="S68" s="112">
        <v>46010.0</v>
      </c>
      <c r="T68" s="57" t="s">
        <v>199</v>
      </c>
      <c r="U68" s="57" t="s">
        <v>906</v>
      </c>
      <c r="V68" s="57">
        <v>4.0</v>
      </c>
      <c r="W68" s="57">
        <v>10.0</v>
      </c>
      <c r="X68" s="57" t="s">
        <v>516</v>
      </c>
      <c r="Y68" s="57" t="s">
        <v>516</v>
      </c>
      <c r="Z68" s="57" t="s">
        <v>516</v>
      </c>
      <c r="AA68" s="57">
        <v>440.0</v>
      </c>
      <c r="AB68" s="57">
        <v>50.0</v>
      </c>
      <c r="AC68" s="112">
        <v>46010.0</v>
      </c>
      <c r="AD68" s="57" t="s">
        <v>1060</v>
      </c>
      <c r="AE68" s="57">
        <v>93.0</v>
      </c>
      <c r="AF68" s="57">
        <v>70.0</v>
      </c>
      <c r="AG68" s="57">
        <v>74.0</v>
      </c>
      <c r="AH68" s="57" t="s">
        <v>516</v>
      </c>
      <c r="AI68" s="57" t="s">
        <v>516</v>
      </c>
      <c r="AJ68" s="57" t="s">
        <v>516</v>
      </c>
      <c r="AK68" s="57">
        <v>18.0</v>
      </c>
      <c r="AL68" s="57">
        <v>14.0</v>
      </c>
      <c r="AM68" s="57">
        <v>16.0</v>
      </c>
      <c r="AN68" s="57" t="s">
        <v>516</v>
      </c>
      <c r="AO68" s="57">
        <v>3.2</v>
      </c>
      <c r="AP68" s="57">
        <v>3.2</v>
      </c>
      <c r="AQ68" s="11" t="s">
        <v>1016</v>
      </c>
      <c r="AR68" s="66" t="b">
        <v>0</v>
      </c>
    </row>
    <row r="69">
      <c r="A69" s="57">
        <v>2.126005799E9</v>
      </c>
      <c r="B69" s="109" t="str">
        <f>VLOOKUP($A69,ANAGRAFICA!$B$1:$G$306,2,FALSE)</f>
        <v>MAIORANO</v>
      </c>
      <c r="C69" s="109" t="str">
        <f>VLOOKUP($A69,ANAGRAFICA!$B$1:$G$306,3,FALSE)</f>
        <v>IOLANDA MARIA</v>
      </c>
      <c r="D69" s="109" t="str">
        <f>VLOOKUP($A69,ANAGRAFICA!$B$1:$G$306,4,FALSE)</f>
        <v>758-56</v>
      </c>
      <c r="E69" s="109" t="str">
        <f>VLOOKUP($A69,ANAGRAFICA!$B$1:$G$306,5,FALSE)</f>
        <v/>
      </c>
      <c r="F69" s="109">
        <f>VLOOKUP($A69,ANAGRAFICA!$B$1:$G$306,6,FALSE)</f>
        <v>2026</v>
      </c>
      <c r="G69" s="57">
        <v>1.0</v>
      </c>
      <c r="H69" s="110">
        <v>45699.0</v>
      </c>
      <c r="I69" s="57" t="s">
        <v>45</v>
      </c>
      <c r="J69" s="57">
        <v>7.51</v>
      </c>
      <c r="K69" s="57">
        <v>97.0</v>
      </c>
      <c r="L69" s="57">
        <v>37.0</v>
      </c>
      <c r="M69" s="57">
        <v>29.7</v>
      </c>
      <c r="N69" s="57">
        <v>0.6</v>
      </c>
      <c r="O69" s="57">
        <v>6.5</v>
      </c>
      <c r="P69" s="57">
        <v>9.1</v>
      </c>
      <c r="Q69" s="57">
        <v>27.0</v>
      </c>
      <c r="R69" s="57">
        <v>98.2</v>
      </c>
      <c r="S69" s="110">
        <v>46064.0</v>
      </c>
      <c r="T69" s="57" t="s">
        <v>45</v>
      </c>
      <c r="U69" s="57" t="s">
        <v>969</v>
      </c>
      <c r="V69" s="94"/>
      <c r="W69" s="94"/>
      <c r="X69" s="94"/>
      <c r="Y69" s="94"/>
      <c r="Z69" s="94"/>
      <c r="AA69" s="94"/>
      <c r="AB69" s="57">
        <v>21.0</v>
      </c>
      <c r="AC69" s="110">
        <v>46064.0</v>
      </c>
      <c r="AD69" s="57" t="s">
        <v>45</v>
      </c>
      <c r="AE69" s="57">
        <v>125.0</v>
      </c>
      <c r="AF69" s="57">
        <v>92.0</v>
      </c>
      <c r="AG69" s="57">
        <v>75.0</v>
      </c>
      <c r="AH69" s="94"/>
      <c r="AI69" s="94"/>
      <c r="AJ69" s="94"/>
      <c r="AK69" s="94"/>
      <c r="AL69" s="94"/>
      <c r="AM69" s="94"/>
      <c r="AN69" s="94"/>
      <c r="AO69" s="57">
        <v>2.6</v>
      </c>
      <c r="AP69" s="57">
        <v>2.5</v>
      </c>
      <c r="AQ69" s="11" t="s">
        <v>1016</v>
      </c>
      <c r="AR69" s="66" t="b">
        <v>0</v>
      </c>
    </row>
    <row r="70">
      <c r="A70" s="57">
        <v>2.126002771E9</v>
      </c>
      <c r="B70" s="109" t="str">
        <f>VLOOKUP($A70,ANAGRAFICA!$B$1:$G$306,2,FALSE)</f>
        <v>LONGOBARDI</v>
      </c>
      <c r="C70" s="109" t="str">
        <f>VLOOKUP($A70,ANAGRAFICA!$B$1:$G$306,3,FALSE)</f>
        <v>FRANCESCO</v>
      </c>
      <c r="D70" s="109" t="str">
        <f>VLOOKUP($A70,ANAGRAFICA!$B$1:$G$306,4,FALSE)</f>
        <v>758-52</v>
      </c>
      <c r="E70" s="109" t="str">
        <f>VLOOKUP($A70,ANAGRAFICA!$B$1:$G$306,5,FALSE)</f>
        <v/>
      </c>
      <c r="F70" s="109">
        <f>VLOOKUP($A70,ANAGRAFICA!$B$1:$G$306,6,FALSE)</f>
        <v>2026</v>
      </c>
      <c r="G70" s="57">
        <v>1.0</v>
      </c>
      <c r="H70" s="110">
        <v>46075.0</v>
      </c>
      <c r="I70" s="57" t="s">
        <v>446</v>
      </c>
      <c r="J70" s="57">
        <v>7.38</v>
      </c>
      <c r="K70" s="57">
        <v>104.0</v>
      </c>
      <c r="L70" s="57">
        <v>46.0</v>
      </c>
      <c r="M70" s="57">
        <v>22.9</v>
      </c>
      <c r="N70" s="57">
        <v>0.5</v>
      </c>
      <c r="O70" s="57" t="s">
        <v>1062</v>
      </c>
      <c r="P70" s="57">
        <v>13.8</v>
      </c>
      <c r="Q70" s="57">
        <v>41.0</v>
      </c>
      <c r="R70" s="57">
        <v>97.0</v>
      </c>
      <c r="S70" s="110">
        <v>46194.0</v>
      </c>
      <c r="T70" s="57" t="s">
        <v>446</v>
      </c>
      <c r="U70" s="57" t="s">
        <v>1034</v>
      </c>
      <c r="V70" s="57">
        <v>12.0</v>
      </c>
      <c r="W70" s="57">
        <v>10.0</v>
      </c>
      <c r="X70" s="94"/>
      <c r="Y70" s="94"/>
      <c r="Z70" s="94"/>
      <c r="AA70" s="57">
        <v>300.0</v>
      </c>
      <c r="AB70" s="57">
        <v>60.0</v>
      </c>
      <c r="AC70" s="110">
        <v>46194.0</v>
      </c>
      <c r="AD70" s="57" t="s">
        <v>446</v>
      </c>
      <c r="AE70" s="57">
        <v>131.0</v>
      </c>
      <c r="AF70" s="57">
        <v>70.0</v>
      </c>
      <c r="AG70" s="57">
        <v>93.0</v>
      </c>
      <c r="AH70" s="94"/>
      <c r="AI70" s="94"/>
      <c r="AJ70" s="94"/>
      <c r="AK70" s="94"/>
      <c r="AL70" s="94"/>
      <c r="AM70" s="94"/>
      <c r="AN70" s="94"/>
      <c r="AO70" s="57">
        <v>4.0</v>
      </c>
      <c r="AP70" s="57">
        <v>3.0</v>
      </c>
      <c r="AQ70" s="11" t="s">
        <v>1016</v>
      </c>
      <c r="AR70" s="66" t="b">
        <v>0</v>
      </c>
    </row>
    <row r="71">
      <c r="A71" s="57">
        <v>2.126001104E9</v>
      </c>
      <c r="B71" s="109" t="str">
        <f>VLOOKUP($A71,ANAGRAFICA!$B$1:$G$306,2,FALSE)</f>
        <v>LOREGGIA</v>
      </c>
      <c r="C71" s="109" t="str">
        <f>VLOOKUP($A71,ANAGRAFICA!$B$1:$G$306,3,FALSE)</f>
        <v>GIAN MARCO</v>
      </c>
      <c r="D71" s="109" t="str">
        <f>VLOOKUP($A71,ANAGRAFICA!$B$1:$G$306,4,FALSE)</f>
        <v>758-51</v>
      </c>
      <c r="E71" s="109" t="str">
        <f>VLOOKUP($A71,ANAGRAFICA!$B$1:$G$306,5,FALSE)</f>
        <v/>
      </c>
      <c r="F71" s="109">
        <f>VLOOKUP($A71,ANAGRAFICA!$B$1:$G$306,6,FALSE)</f>
        <v>2026</v>
      </c>
      <c r="G71" s="57">
        <v>1.0</v>
      </c>
      <c r="H71" s="110">
        <v>46034.0</v>
      </c>
      <c r="I71" s="57" t="s">
        <v>639</v>
      </c>
      <c r="J71" s="57">
        <v>7.28</v>
      </c>
      <c r="K71" s="57">
        <v>191.0</v>
      </c>
      <c r="L71" s="57">
        <v>49.0</v>
      </c>
      <c r="M71" s="57">
        <v>22.0</v>
      </c>
      <c r="N71" s="57">
        <v>3.1</v>
      </c>
      <c r="O71" s="57">
        <v>-3.7</v>
      </c>
      <c r="P71" s="57">
        <v>10.0</v>
      </c>
      <c r="Q71" s="57">
        <v>30.0</v>
      </c>
      <c r="R71" s="57">
        <v>99.6</v>
      </c>
      <c r="S71" s="110">
        <v>46034.0</v>
      </c>
      <c r="T71" s="57" t="s">
        <v>71</v>
      </c>
      <c r="U71" s="57" t="s">
        <v>901</v>
      </c>
      <c r="V71" s="57">
        <v>6.0</v>
      </c>
      <c r="W71" s="57">
        <v>12.0</v>
      </c>
      <c r="X71" s="94"/>
      <c r="Y71" s="94"/>
      <c r="Z71" s="94"/>
      <c r="AA71" s="57">
        <v>500.0</v>
      </c>
      <c r="AB71" s="57">
        <v>80.0</v>
      </c>
      <c r="AC71" s="110">
        <v>46034.0</v>
      </c>
      <c r="AD71" s="57" t="s">
        <v>71</v>
      </c>
      <c r="AE71" s="57">
        <v>49.0</v>
      </c>
      <c r="AF71" s="57">
        <v>44.0</v>
      </c>
      <c r="AG71" s="57">
        <v>45.0</v>
      </c>
      <c r="AH71" s="57" t="s">
        <v>516</v>
      </c>
      <c r="AI71" s="57" t="s">
        <v>516</v>
      </c>
      <c r="AJ71" s="57" t="s">
        <v>516</v>
      </c>
      <c r="AK71" s="57" t="s">
        <v>516</v>
      </c>
      <c r="AL71" s="57" t="s">
        <v>516</v>
      </c>
      <c r="AM71" s="57" t="s">
        <v>516</v>
      </c>
      <c r="AN71" s="57" t="s">
        <v>516</v>
      </c>
      <c r="AO71" s="57">
        <v>2.7</v>
      </c>
      <c r="AP71" s="57">
        <v>2.9</v>
      </c>
      <c r="AQ71" s="11" t="s">
        <v>1016</v>
      </c>
      <c r="AR71" s="66" t="b">
        <v>0</v>
      </c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11" t="s">
        <v>1016</v>
      </c>
      <c r="AR72" s="66" t="b">
        <v>0</v>
      </c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11" t="s">
        <v>1016</v>
      </c>
      <c r="AR73" s="66" t="b">
        <v>0</v>
      </c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11" t="s">
        <v>1016</v>
      </c>
      <c r="AR74" s="66" t="b">
        <v>0</v>
      </c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11" t="s">
        <v>1016</v>
      </c>
      <c r="AR75" s="66" t="b">
        <v>0</v>
      </c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11" t="s">
        <v>1016</v>
      </c>
      <c r="AR76" s="66" t="b">
        <v>0</v>
      </c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11" t="s">
        <v>1016</v>
      </c>
      <c r="AR77" s="66" t="b">
        <v>0</v>
      </c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11" t="s">
        <v>1016</v>
      </c>
      <c r="AR78" s="66" t="b">
        <v>0</v>
      </c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11" t="s">
        <v>1016</v>
      </c>
      <c r="AR79" s="66" t="b">
        <v>0</v>
      </c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11" t="s">
        <v>1016</v>
      </c>
      <c r="AR80" s="66" t="b">
        <v>0</v>
      </c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11" t="s">
        <v>1016</v>
      </c>
      <c r="AR81" s="66" t="b">
        <v>0</v>
      </c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11" t="s">
        <v>1016</v>
      </c>
      <c r="AR82" s="66" t="b">
        <v>0</v>
      </c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11" t="s">
        <v>1016</v>
      </c>
      <c r="AR83" s="66" t="b">
        <v>0</v>
      </c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11" t="s">
        <v>1016</v>
      </c>
      <c r="AR84" s="66" t="b">
        <v>0</v>
      </c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11" t="s">
        <v>1016</v>
      </c>
      <c r="AR85" s="66" t="b">
        <v>0</v>
      </c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11" t="s">
        <v>1016</v>
      </c>
      <c r="AR86" s="66" t="b">
        <v>0</v>
      </c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11" t="s">
        <v>1016</v>
      </c>
      <c r="AR87" s="66" t="b">
        <v>0</v>
      </c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11" t="s">
        <v>1016</v>
      </c>
      <c r="AR88" s="66" t="b">
        <v>0</v>
      </c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11" t="s">
        <v>1016</v>
      </c>
      <c r="AR89" s="66" t="b">
        <v>0</v>
      </c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11" t="s">
        <v>1016</v>
      </c>
      <c r="AR90" s="66" t="b">
        <v>0</v>
      </c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11" t="s">
        <v>1016</v>
      </c>
      <c r="AR91" s="66" t="b">
        <v>0</v>
      </c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11" t="s">
        <v>1016</v>
      </c>
      <c r="AR92" s="66" t="b">
        <v>0</v>
      </c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11" t="s">
        <v>1016</v>
      </c>
      <c r="AR93" s="66" t="b">
        <v>0</v>
      </c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11" t="s">
        <v>1016</v>
      </c>
      <c r="AR94" s="66" t="b">
        <v>0</v>
      </c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11" t="s">
        <v>1016</v>
      </c>
      <c r="AR95" s="66" t="b">
        <v>0</v>
      </c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11" t="s">
        <v>1016</v>
      </c>
      <c r="AR96" s="66" t="b">
        <v>0</v>
      </c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11" t="s">
        <v>1016</v>
      </c>
      <c r="AR97" s="66" t="b">
        <v>0</v>
      </c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11" t="s">
        <v>1016</v>
      </c>
      <c r="AR98" s="66" t="b">
        <v>0</v>
      </c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11" t="s">
        <v>1016</v>
      </c>
      <c r="AR99" s="66" t="b">
        <v>0</v>
      </c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11" t="s">
        <v>1016</v>
      </c>
      <c r="AR100" s="66" t="b">
        <v>0</v>
      </c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11" t="s">
        <v>1016</v>
      </c>
      <c r="AR101" s="66" t="b">
        <v>0</v>
      </c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11" t="s">
        <v>1016</v>
      </c>
      <c r="AR102" s="66" t="b">
        <v>0</v>
      </c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11" t="s">
        <v>1016</v>
      </c>
      <c r="AR103" s="66" t="b">
        <v>0</v>
      </c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11" t="s">
        <v>1016</v>
      </c>
      <c r="AR104" s="66" t="b">
        <v>0</v>
      </c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11" t="s">
        <v>1016</v>
      </c>
      <c r="AR105" s="66" t="b">
        <v>0</v>
      </c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11" t="s">
        <v>1016</v>
      </c>
      <c r="AR106" s="66" t="b">
        <v>0</v>
      </c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11" t="s">
        <v>1016</v>
      </c>
      <c r="AR107" s="66" t="b">
        <v>0</v>
      </c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11" t="s">
        <v>1016</v>
      </c>
      <c r="AR108" s="66" t="b">
        <v>0</v>
      </c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11" t="s">
        <v>1016</v>
      </c>
      <c r="AR109" s="66" t="b">
        <v>0</v>
      </c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11" t="s">
        <v>1016</v>
      </c>
      <c r="AR110" s="66" t="b">
        <v>0</v>
      </c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11" t="s">
        <v>1016</v>
      </c>
      <c r="AR111" s="66" t="b">
        <v>0</v>
      </c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11" t="s">
        <v>1016</v>
      </c>
      <c r="AR112" s="66" t="b">
        <v>0</v>
      </c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11" t="s">
        <v>1016</v>
      </c>
      <c r="AR113" s="66" t="b">
        <v>0</v>
      </c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11" t="s">
        <v>1016</v>
      </c>
      <c r="AR114" s="66" t="b">
        <v>0</v>
      </c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11" t="s">
        <v>1016</v>
      </c>
      <c r="AR115" s="66" t="b">
        <v>0</v>
      </c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11" t="s">
        <v>1016</v>
      </c>
      <c r="AR116" s="66" t="b">
        <v>0</v>
      </c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11" t="s">
        <v>1016</v>
      </c>
      <c r="AR117" s="66" t="b">
        <v>0</v>
      </c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11" t="s">
        <v>1016</v>
      </c>
      <c r="AR118" s="66" t="b">
        <v>0</v>
      </c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11" t="s">
        <v>1016</v>
      </c>
      <c r="AR119" s="66" t="b">
        <v>0</v>
      </c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11" t="s">
        <v>1016</v>
      </c>
      <c r="AR120" s="66" t="b">
        <v>0</v>
      </c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11" t="s">
        <v>1016</v>
      </c>
      <c r="AR121" s="66" t="b">
        <v>0</v>
      </c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11" t="s">
        <v>1016</v>
      </c>
      <c r="AR122" s="66" t="b">
        <v>0</v>
      </c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11" t="s">
        <v>1016</v>
      </c>
      <c r="AR123" s="66" t="b">
        <v>0</v>
      </c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11" t="s">
        <v>1016</v>
      </c>
      <c r="AR124" s="66" t="b">
        <v>0</v>
      </c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11" t="s">
        <v>1016</v>
      </c>
      <c r="AR125" s="66" t="b">
        <v>0</v>
      </c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11" t="s">
        <v>1016</v>
      </c>
      <c r="AR126" s="66" t="b">
        <v>0</v>
      </c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11" t="s">
        <v>1016</v>
      </c>
      <c r="AR127" s="66" t="b">
        <v>0</v>
      </c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11" t="s">
        <v>1016</v>
      </c>
      <c r="AR128" s="66" t="b">
        <v>0</v>
      </c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11" t="s">
        <v>1016</v>
      </c>
      <c r="AR129" s="66" t="b">
        <v>0</v>
      </c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11" t="s">
        <v>1016</v>
      </c>
      <c r="AR130" s="66" t="b">
        <v>0</v>
      </c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11" t="s">
        <v>1016</v>
      </c>
      <c r="AR131" s="66" t="b">
        <v>0</v>
      </c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11" t="s">
        <v>1016</v>
      </c>
      <c r="AR132" s="66" t="b">
        <v>0</v>
      </c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11" t="s">
        <v>1016</v>
      </c>
      <c r="AR133" s="66" t="b">
        <v>0</v>
      </c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11" t="s">
        <v>1016</v>
      </c>
      <c r="AR134" s="66" t="b">
        <v>0</v>
      </c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11" t="s">
        <v>1016</v>
      </c>
      <c r="AR135" s="66" t="b">
        <v>0</v>
      </c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11" t="s">
        <v>1016</v>
      </c>
      <c r="AR136" s="66" t="b">
        <v>0</v>
      </c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11" t="s">
        <v>1016</v>
      </c>
      <c r="AR137" s="66" t="b">
        <v>0</v>
      </c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11" t="s">
        <v>1016</v>
      </c>
      <c r="AR138" s="66" t="b">
        <v>0</v>
      </c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11" t="s">
        <v>1016</v>
      </c>
      <c r="AR139" s="66" t="b">
        <v>0</v>
      </c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11" t="s">
        <v>1016</v>
      </c>
      <c r="AR140" s="66" t="b">
        <v>0</v>
      </c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11" t="s">
        <v>1016</v>
      </c>
      <c r="AR141" s="66" t="b">
        <v>0</v>
      </c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11" t="s">
        <v>1016</v>
      </c>
      <c r="AR142" s="66" t="b">
        <v>0</v>
      </c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11" t="s">
        <v>1016</v>
      </c>
      <c r="AR143" s="66" t="b">
        <v>0</v>
      </c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11" t="s">
        <v>1016</v>
      </c>
      <c r="AR144" s="66" t="b">
        <v>0</v>
      </c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11" t="s">
        <v>1016</v>
      </c>
      <c r="AR145" s="66" t="b">
        <v>0</v>
      </c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11" t="s">
        <v>1016</v>
      </c>
      <c r="AR146" s="66" t="b">
        <v>0</v>
      </c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11" t="s">
        <v>1016</v>
      </c>
      <c r="AR147" s="66" t="b">
        <v>0</v>
      </c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11" t="s">
        <v>1016</v>
      </c>
      <c r="AR148" s="66" t="b">
        <v>0</v>
      </c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11" t="s">
        <v>1016</v>
      </c>
      <c r="AR149" s="66" t="b">
        <v>0</v>
      </c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11" t="s">
        <v>1016</v>
      </c>
      <c r="AR150" s="66" t="b">
        <v>0</v>
      </c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11" t="s">
        <v>1016</v>
      </c>
      <c r="AR151" s="66" t="b">
        <v>0</v>
      </c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11" t="s">
        <v>1016</v>
      </c>
      <c r="AR152" s="66" t="b">
        <v>0</v>
      </c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11" t="s">
        <v>1016</v>
      </c>
      <c r="AR153" s="66" t="b">
        <v>0</v>
      </c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11" t="s">
        <v>1016</v>
      </c>
      <c r="AR154" s="66" t="b">
        <v>0</v>
      </c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11" t="s">
        <v>1016</v>
      </c>
      <c r="AR155" s="66" t="b">
        <v>0</v>
      </c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11" t="s">
        <v>1016</v>
      </c>
      <c r="AR156" s="66" t="b">
        <v>0</v>
      </c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11" t="s">
        <v>1016</v>
      </c>
      <c r="AR157" s="66" t="b">
        <v>0</v>
      </c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11" t="s">
        <v>1016</v>
      </c>
      <c r="AR158" s="66" t="b">
        <v>0</v>
      </c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11" t="s">
        <v>1016</v>
      </c>
      <c r="AR159" s="66" t="b">
        <v>0</v>
      </c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11" t="s">
        <v>1016</v>
      </c>
      <c r="AR160" s="66" t="b">
        <v>0</v>
      </c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11" t="s">
        <v>1016</v>
      </c>
      <c r="AR161" s="66" t="b">
        <v>0</v>
      </c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11" t="s">
        <v>1016</v>
      </c>
      <c r="AR162" s="66" t="b">
        <v>0</v>
      </c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11" t="s">
        <v>1016</v>
      </c>
      <c r="AR163" s="66" t="b">
        <v>0</v>
      </c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11" t="s">
        <v>1016</v>
      </c>
      <c r="AR164" s="66" t="b">
        <v>0</v>
      </c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11" t="s">
        <v>1016</v>
      </c>
      <c r="AR165" s="66" t="b">
        <v>0</v>
      </c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11" t="s">
        <v>1016</v>
      </c>
      <c r="AR166" s="66" t="b">
        <v>0</v>
      </c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11" t="s">
        <v>1016</v>
      </c>
      <c r="AR167" s="66" t="b">
        <v>0</v>
      </c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11" t="s">
        <v>1016</v>
      </c>
      <c r="AR168" s="66" t="b">
        <v>0</v>
      </c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11" t="s">
        <v>1016</v>
      </c>
      <c r="AR169" s="66" t="b">
        <v>0</v>
      </c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11" t="s">
        <v>1016</v>
      </c>
      <c r="AR170" s="66" t="b">
        <v>0</v>
      </c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11" t="s">
        <v>1016</v>
      </c>
      <c r="AR171" s="66" t="b">
        <v>0</v>
      </c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11" t="s">
        <v>1016</v>
      </c>
      <c r="AR172" s="66" t="b">
        <v>0</v>
      </c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11" t="s">
        <v>1016</v>
      </c>
      <c r="AR173" s="66" t="b">
        <v>0</v>
      </c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11" t="s">
        <v>1016</v>
      </c>
      <c r="AR174" s="66" t="b">
        <v>0</v>
      </c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11" t="s">
        <v>1016</v>
      </c>
      <c r="AR175" s="66" t="b">
        <v>0</v>
      </c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11" t="s">
        <v>1016</v>
      </c>
      <c r="AR176" s="66" t="b">
        <v>0</v>
      </c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11" t="s">
        <v>1016</v>
      </c>
      <c r="AR177" s="66" t="b">
        <v>0</v>
      </c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11" t="s">
        <v>1016</v>
      </c>
      <c r="AR178" s="66" t="b">
        <v>0</v>
      </c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11" t="s">
        <v>1016</v>
      </c>
      <c r="AR179" s="66" t="b">
        <v>0</v>
      </c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11" t="s">
        <v>1016</v>
      </c>
      <c r="AR180" s="66" t="b">
        <v>0</v>
      </c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11" t="s">
        <v>1016</v>
      </c>
      <c r="AR181" s="66" t="b">
        <v>0</v>
      </c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11" t="s">
        <v>1016</v>
      </c>
      <c r="AR182" s="66" t="b">
        <v>0</v>
      </c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11" t="s">
        <v>1016</v>
      </c>
      <c r="AR183" s="66" t="b">
        <v>0</v>
      </c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11" t="s">
        <v>1016</v>
      </c>
      <c r="AR184" s="66" t="b">
        <v>0</v>
      </c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11" t="s">
        <v>1016</v>
      </c>
      <c r="AR185" s="66" t="b">
        <v>0</v>
      </c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11" t="s">
        <v>1016</v>
      </c>
      <c r="AR186" s="66" t="b">
        <v>0</v>
      </c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11" t="s">
        <v>1016</v>
      </c>
      <c r="AR187" s="66" t="b">
        <v>0</v>
      </c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11" t="s">
        <v>1016</v>
      </c>
      <c r="AR188" s="66" t="b">
        <v>0</v>
      </c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11" t="s">
        <v>1016</v>
      </c>
      <c r="AR189" s="66" t="b">
        <v>0</v>
      </c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11" t="s">
        <v>1016</v>
      </c>
      <c r="AR190" s="66" t="b">
        <v>0</v>
      </c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11" t="s">
        <v>1016</v>
      </c>
      <c r="AR191" s="66" t="b">
        <v>0</v>
      </c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11" t="s">
        <v>1016</v>
      </c>
      <c r="AR192" s="66" t="b">
        <v>0</v>
      </c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11" t="s">
        <v>1016</v>
      </c>
      <c r="AR193" s="66" t="b">
        <v>0</v>
      </c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11" t="s">
        <v>1016</v>
      </c>
      <c r="AR194" s="66" t="b">
        <v>0</v>
      </c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11" t="s">
        <v>1016</v>
      </c>
      <c r="AR195" s="66" t="b">
        <v>0</v>
      </c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11" t="s">
        <v>1016</v>
      </c>
      <c r="AR196" s="66" t="b">
        <v>0</v>
      </c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11" t="s">
        <v>1016</v>
      </c>
      <c r="AR197" s="66" t="b">
        <v>0</v>
      </c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11" t="s">
        <v>1016</v>
      </c>
      <c r="AR198" s="66" t="b">
        <v>0</v>
      </c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11" t="s">
        <v>1016</v>
      </c>
      <c r="AR199" s="66" t="b">
        <v>0</v>
      </c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11" t="s">
        <v>1016</v>
      </c>
      <c r="AR200" s="66" t="b">
        <v>0</v>
      </c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11" t="s">
        <v>1016</v>
      </c>
      <c r="AR201" s="66" t="b">
        <v>0</v>
      </c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11" t="s">
        <v>1016</v>
      </c>
      <c r="AR202" s="66" t="b">
        <v>0</v>
      </c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11" t="s">
        <v>1016</v>
      </c>
      <c r="AR203" s="66" t="b">
        <v>0</v>
      </c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11" t="s">
        <v>1016</v>
      </c>
      <c r="AR204" s="66" t="b">
        <v>0</v>
      </c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11" t="s">
        <v>1016</v>
      </c>
      <c r="AR205" s="66" t="b">
        <v>0</v>
      </c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11" t="s">
        <v>1016</v>
      </c>
      <c r="AR206" s="66" t="b">
        <v>0</v>
      </c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11" t="s">
        <v>1016</v>
      </c>
      <c r="AR207" s="66" t="b">
        <v>0</v>
      </c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11" t="s">
        <v>1016</v>
      </c>
      <c r="AR208" s="66" t="b">
        <v>0</v>
      </c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11" t="s">
        <v>1016</v>
      </c>
      <c r="AR209" s="66" t="b">
        <v>0</v>
      </c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11" t="s">
        <v>1016</v>
      </c>
      <c r="AR210" s="66" t="b">
        <v>0</v>
      </c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11" t="s">
        <v>1016</v>
      </c>
      <c r="AR211" s="66" t="b">
        <v>0</v>
      </c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11" t="s">
        <v>1016</v>
      </c>
      <c r="AR212" s="66" t="b">
        <v>0</v>
      </c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11" t="s">
        <v>1016</v>
      </c>
      <c r="AR213" s="66" t="b">
        <v>0</v>
      </c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11" t="s">
        <v>1016</v>
      </c>
      <c r="AR214" s="66" t="b">
        <v>0</v>
      </c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11" t="s">
        <v>1016</v>
      </c>
      <c r="AR215" s="66" t="b">
        <v>0</v>
      </c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11" t="s">
        <v>1016</v>
      </c>
      <c r="AR216" s="66" t="b">
        <v>0</v>
      </c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11" t="s">
        <v>1016</v>
      </c>
      <c r="AR217" s="66" t="b">
        <v>0</v>
      </c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11" t="s">
        <v>1016</v>
      </c>
      <c r="AR218" s="66" t="b">
        <v>0</v>
      </c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11" t="s">
        <v>1016</v>
      </c>
      <c r="AR219" s="66" t="b">
        <v>0</v>
      </c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11" t="s">
        <v>1016</v>
      </c>
      <c r="AR220" s="66" t="b">
        <v>0</v>
      </c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11" t="s">
        <v>1016</v>
      </c>
      <c r="AR221" s="66" t="b">
        <v>0</v>
      </c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11" t="s">
        <v>1016</v>
      </c>
      <c r="AR222" s="66" t="b">
        <v>0</v>
      </c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11" t="s">
        <v>1016</v>
      </c>
      <c r="AR223" s="66" t="b">
        <v>0</v>
      </c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11" t="s">
        <v>1016</v>
      </c>
      <c r="AR224" s="66" t="b">
        <v>0</v>
      </c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11" t="s">
        <v>1016</v>
      </c>
      <c r="AR225" s="66" t="b">
        <v>0</v>
      </c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11" t="s">
        <v>1016</v>
      </c>
      <c r="AR226" s="66" t="b">
        <v>0</v>
      </c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11" t="s">
        <v>1016</v>
      </c>
      <c r="AR227" s="66" t="b">
        <v>0</v>
      </c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11" t="s">
        <v>1016</v>
      </c>
      <c r="AR228" s="66" t="b">
        <v>0</v>
      </c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11" t="s">
        <v>1016</v>
      </c>
      <c r="AR229" s="66" t="b">
        <v>0</v>
      </c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11" t="s">
        <v>1016</v>
      </c>
      <c r="AR230" s="66" t="b">
        <v>0</v>
      </c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11" t="s">
        <v>1016</v>
      </c>
      <c r="AR231" s="66" t="b">
        <v>0</v>
      </c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11" t="s">
        <v>1016</v>
      </c>
      <c r="AR232" s="66" t="b">
        <v>0</v>
      </c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11" t="s">
        <v>1016</v>
      </c>
      <c r="AR233" s="66" t="b">
        <v>0</v>
      </c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11" t="s">
        <v>1016</v>
      </c>
      <c r="AR234" s="66" t="b">
        <v>0</v>
      </c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11" t="s">
        <v>1016</v>
      </c>
      <c r="AR235" s="66" t="b">
        <v>0</v>
      </c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11" t="s">
        <v>1016</v>
      </c>
      <c r="AR236" s="66" t="b">
        <v>0</v>
      </c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11" t="s">
        <v>1016</v>
      </c>
      <c r="AR237" s="66" t="b">
        <v>0</v>
      </c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11" t="s">
        <v>1016</v>
      </c>
      <c r="AR238" s="66" t="b">
        <v>0</v>
      </c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11" t="s">
        <v>1016</v>
      </c>
      <c r="AR239" s="66" t="b">
        <v>0</v>
      </c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11" t="s">
        <v>1016</v>
      </c>
      <c r="AR240" s="66" t="b">
        <v>0</v>
      </c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11" t="s">
        <v>1016</v>
      </c>
      <c r="AR241" s="66" t="b">
        <v>0</v>
      </c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11" t="s">
        <v>1016</v>
      </c>
      <c r="AR242" s="66" t="b">
        <v>0</v>
      </c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11" t="s">
        <v>1016</v>
      </c>
      <c r="AR243" s="66" t="b">
        <v>0</v>
      </c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11" t="s">
        <v>1016</v>
      </c>
      <c r="AR244" s="66" t="b">
        <v>0</v>
      </c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11" t="s">
        <v>1016</v>
      </c>
      <c r="AR245" s="66" t="b">
        <v>0</v>
      </c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11" t="s">
        <v>1016</v>
      </c>
      <c r="AR246" s="66" t="b">
        <v>0</v>
      </c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11" t="s">
        <v>1016</v>
      </c>
      <c r="AR247" s="66" t="b">
        <v>0</v>
      </c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11" t="s">
        <v>1016</v>
      </c>
      <c r="AR248" s="66" t="b">
        <v>0</v>
      </c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11" t="s">
        <v>1016</v>
      </c>
      <c r="AR249" s="66" t="b">
        <v>0</v>
      </c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11" t="s">
        <v>1016</v>
      </c>
      <c r="AR250" s="66" t="b">
        <v>0</v>
      </c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11" t="s">
        <v>1016</v>
      </c>
      <c r="AR251" s="66" t="b">
        <v>0</v>
      </c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11" t="s">
        <v>1016</v>
      </c>
      <c r="AR252" s="66" t="b">
        <v>0</v>
      </c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11" t="s">
        <v>1016</v>
      </c>
      <c r="AR253" s="66" t="b">
        <v>0</v>
      </c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11" t="s">
        <v>1016</v>
      </c>
      <c r="AR254" s="66" t="b">
        <v>0</v>
      </c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11" t="s">
        <v>1016</v>
      </c>
      <c r="AR255" s="66" t="b">
        <v>0</v>
      </c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11" t="s">
        <v>1016</v>
      </c>
      <c r="AR256" s="66" t="b">
        <v>0</v>
      </c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11" t="s">
        <v>1016</v>
      </c>
      <c r="AR257" s="66" t="b">
        <v>0</v>
      </c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11" t="s">
        <v>1016</v>
      </c>
      <c r="AR258" s="66" t="b">
        <v>0</v>
      </c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11" t="s">
        <v>1016</v>
      </c>
      <c r="AR259" s="66" t="b">
        <v>0</v>
      </c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11" t="s">
        <v>1016</v>
      </c>
      <c r="AR260" s="66" t="b">
        <v>0</v>
      </c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11" t="s">
        <v>1016</v>
      </c>
      <c r="AR261" s="66" t="b">
        <v>0</v>
      </c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11" t="s">
        <v>1016</v>
      </c>
      <c r="AR262" s="66" t="b">
        <v>0</v>
      </c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11" t="s">
        <v>1016</v>
      </c>
      <c r="AR263" s="66" t="b">
        <v>0</v>
      </c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11" t="s">
        <v>1016</v>
      </c>
      <c r="AR264" s="66" t="b">
        <v>0</v>
      </c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11" t="s">
        <v>1016</v>
      </c>
      <c r="AR265" s="66" t="b">
        <v>0</v>
      </c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11" t="s">
        <v>1016</v>
      </c>
      <c r="AR266" s="66" t="b">
        <v>0</v>
      </c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11" t="s">
        <v>1016</v>
      </c>
      <c r="AR267" s="66" t="b">
        <v>0</v>
      </c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11" t="s">
        <v>1016</v>
      </c>
      <c r="AR268" s="66" t="b">
        <v>0</v>
      </c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11" t="s">
        <v>1016</v>
      </c>
      <c r="AR269" s="66" t="b">
        <v>0</v>
      </c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11" t="s">
        <v>1016</v>
      </c>
      <c r="AR270" s="66" t="b">
        <v>0</v>
      </c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11" t="s">
        <v>1016</v>
      </c>
      <c r="AR271" s="66" t="b">
        <v>0</v>
      </c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11" t="s">
        <v>1016</v>
      </c>
      <c r="AR272" s="66" t="b">
        <v>0</v>
      </c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11" t="s">
        <v>1016</v>
      </c>
      <c r="AR273" s="66" t="b">
        <v>0</v>
      </c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11" t="s">
        <v>1016</v>
      </c>
      <c r="AR274" s="66" t="b">
        <v>0</v>
      </c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11" t="s">
        <v>1016</v>
      </c>
      <c r="AR275" s="66" t="b">
        <v>0</v>
      </c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11" t="s">
        <v>1016</v>
      </c>
      <c r="AR276" s="66" t="b">
        <v>0</v>
      </c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11" t="s">
        <v>1016</v>
      </c>
      <c r="AR277" s="66" t="b">
        <v>0</v>
      </c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11" t="s">
        <v>1016</v>
      </c>
      <c r="AR278" s="66" t="b">
        <v>0</v>
      </c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11" t="s">
        <v>1016</v>
      </c>
      <c r="AR279" s="66" t="b">
        <v>0</v>
      </c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11" t="s">
        <v>1016</v>
      </c>
      <c r="AR280" s="66" t="b">
        <v>0</v>
      </c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11" t="s">
        <v>1016</v>
      </c>
      <c r="AR281" s="66" t="b">
        <v>0</v>
      </c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11" t="s">
        <v>1016</v>
      </c>
      <c r="AR282" s="66" t="b">
        <v>0</v>
      </c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11" t="s">
        <v>1016</v>
      </c>
      <c r="AR283" s="66" t="b">
        <v>0</v>
      </c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11" t="s">
        <v>1016</v>
      </c>
      <c r="AR284" s="66" t="b">
        <v>0</v>
      </c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11" t="s">
        <v>1016</v>
      </c>
      <c r="AR285" s="66" t="b">
        <v>0</v>
      </c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11" t="s">
        <v>1016</v>
      </c>
      <c r="AR286" s="66" t="b">
        <v>0</v>
      </c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11" t="s">
        <v>1016</v>
      </c>
      <c r="AR287" s="66" t="b">
        <v>0</v>
      </c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11" t="s">
        <v>1016</v>
      </c>
      <c r="AR288" s="66" t="b">
        <v>0</v>
      </c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11" t="s">
        <v>1016</v>
      </c>
      <c r="AR289" s="66" t="b">
        <v>0</v>
      </c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11" t="s">
        <v>1016</v>
      </c>
      <c r="AR290" s="66" t="b">
        <v>0</v>
      </c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11" t="s">
        <v>1016</v>
      </c>
      <c r="AR291" s="66" t="b">
        <v>0</v>
      </c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11" t="s">
        <v>1016</v>
      </c>
      <c r="AR292" s="66" t="b">
        <v>0</v>
      </c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11" t="s">
        <v>1016</v>
      </c>
      <c r="AR293" s="66" t="b">
        <v>0</v>
      </c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11" t="s">
        <v>1016</v>
      </c>
      <c r="AR294" s="66" t="b">
        <v>0</v>
      </c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11" t="s">
        <v>1016</v>
      </c>
      <c r="AR295" s="66" t="b">
        <v>0</v>
      </c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11" t="s">
        <v>1016</v>
      </c>
      <c r="AR296" s="66" t="b">
        <v>0</v>
      </c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11" t="s">
        <v>1016</v>
      </c>
      <c r="AR297" s="66" t="b">
        <v>0</v>
      </c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11" t="s">
        <v>1016</v>
      </c>
      <c r="AR298" s="66" t="b">
        <v>0</v>
      </c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11" t="s">
        <v>1016</v>
      </c>
      <c r="AR299" s="66" t="b">
        <v>0</v>
      </c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11" t="s">
        <v>1016</v>
      </c>
      <c r="AR300" s="66" t="b">
        <v>0</v>
      </c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</row>
    <row r="307">
      <c r="A307" s="94"/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</row>
  </sheetData>
  <dataValidations>
    <dataValidation type="list" allowBlank="1" showErrorMessage="1" sqref="A2:A284">
      <formula1>ANAGRAFICA!$B$2:$B$506</formula1>
    </dataValidation>
  </dataValidation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21.38"/>
    <col customWidth="1" min="8" max="8" width="50.63"/>
    <col customWidth="1" min="10" max="10" width="15.13"/>
  </cols>
  <sheetData>
    <row r="1">
      <c r="A1" s="188" t="s">
        <v>1</v>
      </c>
      <c r="B1" s="189" t="s">
        <v>2</v>
      </c>
      <c r="C1" s="188" t="s">
        <v>3</v>
      </c>
      <c r="D1" s="188" t="s">
        <v>4</v>
      </c>
      <c r="E1" s="188" t="s">
        <v>385</v>
      </c>
      <c r="F1" s="190" t="s">
        <v>6</v>
      </c>
      <c r="G1" s="188" t="s">
        <v>386</v>
      </c>
      <c r="H1" s="188" t="s">
        <v>1063</v>
      </c>
      <c r="I1" s="188" t="s">
        <v>600</v>
      </c>
      <c r="J1" s="190" t="s">
        <v>602</v>
      </c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</row>
    <row r="2">
      <c r="A2" s="57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115">
        <v>1.0</v>
      </c>
      <c r="H2" s="14" t="s">
        <v>1064</v>
      </c>
      <c r="I2" s="51">
        <v>45492.0</v>
      </c>
      <c r="J2" s="11" t="b">
        <v>0</v>
      </c>
      <c r="K2" s="141"/>
    </row>
    <row r="3">
      <c r="A3" s="57">
        <v>2.124012963E9</v>
      </c>
      <c r="B3" s="109" t="str">
        <f>VLOOKUP($A3,ANAGRAFICA!$B$1:$G$306,2,FALSE)</f>
        <v>TARENZI</v>
      </c>
      <c r="C3" s="109" t="str">
        <f>VLOOKUP($A3,ANAGRAFICA!$B$1:$G$306,3,FALSE)</f>
        <v>GIACOMO</v>
      </c>
      <c r="D3" s="109" t="str">
        <f>VLOOKUP($A3,ANAGRAFICA!$B$1:$G$306,4,FALSE)</f>
        <v>758-7</v>
      </c>
      <c r="E3" s="109">
        <f>VLOOKUP($A3,ANAGRAFICA!$B$1:$G$306,5,FALSE)</f>
        <v>3272024073</v>
      </c>
      <c r="F3" s="109">
        <f>VLOOKUP($A3,ANAGRAFICA!$B$1:$G$306,6,FALSE)</f>
        <v>2024</v>
      </c>
      <c r="G3" s="115">
        <v>1.0</v>
      </c>
      <c r="H3" s="14" t="s">
        <v>1065</v>
      </c>
      <c r="I3" s="51">
        <v>45493.0</v>
      </c>
      <c r="J3" s="11" t="b">
        <v>1</v>
      </c>
      <c r="K3" s="141"/>
    </row>
    <row r="4">
      <c r="A4" s="57">
        <v>2.124012963E9</v>
      </c>
      <c r="B4" s="109" t="str">
        <f>VLOOKUP($A4,ANAGRAFICA!$B$1:$G$306,2,FALSE)</f>
        <v>TARENZI</v>
      </c>
      <c r="C4" s="109" t="str">
        <f>VLOOKUP($A4,ANAGRAFICA!$B$1:$G$306,3,FALSE)</f>
        <v>GIACOMO</v>
      </c>
      <c r="D4" s="109" t="str">
        <f>VLOOKUP($A4,ANAGRAFICA!$B$1:$G$306,4,FALSE)</f>
        <v>758-7</v>
      </c>
      <c r="E4" s="109">
        <f>VLOOKUP($A4,ANAGRAFICA!$B$1:$G$306,5,FALSE)</f>
        <v>3272024073</v>
      </c>
      <c r="F4" s="109">
        <f>VLOOKUP($A4,ANAGRAFICA!$B$1:$G$306,6,FALSE)</f>
        <v>2024</v>
      </c>
      <c r="G4" s="115">
        <v>1.0</v>
      </c>
      <c r="H4" s="14" t="s">
        <v>1066</v>
      </c>
      <c r="I4" s="51">
        <v>45491.0</v>
      </c>
      <c r="J4" s="11" t="b">
        <v>0</v>
      </c>
      <c r="K4" s="141"/>
    </row>
    <row r="5">
      <c r="A5" s="57">
        <v>2.124012963E9</v>
      </c>
      <c r="B5" s="109" t="str">
        <f>VLOOKUP($A5,ANAGRAFICA!$B$1:$G$306,2,FALSE)</f>
        <v>TARENZI</v>
      </c>
      <c r="C5" s="109" t="str">
        <f>VLOOKUP($A5,ANAGRAFICA!$B$1:$G$306,3,FALSE)</f>
        <v>GIACOMO</v>
      </c>
      <c r="D5" s="109" t="str">
        <f>VLOOKUP($A5,ANAGRAFICA!$B$1:$G$306,4,FALSE)</f>
        <v>758-7</v>
      </c>
      <c r="E5" s="109">
        <f>VLOOKUP($A5,ANAGRAFICA!$B$1:$G$306,5,FALSE)</f>
        <v>3272024073</v>
      </c>
      <c r="F5" s="109">
        <f>VLOOKUP($A5,ANAGRAFICA!$B$1:$G$306,6,FALSE)</f>
        <v>2024</v>
      </c>
      <c r="G5" s="115">
        <v>1.0</v>
      </c>
      <c r="H5" s="14" t="s">
        <v>1067</v>
      </c>
      <c r="I5" s="51">
        <v>45495.0</v>
      </c>
      <c r="J5" s="11" t="b">
        <v>0</v>
      </c>
      <c r="K5" s="141"/>
    </row>
    <row r="6">
      <c r="A6" s="57">
        <v>2.123023299E9</v>
      </c>
      <c r="B6" s="109" t="str">
        <f>VLOOKUP($A6,ANAGRAFICA!$B$1:$G$306,2,FALSE)</f>
        <v>BEATRICE</v>
      </c>
      <c r="C6" s="109" t="str">
        <f>VLOOKUP($A6,ANAGRAFICA!$B$1:$G$306,3,FALSE)</f>
        <v>GERARDINA</v>
      </c>
      <c r="D6" s="109" t="str">
        <f>VLOOKUP($A6,ANAGRAFICA!$B$1:$G$306,4,FALSE)</f>
        <v/>
      </c>
      <c r="E6" s="109">
        <f>VLOOKUP($A6,ANAGRAFICA!$B$1:$G$306,5,FALSE)</f>
        <v>3272024098</v>
      </c>
      <c r="F6" s="109">
        <f>VLOOKUP($A6,ANAGRAFICA!$B$1:$G$306,6,FALSE)</f>
        <v>2024</v>
      </c>
      <c r="G6" s="3">
        <v>1.0</v>
      </c>
      <c r="H6" s="14" t="s">
        <v>1064</v>
      </c>
      <c r="I6" s="77">
        <v>45293.0</v>
      </c>
      <c r="J6" s="11" t="b">
        <v>1</v>
      </c>
    </row>
    <row r="7">
      <c r="A7" s="57">
        <v>2.124000149E9</v>
      </c>
      <c r="B7" s="109" t="str">
        <f>VLOOKUP($A7,ANAGRAFICA!$B$1:$G$306,2,FALSE)</f>
        <v>MOTTA</v>
      </c>
      <c r="C7" s="109" t="str">
        <f>VLOOKUP($A7,ANAGRAFICA!$B$1:$G$306,3,FALSE)</f>
        <v>FABIO</v>
      </c>
      <c r="D7" s="109" t="str">
        <f>VLOOKUP($A7,ANAGRAFICA!$B$1:$G$306,4,FALSE)</f>
        <v/>
      </c>
      <c r="E7" s="109">
        <f>VLOOKUP($A7,ANAGRAFICA!$B$1:$G$306,5,FALSE)</f>
        <v>3272024051</v>
      </c>
      <c r="F7" s="109">
        <f>VLOOKUP($A7,ANAGRAFICA!$B$1:$G$306,6,FALSE)</f>
        <v>2024</v>
      </c>
      <c r="G7" s="3">
        <v>1.0</v>
      </c>
      <c r="H7" s="14" t="s">
        <v>1068</v>
      </c>
      <c r="I7" s="77">
        <v>45295.0</v>
      </c>
      <c r="J7" s="11" t="b">
        <v>1</v>
      </c>
    </row>
    <row r="8">
      <c r="A8" s="57">
        <v>2.124000149E9</v>
      </c>
      <c r="B8" s="109" t="str">
        <f>VLOOKUP($A8,ANAGRAFICA!$B$1:$G$306,2,FALSE)</f>
        <v>MOTTA</v>
      </c>
      <c r="C8" s="109" t="str">
        <f>VLOOKUP($A8,ANAGRAFICA!$B$1:$G$306,3,FALSE)</f>
        <v>FABIO</v>
      </c>
      <c r="D8" s="109" t="str">
        <f>VLOOKUP($A8,ANAGRAFICA!$B$1:$G$306,4,FALSE)</f>
        <v/>
      </c>
      <c r="E8" s="109">
        <f>VLOOKUP($A8,ANAGRAFICA!$B$1:$G$306,5,FALSE)</f>
        <v>3272024051</v>
      </c>
      <c r="F8" s="109">
        <f>VLOOKUP($A8,ANAGRAFICA!$B$1:$G$306,6,FALSE)</f>
        <v>2024</v>
      </c>
      <c r="G8" s="3">
        <v>1.0</v>
      </c>
      <c r="H8" s="14" t="s">
        <v>1067</v>
      </c>
      <c r="I8" s="77">
        <v>45296.0</v>
      </c>
      <c r="J8" s="11" t="b">
        <v>1</v>
      </c>
    </row>
    <row r="9">
      <c r="A9" s="57">
        <v>2.124000241E9</v>
      </c>
      <c r="B9" s="109" t="str">
        <f>VLOOKUP($A9,ANAGRAFICA!$B$1:$G$306,2,FALSE)</f>
        <v>ISELLA</v>
      </c>
      <c r="C9" s="109" t="str">
        <f>VLOOKUP($A9,ANAGRAFICA!$B$1:$G$306,3,FALSE)</f>
        <v>VINCENZO</v>
      </c>
      <c r="D9" s="109" t="str">
        <f>VLOOKUP($A9,ANAGRAFICA!$B$1:$G$306,4,FALSE)</f>
        <v/>
      </c>
      <c r="E9" s="109">
        <f>VLOOKUP($A9,ANAGRAFICA!$B$1:$G$306,5,FALSE)</f>
        <v>3272024052</v>
      </c>
      <c r="F9" s="109">
        <f>VLOOKUP($A9,ANAGRAFICA!$B$1:$G$306,6,FALSE)</f>
        <v>2024</v>
      </c>
      <c r="G9" s="3">
        <v>1.0</v>
      </c>
      <c r="H9" s="14" t="s">
        <v>1067</v>
      </c>
      <c r="I9" s="77" t="s">
        <v>1069</v>
      </c>
      <c r="J9" s="11" t="b">
        <v>1</v>
      </c>
    </row>
    <row r="10">
      <c r="A10" s="57">
        <v>2.124000328E9</v>
      </c>
      <c r="B10" s="109" t="str">
        <f>VLOOKUP($A10,ANAGRAFICA!$B$1:$G$306,2,FALSE)</f>
        <v>LAVANGA</v>
      </c>
      <c r="C10" s="109" t="str">
        <f>VLOOKUP($A10,ANAGRAFICA!$B$1:$G$306,3,FALSE)</f>
        <v>DONATO</v>
      </c>
      <c r="D10" s="109" t="str">
        <f>VLOOKUP($A10,ANAGRAFICA!$B$1:$G$306,4,FALSE)</f>
        <v/>
      </c>
      <c r="E10" s="109">
        <f>VLOOKUP($A10,ANAGRAFICA!$B$1:$G$306,5,FALSE)</f>
        <v>3272024053</v>
      </c>
      <c r="F10" s="109">
        <f>VLOOKUP($A10,ANAGRAFICA!$B$1:$G$306,6,FALSE)</f>
        <v>2024</v>
      </c>
      <c r="G10" s="3">
        <v>1.0</v>
      </c>
      <c r="H10" s="14" t="s">
        <v>1070</v>
      </c>
      <c r="I10" s="77">
        <v>45300.0</v>
      </c>
      <c r="J10" s="11" t="b">
        <v>0</v>
      </c>
    </row>
    <row r="11">
      <c r="A11" s="57">
        <v>2.124000328E9</v>
      </c>
      <c r="B11" s="109" t="str">
        <f>VLOOKUP($A11,ANAGRAFICA!$B$1:$G$306,2,FALSE)</f>
        <v>LAVANGA</v>
      </c>
      <c r="C11" s="109" t="str">
        <f>VLOOKUP($A11,ANAGRAFICA!$B$1:$G$306,3,FALSE)</f>
        <v>DONATO</v>
      </c>
      <c r="D11" s="109" t="str">
        <f>VLOOKUP($A11,ANAGRAFICA!$B$1:$G$306,4,FALSE)</f>
        <v/>
      </c>
      <c r="E11" s="109">
        <f>VLOOKUP($A11,ANAGRAFICA!$B$1:$G$306,5,FALSE)</f>
        <v>3272024053</v>
      </c>
      <c r="F11" s="109">
        <f>VLOOKUP($A11,ANAGRAFICA!$B$1:$G$306,6,FALSE)</f>
        <v>2024</v>
      </c>
      <c r="G11" s="3">
        <v>1.0</v>
      </c>
      <c r="H11" s="14" t="s">
        <v>1067</v>
      </c>
      <c r="I11" s="77">
        <v>45300.0</v>
      </c>
      <c r="J11" s="11" t="b">
        <v>1</v>
      </c>
    </row>
    <row r="12">
      <c r="A12" s="57">
        <v>2.124002215E9</v>
      </c>
      <c r="B12" s="109" t="str">
        <f>VLOOKUP($A12,ANAGRAFICA!$B$1:$G$306,2,FALSE)</f>
        <v>SCHIFANO</v>
      </c>
      <c r="C12" s="109" t="str">
        <f>VLOOKUP($A12,ANAGRAFICA!$B$1:$G$306,3,FALSE)</f>
        <v>FRANCESCO</v>
      </c>
      <c r="D12" s="109" t="str">
        <f>VLOOKUP($A12,ANAGRAFICA!$B$1:$G$306,4,FALSE)</f>
        <v/>
      </c>
      <c r="E12" s="109">
        <f>VLOOKUP($A12,ANAGRAFICA!$B$1:$G$306,5,FALSE)</f>
        <v>3272024055</v>
      </c>
      <c r="F12" s="109">
        <f>VLOOKUP($A12,ANAGRAFICA!$B$1:$G$306,6,FALSE)</f>
        <v>2024</v>
      </c>
      <c r="G12" s="3">
        <v>1.0</v>
      </c>
      <c r="H12" s="14" t="s">
        <v>1071</v>
      </c>
      <c r="I12" s="77">
        <v>45327.0</v>
      </c>
      <c r="J12" s="11" t="b">
        <v>0</v>
      </c>
    </row>
    <row r="13">
      <c r="A13" s="57">
        <v>2.124002215E9</v>
      </c>
      <c r="B13" s="109" t="str">
        <f>VLOOKUP($A13,ANAGRAFICA!$B$1:$G$306,2,FALSE)</f>
        <v>SCHIFANO</v>
      </c>
      <c r="C13" s="109" t="str">
        <f>VLOOKUP($A13,ANAGRAFICA!$B$1:$G$306,3,FALSE)</f>
        <v>FRANCESCO</v>
      </c>
      <c r="D13" s="109" t="str">
        <f>VLOOKUP($A13,ANAGRAFICA!$B$1:$G$306,4,FALSE)</f>
        <v/>
      </c>
      <c r="E13" s="109">
        <f>VLOOKUP($A13,ANAGRAFICA!$B$1:$G$306,5,FALSE)</f>
        <v>3272024055</v>
      </c>
      <c r="F13" s="109">
        <f>VLOOKUP($A13,ANAGRAFICA!$B$1:$G$306,6,FALSE)</f>
        <v>2024</v>
      </c>
      <c r="G13" s="3">
        <v>1.0</v>
      </c>
      <c r="H13" s="14" t="s">
        <v>1066</v>
      </c>
      <c r="I13" s="77">
        <v>45331.0</v>
      </c>
      <c r="J13" s="11" t="b">
        <v>0</v>
      </c>
    </row>
    <row r="14">
      <c r="A14" s="57">
        <v>2.124202869E9</v>
      </c>
      <c r="B14" s="109" t="str">
        <f>VLOOKUP($A14,ANAGRAFICA!$B$1:$G$306,2,FALSE)</f>
        <v>VALSECCHI</v>
      </c>
      <c r="C14" s="109" t="str">
        <f>VLOOKUP($A14,ANAGRAFICA!$B$1:$G$306,3,FALSE)</f>
        <v>ANDREA</v>
      </c>
      <c r="D14" s="109" t="str">
        <f>VLOOKUP($A14,ANAGRAFICA!$B$1:$G$306,4,FALSE)</f>
        <v/>
      </c>
      <c r="E14" s="109">
        <f>VLOOKUP($A14,ANAGRAFICA!$B$1:$G$306,5,FALSE)</f>
        <v>3272024056</v>
      </c>
      <c r="F14" s="109">
        <f>VLOOKUP($A14,ANAGRAFICA!$B$1:$G$306,6,FALSE)</f>
        <v>2024</v>
      </c>
      <c r="G14" s="3">
        <v>1.0</v>
      </c>
      <c r="H14" s="14" t="s">
        <v>1067</v>
      </c>
      <c r="I14" s="77">
        <v>45337.0</v>
      </c>
      <c r="J14" s="11" t="b">
        <v>1</v>
      </c>
    </row>
    <row r="15">
      <c r="A15" s="57">
        <v>2.124202869E9</v>
      </c>
      <c r="B15" s="109" t="str">
        <f>VLOOKUP($A15,ANAGRAFICA!$B$1:$G$306,2,FALSE)</f>
        <v>VALSECCHI</v>
      </c>
      <c r="C15" s="109" t="str">
        <f>VLOOKUP($A15,ANAGRAFICA!$B$1:$G$306,3,FALSE)</f>
        <v>ANDREA</v>
      </c>
      <c r="D15" s="109" t="str">
        <f>VLOOKUP($A15,ANAGRAFICA!$B$1:$G$306,4,FALSE)</f>
        <v/>
      </c>
      <c r="E15" s="109">
        <f>VLOOKUP($A15,ANAGRAFICA!$B$1:$G$306,5,FALSE)</f>
        <v>3272024056</v>
      </c>
      <c r="F15" s="109">
        <f>VLOOKUP($A15,ANAGRAFICA!$B$1:$G$306,6,FALSE)</f>
        <v>2024</v>
      </c>
      <c r="G15" s="3">
        <v>1.0</v>
      </c>
      <c r="H15" s="14" t="s">
        <v>1072</v>
      </c>
      <c r="I15" s="77">
        <v>45337.0</v>
      </c>
      <c r="J15" s="11" t="b">
        <v>1</v>
      </c>
    </row>
    <row r="16">
      <c r="A16" s="57">
        <v>2.124003531E9</v>
      </c>
      <c r="B16" s="109" t="str">
        <f>VLOOKUP($A16,ANAGRAFICA!$B$1:$G$306,2,FALSE)</f>
        <v>RASPANTI</v>
      </c>
      <c r="C16" s="109" t="str">
        <f>VLOOKUP($A16,ANAGRAFICA!$B$1:$G$306,3,FALSE)</f>
        <v>ANDREA</v>
      </c>
      <c r="D16" s="109" t="str">
        <f>VLOOKUP($A16,ANAGRAFICA!$B$1:$G$306,4,FALSE)</f>
        <v/>
      </c>
      <c r="E16" s="109">
        <f>VLOOKUP($A16,ANAGRAFICA!$B$1:$G$306,5,FALSE)</f>
        <v>3272024057</v>
      </c>
      <c r="F16" s="109">
        <f>VLOOKUP($A16,ANAGRAFICA!$B$1:$G$306,6,FALSE)</f>
        <v>2024</v>
      </c>
      <c r="G16" s="3">
        <v>1.0</v>
      </c>
      <c r="H16" s="14" t="s">
        <v>1073</v>
      </c>
      <c r="I16" s="77">
        <v>45344.0</v>
      </c>
      <c r="J16" s="11" t="b">
        <v>1</v>
      </c>
    </row>
    <row r="17">
      <c r="A17" s="57">
        <v>2.124003531E9</v>
      </c>
      <c r="B17" s="109" t="str">
        <f>VLOOKUP($A17,ANAGRAFICA!$B$1:$G$306,2,FALSE)</f>
        <v>RASPANTI</v>
      </c>
      <c r="C17" s="109" t="str">
        <f>VLOOKUP($A17,ANAGRAFICA!$B$1:$G$306,3,FALSE)</f>
        <v>ANDREA</v>
      </c>
      <c r="D17" s="109" t="str">
        <f>VLOOKUP($A17,ANAGRAFICA!$B$1:$G$306,4,FALSE)</f>
        <v/>
      </c>
      <c r="E17" s="109">
        <f>VLOOKUP($A17,ANAGRAFICA!$B$1:$G$306,5,FALSE)</f>
        <v>3272024057</v>
      </c>
      <c r="F17" s="109">
        <f>VLOOKUP($A17,ANAGRAFICA!$B$1:$G$306,6,FALSE)</f>
        <v>2024</v>
      </c>
      <c r="G17" s="3">
        <v>1.0</v>
      </c>
      <c r="H17" s="14" t="s">
        <v>1065</v>
      </c>
      <c r="I17" s="77">
        <v>45347.0</v>
      </c>
      <c r="J17" s="11" t="b">
        <v>0</v>
      </c>
    </row>
    <row r="18">
      <c r="A18" s="57">
        <v>2.124203781E9</v>
      </c>
      <c r="B18" s="109" t="str">
        <f>VLOOKUP($A18,ANAGRAFICA!$B$1:$G$306,2,FALSE)</f>
        <v>CONCA</v>
      </c>
      <c r="C18" s="109" t="str">
        <f>VLOOKUP($A18,ANAGRAFICA!$B$1:$G$306,3,FALSE)</f>
        <v>CAMILLA</v>
      </c>
      <c r="D18" s="109" t="str">
        <f>VLOOKUP($A18,ANAGRAFICA!$B$1:$G$306,4,FALSE)</f>
        <v/>
      </c>
      <c r="E18" s="109">
        <f>VLOOKUP($A18,ANAGRAFICA!$B$1:$G$306,5,FALSE)</f>
        <v>3272024058</v>
      </c>
      <c r="F18" s="109">
        <f>VLOOKUP($A18,ANAGRAFICA!$B$1:$G$306,6,FALSE)</f>
        <v>2024</v>
      </c>
      <c r="G18" s="3">
        <v>1.0</v>
      </c>
      <c r="H18" s="14" t="s">
        <v>1067</v>
      </c>
      <c r="I18" s="77">
        <v>45351.0</v>
      </c>
      <c r="J18" s="11" t="b">
        <v>0</v>
      </c>
    </row>
    <row r="19">
      <c r="A19" s="57">
        <v>2.124203781E9</v>
      </c>
      <c r="B19" s="109" t="str">
        <f>VLOOKUP($A19,ANAGRAFICA!$B$1:$G$306,2,FALSE)</f>
        <v>CONCA</v>
      </c>
      <c r="C19" s="109" t="str">
        <f>VLOOKUP($A19,ANAGRAFICA!$B$1:$G$306,3,FALSE)</f>
        <v>CAMILLA</v>
      </c>
      <c r="D19" s="109" t="str">
        <f>VLOOKUP($A19,ANAGRAFICA!$B$1:$G$306,4,FALSE)</f>
        <v/>
      </c>
      <c r="E19" s="109">
        <f>VLOOKUP($A19,ANAGRAFICA!$B$1:$G$306,5,FALSE)</f>
        <v>3272024058</v>
      </c>
      <c r="F19" s="109">
        <f>VLOOKUP($A19,ANAGRAFICA!$B$1:$G$306,6,FALSE)</f>
        <v>2024</v>
      </c>
      <c r="G19" s="3">
        <v>1.0</v>
      </c>
      <c r="H19" s="14" t="s">
        <v>1064</v>
      </c>
      <c r="I19" s="77">
        <v>45351.0</v>
      </c>
      <c r="J19" s="11" t="b">
        <v>1</v>
      </c>
    </row>
    <row r="20">
      <c r="A20" s="57">
        <v>2.12401869E9</v>
      </c>
      <c r="B20" s="109" t="str">
        <f>VLOOKUP($A20,ANAGRAFICA!$B$1:$G$306,2,FALSE)</f>
        <v>AVENIDO</v>
      </c>
      <c r="C20" s="109" t="str">
        <f>VLOOKUP($A20,ANAGRAFICA!$B$1:$G$306,3,FALSE)</f>
        <v>DELFIN</v>
      </c>
      <c r="D20" s="109" t="str">
        <f>VLOOKUP($A20,ANAGRAFICA!$B$1:$G$306,4,FALSE)</f>
        <v>758-16</v>
      </c>
      <c r="E20" s="109">
        <f>VLOOKUP($A20,ANAGRAFICA!$B$1:$G$306,5,FALSE)</f>
        <v>3272024082</v>
      </c>
      <c r="F20" s="109">
        <f>VLOOKUP($A20,ANAGRAFICA!$B$1:$G$306,6,FALSE)</f>
        <v>2024</v>
      </c>
      <c r="G20" s="3">
        <v>1.0</v>
      </c>
      <c r="H20" s="14" t="s">
        <v>1064</v>
      </c>
      <c r="I20" s="76">
        <v>45586.0</v>
      </c>
      <c r="J20" s="11" t="b">
        <v>0</v>
      </c>
    </row>
    <row r="21">
      <c r="A21" s="57">
        <v>2.12401869E9</v>
      </c>
      <c r="B21" s="109" t="str">
        <f>VLOOKUP($A21,ANAGRAFICA!$B$1:$G$306,2,FALSE)</f>
        <v>AVENIDO</v>
      </c>
      <c r="C21" s="109" t="str">
        <f>VLOOKUP($A21,ANAGRAFICA!$B$1:$G$306,3,FALSE)</f>
        <v>DELFIN</v>
      </c>
      <c r="D21" s="109" t="str">
        <f>VLOOKUP($A21,ANAGRAFICA!$B$1:$G$306,4,FALSE)</f>
        <v>758-16</v>
      </c>
      <c r="E21" s="109">
        <f>VLOOKUP($A21,ANAGRAFICA!$B$1:$G$306,5,FALSE)</f>
        <v>3272024082</v>
      </c>
      <c r="F21" s="109">
        <f>VLOOKUP($A21,ANAGRAFICA!$B$1:$G$306,6,FALSE)</f>
        <v>2024</v>
      </c>
      <c r="G21" s="3">
        <v>1.0</v>
      </c>
      <c r="H21" s="14" t="s">
        <v>1066</v>
      </c>
      <c r="I21" s="76">
        <v>45587.0</v>
      </c>
      <c r="J21" s="11" t="b">
        <v>0</v>
      </c>
    </row>
    <row r="22">
      <c r="A22" s="57">
        <v>2.124018637E9</v>
      </c>
      <c r="B22" s="109" t="str">
        <f>VLOOKUP($A22,ANAGRAFICA!$B$1:$G$306,2,FALSE)</f>
        <v>CARIBONI</v>
      </c>
      <c r="C22" s="109" t="str">
        <f>VLOOKUP($A22,ANAGRAFICA!$B$1:$G$306,3,FALSE)</f>
        <v>LORENZA</v>
      </c>
      <c r="D22" s="109" t="str">
        <f>VLOOKUP($A22,ANAGRAFICA!$B$1:$G$306,4,FALSE)</f>
        <v>758-15</v>
      </c>
      <c r="E22" s="109">
        <f>VLOOKUP($A22,ANAGRAFICA!$B$1:$G$306,5,FALSE)</f>
        <v>3272024081</v>
      </c>
      <c r="F22" s="109">
        <f>VLOOKUP($A22,ANAGRAFICA!$B$1:$G$306,6,FALSE)</f>
        <v>2024</v>
      </c>
      <c r="G22" s="3">
        <v>1.0</v>
      </c>
      <c r="H22" s="14" t="s">
        <v>1065</v>
      </c>
      <c r="I22" s="76">
        <v>45584.0</v>
      </c>
      <c r="J22" s="11" t="b">
        <v>0</v>
      </c>
    </row>
    <row r="23">
      <c r="A23" s="57">
        <v>2.124018637E9</v>
      </c>
      <c r="B23" s="109" t="str">
        <f>VLOOKUP($A23,ANAGRAFICA!$B$1:$G$306,2,FALSE)</f>
        <v>CARIBONI</v>
      </c>
      <c r="C23" s="109" t="str">
        <f>VLOOKUP($A23,ANAGRAFICA!$B$1:$G$306,3,FALSE)</f>
        <v>LORENZA</v>
      </c>
      <c r="D23" s="109" t="str">
        <f>VLOOKUP($A23,ANAGRAFICA!$B$1:$G$306,4,FALSE)</f>
        <v>758-15</v>
      </c>
      <c r="E23" s="109">
        <f>VLOOKUP($A23,ANAGRAFICA!$B$1:$G$306,5,FALSE)</f>
        <v>3272024081</v>
      </c>
      <c r="F23" s="109">
        <f>VLOOKUP($A23,ANAGRAFICA!$B$1:$G$306,6,FALSE)</f>
        <v>2024</v>
      </c>
      <c r="G23" s="3">
        <v>1.0</v>
      </c>
      <c r="H23" s="14" t="s">
        <v>1070</v>
      </c>
      <c r="I23" s="76">
        <v>45585.0</v>
      </c>
      <c r="J23" s="11" t="b">
        <v>0</v>
      </c>
    </row>
    <row r="24">
      <c r="A24" s="57">
        <v>2.124019184E9</v>
      </c>
      <c r="B24" s="109" t="str">
        <f>VLOOKUP($A24,ANAGRAFICA!$B$1:$G$306,2,FALSE)</f>
        <v>SERVIDIO</v>
      </c>
      <c r="C24" s="109" t="str">
        <f>VLOOKUP($A24,ANAGRAFICA!$B$1:$G$306,3,FALSE)</f>
        <v>GIOVANNI</v>
      </c>
      <c r="D24" s="109" t="str">
        <f>VLOOKUP($A24,ANAGRAFICA!$B$1:$G$306,4,FALSE)</f>
        <v>758-17</v>
      </c>
      <c r="E24" s="109">
        <f>VLOOKUP($A24,ANAGRAFICA!$B$1:$G$306,5,FALSE)</f>
        <v>3272024083</v>
      </c>
      <c r="F24" s="109">
        <f>VLOOKUP($A24,ANAGRAFICA!$B$1:$G$306,6,FALSE)</f>
        <v>2024</v>
      </c>
      <c r="G24" s="3">
        <v>1.0</v>
      </c>
      <c r="H24" s="14" t="s">
        <v>1065</v>
      </c>
      <c r="I24" s="76">
        <v>45594.0</v>
      </c>
      <c r="J24" s="11" t="b">
        <v>0</v>
      </c>
    </row>
    <row r="25">
      <c r="A25" s="57">
        <v>2.124019184E9</v>
      </c>
      <c r="B25" s="109" t="str">
        <f>VLOOKUP($A25,ANAGRAFICA!$B$1:$G$306,2,FALSE)</f>
        <v>SERVIDIO</v>
      </c>
      <c r="C25" s="109" t="str">
        <f>VLOOKUP($A25,ANAGRAFICA!$B$1:$G$306,3,FALSE)</f>
        <v>GIOVANNI</v>
      </c>
      <c r="D25" s="109" t="str">
        <f>VLOOKUP($A25,ANAGRAFICA!$B$1:$G$306,4,FALSE)</f>
        <v>758-17</v>
      </c>
      <c r="E25" s="109">
        <f>VLOOKUP($A25,ANAGRAFICA!$B$1:$G$306,5,FALSE)</f>
        <v>3272024083</v>
      </c>
      <c r="F25" s="109">
        <f>VLOOKUP($A25,ANAGRAFICA!$B$1:$G$306,6,FALSE)</f>
        <v>2024</v>
      </c>
      <c r="G25" s="3">
        <v>1.0</v>
      </c>
      <c r="H25" s="14" t="s">
        <v>1074</v>
      </c>
      <c r="I25" s="76">
        <v>45607.0</v>
      </c>
      <c r="J25" s="11" t="b">
        <v>0</v>
      </c>
    </row>
    <row r="26">
      <c r="A26" s="57">
        <v>2.124019184E9</v>
      </c>
      <c r="B26" s="109" t="str">
        <f>VLOOKUP($A26,ANAGRAFICA!$B$1:$G$306,2,FALSE)</f>
        <v>SERVIDIO</v>
      </c>
      <c r="C26" s="109" t="str">
        <f>VLOOKUP($A26,ANAGRAFICA!$B$1:$G$306,3,FALSE)</f>
        <v>GIOVANNI</v>
      </c>
      <c r="D26" s="109" t="str">
        <f>VLOOKUP($A26,ANAGRAFICA!$B$1:$G$306,4,FALSE)</f>
        <v>758-17</v>
      </c>
      <c r="E26" s="109">
        <f>VLOOKUP($A26,ANAGRAFICA!$B$1:$G$306,5,FALSE)</f>
        <v>3272024083</v>
      </c>
      <c r="F26" s="109">
        <f>VLOOKUP($A26,ANAGRAFICA!$B$1:$G$306,6,FALSE)</f>
        <v>2024</v>
      </c>
      <c r="G26" s="3">
        <v>1.0</v>
      </c>
      <c r="H26" s="14" t="s">
        <v>1067</v>
      </c>
      <c r="I26" s="76">
        <v>45600.0</v>
      </c>
      <c r="J26" s="11" t="b">
        <v>1</v>
      </c>
    </row>
    <row r="27">
      <c r="A27" s="57">
        <v>2.124019184E9</v>
      </c>
      <c r="B27" s="109" t="str">
        <f>VLOOKUP($A27,ANAGRAFICA!$B$1:$G$306,2,FALSE)</f>
        <v>SERVIDIO</v>
      </c>
      <c r="C27" s="109" t="str">
        <f>VLOOKUP($A27,ANAGRAFICA!$B$1:$G$306,3,FALSE)</f>
        <v>GIOVANNI</v>
      </c>
      <c r="D27" s="109" t="str">
        <f>VLOOKUP($A27,ANAGRAFICA!$B$1:$G$306,4,FALSE)</f>
        <v>758-17</v>
      </c>
      <c r="E27" s="109">
        <f>VLOOKUP($A27,ANAGRAFICA!$B$1:$G$306,5,FALSE)</f>
        <v>3272024083</v>
      </c>
      <c r="F27" s="109">
        <f>VLOOKUP($A27,ANAGRAFICA!$B$1:$G$306,6,FALSE)</f>
        <v>2024</v>
      </c>
      <c r="G27" s="3">
        <v>1.0</v>
      </c>
      <c r="H27" s="14" t="s">
        <v>1072</v>
      </c>
      <c r="I27" s="76">
        <v>45601.0</v>
      </c>
      <c r="J27" s="11" t="b">
        <v>0</v>
      </c>
    </row>
    <row r="28">
      <c r="A28" s="57">
        <v>2.124019184E9</v>
      </c>
      <c r="B28" s="109" t="str">
        <f>VLOOKUP($A28,ANAGRAFICA!$B$1:$G$306,2,FALSE)</f>
        <v>SERVIDIO</v>
      </c>
      <c r="C28" s="109" t="str">
        <f>VLOOKUP($A28,ANAGRAFICA!$B$1:$G$306,3,FALSE)</f>
        <v>GIOVANNI</v>
      </c>
      <c r="D28" s="109" t="str">
        <f>VLOOKUP($A28,ANAGRAFICA!$B$1:$G$306,4,FALSE)</f>
        <v>758-17</v>
      </c>
      <c r="E28" s="109">
        <f>VLOOKUP($A28,ANAGRAFICA!$B$1:$G$306,5,FALSE)</f>
        <v>3272024083</v>
      </c>
      <c r="F28" s="109">
        <f>VLOOKUP($A28,ANAGRAFICA!$B$1:$G$306,6,FALSE)</f>
        <v>2024</v>
      </c>
      <c r="G28" s="3">
        <v>1.0</v>
      </c>
      <c r="H28" s="14" t="s">
        <v>1075</v>
      </c>
      <c r="I28" s="76">
        <v>45601.0</v>
      </c>
      <c r="J28" s="11" t="b">
        <v>0</v>
      </c>
    </row>
    <row r="29">
      <c r="A29" s="57">
        <v>2.124019184E9</v>
      </c>
      <c r="B29" s="109" t="str">
        <f>VLOOKUP($A29,ANAGRAFICA!$B$1:$G$306,2,FALSE)</f>
        <v>SERVIDIO</v>
      </c>
      <c r="C29" s="109" t="str">
        <f>VLOOKUP($A29,ANAGRAFICA!$B$1:$G$306,3,FALSE)</f>
        <v>GIOVANNI</v>
      </c>
      <c r="D29" s="109" t="str">
        <f>VLOOKUP($A29,ANAGRAFICA!$B$1:$G$306,4,FALSE)</f>
        <v>758-17</v>
      </c>
      <c r="E29" s="109">
        <f>VLOOKUP($A29,ANAGRAFICA!$B$1:$G$306,5,FALSE)</f>
        <v>3272024083</v>
      </c>
      <c r="F29" s="109">
        <f>VLOOKUP($A29,ANAGRAFICA!$B$1:$G$306,6,FALSE)</f>
        <v>2024</v>
      </c>
      <c r="G29" s="3">
        <v>1.0</v>
      </c>
      <c r="H29" s="14" t="s">
        <v>1076</v>
      </c>
      <c r="I29" s="76">
        <v>45607.0</v>
      </c>
      <c r="J29" s="11" t="b">
        <v>1</v>
      </c>
    </row>
    <row r="30">
      <c r="A30" s="57">
        <v>2.124017757E9</v>
      </c>
      <c r="B30" s="109" t="str">
        <f>VLOOKUP($A30,ANAGRAFICA!$B$1:$G$306,2,FALSE)</f>
        <v>SALA</v>
      </c>
      <c r="C30" s="109" t="str">
        <f>VLOOKUP($A30,ANAGRAFICA!$B$1:$G$306,3,FALSE)</f>
        <v>FELICE</v>
      </c>
      <c r="D30" s="109" t="str">
        <f>VLOOKUP($A30,ANAGRAFICA!$B$1:$G$306,4,FALSE)</f>
        <v>758-14</v>
      </c>
      <c r="E30" s="109">
        <f>VLOOKUP($A30,ANAGRAFICA!$B$1:$G$306,5,FALSE)</f>
        <v>3272024080</v>
      </c>
      <c r="F30" s="109">
        <f>VLOOKUP($A30,ANAGRAFICA!$B$1:$G$306,6,FALSE)</f>
        <v>2024</v>
      </c>
      <c r="G30" s="3">
        <v>1.0</v>
      </c>
      <c r="H30" s="14" t="s">
        <v>1068</v>
      </c>
      <c r="I30" s="76">
        <v>45573.0</v>
      </c>
      <c r="J30" s="11" t="b">
        <v>0</v>
      </c>
    </row>
    <row r="31">
      <c r="A31" s="57">
        <v>2.124017757E9</v>
      </c>
      <c r="B31" s="109" t="str">
        <f>VLOOKUP($A31,ANAGRAFICA!$B$1:$G$306,2,FALSE)</f>
        <v>SALA</v>
      </c>
      <c r="C31" s="109" t="str">
        <f>VLOOKUP($A31,ANAGRAFICA!$B$1:$G$306,3,FALSE)</f>
        <v>FELICE</v>
      </c>
      <c r="D31" s="109" t="str">
        <f>VLOOKUP($A31,ANAGRAFICA!$B$1:$G$306,4,FALSE)</f>
        <v>758-14</v>
      </c>
      <c r="E31" s="109">
        <f>VLOOKUP($A31,ANAGRAFICA!$B$1:$G$306,5,FALSE)</f>
        <v>3272024080</v>
      </c>
      <c r="F31" s="109">
        <f>VLOOKUP($A31,ANAGRAFICA!$B$1:$G$306,6,FALSE)</f>
        <v>2024</v>
      </c>
      <c r="G31" s="3">
        <v>1.0</v>
      </c>
      <c r="H31" s="14" t="s">
        <v>1073</v>
      </c>
      <c r="I31" s="76">
        <v>45575.0</v>
      </c>
      <c r="J31" s="11" t="b">
        <v>1</v>
      </c>
    </row>
    <row r="32">
      <c r="A32" s="57">
        <v>2.124211722E9</v>
      </c>
      <c r="B32" s="109" t="str">
        <f>VLOOKUP($A32,ANAGRAFICA!$B$1:$G$306,2,FALSE)</f>
        <v>CORIO</v>
      </c>
      <c r="C32" s="109" t="str">
        <f>VLOOKUP($A32,ANAGRAFICA!$B$1:$G$306,3,FALSE)</f>
        <v>GIOVANNI</v>
      </c>
      <c r="D32" s="109" t="str">
        <f>VLOOKUP($A32,ANAGRAFICA!$B$1:$G$306,4,FALSE)</f>
        <v>758-13</v>
      </c>
      <c r="E32" s="109">
        <f>VLOOKUP($A32,ANAGRAFICA!$B$1:$G$306,5,FALSE)</f>
        <v>3272024079</v>
      </c>
      <c r="F32" s="109">
        <f>VLOOKUP($A32,ANAGRAFICA!$B$1:$G$306,6,FALSE)</f>
        <v>2024</v>
      </c>
      <c r="G32" s="3">
        <v>1.0</v>
      </c>
      <c r="H32" s="14" t="s">
        <v>1072</v>
      </c>
      <c r="I32" s="76">
        <v>45576.0</v>
      </c>
      <c r="J32" s="11" t="b">
        <v>1</v>
      </c>
    </row>
    <row r="33">
      <c r="A33" s="57">
        <v>2.124014334E9</v>
      </c>
      <c r="B33" s="109" t="str">
        <f>VLOOKUP($A33,ANAGRAFICA!$B$1:$G$306,2,FALSE)</f>
        <v>PONTIGGIA</v>
      </c>
      <c r="C33" s="109" t="str">
        <f>VLOOKUP($A33,ANAGRAFICA!$B$1:$G$306,3,FALSE)</f>
        <v>FLAVIO</v>
      </c>
      <c r="D33" s="109" t="str">
        <f>VLOOKUP($A33,ANAGRAFICA!$B$1:$G$306,4,FALSE)</f>
        <v>758-9</v>
      </c>
      <c r="E33" s="109">
        <f>VLOOKUP($A33,ANAGRAFICA!$B$1:$G$306,5,FALSE)</f>
        <v>3272024075</v>
      </c>
      <c r="F33" s="109">
        <f>VLOOKUP($A33,ANAGRAFICA!$B$1:$G$306,6,FALSE)</f>
        <v>2024</v>
      </c>
      <c r="G33" s="3">
        <v>1.0</v>
      </c>
      <c r="H33" s="14" t="s">
        <v>1070</v>
      </c>
      <c r="I33" s="77">
        <v>45513.0</v>
      </c>
      <c r="J33" s="11" t="b">
        <v>0</v>
      </c>
    </row>
    <row r="34">
      <c r="A34" s="57">
        <v>2.124013801E9</v>
      </c>
      <c r="B34" s="109" t="str">
        <f>VLOOKUP($A34,ANAGRAFICA!$B$1:$G$306,2,FALSE)</f>
        <v>SGOBBA</v>
      </c>
      <c r="C34" s="109" t="str">
        <f>VLOOKUP($A34,ANAGRAFICA!$B$1:$G$306,3,FALSE)</f>
        <v>ANNA</v>
      </c>
      <c r="D34" s="109" t="str">
        <f>VLOOKUP($A34,ANAGRAFICA!$B$1:$G$306,4,FALSE)</f>
        <v>758-8</v>
      </c>
      <c r="E34" s="109">
        <f>VLOOKUP($A34,ANAGRAFICA!$B$1:$G$306,5,FALSE)</f>
        <v>3272024074</v>
      </c>
      <c r="F34" s="109">
        <f>VLOOKUP($A34,ANAGRAFICA!$B$1:$G$306,6,FALSE)</f>
        <v>2024</v>
      </c>
      <c r="G34" s="3">
        <v>1.0</v>
      </c>
      <c r="H34" s="14" t="s">
        <v>1068</v>
      </c>
      <c r="I34" s="77">
        <v>45512.0</v>
      </c>
      <c r="J34" s="11" t="b">
        <v>0</v>
      </c>
    </row>
    <row r="35">
      <c r="A35" s="57">
        <v>2.124013801E9</v>
      </c>
      <c r="B35" s="109" t="str">
        <f>VLOOKUP($A35,ANAGRAFICA!$B$1:$G$306,2,FALSE)</f>
        <v>SGOBBA</v>
      </c>
      <c r="C35" s="109" t="str">
        <f>VLOOKUP($A35,ANAGRAFICA!$B$1:$G$306,3,FALSE)</f>
        <v>ANNA</v>
      </c>
      <c r="D35" s="109" t="str">
        <f>VLOOKUP($A35,ANAGRAFICA!$B$1:$G$306,4,FALSE)</f>
        <v>758-8</v>
      </c>
      <c r="E35" s="109">
        <f>VLOOKUP($A35,ANAGRAFICA!$B$1:$G$306,5,FALSE)</f>
        <v>3272024074</v>
      </c>
      <c r="F35" s="109">
        <f>VLOOKUP($A35,ANAGRAFICA!$B$1:$G$306,6,FALSE)</f>
        <v>2024</v>
      </c>
      <c r="G35" s="3">
        <v>1.0</v>
      </c>
      <c r="H35" s="14" t="s">
        <v>1072</v>
      </c>
      <c r="I35" s="77">
        <v>45514.0</v>
      </c>
      <c r="J35" s="11" t="b">
        <v>0</v>
      </c>
      <c r="K35" s="3" t="s">
        <v>1077</v>
      </c>
    </row>
    <row r="36">
      <c r="A36" s="57">
        <v>2.124013801E9</v>
      </c>
      <c r="B36" s="154" t="s">
        <v>140</v>
      </c>
      <c r="C36" s="109" t="str">
        <f>VLOOKUP($A36,ANAGRAFICA!$B$1:$G$306,3,FALSE)</f>
        <v>ANNA</v>
      </c>
      <c r="D36" s="109" t="str">
        <f>VLOOKUP($A36,ANAGRAFICA!$B$1:$G$306,4,FALSE)</f>
        <v>758-8</v>
      </c>
      <c r="E36" s="109">
        <f>VLOOKUP($A36,ANAGRAFICA!$B$1:$G$306,5,FALSE)</f>
        <v>3272024074</v>
      </c>
      <c r="F36" s="109">
        <f>VLOOKUP($A36,ANAGRAFICA!$B$1:$G$306,6,FALSE)</f>
        <v>2024</v>
      </c>
      <c r="G36" s="3">
        <v>1.0</v>
      </c>
      <c r="H36" s="14" t="s">
        <v>1078</v>
      </c>
      <c r="I36" s="77">
        <v>45512.0</v>
      </c>
      <c r="J36" s="11" t="b">
        <v>0</v>
      </c>
    </row>
    <row r="37">
      <c r="A37" s="57">
        <v>2.124011588E9</v>
      </c>
      <c r="B37" s="109" t="str">
        <f>VLOOKUP($A37,ANAGRAFICA!$B$1:$G$306,2,FALSE)</f>
        <v>FRATINO</v>
      </c>
      <c r="C37" s="109" t="str">
        <f>VLOOKUP($A37,ANAGRAFICA!$B$1:$G$306,3,FALSE)</f>
        <v>OLIVIERO</v>
      </c>
      <c r="D37" s="109" t="str">
        <f>VLOOKUP($A37,ANAGRAFICA!$B$1:$G$306,4,FALSE)</f>
        <v>758-4</v>
      </c>
      <c r="E37" s="109">
        <f>VLOOKUP($A37,ANAGRAFICA!$B$1:$G$306,5,FALSE)</f>
        <v>3272024070</v>
      </c>
      <c r="F37" s="109">
        <f>VLOOKUP($A37,ANAGRAFICA!$B$1:$G$306,6,FALSE)</f>
        <v>2024</v>
      </c>
      <c r="G37" s="3">
        <v>1.0</v>
      </c>
      <c r="H37" s="14" t="s">
        <v>1078</v>
      </c>
      <c r="I37" s="77">
        <v>45464.0</v>
      </c>
      <c r="J37" s="11" t="b">
        <v>0</v>
      </c>
    </row>
    <row r="38">
      <c r="A38" s="57">
        <v>2.124011588E9</v>
      </c>
      <c r="B38" s="109" t="str">
        <f>VLOOKUP($A38,ANAGRAFICA!$B$1:$G$306,2,FALSE)</f>
        <v>FRATINO</v>
      </c>
      <c r="C38" s="109" t="str">
        <f>VLOOKUP($A38,ANAGRAFICA!$B$1:$G$306,3,FALSE)</f>
        <v>OLIVIERO</v>
      </c>
      <c r="D38" s="109" t="str">
        <f>VLOOKUP($A38,ANAGRAFICA!$B$1:$G$306,4,FALSE)</f>
        <v>758-4</v>
      </c>
      <c r="E38" s="109">
        <f>VLOOKUP($A38,ANAGRAFICA!$B$1:$G$306,5,FALSE)</f>
        <v>3272024070</v>
      </c>
      <c r="F38" s="109">
        <f>VLOOKUP($A38,ANAGRAFICA!$B$1:$G$306,6,FALSE)</f>
        <v>2024</v>
      </c>
      <c r="G38" s="3">
        <v>1.0</v>
      </c>
      <c r="H38" s="14" t="s">
        <v>1078</v>
      </c>
      <c r="I38" s="77">
        <v>45467.0</v>
      </c>
      <c r="J38" s="11" t="b">
        <v>0</v>
      </c>
    </row>
    <row r="39">
      <c r="A39" s="57">
        <v>2.124011588E9</v>
      </c>
      <c r="B39" s="109" t="str">
        <f>VLOOKUP($A39,ANAGRAFICA!$B$1:$G$306,2,FALSE)</f>
        <v>FRATINO</v>
      </c>
      <c r="C39" s="109" t="str">
        <f>VLOOKUP($A39,ANAGRAFICA!$B$1:$G$306,3,FALSE)</f>
        <v>OLIVIERO</v>
      </c>
      <c r="D39" s="109" t="str">
        <f>VLOOKUP($A39,ANAGRAFICA!$B$1:$G$306,4,FALSE)</f>
        <v>758-4</v>
      </c>
      <c r="E39" s="109">
        <f>VLOOKUP($A39,ANAGRAFICA!$B$1:$G$306,5,FALSE)</f>
        <v>3272024070</v>
      </c>
      <c r="F39" s="109">
        <f>VLOOKUP($A39,ANAGRAFICA!$B$1:$G$306,6,FALSE)</f>
        <v>2024</v>
      </c>
      <c r="G39" s="3">
        <v>1.0</v>
      </c>
      <c r="H39" s="14" t="s">
        <v>1068</v>
      </c>
      <c r="I39" s="77">
        <v>45463.0</v>
      </c>
      <c r="J39" s="11" t="b">
        <v>0</v>
      </c>
    </row>
    <row r="40">
      <c r="A40" s="57">
        <v>2.124011588E9</v>
      </c>
      <c r="B40" s="109" t="str">
        <f>VLOOKUP($A40,ANAGRAFICA!$B$1:$G$306,2,FALSE)</f>
        <v>FRATINO</v>
      </c>
      <c r="C40" s="109" t="str">
        <f>VLOOKUP($A40,ANAGRAFICA!$B$1:$G$306,3,FALSE)</f>
        <v>OLIVIERO</v>
      </c>
      <c r="D40" s="109" t="str">
        <f>VLOOKUP($A40,ANAGRAFICA!$B$1:$G$306,4,FALSE)</f>
        <v>758-4</v>
      </c>
      <c r="E40" s="109">
        <f>VLOOKUP($A40,ANAGRAFICA!$B$1:$G$306,5,FALSE)</f>
        <v>3272024070</v>
      </c>
      <c r="F40" s="109">
        <f>VLOOKUP($A40,ANAGRAFICA!$B$1:$G$306,6,FALSE)</f>
        <v>2024</v>
      </c>
      <c r="G40" s="3">
        <v>1.0</v>
      </c>
      <c r="H40" s="14" t="s">
        <v>1065</v>
      </c>
      <c r="I40" s="77">
        <v>45463.0</v>
      </c>
      <c r="J40" s="11" t="b">
        <v>0</v>
      </c>
    </row>
    <row r="41">
      <c r="A41" s="57">
        <v>2.124208629E9</v>
      </c>
      <c r="B41" s="109" t="str">
        <f>VLOOKUP($A41,ANAGRAFICA!$B$1:$G$306,2,FALSE)</f>
        <v>D'ANDREA</v>
      </c>
      <c r="C41" s="109" t="str">
        <f>VLOOKUP($A41,ANAGRAFICA!$B$1:$G$306,3,FALSE)</f>
        <v>FERNANDO ANTONIO</v>
      </c>
      <c r="D41" s="109" t="str">
        <f>VLOOKUP($A41,ANAGRAFICA!$B$1:$G$306,4,FALSE)</f>
        <v>758-5</v>
      </c>
      <c r="E41" s="109">
        <f>VLOOKUP($A41,ANAGRAFICA!$B$1:$G$306,5,FALSE)</f>
        <v>3272024071</v>
      </c>
      <c r="F41" s="109">
        <f>VLOOKUP($A41,ANAGRAFICA!$B$1:$G$306,6,FALSE)</f>
        <v>2024</v>
      </c>
      <c r="G41" s="3">
        <v>1.0</v>
      </c>
      <c r="H41" s="14" t="s">
        <v>1066</v>
      </c>
      <c r="I41" s="77">
        <v>45473.0</v>
      </c>
      <c r="J41" s="11" t="b">
        <v>1</v>
      </c>
    </row>
    <row r="42">
      <c r="A42" s="57">
        <v>2.1240107E9</v>
      </c>
      <c r="B42" s="109" t="str">
        <f>VLOOKUP($A42,ANAGRAFICA!$B$1:$G$306,2,FALSE)</f>
        <v>ORNAGHI</v>
      </c>
      <c r="C42" s="109" t="str">
        <f>VLOOKUP($A42,ANAGRAFICA!$B$1:$G$306,3,FALSE)</f>
        <v>LORENZO</v>
      </c>
      <c r="D42" s="109" t="str">
        <f>VLOOKUP($A42,ANAGRAFICA!$B$1:$G$306,4,FALSE)</f>
        <v>758-2</v>
      </c>
      <c r="E42" s="109">
        <f>VLOOKUP($A42,ANAGRAFICA!$B$1:$G$306,5,FALSE)</f>
        <v>3272024068</v>
      </c>
      <c r="F42" s="109">
        <f>VLOOKUP($A42,ANAGRAFICA!$B$1:$G$306,6,FALSE)</f>
        <v>2024</v>
      </c>
      <c r="G42" s="3">
        <v>1.0</v>
      </c>
      <c r="H42" s="14" t="s">
        <v>1070</v>
      </c>
      <c r="I42" s="77">
        <v>45450.0</v>
      </c>
      <c r="J42" s="11" t="b">
        <v>0</v>
      </c>
    </row>
    <row r="43">
      <c r="A43" s="57"/>
      <c r="B43" s="109" t="str">
        <f>VLOOKUP($A43,ANAGRAFICA!$B$1:$G$306,2,FALSE)</f>
        <v>#N/A</v>
      </c>
      <c r="C43" s="109" t="str">
        <f>VLOOKUP($A43,ANAGRAFICA!$B$1:$G$306,3,FALSE)</f>
        <v>#N/A</v>
      </c>
      <c r="D43" s="109" t="str">
        <f>VLOOKUP($A43,ANAGRAFICA!$B$1:$G$306,4,FALSE)</f>
        <v>#N/A</v>
      </c>
      <c r="E43" s="109" t="str">
        <f>VLOOKUP($A43,ANAGRAFICA!$B$1:$G$306,5,FALSE)</f>
        <v>#N/A</v>
      </c>
      <c r="F43" s="109" t="str">
        <f>VLOOKUP($A43,ANAGRAFICA!$B$1:$G$306,6,FALSE)</f>
        <v>#N/A</v>
      </c>
      <c r="G43" s="3">
        <v>1.0</v>
      </c>
      <c r="H43" s="14" t="s">
        <v>1066</v>
      </c>
      <c r="I43" s="77">
        <v>45474.0</v>
      </c>
      <c r="J43" s="11" t="b">
        <v>0</v>
      </c>
    </row>
    <row r="44">
      <c r="A44" s="57">
        <v>2.124011236E9</v>
      </c>
      <c r="B44" s="109" t="str">
        <f>VLOOKUP($A44,ANAGRAFICA!$B$1:$G$306,2,FALSE)</f>
        <v>BERETTA</v>
      </c>
      <c r="C44" s="109" t="str">
        <f>VLOOKUP($A44,ANAGRAFICA!$B$1:$G$306,3,FALSE)</f>
        <v>ENZO LUCIANO</v>
      </c>
      <c r="D44" s="109" t="str">
        <f>VLOOKUP($A44,ANAGRAFICA!$B$1:$G$306,4,FALSE)</f>
        <v>758-3</v>
      </c>
      <c r="E44" s="109">
        <f>VLOOKUP($A44,ANAGRAFICA!$B$1:$G$306,5,FALSE)</f>
        <v>3272024069</v>
      </c>
      <c r="F44" s="109">
        <f>VLOOKUP($A44,ANAGRAFICA!$B$1:$G$306,6,FALSE)</f>
        <v>2024</v>
      </c>
      <c r="G44" s="3">
        <v>1.0</v>
      </c>
      <c r="H44" s="14" t="s">
        <v>1071</v>
      </c>
      <c r="I44" s="77">
        <v>45463.0</v>
      </c>
      <c r="J44" s="11" t="b">
        <v>0</v>
      </c>
    </row>
    <row r="45">
      <c r="A45" s="57">
        <v>2.124008291E9</v>
      </c>
      <c r="B45" s="109" t="str">
        <f>VLOOKUP($A45,ANAGRAFICA!$B$1:$G$306,2,FALSE)</f>
        <v>FUMAGALLI</v>
      </c>
      <c r="C45" s="109" t="str">
        <f>VLOOKUP($A45,ANAGRAFICA!$B$1:$G$306,3,FALSE)</f>
        <v>PIERO</v>
      </c>
      <c r="D45" s="109" t="str">
        <f>VLOOKUP($A45,ANAGRAFICA!$B$1:$G$306,4,FALSE)</f>
        <v/>
      </c>
      <c r="E45" s="109">
        <f>VLOOKUP($A45,ANAGRAFICA!$B$1:$G$306,5,FALSE)</f>
        <v>3272024065</v>
      </c>
      <c r="F45" s="109">
        <f>VLOOKUP($A45,ANAGRAFICA!$B$1:$G$306,6,FALSE)</f>
        <v>2024</v>
      </c>
      <c r="G45" s="3">
        <v>1.0</v>
      </c>
      <c r="H45" s="14" t="s">
        <v>1067</v>
      </c>
      <c r="I45" s="77">
        <v>45414.0</v>
      </c>
      <c r="J45" s="11" t="b">
        <v>1</v>
      </c>
    </row>
    <row r="46">
      <c r="A46" s="57">
        <v>2.124008291E9</v>
      </c>
      <c r="B46" s="109" t="str">
        <f>VLOOKUP($A46,ANAGRAFICA!$B$1:$G$306,2,FALSE)</f>
        <v>FUMAGALLI</v>
      </c>
      <c r="C46" s="109" t="str">
        <f>VLOOKUP($A46,ANAGRAFICA!$B$1:$G$306,3,FALSE)</f>
        <v>PIERO</v>
      </c>
      <c r="D46" s="109" t="str">
        <f>VLOOKUP($A46,ANAGRAFICA!$B$1:$G$306,4,FALSE)</f>
        <v/>
      </c>
      <c r="E46" s="109">
        <f>VLOOKUP($A46,ANAGRAFICA!$B$1:$G$306,5,FALSE)</f>
        <v>3272024065</v>
      </c>
      <c r="F46" s="109">
        <f>VLOOKUP($A46,ANAGRAFICA!$B$1:$G$306,6,FALSE)</f>
        <v>2024</v>
      </c>
      <c r="G46" s="3">
        <v>1.0</v>
      </c>
      <c r="H46" s="14" t="s">
        <v>1072</v>
      </c>
      <c r="I46" s="77">
        <v>45414.0</v>
      </c>
      <c r="J46" s="11" t="b">
        <v>1</v>
      </c>
    </row>
    <row r="47">
      <c r="A47" s="57">
        <v>2.124206072E9</v>
      </c>
      <c r="B47" s="109" t="str">
        <f>VLOOKUP($A47,ANAGRAFICA!$B$1:$G$306,2,FALSE)</f>
        <v>CONSONNI</v>
      </c>
      <c r="C47" s="109" t="str">
        <f>VLOOKUP($A47,ANAGRAFICA!$B$1:$G$306,3,FALSE)</f>
        <v>GIULIO</v>
      </c>
      <c r="D47" s="109" t="str">
        <f>VLOOKUP($A47,ANAGRAFICA!$B$1:$G$306,4,FALSE)</f>
        <v/>
      </c>
      <c r="E47" s="109">
        <f>VLOOKUP($A47,ANAGRAFICA!$B$1:$G$306,5,FALSE)</f>
        <v>3272024064</v>
      </c>
      <c r="F47" s="109">
        <f>VLOOKUP($A47,ANAGRAFICA!$B$1:$G$306,6,FALSE)</f>
        <v>2024</v>
      </c>
      <c r="G47" s="3">
        <v>1.0</v>
      </c>
      <c r="H47" s="14" t="s">
        <v>1072</v>
      </c>
      <c r="I47" s="77">
        <v>45410.0</v>
      </c>
      <c r="J47" s="11" t="b">
        <v>1</v>
      </c>
    </row>
    <row r="48">
      <c r="A48" s="57">
        <v>2.124008603E9</v>
      </c>
      <c r="B48" s="109" t="str">
        <f>VLOOKUP($A48,ANAGRAFICA!$B$1:$G$306,2,FALSE)</f>
        <v>MARIANI</v>
      </c>
      <c r="C48" s="109" t="str">
        <f>VLOOKUP($A48,ANAGRAFICA!$B$1:$G$306,3,FALSE)</f>
        <v>MARCO</v>
      </c>
      <c r="D48" s="109" t="str">
        <f>VLOOKUP($A48,ANAGRAFICA!$B$1:$G$306,4,FALSE)</f>
        <v/>
      </c>
      <c r="E48" s="109">
        <f>VLOOKUP($A48,ANAGRAFICA!$B$1:$G$306,5,FALSE)</f>
        <v>3272024066</v>
      </c>
      <c r="F48" s="109">
        <f>VLOOKUP($A48,ANAGRAFICA!$B$1:$G$306,6,FALSE)</f>
        <v>2024</v>
      </c>
      <c r="G48" s="3">
        <v>1.0</v>
      </c>
      <c r="H48" s="14" t="s">
        <v>1068</v>
      </c>
      <c r="I48" s="77">
        <v>45430.0</v>
      </c>
      <c r="J48" s="11" t="b">
        <v>0</v>
      </c>
    </row>
    <row r="49">
      <c r="A49" s="57">
        <v>2.124008603E9</v>
      </c>
      <c r="B49" s="109" t="str">
        <f>VLOOKUP($A49,ANAGRAFICA!$B$1:$G$306,2,FALSE)</f>
        <v>MARIANI</v>
      </c>
      <c r="C49" s="109" t="str">
        <f>VLOOKUP($A49,ANAGRAFICA!$B$1:$G$306,3,FALSE)</f>
        <v>MARCO</v>
      </c>
      <c r="D49" s="109" t="str">
        <f>VLOOKUP($A49,ANAGRAFICA!$B$1:$G$306,4,FALSE)</f>
        <v/>
      </c>
      <c r="E49" s="109">
        <f>VLOOKUP($A49,ANAGRAFICA!$B$1:$G$306,5,FALSE)</f>
        <v>3272024066</v>
      </c>
      <c r="F49" s="109">
        <f>VLOOKUP($A49,ANAGRAFICA!$B$1:$G$306,6,FALSE)</f>
        <v>2024</v>
      </c>
      <c r="G49" s="3">
        <v>1.0</v>
      </c>
      <c r="H49" s="14" t="s">
        <v>1071</v>
      </c>
      <c r="I49" s="192">
        <v>45420.0</v>
      </c>
      <c r="J49" s="11" t="b">
        <v>0</v>
      </c>
    </row>
    <row r="50">
      <c r="A50" s="57">
        <v>2.124008603E9</v>
      </c>
      <c r="B50" s="109" t="str">
        <f>VLOOKUP($A50,ANAGRAFICA!$B$1:$G$306,2,FALSE)</f>
        <v>MARIANI</v>
      </c>
      <c r="C50" s="109" t="str">
        <f>VLOOKUP($A50,ANAGRAFICA!$B$1:$G$306,3,FALSE)</f>
        <v>MARCO</v>
      </c>
      <c r="D50" s="109" t="str">
        <f>VLOOKUP($A50,ANAGRAFICA!$B$1:$G$306,4,FALSE)</f>
        <v/>
      </c>
      <c r="E50" s="109">
        <f>VLOOKUP($A50,ANAGRAFICA!$B$1:$G$306,5,FALSE)</f>
        <v>3272024066</v>
      </c>
      <c r="F50" s="109">
        <f>VLOOKUP($A50,ANAGRAFICA!$B$1:$G$306,6,FALSE)</f>
        <v>2024</v>
      </c>
      <c r="G50" s="3">
        <v>1.0</v>
      </c>
      <c r="H50" s="14" t="s">
        <v>1072</v>
      </c>
      <c r="I50" s="77">
        <v>45421.0</v>
      </c>
      <c r="J50" s="11" t="b">
        <v>0</v>
      </c>
    </row>
    <row r="51">
      <c r="A51" s="57">
        <v>2.124008603E9</v>
      </c>
      <c r="B51" s="109" t="str">
        <f>VLOOKUP($A51,ANAGRAFICA!$B$1:$G$306,2,FALSE)</f>
        <v>MARIANI</v>
      </c>
      <c r="C51" s="109" t="str">
        <f>VLOOKUP($A51,ANAGRAFICA!$B$1:$G$306,3,FALSE)</f>
        <v>MARCO</v>
      </c>
      <c r="D51" s="109" t="str">
        <f>VLOOKUP($A51,ANAGRAFICA!$B$1:$G$306,4,FALSE)</f>
        <v/>
      </c>
      <c r="E51" s="109">
        <f>VLOOKUP($A51,ANAGRAFICA!$B$1:$G$306,5,FALSE)</f>
        <v>3272024066</v>
      </c>
      <c r="F51" s="109">
        <f>VLOOKUP($A51,ANAGRAFICA!$B$1:$G$306,6,FALSE)</f>
        <v>2024</v>
      </c>
      <c r="G51" s="3">
        <v>1.0</v>
      </c>
      <c r="H51" s="14" t="s">
        <v>1079</v>
      </c>
      <c r="I51" s="77">
        <v>45430.0</v>
      </c>
      <c r="J51" s="11" t="b">
        <v>0</v>
      </c>
    </row>
    <row r="52">
      <c r="A52" s="57">
        <v>2.124008603E9</v>
      </c>
      <c r="B52" s="109" t="str">
        <f>VLOOKUP($A52,ANAGRAFICA!$B$1:$G$306,2,FALSE)</f>
        <v>MARIANI</v>
      </c>
      <c r="C52" s="109" t="str">
        <f>VLOOKUP($A52,ANAGRAFICA!$B$1:$G$306,3,FALSE)</f>
        <v>MARCO</v>
      </c>
      <c r="D52" s="109" t="str">
        <f>VLOOKUP($A52,ANAGRAFICA!$B$1:$G$306,4,FALSE)</f>
        <v/>
      </c>
      <c r="E52" s="109">
        <f>VLOOKUP($A52,ANAGRAFICA!$B$1:$G$306,5,FALSE)</f>
        <v>3272024066</v>
      </c>
      <c r="F52" s="109">
        <f>VLOOKUP($A52,ANAGRAFICA!$B$1:$G$306,6,FALSE)</f>
        <v>2024</v>
      </c>
      <c r="G52" s="3">
        <v>1.0</v>
      </c>
      <c r="H52" s="14" t="s">
        <v>1080</v>
      </c>
      <c r="I52" s="77">
        <v>45430.0</v>
      </c>
      <c r="J52" s="11" t="b">
        <v>0</v>
      </c>
    </row>
    <row r="53">
      <c r="A53" s="57">
        <v>2.124015827E9</v>
      </c>
      <c r="B53" s="109" t="str">
        <f>VLOOKUP($A53,ANAGRAFICA!$B$1:$G$306,2,FALSE)</f>
        <v>SCHIAVON</v>
      </c>
      <c r="C53" s="109" t="str">
        <f>VLOOKUP($A53,ANAGRAFICA!$B$1:$G$306,3,FALSE)</f>
        <v>ELIO PAOLO</v>
      </c>
      <c r="D53" s="109" t="str">
        <f>VLOOKUP($A53,ANAGRAFICA!$B$1:$G$306,4,FALSE)</f>
        <v>758-11</v>
      </c>
      <c r="E53" s="109">
        <f>VLOOKUP($A53,ANAGRAFICA!$B$1:$G$306,5,FALSE)</f>
        <v>3272024077</v>
      </c>
      <c r="F53" s="109">
        <f>VLOOKUP($A53,ANAGRAFICA!$B$1:$G$306,6,FALSE)</f>
        <v>2024</v>
      </c>
      <c r="G53" s="3">
        <v>1.0</v>
      </c>
      <c r="H53" s="14" t="s">
        <v>1072</v>
      </c>
      <c r="I53" s="77">
        <v>45545.0</v>
      </c>
      <c r="J53" s="11" t="b">
        <v>1</v>
      </c>
    </row>
    <row r="54">
      <c r="A54" s="57">
        <v>2.124006081E9</v>
      </c>
      <c r="B54" s="109" t="str">
        <f>VLOOKUP($A54,ANAGRAFICA!$B$1:$G$306,2,FALSE)</f>
        <v>DOSSI</v>
      </c>
      <c r="C54" s="109" t="str">
        <f>VLOOKUP($A54,ANAGRAFICA!$B$1:$G$306,3,FALSE)</f>
        <v>MAURIZIO ANTONIO</v>
      </c>
      <c r="D54" s="109" t="str">
        <f>VLOOKUP($A54,ANAGRAFICA!$B$1:$G$306,4,FALSE)</f>
        <v/>
      </c>
      <c r="E54" s="109">
        <f>VLOOKUP($A54,ANAGRAFICA!$B$1:$G$306,5,FALSE)</f>
        <v>3272024062</v>
      </c>
      <c r="F54" s="109">
        <f>VLOOKUP($A54,ANAGRAFICA!$B$1:$G$306,6,FALSE)</f>
        <v>2024</v>
      </c>
      <c r="G54" s="3">
        <v>1.0</v>
      </c>
      <c r="H54" s="14" t="s">
        <v>1072</v>
      </c>
      <c r="I54" s="77">
        <v>45388.0</v>
      </c>
      <c r="J54" s="11" t="b">
        <v>1</v>
      </c>
    </row>
    <row r="55">
      <c r="A55" s="57">
        <v>2.124003924E9</v>
      </c>
      <c r="B55" s="109" t="str">
        <f>VLOOKUP($A55,ANAGRAFICA!$B$1:$G$306,2,FALSE)</f>
        <v>MUHAMMAD</v>
      </c>
      <c r="C55" s="109" t="str">
        <f>VLOOKUP($A55,ANAGRAFICA!$B$1:$G$306,3,FALSE)</f>
        <v>SHARIF</v>
      </c>
      <c r="D55" s="109" t="str">
        <f>VLOOKUP($A55,ANAGRAFICA!$B$1:$G$306,4,FALSE)</f>
        <v/>
      </c>
      <c r="E55" s="109">
        <f>VLOOKUP($A55,ANAGRAFICA!$B$1:$G$306,5,FALSE)</f>
        <v>3272024059</v>
      </c>
      <c r="F55" s="109">
        <f>VLOOKUP($A55,ANAGRAFICA!$B$1:$G$306,6,FALSE)</f>
        <v>2024</v>
      </c>
      <c r="G55" s="3">
        <v>1.0</v>
      </c>
      <c r="H55" s="14" t="s">
        <v>1078</v>
      </c>
      <c r="I55" s="77">
        <v>45349.0</v>
      </c>
      <c r="J55" s="11" t="b">
        <v>1</v>
      </c>
    </row>
    <row r="56">
      <c r="A56" s="57">
        <v>2.12400578E9</v>
      </c>
      <c r="B56" s="109" t="str">
        <f>VLOOKUP($A56,ANAGRAFICA!$B$1:$G$306,2,FALSE)</f>
        <v>SAINCIUC</v>
      </c>
      <c r="C56" s="109" t="str">
        <f>VLOOKUP($A56,ANAGRAFICA!$B$1:$G$306,3,FALSE)</f>
        <v>AUREL</v>
      </c>
      <c r="D56" s="109" t="str">
        <f>VLOOKUP($A56,ANAGRAFICA!$B$1:$G$306,4,FALSE)</f>
        <v/>
      </c>
      <c r="E56" s="109">
        <f>VLOOKUP($A56,ANAGRAFICA!$B$1:$G$306,5,FALSE)</f>
        <v>3272024061</v>
      </c>
      <c r="F56" s="109">
        <f>VLOOKUP($A56,ANAGRAFICA!$B$1:$G$306,6,FALSE)</f>
        <v>2024</v>
      </c>
      <c r="G56" s="3">
        <v>1.0</v>
      </c>
      <c r="H56" s="14" t="s">
        <v>1070</v>
      </c>
      <c r="I56" s="77">
        <v>45377.0</v>
      </c>
      <c r="J56" s="11" t="b">
        <v>1</v>
      </c>
    </row>
    <row r="57">
      <c r="A57" s="57">
        <v>2.124014461E9</v>
      </c>
      <c r="B57" s="109" t="str">
        <f>VLOOKUP($A57,ANAGRAFICA!$B$1:$G$306,2,FALSE)</f>
        <v>FUMAGALLI</v>
      </c>
      <c r="C57" s="109" t="str">
        <f>VLOOKUP($A57,ANAGRAFICA!$B$1:$G$306,3,FALSE)</f>
        <v>LUCA</v>
      </c>
      <c r="D57" s="109" t="str">
        <f>VLOOKUP($A57,ANAGRAFICA!$B$1:$G$306,4,FALSE)</f>
        <v>758-10</v>
      </c>
      <c r="E57" s="109">
        <f>VLOOKUP($A57,ANAGRAFICA!$B$1:$G$306,5,FALSE)</f>
        <v>3272024076</v>
      </c>
      <c r="F57" s="109">
        <f>VLOOKUP($A57,ANAGRAFICA!$B$1:$G$306,6,FALSE)</f>
        <v>2024</v>
      </c>
      <c r="G57" s="3">
        <v>1.0</v>
      </c>
      <c r="H57" s="14" t="s">
        <v>1068</v>
      </c>
      <c r="I57" s="77">
        <v>45524.0</v>
      </c>
      <c r="J57" s="11" t="b">
        <v>1</v>
      </c>
    </row>
    <row r="58">
      <c r="A58" s="57">
        <v>2.124014461E9</v>
      </c>
      <c r="B58" s="109" t="str">
        <f>VLOOKUP($A58,ANAGRAFICA!$B$1:$G$306,2,FALSE)</f>
        <v>FUMAGALLI</v>
      </c>
      <c r="C58" s="109" t="str">
        <f>VLOOKUP($A58,ANAGRAFICA!$B$1:$G$306,3,FALSE)</f>
        <v>LUCA</v>
      </c>
      <c r="D58" s="109" t="str">
        <f>VLOOKUP($A58,ANAGRAFICA!$B$1:$G$306,4,FALSE)</f>
        <v>758-10</v>
      </c>
      <c r="E58" s="109">
        <f>VLOOKUP($A58,ANAGRAFICA!$B$1:$G$306,5,FALSE)</f>
        <v>3272024076</v>
      </c>
      <c r="F58" s="109">
        <f>VLOOKUP($A58,ANAGRAFICA!$B$1:$G$306,6,FALSE)</f>
        <v>2024</v>
      </c>
      <c r="G58" s="3">
        <v>1.0</v>
      </c>
      <c r="H58" s="14" t="s">
        <v>1068</v>
      </c>
      <c r="I58" s="77">
        <v>45529.0</v>
      </c>
      <c r="J58" s="11" t="b">
        <v>1</v>
      </c>
    </row>
    <row r="59">
      <c r="A59" s="57">
        <v>2.124014461E9</v>
      </c>
      <c r="B59" s="109" t="str">
        <f>VLOOKUP($A59,ANAGRAFICA!$B$1:$G$306,2,FALSE)</f>
        <v>FUMAGALLI</v>
      </c>
      <c r="C59" s="109" t="str">
        <f>VLOOKUP($A59,ANAGRAFICA!$B$1:$G$306,3,FALSE)</f>
        <v>LUCA</v>
      </c>
      <c r="D59" s="109" t="str">
        <f>VLOOKUP($A59,ANAGRAFICA!$B$1:$G$306,4,FALSE)</f>
        <v>758-10</v>
      </c>
      <c r="E59" s="109">
        <f>VLOOKUP($A59,ANAGRAFICA!$B$1:$G$306,5,FALSE)</f>
        <v>3272024076</v>
      </c>
      <c r="F59" s="109">
        <f>VLOOKUP($A59,ANAGRAFICA!$B$1:$G$306,6,FALSE)</f>
        <v>2024</v>
      </c>
      <c r="G59" s="3">
        <v>1.0</v>
      </c>
      <c r="H59" s="14" t="s">
        <v>1072</v>
      </c>
      <c r="I59" s="77">
        <v>45524.0</v>
      </c>
      <c r="J59" s="11" t="b">
        <v>1</v>
      </c>
    </row>
    <row r="60">
      <c r="A60" s="57">
        <v>2.124014461E9</v>
      </c>
      <c r="B60" s="109" t="str">
        <f>VLOOKUP($A60,ANAGRAFICA!$B$1:$G$306,2,FALSE)</f>
        <v>FUMAGALLI</v>
      </c>
      <c r="C60" s="109" t="str">
        <f>VLOOKUP($A60,ANAGRAFICA!$B$1:$G$306,3,FALSE)</f>
        <v>LUCA</v>
      </c>
      <c r="D60" s="109" t="str">
        <f>VLOOKUP($A60,ANAGRAFICA!$B$1:$G$306,4,FALSE)</f>
        <v>758-10</v>
      </c>
      <c r="E60" s="109">
        <f>VLOOKUP($A60,ANAGRAFICA!$B$1:$G$306,5,FALSE)</f>
        <v>3272024076</v>
      </c>
      <c r="F60" s="109">
        <f>VLOOKUP($A60,ANAGRAFICA!$B$1:$G$306,6,FALSE)</f>
        <v>2024</v>
      </c>
      <c r="G60" s="3">
        <v>1.0</v>
      </c>
      <c r="H60" s="14" t="s">
        <v>1078</v>
      </c>
      <c r="I60" s="77">
        <v>45529.0</v>
      </c>
      <c r="J60" s="11" t="b">
        <v>1</v>
      </c>
    </row>
    <row r="61">
      <c r="A61" s="57">
        <v>2.124014461E9</v>
      </c>
      <c r="B61" s="109" t="str">
        <f>VLOOKUP($A61,ANAGRAFICA!$B$1:$G$306,2,FALSE)</f>
        <v>FUMAGALLI</v>
      </c>
      <c r="C61" s="109" t="str">
        <f>VLOOKUP($A61,ANAGRAFICA!$B$1:$G$306,3,FALSE)</f>
        <v>LUCA</v>
      </c>
      <c r="D61" s="109" t="str">
        <f>VLOOKUP($A61,ANAGRAFICA!$B$1:$G$306,4,FALSE)</f>
        <v>758-10</v>
      </c>
      <c r="E61" s="109">
        <f>VLOOKUP($A61,ANAGRAFICA!$B$1:$G$306,5,FALSE)</f>
        <v>3272024076</v>
      </c>
      <c r="F61" s="109">
        <f>VLOOKUP($A61,ANAGRAFICA!$B$1:$G$306,6,FALSE)</f>
        <v>2024</v>
      </c>
      <c r="G61" s="3">
        <v>1.0</v>
      </c>
      <c r="H61" s="14" t="s">
        <v>1080</v>
      </c>
      <c r="I61" s="77">
        <v>45529.0</v>
      </c>
      <c r="J61" s="11" t="b">
        <v>0</v>
      </c>
    </row>
    <row r="62">
      <c r="A62" s="57">
        <v>2.124016781E9</v>
      </c>
      <c r="B62" s="109" t="str">
        <f>VLOOKUP($A62,ANAGRAFICA!$B$1:$G$306,2,FALSE)</f>
        <v>TURNO ARTHEMALLE</v>
      </c>
      <c r="C62" s="109" t="str">
        <f>VLOOKUP($A62,ANAGRAFICA!$B$1:$G$306,3,FALSE)</f>
        <v>ALICE</v>
      </c>
      <c r="D62" s="109" t="str">
        <f>VLOOKUP($A62,ANAGRAFICA!$B$1:$G$306,4,FALSE)</f>
        <v>758-12</v>
      </c>
      <c r="E62" s="109">
        <f>VLOOKUP($A62,ANAGRAFICA!$B$1:$G$306,5,FALSE)</f>
        <v>3272024078</v>
      </c>
      <c r="F62" s="109">
        <f>VLOOKUP($A62,ANAGRAFICA!$B$1:$G$306,6,FALSE)</f>
        <v>2024</v>
      </c>
      <c r="G62" s="3">
        <v>1.0</v>
      </c>
      <c r="H62" s="14" t="s">
        <v>1081</v>
      </c>
      <c r="I62" s="77">
        <v>45561.0</v>
      </c>
      <c r="J62" s="11" t="b">
        <v>1</v>
      </c>
    </row>
    <row r="63">
      <c r="A63" s="57">
        <v>2.124016781E9</v>
      </c>
      <c r="B63" s="109" t="str">
        <f>VLOOKUP($A63,ANAGRAFICA!$B$1:$G$306,2,FALSE)</f>
        <v>TURNO ARTHEMALLE</v>
      </c>
      <c r="C63" s="109" t="str">
        <f>VLOOKUP($A63,ANAGRAFICA!$B$1:$G$306,3,FALSE)</f>
        <v>ALICE</v>
      </c>
      <c r="D63" s="109" t="str">
        <f>VLOOKUP($A63,ANAGRAFICA!$B$1:$G$306,4,FALSE)</f>
        <v>758-12</v>
      </c>
      <c r="E63" s="109">
        <f>VLOOKUP($A63,ANAGRAFICA!$B$1:$G$306,5,FALSE)</f>
        <v>3272024078</v>
      </c>
      <c r="F63" s="109">
        <f>VLOOKUP($A63,ANAGRAFICA!$B$1:$G$306,6,FALSE)</f>
        <v>2024</v>
      </c>
      <c r="G63" s="3">
        <v>1.0</v>
      </c>
      <c r="H63" s="14" t="s">
        <v>1068</v>
      </c>
      <c r="I63" s="77">
        <v>45562.0</v>
      </c>
      <c r="J63" s="11" t="b">
        <v>0</v>
      </c>
    </row>
    <row r="64">
      <c r="A64" s="193">
        <v>2.124016781E9</v>
      </c>
      <c r="B64" s="194" t="str">
        <f>VLOOKUP($A64,ANAGRAFICA!$B$1:$G$306,2,FALSE)</f>
        <v>TURNO ARTHEMALLE</v>
      </c>
      <c r="C64" s="194" t="str">
        <f>VLOOKUP($A64,ANAGRAFICA!$B$1:$G$306,3,FALSE)</f>
        <v>ALICE</v>
      </c>
      <c r="D64" s="194" t="str">
        <f>VLOOKUP($A64,ANAGRAFICA!$B$1:$G$306,4,FALSE)</f>
        <v>758-12</v>
      </c>
      <c r="E64" s="194">
        <f>VLOOKUP($A64,ANAGRAFICA!$B$1:$G$306,5,FALSE)</f>
        <v>3272024078</v>
      </c>
      <c r="F64" s="194">
        <f>VLOOKUP($A64,ANAGRAFICA!$B$1:$G$306,6,FALSE)</f>
        <v>2024</v>
      </c>
      <c r="G64" s="195">
        <v>1.0</v>
      </c>
      <c r="H64" s="196" t="s">
        <v>1082</v>
      </c>
      <c r="I64" s="197">
        <v>45557.0</v>
      </c>
      <c r="J64" s="198" t="b">
        <v>0</v>
      </c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</row>
    <row r="65">
      <c r="A65" s="193">
        <v>2.124016781E9</v>
      </c>
      <c r="B65" s="194" t="str">
        <f>VLOOKUP($A65,ANAGRAFICA!$B$1:$G$306,2,FALSE)</f>
        <v>TURNO ARTHEMALLE</v>
      </c>
      <c r="C65" s="194" t="str">
        <f>VLOOKUP($A65,ANAGRAFICA!$B$1:$G$306,3,FALSE)</f>
        <v>ALICE</v>
      </c>
      <c r="D65" s="194" t="str">
        <f>VLOOKUP($A65,ANAGRAFICA!$B$1:$G$306,4,FALSE)</f>
        <v>758-12</v>
      </c>
      <c r="E65" s="194">
        <f>VLOOKUP($A65,ANAGRAFICA!$B$1:$G$306,5,FALSE)</f>
        <v>3272024078</v>
      </c>
      <c r="F65" s="194">
        <f>VLOOKUP($A65,ANAGRAFICA!$B$1:$G$306,6,FALSE)</f>
        <v>2024</v>
      </c>
      <c r="G65" s="195">
        <v>1.0</v>
      </c>
      <c r="H65" s="196" t="s">
        <v>1071</v>
      </c>
      <c r="I65" s="197">
        <v>45557.0</v>
      </c>
      <c r="J65" s="198" t="b">
        <v>0</v>
      </c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</row>
    <row r="66">
      <c r="A66" s="193">
        <v>2.124016781E9</v>
      </c>
      <c r="B66" s="194" t="str">
        <f>VLOOKUP($A66,ANAGRAFICA!$B$1:$G$306,2,FALSE)</f>
        <v>TURNO ARTHEMALLE</v>
      </c>
      <c r="C66" s="194" t="str">
        <f>VLOOKUP($A66,ANAGRAFICA!$B$1:$G$306,3,FALSE)</f>
        <v>ALICE</v>
      </c>
      <c r="D66" s="194" t="str">
        <f>VLOOKUP($A66,ANAGRAFICA!$B$1:$G$306,4,FALSE)</f>
        <v>758-12</v>
      </c>
      <c r="E66" s="194">
        <f>VLOOKUP($A66,ANAGRAFICA!$B$1:$G$306,5,FALSE)</f>
        <v>3272024078</v>
      </c>
      <c r="F66" s="194">
        <f>VLOOKUP($A66,ANAGRAFICA!$B$1:$G$306,6,FALSE)</f>
        <v>2024</v>
      </c>
      <c r="G66" s="195">
        <v>1.0</v>
      </c>
      <c r="H66" s="196" t="s">
        <v>1072</v>
      </c>
      <c r="I66" s="197">
        <v>45559.0</v>
      </c>
      <c r="J66" s="198" t="b">
        <v>0</v>
      </c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</row>
    <row r="67">
      <c r="A67" s="57">
        <v>2.124016781E9</v>
      </c>
      <c r="B67" s="109" t="str">
        <f>VLOOKUP($A67,ANAGRAFICA!$B$1:$G$306,2,FALSE)</f>
        <v>TURNO ARTHEMALLE</v>
      </c>
      <c r="C67" s="109" t="str">
        <f>VLOOKUP($A67,ANAGRAFICA!$B$1:$G$306,3,FALSE)</f>
        <v>ALICE</v>
      </c>
      <c r="D67" s="109" t="str">
        <f>VLOOKUP($A67,ANAGRAFICA!$B$1:$G$306,4,FALSE)</f>
        <v>758-12</v>
      </c>
      <c r="E67" s="109">
        <f>VLOOKUP($A67,ANAGRAFICA!$B$1:$G$306,5,FALSE)</f>
        <v>3272024078</v>
      </c>
      <c r="F67" s="109">
        <f>VLOOKUP($A67,ANAGRAFICA!$B$1:$G$306,6,FALSE)</f>
        <v>2024</v>
      </c>
      <c r="G67" s="3">
        <v>1.0</v>
      </c>
      <c r="H67" s="14" t="s">
        <v>1083</v>
      </c>
      <c r="I67" s="77">
        <v>45561.0</v>
      </c>
      <c r="J67" s="11" t="b">
        <v>0</v>
      </c>
    </row>
    <row r="68">
      <c r="A68" s="57">
        <v>2.124016781E9</v>
      </c>
      <c r="B68" s="109" t="str">
        <f>VLOOKUP($A68,ANAGRAFICA!$B$1:$G$306,2,FALSE)</f>
        <v>TURNO ARTHEMALLE</v>
      </c>
      <c r="C68" s="109" t="str">
        <f>VLOOKUP($A68,ANAGRAFICA!$B$1:$G$306,3,FALSE)</f>
        <v>ALICE</v>
      </c>
      <c r="D68" s="109" t="str">
        <f>VLOOKUP($A68,ANAGRAFICA!$B$1:$G$306,4,FALSE)</f>
        <v>758-12</v>
      </c>
      <c r="E68" s="109">
        <f>VLOOKUP($A68,ANAGRAFICA!$B$1:$G$306,5,FALSE)</f>
        <v>3272024078</v>
      </c>
      <c r="F68" s="109">
        <f>VLOOKUP($A68,ANAGRAFICA!$B$1:$G$306,6,FALSE)</f>
        <v>2024</v>
      </c>
      <c r="G68" s="3">
        <v>1.0</v>
      </c>
      <c r="H68" s="14" t="s">
        <v>1084</v>
      </c>
      <c r="I68" s="77">
        <v>45561.0</v>
      </c>
      <c r="J68" s="11" t="b">
        <v>0</v>
      </c>
    </row>
    <row r="69">
      <c r="A69" s="57">
        <v>2.124016781E9</v>
      </c>
      <c r="B69" s="109" t="str">
        <f>VLOOKUP($A69,ANAGRAFICA!$B$1:$G$306,2,FALSE)</f>
        <v>TURNO ARTHEMALLE</v>
      </c>
      <c r="C69" s="109" t="str">
        <f>VLOOKUP($A69,ANAGRAFICA!$B$1:$G$306,3,FALSE)</f>
        <v>ALICE</v>
      </c>
      <c r="D69" s="109" t="str">
        <f>VLOOKUP($A69,ANAGRAFICA!$B$1:$G$306,4,FALSE)</f>
        <v>758-12</v>
      </c>
      <c r="E69" s="109">
        <f>VLOOKUP($A69,ANAGRAFICA!$B$1:$G$306,5,FALSE)</f>
        <v>3272024078</v>
      </c>
      <c r="F69" s="109">
        <f>VLOOKUP($A69,ANAGRAFICA!$B$1:$G$306,6,FALSE)</f>
        <v>2024</v>
      </c>
      <c r="G69" s="3">
        <v>1.0</v>
      </c>
      <c r="H69" s="14" t="s">
        <v>1085</v>
      </c>
      <c r="I69" s="77">
        <v>45562.0</v>
      </c>
      <c r="J69" s="11" t="b">
        <v>1</v>
      </c>
    </row>
    <row r="70">
      <c r="A70" s="57">
        <v>2.124024078E9</v>
      </c>
      <c r="B70" s="109" t="str">
        <f>VLOOKUP($A70,ANAGRAFICA!$B$1:$G$306,2,FALSE)</f>
        <v>ROVARIS</v>
      </c>
      <c r="C70" s="109" t="str">
        <f>VLOOKUP($A70,ANAGRAFICA!$B$1:$G$306,3,FALSE)</f>
        <v>ANGELO FELICE</v>
      </c>
      <c r="D70" s="109" t="str">
        <f>VLOOKUP($A70,ANAGRAFICA!$B$1:$G$306,4,FALSE)</f>
        <v>758-20</v>
      </c>
      <c r="E70" s="109">
        <f>VLOOKUP($A70,ANAGRAFICA!$B$1:$G$306,5,FALSE)</f>
        <v>3272024086</v>
      </c>
      <c r="F70" s="109">
        <f>VLOOKUP($A70,ANAGRAFICA!$B$1:$G$306,6,FALSE)</f>
        <v>2024</v>
      </c>
      <c r="G70" s="3">
        <v>1.0</v>
      </c>
      <c r="H70" s="14" t="s">
        <v>1076</v>
      </c>
      <c r="I70" s="77">
        <v>45630.0</v>
      </c>
      <c r="J70" s="11" t="b">
        <v>0</v>
      </c>
    </row>
    <row r="71">
      <c r="A71" s="57">
        <v>2.124025195E9</v>
      </c>
      <c r="B71" s="109" t="str">
        <f>VLOOKUP($A71,ANAGRAFICA!$B$1:$G$306,2,FALSE)</f>
        <v>FAZIO</v>
      </c>
      <c r="C71" s="109" t="str">
        <f>VLOOKUP($A71,ANAGRAFICA!$B$1:$G$306,3,FALSE)</f>
        <v>FRANCESCO ANTONIO</v>
      </c>
      <c r="D71" s="109" t="str">
        <f>VLOOKUP($A71,ANAGRAFICA!$B$1:$G$306,4,FALSE)</f>
        <v>758-21</v>
      </c>
      <c r="E71" s="109">
        <f>VLOOKUP($A71,ANAGRAFICA!$B$1:$G$306,5,FALSE)</f>
        <v>3272024087</v>
      </c>
      <c r="F71" s="109">
        <f>VLOOKUP($A71,ANAGRAFICA!$B$1:$G$306,6,FALSE)</f>
        <v>2024</v>
      </c>
      <c r="G71" s="3">
        <v>1.0</v>
      </c>
      <c r="H71" s="14" t="s">
        <v>1066</v>
      </c>
      <c r="I71" s="76">
        <v>45637.0</v>
      </c>
      <c r="J71" s="11" t="b">
        <v>0</v>
      </c>
    </row>
    <row r="72">
      <c r="A72" s="57">
        <v>2.125000348E9</v>
      </c>
      <c r="B72" s="109" t="str">
        <f>VLOOKUP($A72,ANAGRAFICA!$B$1:$G$306,2,FALSE)</f>
        <v>SLAVKOVA</v>
      </c>
      <c r="C72" s="109" t="str">
        <f>VLOOKUP($A72,ANAGRAFICA!$B$1:$G$306,3,FALSE)</f>
        <v>EVELINA PLAMENOVA</v>
      </c>
      <c r="D72" s="109" t="str">
        <f>VLOOKUP($A72,ANAGRAFICA!$B$1:$G$306,4,FALSE)</f>
        <v/>
      </c>
      <c r="E72" s="109">
        <f>VLOOKUP($A72,ANAGRAFICA!$B$1:$G$306,5,FALSE)</f>
        <v>3272025051</v>
      </c>
      <c r="F72" s="109">
        <f>VLOOKUP($A72,ANAGRAFICA!$B$1:$G$306,6,FALSE)</f>
        <v>2025</v>
      </c>
      <c r="G72" s="3">
        <v>1.0</v>
      </c>
      <c r="H72" s="14" t="s">
        <v>1074</v>
      </c>
      <c r="I72" s="77">
        <v>45663.0</v>
      </c>
      <c r="J72" s="11" t="b">
        <v>1</v>
      </c>
    </row>
    <row r="73">
      <c r="A73" s="57">
        <v>2.125000348E9</v>
      </c>
      <c r="B73" s="109" t="str">
        <f>VLOOKUP($A73,ANAGRAFICA!$B$1:$G$306,2,FALSE)</f>
        <v>SLAVKOVA</v>
      </c>
      <c r="C73" s="109" t="str">
        <f>VLOOKUP($A73,ANAGRAFICA!$B$1:$G$306,3,FALSE)</f>
        <v>EVELINA PLAMENOVA</v>
      </c>
      <c r="D73" s="109" t="str">
        <f>VLOOKUP($A73,ANAGRAFICA!$B$1:$G$306,4,FALSE)</f>
        <v/>
      </c>
      <c r="E73" s="109">
        <f>VLOOKUP($A73,ANAGRAFICA!$B$1:$G$306,5,FALSE)</f>
        <v>3272025051</v>
      </c>
      <c r="F73" s="109">
        <f>VLOOKUP($A73,ANAGRAFICA!$B$1:$G$306,6,FALSE)</f>
        <v>2025</v>
      </c>
      <c r="G73" s="3">
        <v>1.0</v>
      </c>
      <c r="H73" s="14" t="s">
        <v>1086</v>
      </c>
      <c r="I73" s="77">
        <v>45663.0</v>
      </c>
      <c r="J73" s="11" t="b">
        <v>1</v>
      </c>
    </row>
    <row r="74">
      <c r="A74" s="57">
        <v>2.125000348E9</v>
      </c>
      <c r="B74" s="109" t="str">
        <f>VLOOKUP($A74,ANAGRAFICA!$B$1:$G$306,2,FALSE)</f>
        <v>SLAVKOVA</v>
      </c>
      <c r="C74" s="109" t="str">
        <f>VLOOKUP($A74,ANAGRAFICA!$B$1:$G$306,3,FALSE)</f>
        <v>EVELINA PLAMENOVA</v>
      </c>
      <c r="D74" s="109" t="str">
        <f>VLOOKUP($A74,ANAGRAFICA!$B$1:$G$306,4,FALSE)</f>
        <v/>
      </c>
      <c r="E74" s="109">
        <f>VLOOKUP($A74,ANAGRAFICA!$B$1:$G$306,5,FALSE)</f>
        <v>3272025051</v>
      </c>
      <c r="F74" s="109">
        <f>VLOOKUP($A74,ANAGRAFICA!$B$1:$G$306,6,FALSE)</f>
        <v>2025</v>
      </c>
      <c r="G74" s="3">
        <v>1.0</v>
      </c>
      <c r="H74" s="14" t="s">
        <v>1080</v>
      </c>
      <c r="I74" s="77">
        <v>45663.0</v>
      </c>
      <c r="J74" s="11" t="b">
        <v>1</v>
      </c>
    </row>
    <row r="75">
      <c r="A75" s="57">
        <v>2.125000348E9</v>
      </c>
      <c r="B75" s="109" t="str">
        <f>VLOOKUP($A75,ANAGRAFICA!$B$1:$G$306,2,FALSE)</f>
        <v>SLAVKOVA</v>
      </c>
      <c r="C75" s="109" t="str">
        <f>VLOOKUP($A75,ANAGRAFICA!$B$1:$G$306,3,FALSE)</f>
        <v>EVELINA PLAMENOVA</v>
      </c>
      <c r="D75" s="109" t="str">
        <f>VLOOKUP($A75,ANAGRAFICA!$B$1:$G$306,4,FALSE)</f>
        <v/>
      </c>
      <c r="E75" s="109">
        <f>VLOOKUP($A75,ANAGRAFICA!$B$1:$G$306,5,FALSE)</f>
        <v>3272025051</v>
      </c>
      <c r="F75" s="109">
        <f>VLOOKUP($A75,ANAGRAFICA!$B$1:$G$306,6,FALSE)</f>
        <v>2025</v>
      </c>
      <c r="G75" s="3">
        <v>1.0</v>
      </c>
      <c r="H75" s="14" t="s">
        <v>1070</v>
      </c>
      <c r="I75" s="77">
        <v>45664.0</v>
      </c>
      <c r="J75" s="11" t="b">
        <v>1</v>
      </c>
    </row>
    <row r="76">
      <c r="A76" s="57">
        <v>2.124025878E9</v>
      </c>
      <c r="B76" s="109" t="str">
        <f>VLOOKUP($A76,ANAGRAFICA!$B$1:$G$306,2,FALSE)</f>
        <v>PEDRONI </v>
      </c>
      <c r="C76" s="109" t="str">
        <f>VLOOKUP($A76,ANAGRAFICA!$B$1:$G$306,3,FALSE)</f>
        <v>PIERANGELO</v>
      </c>
      <c r="D76" s="109" t="str">
        <f>VLOOKUP($A76,ANAGRAFICA!$B$1:$G$306,4,FALSE)</f>
        <v>758-22</v>
      </c>
      <c r="E76" s="109">
        <f>VLOOKUP($A76,ANAGRAFICA!$B$1:$G$306,5,FALSE)</f>
        <v>3272024088</v>
      </c>
      <c r="F76" s="109">
        <f>VLOOKUP($A76,ANAGRAFICA!$B$1:$G$306,6,FALSE)</f>
        <v>2024</v>
      </c>
      <c r="G76" s="3">
        <v>1.0</v>
      </c>
      <c r="H76" s="14" t="s">
        <v>1083</v>
      </c>
      <c r="I76" s="76">
        <v>45636.0</v>
      </c>
      <c r="J76" s="11" t="b">
        <v>1</v>
      </c>
    </row>
    <row r="77">
      <c r="A77" s="57">
        <v>2.124025878E9</v>
      </c>
      <c r="B77" s="109" t="str">
        <f>VLOOKUP($A77,ANAGRAFICA!$B$1:$G$306,2,FALSE)</f>
        <v>PEDRONI </v>
      </c>
      <c r="C77" s="109" t="str">
        <f>VLOOKUP($A77,ANAGRAFICA!$B$1:$G$306,3,FALSE)</f>
        <v>PIERANGELO</v>
      </c>
      <c r="D77" s="109" t="str">
        <f>VLOOKUP($A77,ANAGRAFICA!$B$1:$G$306,4,FALSE)</f>
        <v>758-22</v>
      </c>
      <c r="E77" s="109">
        <f>VLOOKUP($A77,ANAGRAFICA!$B$1:$G$306,5,FALSE)</f>
        <v>3272024088</v>
      </c>
      <c r="F77" s="109">
        <f>VLOOKUP($A77,ANAGRAFICA!$B$1:$G$306,6,FALSE)</f>
        <v>2024</v>
      </c>
      <c r="G77" s="3">
        <v>1.0</v>
      </c>
      <c r="H77" s="14" t="s">
        <v>1072</v>
      </c>
      <c r="I77" s="76">
        <v>45637.0</v>
      </c>
      <c r="J77" s="11" t="b">
        <v>1</v>
      </c>
    </row>
    <row r="78">
      <c r="A78" s="57">
        <v>2.124025878E9</v>
      </c>
      <c r="B78" s="109" t="str">
        <f>VLOOKUP($A78,ANAGRAFICA!$B$1:$G$306,2,FALSE)</f>
        <v>PEDRONI </v>
      </c>
      <c r="C78" s="109" t="str">
        <f>VLOOKUP($A78,ANAGRAFICA!$B$1:$G$306,3,FALSE)</f>
        <v>PIERANGELO</v>
      </c>
      <c r="D78" s="109" t="str">
        <f>VLOOKUP($A78,ANAGRAFICA!$B$1:$G$306,4,FALSE)</f>
        <v>758-22</v>
      </c>
      <c r="E78" s="109">
        <f>VLOOKUP($A78,ANAGRAFICA!$B$1:$G$306,5,FALSE)</f>
        <v>3272024088</v>
      </c>
      <c r="F78" s="109">
        <f>VLOOKUP($A78,ANAGRAFICA!$B$1:$G$306,6,FALSE)</f>
        <v>2024</v>
      </c>
      <c r="G78" s="3">
        <v>1.0</v>
      </c>
      <c r="H78" s="14" t="s">
        <v>1087</v>
      </c>
      <c r="I78" s="76">
        <v>45644.0</v>
      </c>
      <c r="J78" s="11" t="b">
        <v>0</v>
      </c>
    </row>
    <row r="79">
      <c r="A79" s="57">
        <v>2.125004454E9</v>
      </c>
      <c r="B79" s="109" t="str">
        <f>VLOOKUP($A79,ANAGRAFICA!$B$1:$G$306,2,FALSE)</f>
        <v>ANTIGNANO</v>
      </c>
      <c r="C79" s="109" t="str">
        <f>VLOOKUP($A79,ANAGRAFICA!$B$1:$G$306,3,FALSE)</f>
        <v>MAURO</v>
      </c>
      <c r="D79" s="109" t="str">
        <f>VLOOKUP($A79,ANAGRAFICA!$B$1:$G$306,4,FALSE)</f>
        <v>758-23</v>
      </c>
      <c r="E79" s="109">
        <f>VLOOKUP($A79,ANAGRAFICA!$B$1:$G$306,5,FALSE)</f>
        <v>3272025052</v>
      </c>
      <c r="F79" s="109">
        <f>VLOOKUP($A79,ANAGRAFICA!$B$1:$G$306,6,FALSE)</f>
        <v>2025</v>
      </c>
      <c r="G79" s="3">
        <v>1.0</v>
      </c>
      <c r="H79" s="14" t="s">
        <v>1083</v>
      </c>
      <c r="I79" s="52" t="s">
        <v>1088</v>
      </c>
      <c r="J79" s="11" t="b">
        <v>0</v>
      </c>
    </row>
    <row r="80">
      <c r="A80" s="57">
        <v>2.125004867E9</v>
      </c>
      <c r="B80" s="109" t="str">
        <f>VLOOKUP($A80,ANAGRAFICA!$B$1:$G$306,2,FALSE)</f>
        <v>MARCONI</v>
      </c>
      <c r="C80" s="109" t="str">
        <f>VLOOKUP($A80,ANAGRAFICA!$B$1:$G$306,3,FALSE)</f>
        <v>PIETRO VITTORIO</v>
      </c>
      <c r="D80" s="109" t="str">
        <f>VLOOKUP($A80,ANAGRAFICA!$B$1:$G$306,4,FALSE)</f>
        <v/>
      </c>
      <c r="E80" s="154" t="s">
        <v>691</v>
      </c>
      <c r="F80" s="109">
        <f>VLOOKUP($A80,ANAGRAFICA!$B$1:$G$306,6,FALSE)</f>
        <v>2025</v>
      </c>
      <c r="G80" s="3">
        <v>1.0</v>
      </c>
      <c r="H80" s="14" t="s">
        <v>1066</v>
      </c>
      <c r="I80" s="77">
        <v>45691.0</v>
      </c>
      <c r="J80" s="11" t="b">
        <v>0</v>
      </c>
    </row>
    <row r="81">
      <c r="A81" s="57">
        <v>2.125004867E9</v>
      </c>
      <c r="B81" s="109" t="str">
        <f>VLOOKUP($A81,ANAGRAFICA!$B$1:$G$306,2,FALSE)</f>
        <v>MARCONI</v>
      </c>
      <c r="C81" s="109" t="str">
        <f>VLOOKUP($A81,ANAGRAFICA!$B$1:$G$306,3,FALSE)</f>
        <v>PIETRO VITTORIO</v>
      </c>
      <c r="D81" s="109" t="str">
        <f>VLOOKUP($A81,ANAGRAFICA!$B$1:$G$306,4,FALSE)</f>
        <v/>
      </c>
      <c r="E81" s="154" t="s">
        <v>691</v>
      </c>
      <c r="F81" s="109">
        <f>VLOOKUP($A81,ANAGRAFICA!$B$1:$G$306,6,FALSE)</f>
        <v>2025</v>
      </c>
      <c r="G81" s="3">
        <v>1.0</v>
      </c>
      <c r="H81" s="14" t="s">
        <v>1065</v>
      </c>
      <c r="I81" s="77">
        <v>45691.0</v>
      </c>
      <c r="J81" s="11" t="b">
        <v>0</v>
      </c>
    </row>
    <row r="82">
      <c r="A82" s="57">
        <v>2.025010247E9</v>
      </c>
      <c r="B82" s="109" t="str">
        <f>VLOOKUP($A82,ANAGRAFICA!$B$1:$G$306,2,FALSE)</f>
        <v>TREMOLADA</v>
      </c>
      <c r="C82" s="109" t="str">
        <f>VLOOKUP($A82,ANAGRAFICA!$B$1:$G$306,3,FALSE)</f>
        <v>MARCO</v>
      </c>
      <c r="D82" s="109" t="str">
        <f>VLOOKUP($A82,ANAGRAFICA!$B$1:$G$306,4,FALSE)</f>
        <v>758-25</v>
      </c>
      <c r="E82" s="109">
        <f>VLOOKUP($A82,ANAGRAFICA!$B$1:$G$306,5,FALSE)</f>
        <v>3272025054</v>
      </c>
      <c r="F82" s="109">
        <f>VLOOKUP($A82,ANAGRAFICA!$B$1:$G$306,6,FALSE)</f>
        <v>2025</v>
      </c>
      <c r="G82" s="3">
        <v>1.0</v>
      </c>
      <c r="H82" s="14" t="s">
        <v>1083</v>
      </c>
      <c r="I82" s="77">
        <v>45720.0</v>
      </c>
      <c r="J82" s="11" t="b">
        <v>0</v>
      </c>
    </row>
    <row r="83">
      <c r="A83" s="57">
        <v>2.025010247E9</v>
      </c>
      <c r="B83" s="109" t="str">
        <f>VLOOKUP($A83,ANAGRAFICA!$B$1:$G$306,2,FALSE)</f>
        <v>TREMOLADA</v>
      </c>
      <c r="C83" s="109" t="str">
        <f>VLOOKUP($A83,ANAGRAFICA!$B$1:$G$306,3,FALSE)</f>
        <v>MARCO</v>
      </c>
      <c r="D83" s="109" t="str">
        <f>VLOOKUP($A83,ANAGRAFICA!$B$1:$G$306,4,FALSE)</f>
        <v>758-25</v>
      </c>
      <c r="E83" s="109">
        <f>VLOOKUP($A83,ANAGRAFICA!$B$1:$G$306,5,FALSE)</f>
        <v>3272025054</v>
      </c>
      <c r="F83" s="109">
        <f>VLOOKUP($A83,ANAGRAFICA!$B$1:$G$306,6,FALSE)</f>
        <v>2025</v>
      </c>
      <c r="G83" s="3">
        <v>1.0</v>
      </c>
      <c r="H83" s="14" t="s">
        <v>1071</v>
      </c>
      <c r="I83" s="77">
        <v>45723.0</v>
      </c>
      <c r="J83" s="11" t="b">
        <v>1</v>
      </c>
    </row>
    <row r="84">
      <c r="A84" s="57">
        <v>2.025010247E9</v>
      </c>
      <c r="B84" s="109" t="str">
        <f>VLOOKUP($A84,ANAGRAFICA!$B$1:$G$306,2,FALSE)</f>
        <v>TREMOLADA</v>
      </c>
      <c r="C84" s="109" t="str">
        <f>VLOOKUP($A84,ANAGRAFICA!$B$1:$G$306,3,FALSE)</f>
        <v>MARCO</v>
      </c>
      <c r="D84" s="109" t="str">
        <f>VLOOKUP($A84,ANAGRAFICA!$B$1:$G$306,4,FALSE)</f>
        <v>758-25</v>
      </c>
      <c r="E84" s="109">
        <f>VLOOKUP($A84,ANAGRAFICA!$B$1:$G$306,5,FALSE)</f>
        <v>3272025054</v>
      </c>
      <c r="F84" s="109">
        <f>VLOOKUP($A84,ANAGRAFICA!$B$1:$G$306,6,FALSE)</f>
        <v>2025</v>
      </c>
      <c r="G84" s="3">
        <v>2.0</v>
      </c>
      <c r="H84" s="14" t="s">
        <v>1067</v>
      </c>
      <c r="I84" s="77">
        <v>45732.0</v>
      </c>
      <c r="J84" s="11" t="b">
        <v>1</v>
      </c>
    </row>
    <row r="85">
      <c r="A85" s="57">
        <v>2.025010247E9</v>
      </c>
      <c r="B85" s="109" t="str">
        <f>VLOOKUP($A85,ANAGRAFICA!$B$1:$G$306,2,FALSE)</f>
        <v>TREMOLADA</v>
      </c>
      <c r="C85" s="109" t="str">
        <f>VLOOKUP($A85,ANAGRAFICA!$B$1:$G$306,3,FALSE)</f>
        <v>MARCO</v>
      </c>
      <c r="D85" s="109" t="str">
        <f>VLOOKUP($A85,ANAGRAFICA!$B$1:$G$306,4,FALSE)</f>
        <v>758-25</v>
      </c>
      <c r="E85" s="109">
        <f>VLOOKUP($A85,ANAGRAFICA!$B$1:$G$306,5,FALSE)</f>
        <v>3272025054</v>
      </c>
      <c r="F85" s="109">
        <f>VLOOKUP($A85,ANAGRAFICA!$B$1:$G$306,6,FALSE)</f>
        <v>2025</v>
      </c>
      <c r="G85" s="3">
        <v>2.0</v>
      </c>
      <c r="H85" s="14" t="s">
        <v>1072</v>
      </c>
      <c r="I85" s="77">
        <v>45732.0</v>
      </c>
      <c r="J85" s="11" t="b">
        <v>1</v>
      </c>
    </row>
    <row r="86">
      <c r="A86" s="57">
        <v>2.025010247E9</v>
      </c>
      <c r="B86" s="109" t="str">
        <f>VLOOKUP($A86,ANAGRAFICA!$B$1:$G$306,2,FALSE)</f>
        <v>TREMOLADA</v>
      </c>
      <c r="C86" s="109" t="str">
        <f>VLOOKUP($A86,ANAGRAFICA!$B$1:$G$306,3,FALSE)</f>
        <v>MARCO</v>
      </c>
      <c r="D86" s="109" t="str">
        <f>VLOOKUP($A86,ANAGRAFICA!$B$1:$G$306,4,FALSE)</f>
        <v>758-25</v>
      </c>
      <c r="E86" s="109">
        <f>VLOOKUP($A86,ANAGRAFICA!$B$1:$G$306,5,FALSE)</f>
        <v>3272025054</v>
      </c>
      <c r="F86" s="109">
        <f>VLOOKUP($A86,ANAGRAFICA!$B$1:$G$306,6,FALSE)</f>
        <v>2025</v>
      </c>
      <c r="G86" s="3">
        <v>2.0</v>
      </c>
      <c r="H86" s="14" t="s">
        <v>1087</v>
      </c>
      <c r="I86" s="77">
        <v>45740.0</v>
      </c>
      <c r="J86" s="11" t="b">
        <v>1</v>
      </c>
    </row>
    <row r="87">
      <c r="A87" s="57">
        <v>2.025010247E9</v>
      </c>
      <c r="B87" s="109" t="str">
        <f>VLOOKUP($A87,ANAGRAFICA!$B$1:$G$306,2,FALSE)</f>
        <v>TREMOLADA</v>
      </c>
      <c r="C87" s="109" t="str">
        <f>VLOOKUP($A87,ANAGRAFICA!$B$1:$G$306,3,FALSE)</f>
        <v>MARCO</v>
      </c>
      <c r="D87" s="109" t="str">
        <f>VLOOKUP($A87,ANAGRAFICA!$B$1:$G$306,4,FALSE)</f>
        <v>758-25</v>
      </c>
      <c r="E87" s="109">
        <f>VLOOKUP($A87,ANAGRAFICA!$B$1:$G$306,5,FALSE)</f>
        <v>3272025054</v>
      </c>
      <c r="F87" s="109">
        <f>VLOOKUP($A87,ANAGRAFICA!$B$1:$G$306,6,FALSE)</f>
        <v>2025</v>
      </c>
      <c r="G87" s="3">
        <v>2.0</v>
      </c>
      <c r="H87" s="14" t="s">
        <v>1076</v>
      </c>
      <c r="I87" s="77">
        <v>45740.0</v>
      </c>
      <c r="J87" s="11" t="b">
        <v>1</v>
      </c>
    </row>
    <row r="88">
      <c r="A88" s="57">
        <v>2.025010247E9</v>
      </c>
      <c r="B88" s="109" t="str">
        <f>VLOOKUP($A88,ANAGRAFICA!$B$1:$G$306,2,FALSE)</f>
        <v>TREMOLADA</v>
      </c>
      <c r="C88" s="109" t="str">
        <f>VLOOKUP($A88,ANAGRAFICA!$B$1:$G$306,3,FALSE)</f>
        <v>MARCO</v>
      </c>
      <c r="D88" s="109" t="str">
        <f>VLOOKUP($A88,ANAGRAFICA!$B$1:$G$306,4,FALSE)</f>
        <v>758-25</v>
      </c>
      <c r="E88" s="109">
        <f>VLOOKUP($A88,ANAGRAFICA!$B$1:$G$306,5,FALSE)</f>
        <v>3272025054</v>
      </c>
      <c r="F88" s="109">
        <f>VLOOKUP($A88,ANAGRAFICA!$B$1:$G$306,6,FALSE)</f>
        <v>2025</v>
      </c>
      <c r="G88" s="3">
        <v>2.0</v>
      </c>
      <c r="H88" s="14" t="s">
        <v>1076</v>
      </c>
      <c r="I88" s="77">
        <v>45753.0</v>
      </c>
      <c r="J88" s="11" t="b">
        <v>1</v>
      </c>
    </row>
    <row r="89">
      <c r="A89" s="57">
        <v>2.025010247E9</v>
      </c>
      <c r="B89" s="109" t="str">
        <f>VLOOKUP($A89,ANAGRAFICA!$B$1:$G$306,2,FALSE)</f>
        <v>TREMOLADA</v>
      </c>
      <c r="C89" s="109" t="str">
        <f>VLOOKUP($A89,ANAGRAFICA!$B$1:$G$306,3,FALSE)</f>
        <v>MARCO</v>
      </c>
      <c r="D89" s="109" t="str">
        <f>VLOOKUP($A89,ANAGRAFICA!$B$1:$G$306,4,FALSE)</f>
        <v>758-25</v>
      </c>
      <c r="E89" s="109">
        <f>VLOOKUP($A89,ANAGRAFICA!$B$1:$G$306,5,FALSE)</f>
        <v>3272025054</v>
      </c>
      <c r="F89" s="109">
        <f>VLOOKUP($A89,ANAGRAFICA!$B$1:$G$306,6,FALSE)</f>
        <v>2025</v>
      </c>
      <c r="G89" s="3">
        <v>2.0</v>
      </c>
      <c r="H89" s="14" t="s">
        <v>1076</v>
      </c>
      <c r="I89" s="77">
        <v>45762.0</v>
      </c>
      <c r="J89" s="11" t="b">
        <v>1</v>
      </c>
    </row>
    <row r="90">
      <c r="A90" s="57">
        <v>2.025010247E9</v>
      </c>
      <c r="B90" s="109" t="str">
        <f>VLOOKUP($A90,ANAGRAFICA!$B$1:$G$306,2,FALSE)</f>
        <v>TREMOLADA</v>
      </c>
      <c r="C90" s="109" t="str">
        <f>VLOOKUP($A90,ANAGRAFICA!$B$1:$G$306,3,FALSE)</f>
        <v>MARCO</v>
      </c>
      <c r="D90" s="109" t="str">
        <f>VLOOKUP($A90,ANAGRAFICA!$B$1:$G$306,4,FALSE)</f>
        <v>758-25</v>
      </c>
      <c r="E90" s="109">
        <f>VLOOKUP($A90,ANAGRAFICA!$B$1:$G$306,5,FALSE)</f>
        <v>3272025054</v>
      </c>
      <c r="F90" s="109">
        <f>VLOOKUP($A90,ANAGRAFICA!$B$1:$G$306,6,FALSE)</f>
        <v>2025</v>
      </c>
      <c r="G90" s="3">
        <v>2.0</v>
      </c>
      <c r="H90" s="14" t="s">
        <v>1076</v>
      </c>
      <c r="I90" s="77">
        <v>45770.0</v>
      </c>
      <c r="J90" s="11" t="b">
        <v>1</v>
      </c>
    </row>
    <row r="91">
      <c r="A91" s="57">
        <v>2.025010247E9</v>
      </c>
      <c r="B91" s="109" t="str">
        <f>VLOOKUP($A91,ANAGRAFICA!$B$1:$G$306,2,FALSE)</f>
        <v>TREMOLADA</v>
      </c>
      <c r="C91" s="109" t="str">
        <f>VLOOKUP($A91,ANAGRAFICA!$B$1:$G$306,3,FALSE)</f>
        <v>MARCO</v>
      </c>
      <c r="D91" s="109" t="str">
        <f>VLOOKUP($A91,ANAGRAFICA!$B$1:$G$306,4,FALSE)</f>
        <v>758-25</v>
      </c>
      <c r="E91" s="109">
        <f>VLOOKUP($A91,ANAGRAFICA!$B$1:$G$306,5,FALSE)</f>
        <v>3272025054</v>
      </c>
      <c r="F91" s="109">
        <f>VLOOKUP($A91,ANAGRAFICA!$B$1:$G$306,6,FALSE)</f>
        <v>2025</v>
      </c>
      <c r="G91" s="3">
        <v>2.0</v>
      </c>
      <c r="H91" s="14" t="s">
        <v>1076</v>
      </c>
      <c r="I91" s="77">
        <v>45777.0</v>
      </c>
      <c r="J91" s="11" t="b">
        <v>1</v>
      </c>
    </row>
    <row r="92">
      <c r="A92" s="57">
        <v>2.025010247E9</v>
      </c>
      <c r="B92" s="109" t="str">
        <f>VLOOKUP($A92,ANAGRAFICA!$B$1:$G$306,2,FALSE)</f>
        <v>TREMOLADA</v>
      </c>
      <c r="C92" s="109" t="str">
        <f>VLOOKUP($A92,ANAGRAFICA!$B$1:$G$306,3,FALSE)</f>
        <v>MARCO</v>
      </c>
      <c r="D92" s="109" t="str">
        <f>VLOOKUP($A92,ANAGRAFICA!$B$1:$G$306,4,FALSE)</f>
        <v>758-25</v>
      </c>
      <c r="E92" s="109">
        <f>VLOOKUP($A92,ANAGRAFICA!$B$1:$G$306,5,FALSE)</f>
        <v>3272025054</v>
      </c>
      <c r="F92" s="109">
        <f>VLOOKUP($A92,ANAGRAFICA!$B$1:$G$306,6,FALSE)</f>
        <v>2025</v>
      </c>
      <c r="G92" s="3">
        <v>2.0</v>
      </c>
      <c r="H92" s="14" t="s">
        <v>1076</v>
      </c>
      <c r="I92" s="77">
        <v>45784.0</v>
      </c>
      <c r="J92" s="11" t="b">
        <v>1</v>
      </c>
    </row>
    <row r="93">
      <c r="A93" s="57">
        <v>2.025010247E9</v>
      </c>
      <c r="B93" s="109" t="str">
        <f>VLOOKUP($A93,ANAGRAFICA!$B$1:$G$306,2,FALSE)</f>
        <v>TREMOLADA</v>
      </c>
      <c r="C93" s="109" t="str">
        <f>VLOOKUP($A93,ANAGRAFICA!$B$1:$G$306,3,FALSE)</f>
        <v>MARCO</v>
      </c>
      <c r="D93" s="109" t="str">
        <f>VLOOKUP($A93,ANAGRAFICA!$B$1:$G$306,4,FALSE)</f>
        <v>758-25</v>
      </c>
      <c r="E93" s="109">
        <f>VLOOKUP($A93,ANAGRAFICA!$B$1:$G$306,5,FALSE)</f>
        <v>3272025054</v>
      </c>
      <c r="F93" s="109">
        <f>VLOOKUP($A93,ANAGRAFICA!$B$1:$G$306,6,FALSE)</f>
        <v>2025</v>
      </c>
      <c r="G93" s="3">
        <v>2.0</v>
      </c>
      <c r="H93" s="14" t="s">
        <v>1076</v>
      </c>
      <c r="I93" s="77">
        <v>45794.0</v>
      </c>
      <c r="J93" s="11" t="b">
        <v>1</v>
      </c>
    </row>
    <row r="94">
      <c r="A94" s="57">
        <v>2.025010247E9</v>
      </c>
      <c r="B94" s="109" t="str">
        <f>VLOOKUP($A94,ANAGRAFICA!$B$1:$G$306,2,FALSE)</f>
        <v>TREMOLADA</v>
      </c>
      <c r="C94" s="109" t="str">
        <f>VLOOKUP($A94,ANAGRAFICA!$B$1:$G$306,3,FALSE)</f>
        <v>MARCO</v>
      </c>
      <c r="D94" s="109" t="str">
        <f>VLOOKUP($A94,ANAGRAFICA!$B$1:$G$306,4,FALSE)</f>
        <v>758-25</v>
      </c>
      <c r="E94" s="109">
        <f>VLOOKUP($A94,ANAGRAFICA!$B$1:$G$306,5,FALSE)</f>
        <v>3272025054</v>
      </c>
      <c r="F94" s="109">
        <f>VLOOKUP($A94,ANAGRAFICA!$B$1:$G$306,6,FALSE)</f>
        <v>2025</v>
      </c>
      <c r="G94" s="3">
        <v>2.0</v>
      </c>
      <c r="H94" s="14" t="s">
        <v>1086</v>
      </c>
      <c r="I94" s="77">
        <v>45793.0</v>
      </c>
      <c r="J94" s="11" t="b">
        <v>0</v>
      </c>
    </row>
    <row r="95">
      <c r="A95" s="57">
        <v>2.125027331E9</v>
      </c>
      <c r="B95" s="109" t="str">
        <f>VLOOKUP($A95,ANAGRAFICA!$B$1:$G$306,2,FALSE)</f>
        <v>QUARIN</v>
      </c>
      <c r="C95" s="109" t="str">
        <f>VLOOKUP($A95,ANAGRAFICA!$B$1:$G$306,3,FALSE)</f>
        <v>FRANCO</v>
      </c>
      <c r="D95" s="109" t="str">
        <f>VLOOKUP($A95,ANAGRAFICA!$B$1:$G$306,4,FALSE)</f>
        <v>758-34</v>
      </c>
      <c r="E95" s="109" t="str">
        <f>VLOOKUP($A95,ANAGRAFICA!$B$1:$G$306,5,FALSE)</f>
        <v/>
      </c>
      <c r="F95" s="109">
        <f>VLOOKUP($A95,ANAGRAFICA!$B$1:$G$306,6,FALSE)</f>
        <v>2025</v>
      </c>
      <c r="G95" s="3">
        <v>1.0</v>
      </c>
      <c r="H95" s="14" t="s">
        <v>1070</v>
      </c>
      <c r="I95" s="77">
        <v>45828.0</v>
      </c>
      <c r="J95" s="11" t="b">
        <v>1</v>
      </c>
    </row>
    <row r="96">
      <c r="A96" s="57">
        <v>2.125029623E9</v>
      </c>
      <c r="B96" s="109" t="str">
        <f>VLOOKUP($A96,ANAGRAFICA!$B$1:$G$306,2,FALSE)</f>
        <v>IANDIORIO</v>
      </c>
      <c r="C96" s="109" t="str">
        <f>VLOOKUP($A96,ANAGRAFICA!$B$1:$G$306,3,FALSE)</f>
        <v>ALDO NATALINO</v>
      </c>
      <c r="D96" s="109" t="str">
        <f>VLOOKUP($A96,ANAGRAFICA!$B$1:$G$306,4,FALSE)</f>
        <v>758-36</v>
      </c>
      <c r="E96" s="109">
        <f>VLOOKUP($A96,ANAGRAFICA!$B$1:$G$306,5,FALSE)</f>
        <v>3272025062</v>
      </c>
      <c r="F96" s="109">
        <f>VLOOKUP($A96,ANAGRAFICA!$B$1:$G$306,6,FALSE)</f>
        <v>2025</v>
      </c>
      <c r="G96" s="3">
        <v>1.0</v>
      </c>
      <c r="H96" s="14" t="s">
        <v>1080</v>
      </c>
      <c r="I96" s="77">
        <v>45847.0</v>
      </c>
      <c r="J96" s="11" t="b">
        <v>0</v>
      </c>
    </row>
    <row r="97">
      <c r="A97" s="57">
        <v>2.125029623E9</v>
      </c>
      <c r="B97" s="109" t="str">
        <f>VLOOKUP($A97,ANAGRAFICA!$B$1:$G$306,2,FALSE)</f>
        <v>IANDIORIO</v>
      </c>
      <c r="C97" s="109" t="str">
        <f>VLOOKUP($A97,ANAGRAFICA!$B$1:$G$306,3,FALSE)</f>
        <v>ALDO NATALINO</v>
      </c>
      <c r="D97" s="109" t="str">
        <f>VLOOKUP($A97,ANAGRAFICA!$B$1:$G$306,4,FALSE)</f>
        <v>758-36</v>
      </c>
      <c r="E97" s="109">
        <f>VLOOKUP($A97,ANAGRAFICA!$B$1:$G$306,5,FALSE)</f>
        <v>3272025062</v>
      </c>
      <c r="F97" s="109">
        <f>VLOOKUP($A97,ANAGRAFICA!$B$1:$G$306,6,FALSE)</f>
        <v>2025</v>
      </c>
      <c r="G97" s="3">
        <v>1.0</v>
      </c>
      <c r="H97" s="14" t="s">
        <v>1067</v>
      </c>
      <c r="I97" s="77">
        <v>45854.0</v>
      </c>
      <c r="J97" s="11" t="b">
        <v>0</v>
      </c>
    </row>
    <row r="98">
      <c r="A98" s="57">
        <v>2.125026384E9</v>
      </c>
      <c r="B98" s="109" t="str">
        <f>VLOOKUP($A98,ANAGRAFICA!$B$1:$G$306,2,FALSE)</f>
        <v>PRINCIPATO</v>
      </c>
      <c r="C98" s="109" t="str">
        <f>VLOOKUP($A98,ANAGRAFICA!$B$1:$G$306,3,FALSE)</f>
        <v>FRANCO ANGELO</v>
      </c>
      <c r="D98" s="109" t="str">
        <f>VLOOKUP($A98,ANAGRAFICA!$B$1:$G$306,4,FALSE)</f>
        <v>758-35</v>
      </c>
      <c r="E98" s="109">
        <f>VLOOKUP($A98,ANAGRAFICA!$B$1:$G$306,5,FALSE)</f>
        <v>3272025061</v>
      </c>
      <c r="F98" s="109">
        <f>VLOOKUP($A98,ANAGRAFICA!$B$1:$G$306,6,FALSE)</f>
        <v>2025</v>
      </c>
      <c r="G98" s="3">
        <v>1.0</v>
      </c>
      <c r="H98" s="14" t="s">
        <v>1073</v>
      </c>
      <c r="I98" s="77">
        <v>45835.0</v>
      </c>
      <c r="J98" s="11" t="b">
        <v>0</v>
      </c>
    </row>
    <row r="99">
      <c r="A99" s="57">
        <v>2.125026384E9</v>
      </c>
      <c r="B99" s="109" t="str">
        <f>VLOOKUP($A99,ANAGRAFICA!$B$1:$G$306,2,FALSE)</f>
        <v>PRINCIPATO</v>
      </c>
      <c r="C99" s="109" t="str">
        <f>VLOOKUP($A99,ANAGRAFICA!$B$1:$G$306,3,FALSE)</f>
        <v>FRANCO ANGELO</v>
      </c>
      <c r="D99" s="109" t="str">
        <f>VLOOKUP($A99,ANAGRAFICA!$B$1:$G$306,4,FALSE)</f>
        <v>758-35</v>
      </c>
      <c r="E99" s="109">
        <f>VLOOKUP($A99,ANAGRAFICA!$B$1:$G$306,5,FALSE)</f>
        <v>3272025061</v>
      </c>
      <c r="F99" s="109">
        <f>VLOOKUP($A99,ANAGRAFICA!$B$1:$G$306,6,FALSE)</f>
        <v>2025</v>
      </c>
      <c r="G99" s="3">
        <v>1.0</v>
      </c>
      <c r="H99" s="14" t="s">
        <v>1080</v>
      </c>
      <c r="I99" s="77">
        <v>45838.0</v>
      </c>
      <c r="J99" s="11" t="b">
        <v>0</v>
      </c>
    </row>
    <row r="100">
      <c r="A100" s="57">
        <v>2.125032902E9</v>
      </c>
      <c r="B100" s="109" t="str">
        <f>VLOOKUP($A100,ANAGRAFICA!$B$1:$G$306,2,FALSE)</f>
        <v>BRAIDA</v>
      </c>
      <c r="C100" s="109" t="str">
        <f>VLOOKUP($A100,ANAGRAFICA!$B$1:$G$306,3,FALSE)</f>
        <v>ILARIO</v>
      </c>
      <c r="D100" s="109" t="str">
        <f>VLOOKUP($A100,ANAGRAFICA!$B$1:$G$306,4,FALSE)</f>
        <v>758-37</v>
      </c>
      <c r="E100" s="109">
        <f>VLOOKUP($A100,ANAGRAFICA!$B$1:$G$306,5,FALSE)</f>
        <v>3272025063</v>
      </c>
      <c r="F100" s="109">
        <f>VLOOKUP($A100,ANAGRAFICA!$B$1:$G$306,6,FALSE)</f>
        <v>2025</v>
      </c>
      <c r="G100" s="3">
        <v>1.0</v>
      </c>
      <c r="H100" s="14" t="s">
        <v>1067</v>
      </c>
      <c r="I100" s="77">
        <v>45872.0</v>
      </c>
      <c r="J100" s="11" t="b">
        <v>1</v>
      </c>
    </row>
    <row r="101">
      <c r="A101" s="57">
        <v>2.125032902E9</v>
      </c>
      <c r="B101" s="109" t="str">
        <f>VLOOKUP($A101,ANAGRAFICA!$B$1:$G$306,2,FALSE)</f>
        <v>BRAIDA</v>
      </c>
      <c r="C101" s="109" t="str">
        <f>VLOOKUP($A101,ANAGRAFICA!$B$1:$G$306,3,FALSE)</f>
        <v>ILARIO</v>
      </c>
      <c r="D101" s="109" t="str">
        <f>VLOOKUP($A101,ANAGRAFICA!$B$1:$G$306,4,FALSE)</f>
        <v>758-37</v>
      </c>
      <c r="E101" s="109">
        <f>VLOOKUP($A101,ANAGRAFICA!$B$1:$G$306,5,FALSE)</f>
        <v>3272025063</v>
      </c>
      <c r="F101" s="109">
        <f>VLOOKUP($A101,ANAGRAFICA!$B$1:$G$306,6,FALSE)</f>
        <v>2025</v>
      </c>
      <c r="G101" s="3">
        <v>1.0</v>
      </c>
      <c r="H101" s="14" t="s">
        <v>1084</v>
      </c>
      <c r="I101" s="77">
        <v>45870.0</v>
      </c>
      <c r="J101" s="11" t="b">
        <v>0</v>
      </c>
    </row>
    <row r="102">
      <c r="A102" s="57">
        <v>2.125032902E9</v>
      </c>
      <c r="B102" s="109" t="str">
        <f>VLOOKUP($A102,ANAGRAFICA!$B$1:$G$306,2,FALSE)</f>
        <v>BRAIDA</v>
      </c>
      <c r="C102" s="109" t="str">
        <f>VLOOKUP($A102,ANAGRAFICA!$B$1:$G$306,3,FALSE)</f>
        <v>ILARIO</v>
      </c>
      <c r="D102" s="109" t="str">
        <f>VLOOKUP($A102,ANAGRAFICA!$B$1:$G$306,4,FALSE)</f>
        <v>758-37</v>
      </c>
      <c r="E102" s="109">
        <f>VLOOKUP($A102,ANAGRAFICA!$B$1:$G$306,5,FALSE)</f>
        <v>3272025063</v>
      </c>
      <c r="F102" s="109">
        <f>VLOOKUP($A102,ANAGRAFICA!$B$1:$G$306,6,FALSE)</f>
        <v>2025</v>
      </c>
      <c r="G102" s="3">
        <v>1.0</v>
      </c>
      <c r="H102" s="14" t="s">
        <v>1071</v>
      </c>
      <c r="I102" s="77">
        <v>45871.0</v>
      </c>
      <c r="J102" s="11" t="b">
        <v>0</v>
      </c>
    </row>
    <row r="103">
      <c r="A103" s="57">
        <v>2.125026869E9</v>
      </c>
      <c r="B103" s="109" t="str">
        <f>VLOOKUP($A103,ANAGRAFICA!$B$1:$G$306,2,FALSE)</f>
        <v>NACCARI</v>
      </c>
      <c r="C103" s="109" t="str">
        <f>VLOOKUP($A103,ANAGRAFICA!$B$1:$G$306,3,FALSE)</f>
        <v>ROBERTO</v>
      </c>
      <c r="D103" s="109" t="str">
        <f>VLOOKUP($A103,ANAGRAFICA!$B$1:$G$306,4,FALSE)</f>
        <v>758-33</v>
      </c>
      <c r="E103" s="109">
        <f>VLOOKUP($A103,ANAGRAFICA!$B$1:$G$306,5,FALSE)</f>
        <v>3272025060</v>
      </c>
      <c r="F103" s="109">
        <f>VLOOKUP($A103,ANAGRAFICA!$B$1:$G$306,6,FALSE)</f>
        <v>2025</v>
      </c>
      <c r="G103" s="3">
        <v>1.0</v>
      </c>
      <c r="H103" s="14" t="s">
        <v>1086</v>
      </c>
      <c r="I103" s="77">
        <v>45838.0</v>
      </c>
      <c r="J103" s="11" t="b">
        <v>0</v>
      </c>
    </row>
    <row r="104">
      <c r="A104" s="57">
        <v>2.125026869E9</v>
      </c>
      <c r="B104" s="109" t="str">
        <f>VLOOKUP($A104,ANAGRAFICA!$B$1:$G$306,2,FALSE)</f>
        <v>NACCARI</v>
      </c>
      <c r="C104" s="109" t="str">
        <f>VLOOKUP($A104,ANAGRAFICA!$B$1:$G$306,3,FALSE)</f>
        <v>ROBERTO</v>
      </c>
      <c r="D104" s="109" t="str">
        <f>VLOOKUP($A104,ANAGRAFICA!$B$1:$G$306,4,FALSE)</f>
        <v>758-33</v>
      </c>
      <c r="E104" s="109">
        <f>VLOOKUP($A104,ANAGRAFICA!$B$1:$G$306,5,FALSE)</f>
        <v>3272025060</v>
      </c>
      <c r="F104" s="109">
        <f>VLOOKUP($A104,ANAGRAFICA!$B$1:$G$306,6,FALSE)</f>
        <v>2025</v>
      </c>
      <c r="G104" s="3">
        <v>1.0</v>
      </c>
      <c r="H104" s="14" t="s">
        <v>1073</v>
      </c>
      <c r="I104" s="77">
        <v>45836.0</v>
      </c>
      <c r="J104" s="11" t="b">
        <v>0</v>
      </c>
    </row>
    <row r="105">
      <c r="A105" s="57">
        <v>2.125026869E9</v>
      </c>
      <c r="B105" s="109" t="str">
        <f>VLOOKUP($A105,ANAGRAFICA!$B$1:$G$306,2,FALSE)</f>
        <v>NACCARI</v>
      </c>
      <c r="C105" s="109" t="str">
        <f>VLOOKUP($A105,ANAGRAFICA!$B$1:$G$306,3,FALSE)</f>
        <v>ROBERTO</v>
      </c>
      <c r="D105" s="109" t="str">
        <f>VLOOKUP($A105,ANAGRAFICA!$B$1:$G$306,4,FALSE)</f>
        <v>758-33</v>
      </c>
      <c r="E105" s="109">
        <f>VLOOKUP($A105,ANAGRAFICA!$B$1:$G$306,5,FALSE)</f>
        <v>3272025060</v>
      </c>
      <c r="F105" s="109">
        <f>VLOOKUP($A105,ANAGRAFICA!$B$1:$G$306,6,FALSE)</f>
        <v>2025</v>
      </c>
      <c r="G105" s="3">
        <v>1.0</v>
      </c>
      <c r="H105" s="14" t="s">
        <v>1072</v>
      </c>
      <c r="I105" s="77">
        <v>45836.0</v>
      </c>
      <c r="J105" s="11" t="b">
        <v>0</v>
      </c>
    </row>
    <row r="106">
      <c r="A106" s="57">
        <v>2.125037955E9</v>
      </c>
      <c r="B106" s="109" t="str">
        <f>VLOOKUP($A106,ANAGRAFICA!$B$1:$G$306,2,FALSE)</f>
        <v>MANNINO</v>
      </c>
      <c r="C106" s="109" t="str">
        <f>VLOOKUP($A106,ANAGRAFICA!$B$1:$G$306,3,FALSE)</f>
        <v>ANDREA</v>
      </c>
      <c r="D106" s="109" t="str">
        <f>VLOOKUP($A106,ANAGRAFICA!$B$1:$G$306,4,FALSE)</f>
        <v>758-39</v>
      </c>
      <c r="E106" s="109">
        <f>VLOOKUP($A106,ANAGRAFICA!$B$1:$G$306,5,FALSE)</f>
        <v>3272025066</v>
      </c>
      <c r="F106" s="109">
        <f>VLOOKUP($A106,ANAGRAFICA!$B$1:$G$306,6,FALSE)</f>
        <v>2025</v>
      </c>
      <c r="G106" s="3">
        <v>1.0</v>
      </c>
      <c r="H106" s="14" t="s">
        <v>1089</v>
      </c>
      <c r="I106" s="77">
        <v>45792.0</v>
      </c>
      <c r="J106" s="11" t="b">
        <v>1</v>
      </c>
    </row>
    <row r="107">
      <c r="A107" s="57">
        <v>2.125040106E9</v>
      </c>
      <c r="B107" s="109" t="str">
        <f>VLOOKUP($A107,ANAGRAFICA!$B$1:$G$306,2,FALSE)</f>
        <v>COLNAGHI</v>
      </c>
      <c r="C107" s="109" t="str">
        <f>VLOOKUP($A107,ANAGRAFICA!$B$1:$G$306,3,FALSE)</f>
        <v>EUGENIO PIERO</v>
      </c>
      <c r="D107" s="109" t="str">
        <f>VLOOKUP($A107,ANAGRAFICA!$B$1:$G$306,4,FALSE)</f>
        <v>758-41</v>
      </c>
      <c r="E107" s="109">
        <f>VLOOKUP($A107,ANAGRAFICA!$B$1:$G$306,5,FALSE)</f>
        <v>3272025068</v>
      </c>
      <c r="F107" s="109">
        <f>VLOOKUP($A107,ANAGRAFICA!$B$1:$G$306,6,FALSE)</f>
        <v>2025</v>
      </c>
      <c r="G107" s="3">
        <v>1.0</v>
      </c>
      <c r="H107" s="14" t="s">
        <v>1072</v>
      </c>
      <c r="I107" s="77">
        <v>45938.0</v>
      </c>
      <c r="J107" s="11" t="b">
        <v>1</v>
      </c>
    </row>
    <row r="108">
      <c r="A108" s="57">
        <v>2.125040106E9</v>
      </c>
      <c r="B108" s="109" t="str">
        <f>VLOOKUP($A108,ANAGRAFICA!$B$1:$G$306,2,FALSE)</f>
        <v>COLNAGHI</v>
      </c>
      <c r="C108" s="109" t="str">
        <f>VLOOKUP($A108,ANAGRAFICA!$B$1:$G$306,3,FALSE)</f>
        <v>EUGENIO PIERO</v>
      </c>
      <c r="D108" s="109" t="str">
        <f>VLOOKUP($A108,ANAGRAFICA!$B$1:$G$306,4,FALSE)</f>
        <v>758-41</v>
      </c>
      <c r="E108" s="109">
        <f>VLOOKUP($A108,ANAGRAFICA!$B$1:$G$306,5,FALSE)</f>
        <v>3272025068</v>
      </c>
      <c r="F108" s="109">
        <f>VLOOKUP($A108,ANAGRAFICA!$B$1:$G$306,6,FALSE)</f>
        <v>2025</v>
      </c>
      <c r="G108" s="3">
        <v>1.0</v>
      </c>
      <c r="H108" s="14" t="s">
        <v>1064</v>
      </c>
      <c r="I108" s="77">
        <v>45939.0</v>
      </c>
      <c r="J108" s="11" t="b">
        <v>1</v>
      </c>
    </row>
    <row r="109">
      <c r="A109" s="57">
        <v>2.125040052E9</v>
      </c>
      <c r="B109" s="109" t="str">
        <f>VLOOKUP($A109,ANAGRAFICA!$B$1:$G$306,2,FALSE)</f>
        <v>TODESCATO</v>
      </c>
      <c r="C109" s="109" t="str">
        <f>VLOOKUP($A109,ANAGRAFICA!$B$1:$G$306,3,FALSE)</f>
        <v>GIANLUCA</v>
      </c>
      <c r="D109" s="109" t="str">
        <f>VLOOKUP($A109,ANAGRAFICA!$B$1:$G$306,4,FALSE)</f>
        <v>758-40</v>
      </c>
      <c r="E109" s="109">
        <f>VLOOKUP($A109,ANAGRAFICA!$B$1:$G$306,5,FALSE)</f>
        <v>3272025067</v>
      </c>
      <c r="F109" s="109">
        <f>VLOOKUP($A109,ANAGRAFICA!$B$1:$G$306,6,FALSE)</f>
        <v>2025</v>
      </c>
      <c r="G109" s="3">
        <v>1.0</v>
      </c>
      <c r="H109" s="14" t="s">
        <v>1067</v>
      </c>
      <c r="I109" s="77">
        <v>45934.0</v>
      </c>
      <c r="J109" s="11" t="b">
        <v>0</v>
      </c>
    </row>
    <row r="110">
      <c r="A110" s="57">
        <v>2.125040052E9</v>
      </c>
      <c r="B110" s="109" t="str">
        <f>VLOOKUP($A110,ANAGRAFICA!$B$1:$G$306,2,FALSE)</f>
        <v>TODESCATO</v>
      </c>
      <c r="C110" s="109" t="str">
        <f>VLOOKUP($A110,ANAGRAFICA!$B$1:$G$306,3,FALSE)</f>
        <v>GIANLUCA</v>
      </c>
      <c r="D110" s="109" t="str">
        <f>VLOOKUP($A110,ANAGRAFICA!$B$1:$G$306,4,FALSE)</f>
        <v>758-40</v>
      </c>
      <c r="E110" s="109">
        <f>VLOOKUP($A110,ANAGRAFICA!$B$1:$G$306,5,FALSE)</f>
        <v>3272025067</v>
      </c>
      <c r="F110" s="109">
        <f>VLOOKUP($A110,ANAGRAFICA!$B$1:$G$306,6,FALSE)</f>
        <v>2025</v>
      </c>
      <c r="G110" s="3">
        <v>1.0</v>
      </c>
      <c r="H110" s="14" t="s">
        <v>1083</v>
      </c>
      <c r="I110" s="77">
        <v>45927.0</v>
      </c>
      <c r="J110" s="11" t="b">
        <v>0</v>
      </c>
    </row>
    <row r="111">
      <c r="A111" s="57">
        <v>2.125040835E9</v>
      </c>
      <c r="B111" s="109" t="str">
        <f>VLOOKUP($A111,ANAGRAFICA!$B$1:$G$306,2,FALSE)</f>
        <v>PESACANE</v>
      </c>
      <c r="C111" s="109" t="str">
        <f>VLOOKUP($A111,ANAGRAFICA!$B$1:$G$306,3,FALSE)</f>
        <v>MATTEO VALERIO</v>
      </c>
      <c r="D111" s="109" t="str">
        <f>VLOOKUP($A111,ANAGRAFICA!$B$1:$G$306,4,FALSE)</f>
        <v>758-42</v>
      </c>
      <c r="E111" s="109">
        <f>VLOOKUP($A111,ANAGRAFICA!$B$1:$G$306,5,FALSE)</f>
        <v>3272025069</v>
      </c>
      <c r="F111" s="109">
        <f>VLOOKUP($A111,ANAGRAFICA!$B$1:$G$306,6,FALSE)</f>
        <v>2025</v>
      </c>
      <c r="G111" s="3">
        <v>1.0</v>
      </c>
      <c r="H111" s="14" t="s">
        <v>1070</v>
      </c>
      <c r="I111" s="77">
        <v>45934.0</v>
      </c>
      <c r="J111" s="11" t="b">
        <v>1</v>
      </c>
    </row>
    <row r="112">
      <c r="A112" s="57">
        <v>2.125042368E9</v>
      </c>
      <c r="B112" s="109" t="str">
        <f>VLOOKUP($A112,ANAGRAFICA!$B$1:$G$306,2,FALSE)</f>
        <v>MARKOVIC</v>
      </c>
      <c r="C112" s="109" t="str">
        <f>VLOOKUP($A112,ANAGRAFICA!$B$1:$G$306,3,FALSE)</f>
        <v>BRANKO</v>
      </c>
      <c r="D112" s="109" t="str">
        <f>VLOOKUP($A112,ANAGRAFICA!$B$1:$G$306,4,FALSE)</f>
        <v>758-43</v>
      </c>
      <c r="E112" s="109">
        <f>VLOOKUP($A112,ANAGRAFICA!$B$1:$G$306,5,FALSE)</f>
        <v>3272025070</v>
      </c>
      <c r="F112" s="109">
        <f>VLOOKUP($A112,ANAGRAFICA!$B$1:$G$306,6,FALSE)</f>
        <v>2025</v>
      </c>
      <c r="G112" s="3">
        <v>1.0</v>
      </c>
      <c r="H112" s="141"/>
      <c r="J112" s="11" t="b">
        <v>0</v>
      </c>
    </row>
    <row r="113">
      <c r="A113" s="57">
        <v>2.125046195E9</v>
      </c>
      <c r="B113" s="109" t="str">
        <f>VLOOKUP($A113,ANAGRAFICA!$B$1:$G$306,2,FALSE)</f>
        <v>CASILLO</v>
      </c>
      <c r="C113" s="109" t="str">
        <f>VLOOKUP($A113,ANAGRAFICA!$B$1:$G$306,3,FALSE)</f>
        <v>SALVATORE</v>
      </c>
      <c r="D113" s="109" t="str">
        <f>VLOOKUP($A113,ANAGRAFICA!$B$1:$G$306,4,FALSE)</f>
        <v>758-44</v>
      </c>
      <c r="E113" s="109">
        <f>VLOOKUP($A113,ANAGRAFICA!$B$1:$G$306,5,FALSE)</f>
        <v>3272025071</v>
      </c>
      <c r="F113" s="109">
        <f>VLOOKUP($A113,ANAGRAFICA!$B$1:$G$306,6,FALSE)</f>
        <v>2025</v>
      </c>
      <c r="G113" s="3">
        <v>1.0</v>
      </c>
      <c r="H113" s="14" t="s">
        <v>1070</v>
      </c>
      <c r="I113" s="77">
        <v>45966.0</v>
      </c>
      <c r="J113" s="11" t="b">
        <v>1</v>
      </c>
    </row>
    <row r="114">
      <c r="A114" s="57">
        <v>2.125037955E9</v>
      </c>
      <c r="B114" s="109" t="str">
        <f>VLOOKUP($A114,ANAGRAFICA!$B$1:$G$306,2,FALSE)</f>
        <v>MANNINO</v>
      </c>
      <c r="C114" s="109" t="str">
        <f>VLOOKUP($A114,ANAGRAFICA!$B$1:$G$306,3,FALSE)</f>
        <v>ANDREA</v>
      </c>
      <c r="D114" s="109" t="str">
        <f>VLOOKUP($A114,ANAGRAFICA!$B$1:$G$306,4,FALSE)</f>
        <v>758-39</v>
      </c>
      <c r="E114" s="109">
        <f>VLOOKUP($A114,ANAGRAFICA!$B$1:$G$306,5,FALSE)</f>
        <v>3272025066</v>
      </c>
      <c r="F114" s="109">
        <f>VLOOKUP($A114,ANAGRAFICA!$B$1:$G$306,6,FALSE)</f>
        <v>2025</v>
      </c>
      <c r="G114" s="3">
        <v>1.0</v>
      </c>
      <c r="H114" s="14" t="s">
        <v>1083</v>
      </c>
      <c r="I114" s="77">
        <v>45918.0</v>
      </c>
      <c r="J114" s="11" t="b">
        <v>1</v>
      </c>
    </row>
    <row r="115">
      <c r="A115" s="57">
        <v>2.125037955E9</v>
      </c>
      <c r="B115" s="109" t="str">
        <f>VLOOKUP($A115,ANAGRAFICA!$B$1:$G$306,2,FALSE)</f>
        <v>MANNINO</v>
      </c>
      <c r="C115" s="109" t="str">
        <f>VLOOKUP($A115,ANAGRAFICA!$B$1:$G$306,3,FALSE)</f>
        <v>ANDREA</v>
      </c>
      <c r="D115" s="109" t="str">
        <f>VLOOKUP($A115,ANAGRAFICA!$B$1:$G$306,4,FALSE)</f>
        <v>758-39</v>
      </c>
      <c r="E115" s="109">
        <f>VLOOKUP($A115,ANAGRAFICA!$B$1:$G$306,5,FALSE)</f>
        <v>3272025066</v>
      </c>
      <c r="F115" s="109">
        <f>VLOOKUP($A115,ANAGRAFICA!$B$1:$G$306,6,FALSE)</f>
        <v>2025</v>
      </c>
      <c r="G115" s="3">
        <v>1.0</v>
      </c>
      <c r="H115" s="14" t="s">
        <v>1085</v>
      </c>
      <c r="I115" s="76">
        <v>45920.0</v>
      </c>
      <c r="J115" s="11" t="b">
        <v>1</v>
      </c>
    </row>
    <row r="116">
      <c r="A116" s="57">
        <v>2.1250527E9</v>
      </c>
      <c r="B116" s="109" t="str">
        <f>VLOOKUP($A116,ANAGRAFICA!$B$1:$G$306,2,FALSE)</f>
        <v>GADDA</v>
      </c>
      <c r="C116" s="109" t="str">
        <f>VLOOKUP($A116,ANAGRAFICA!$B$1:$G$306,3,FALSE)</f>
        <v>LILIANA</v>
      </c>
      <c r="D116" s="109" t="str">
        <f>VLOOKUP($A116,ANAGRAFICA!$B$1:$G$306,4,FALSE)</f>
        <v>758-46</v>
      </c>
      <c r="E116" s="109">
        <f>VLOOKUP($A116,ANAGRAFICA!$B$1:$G$306,5,FALSE)</f>
        <v>3272025073</v>
      </c>
      <c r="F116" s="109">
        <f>VLOOKUP($A116,ANAGRAFICA!$B$1:$G$306,6,FALSE)</f>
        <v>2025</v>
      </c>
      <c r="G116" s="3">
        <v>1.0</v>
      </c>
      <c r="H116" s="14" t="s">
        <v>1065</v>
      </c>
      <c r="I116" s="76">
        <v>46007.0</v>
      </c>
      <c r="J116" s="11" t="b">
        <v>0</v>
      </c>
    </row>
    <row r="117">
      <c r="A117" s="57">
        <v>2.125053097E9</v>
      </c>
      <c r="B117" s="109" t="str">
        <f>VLOOKUP($A117,ANAGRAFICA!$B$1:$G$306,2,FALSE)</f>
        <v>LISSONI</v>
      </c>
      <c r="C117" s="109" t="str">
        <f>VLOOKUP($A117,ANAGRAFICA!$B$1:$G$306,3,FALSE)</f>
        <v>ALESSANDRA</v>
      </c>
      <c r="D117" s="109" t="str">
        <f>VLOOKUP($A117,ANAGRAFICA!$B$1:$G$306,4,FALSE)</f>
        <v>758-47</v>
      </c>
      <c r="E117" s="109">
        <f>VLOOKUP($A117,ANAGRAFICA!$B$1:$G$306,5,FALSE)</f>
        <v>3272025074</v>
      </c>
      <c r="F117" s="109">
        <f>VLOOKUP($A117,ANAGRAFICA!$B$1:$G$306,6,FALSE)</f>
        <v>2025</v>
      </c>
      <c r="G117" s="3">
        <v>1.0</v>
      </c>
      <c r="H117" s="14" t="s">
        <v>1090</v>
      </c>
      <c r="I117" s="76">
        <v>46016.0</v>
      </c>
      <c r="J117" s="11" t="b">
        <v>0</v>
      </c>
    </row>
    <row r="118">
      <c r="A118" s="57">
        <v>2.126005799E9</v>
      </c>
      <c r="B118" s="109" t="str">
        <f>VLOOKUP($A118,ANAGRAFICA!$B$1:$G$306,2,FALSE)</f>
        <v>MAIORANO</v>
      </c>
      <c r="C118" s="109" t="str">
        <f>VLOOKUP($A118,ANAGRAFICA!$B$1:$G$306,3,FALSE)</f>
        <v>IOLANDA MARIA</v>
      </c>
      <c r="D118" s="109" t="str">
        <f>VLOOKUP($A118,ANAGRAFICA!$B$1:$G$306,4,FALSE)</f>
        <v>758-56</v>
      </c>
      <c r="E118" s="109" t="str">
        <f>VLOOKUP($A118,ANAGRAFICA!$B$1:$G$306,5,FALSE)</f>
        <v/>
      </c>
      <c r="F118" s="109">
        <f>VLOOKUP($A118,ANAGRAFICA!$B$1:$G$306,6,FALSE)</f>
        <v>2026</v>
      </c>
      <c r="G118" s="3">
        <v>1.0</v>
      </c>
      <c r="H118" s="141"/>
      <c r="I118" s="3" t="s">
        <v>1091</v>
      </c>
      <c r="J118" s="11" t="b">
        <v>0</v>
      </c>
    </row>
    <row r="119">
      <c r="A119" s="57">
        <v>2.126002771E9</v>
      </c>
      <c r="B119" s="109" t="str">
        <f>VLOOKUP($A119,ANAGRAFICA!$B$1:$G$306,2,FALSE)</f>
        <v>LONGOBARDI</v>
      </c>
      <c r="C119" s="109" t="str">
        <f>VLOOKUP($A119,ANAGRAFICA!$B$1:$G$306,3,FALSE)</f>
        <v>FRANCESCO</v>
      </c>
      <c r="D119" s="109" t="str">
        <f>VLOOKUP($A119,ANAGRAFICA!$B$1:$G$306,4,FALSE)</f>
        <v>758-52</v>
      </c>
      <c r="E119" s="109" t="str">
        <f>VLOOKUP($A119,ANAGRAFICA!$B$1:$G$306,5,FALSE)</f>
        <v/>
      </c>
      <c r="F119" s="109">
        <f>VLOOKUP($A119,ANAGRAFICA!$B$1:$G$306,6,FALSE)</f>
        <v>2026</v>
      </c>
      <c r="G119" s="3">
        <v>1.0</v>
      </c>
      <c r="H119" s="14" t="s">
        <v>1070</v>
      </c>
      <c r="I119" s="77">
        <v>46049.0</v>
      </c>
      <c r="J119" s="11" t="b">
        <v>1</v>
      </c>
    </row>
    <row r="120">
      <c r="A120" s="57">
        <v>2.126001104E9</v>
      </c>
      <c r="B120" s="109" t="str">
        <f>VLOOKUP($A120,ANAGRAFICA!$B$1:$G$306,2,FALSE)</f>
        <v>LOREGGIA</v>
      </c>
      <c r="C120" s="109" t="str">
        <f>VLOOKUP($A120,ANAGRAFICA!$B$1:$G$306,3,FALSE)</f>
        <v>GIAN MARCO</v>
      </c>
      <c r="D120" s="109" t="str">
        <f>VLOOKUP($A120,ANAGRAFICA!$B$1:$G$306,4,FALSE)</f>
        <v>758-51</v>
      </c>
      <c r="E120" s="109" t="str">
        <f>VLOOKUP($A120,ANAGRAFICA!$B$1:$G$306,5,FALSE)</f>
        <v/>
      </c>
      <c r="F120" s="109">
        <f>VLOOKUP($A120,ANAGRAFICA!$B$1:$G$306,6,FALSE)</f>
        <v>2026</v>
      </c>
      <c r="G120" s="3">
        <v>1.0</v>
      </c>
      <c r="H120" s="14" t="s">
        <v>1067</v>
      </c>
      <c r="J120" s="11" t="b">
        <v>0</v>
      </c>
    </row>
    <row r="121">
      <c r="A121" s="57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3">
        <v>1.0</v>
      </c>
      <c r="H121" s="141"/>
      <c r="J121" s="11" t="b">
        <v>0</v>
      </c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H122" s="141"/>
      <c r="J122" s="11" t="b">
        <v>0</v>
      </c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H123" s="141"/>
      <c r="J123" s="11" t="b">
        <v>0</v>
      </c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H124" s="141"/>
      <c r="J124" s="11" t="b">
        <v>0</v>
      </c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H125" s="141"/>
      <c r="J125" s="11" t="b">
        <v>0</v>
      </c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H126" s="141"/>
      <c r="J126" s="11" t="b">
        <v>0</v>
      </c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H127" s="141"/>
      <c r="J127" s="11" t="b">
        <v>0</v>
      </c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H128" s="141"/>
      <c r="J128" s="11" t="b">
        <v>0</v>
      </c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H129" s="141"/>
      <c r="J129" s="11" t="b">
        <v>0</v>
      </c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H130" s="141"/>
      <c r="J130" s="11" t="b">
        <v>0</v>
      </c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H131" s="141"/>
      <c r="J131" s="11" t="b">
        <v>0</v>
      </c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H132" s="141"/>
      <c r="J132" s="11" t="b">
        <v>0</v>
      </c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H133" s="141"/>
      <c r="J133" s="11" t="b">
        <v>0</v>
      </c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H134" s="141"/>
      <c r="J134" s="11" t="b">
        <v>0</v>
      </c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H135" s="141"/>
      <c r="J135" s="11" t="b">
        <v>0</v>
      </c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H136" s="141"/>
      <c r="J136" s="11" t="b">
        <v>0</v>
      </c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H137" s="141"/>
      <c r="J137" s="11" t="b">
        <v>0</v>
      </c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H138" s="141"/>
      <c r="J138" s="11" t="b">
        <v>0</v>
      </c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H139" s="141"/>
      <c r="J139" s="11" t="b">
        <v>0</v>
      </c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H140" s="141"/>
      <c r="J140" s="11" t="b">
        <v>0</v>
      </c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H141" s="141"/>
      <c r="J141" s="11" t="b">
        <v>0</v>
      </c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H142" s="141"/>
      <c r="J142" s="11" t="b">
        <v>0</v>
      </c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H143" s="141"/>
      <c r="J143" s="11" t="b">
        <v>0</v>
      </c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H144" s="141"/>
      <c r="J144" s="11" t="b">
        <v>0</v>
      </c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H145" s="141"/>
      <c r="J145" s="11" t="b">
        <v>0</v>
      </c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H146" s="141"/>
      <c r="J146" s="11" t="b">
        <v>0</v>
      </c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H147" s="141"/>
      <c r="J147" s="11" t="b">
        <v>0</v>
      </c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H148" s="141"/>
      <c r="J148" s="11" t="b">
        <v>0</v>
      </c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H149" s="141"/>
      <c r="J149" s="11" t="b">
        <v>0</v>
      </c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H150" s="141"/>
      <c r="J150" s="11" t="b">
        <v>0</v>
      </c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H151" s="141"/>
      <c r="J151" s="11" t="b">
        <v>0</v>
      </c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H152" s="141"/>
      <c r="J152" s="11" t="b">
        <v>0</v>
      </c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H153" s="141"/>
      <c r="J153" s="11" t="b">
        <v>0</v>
      </c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H154" s="141"/>
      <c r="J154" s="11" t="b">
        <v>0</v>
      </c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H155" s="141"/>
      <c r="J155" s="11" t="b">
        <v>0</v>
      </c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H156" s="141"/>
      <c r="J156" s="11" t="b">
        <v>0</v>
      </c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H157" s="141"/>
      <c r="J157" s="11" t="b">
        <v>0</v>
      </c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H158" s="141"/>
      <c r="J158" s="11" t="b">
        <v>0</v>
      </c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H159" s="141"/>
      <c r="J159" s="11" t="b">
        <v>0</v>
      </c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H160" s="141"/>
      <c r="J160" s="11" t="b">
        <v>0</v>
      </c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H161" s="141"/>
      <c r="J161" s="11" t="b">
        <v>0</v>
      </c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H162" s="141"/>
      <c r="J162" s="11" t="b">
        <v>0</v>
      </c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H163" s="141"/>
      <c r="J163" s="11" t="b">
        <v>0</v>
      </c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H164" s="141"/>
      <c r="J164" s="11" t="b">
        <v>0</v>
      </c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H165" s="141"/>
      <c r="J165" s="11" t="b">
        <v>0</v>
      </c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H166" s="141"/>
      <c r="J166" s="11" t="b">
        <v>0</v>
      </c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H167" s="141"/>
      <c r="J167" s="11" t="b">
        <v>0</v>
      </c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H168" s="141"/>
      <c r="J168" s="11" t="b">
        <v>0</v>
      </c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H169" s="141"/>
      <c r="J169" s="11" t="b">
        <v>0</v>
      </c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H170" s="141"/>
      <c r="J170" s="11" t="b">
        <v>0</v>
      </c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H171" s="141"/>
      <c r="J171" s="11" t="b">
        <v>0</v>
      </c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H172" s="141"/>
      <c r="J172" s="11" t="b">
        <v>0</v>
      </c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H173" s="141"/>
      <c r="J173" s="11" t="b">
        <v>0</v>
      </c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H174" s="141"/>
      <c r="J174" s="11" t="b">
        <v>0</v>
      </c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H175" s="141"/>
      <c r="J175" s="11" t="b">
        <v>0</v>
      </c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H176" s="141"/>
      <c r="J176" s="11" t="b">
        <v>0</v>
      </c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H177" s="141"/>
      <c r="J177" s="11" t="b">
        <v>0</v>
      </c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H178" s="141"/>
      <c r="J178" s="11" t="b">
        <v>0</v>
      </c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H179" s="141"/>
      <c r="J179" s="11" t="b">
        <v>0</v>
      </c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H180" s="141"/>
      <c r="J180" s="11" t="b">
        <v>0</v>
      </c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H181" s="141"/>
      <c r="J181" s="11" t="b">
        <v>0</v>
      </c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H182" s="141"/>
      <c r="J182" s="11" t="b">
        <v>0</v>
      </c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H183" s="141"/>
      <c r="J183" s="11" t="b">
        <v>0</v>
      </c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H184" s="141"/>
      <c r="J184" s="11" t="b">
        <v>0</v>
      </c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H185" s="141"/>
      <c r="J185" s="11" t="b">
        <v>0</v>
      </c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H186" s="141"/>
      <c r="J186" s="11" t="b">
        <v>0</v>
      </c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H187" s="141"/>
      <c r="J187" s="11" t="b">
        <v>0</v>
      </c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H188" s="141"/>
      <c r="J188" s="11" t="b">
        <v>0</v>
      </c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H189" s="141"/>
      <c r="J189" s="11" t="b">
        <v>0</v>
      </c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H190" s="141"/>
      <c r="J190" s="11" t="b">
        <v>0</v>
      </c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H191" s="141"/>
      <c r="J191" s="11" t="b">
        <v>0</v>
      </c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H192" s="141"/>
      <c r="J192" s="11" t="b">
        <v>0</v>
      </c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H193" s="141"/>
      <c r="J193" s="11" t="b">
        <v>0</v>
      </c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H194" s="141"/>
      <c r="J194" s="11" t="b">
        <v>0</v>
      </c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H195" s="141"/>
      <c r="J195" s="11" t="b">
        <v>0</v>
      </c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H196" s="141"/>
      <c r="J196" s="11" t="b">
        <v>0</v>
      </c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H197" s="141"/>
      <c r="J197" s="11" t="b">
        <v>0</v>
      </c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H198" s="141"/>
      <c r="J198" s="11" t="b">
        <v>0</v>
      </c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H199" s="141"/>
      <c r="J199" s="11" t="b">
        <v>0</v>
      </c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H200" s="141"/>
      <c r="J200" s="11" t="b">
        <v>0</v>
      </c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H201" s="141"/>
      <c r="J201" s="11" t="b">
        <v>0</v>
      </c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H202" s="141"/>
      <c r="J202" s="11" t="b">
        <v>0</v>
      </c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H203" s="141"/>
      <c r="J203" s="11" t="b">
        <v>0</v>
      </c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H204" s="141"/>
      <c r="J204" s="11" t="b">
        <v>0</v>
      </c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H205" s="141"/>
      <c r="J205" s="11" t="b">
        <v>0</v>
      </c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H206" s="141"/>
      <c r="J206" s="11" t="b">
        <v>0</v>
      </c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H207" s="141"/>
      <c r="J207" s="11" t="b">
        <v>0</v>
      </c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H208" s="141"/>
      <c r="J208" s="11" t="b">
        <v>0</v>
      </c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H209" s="141"/>
      <c r="J209" s="11" t="b">
        <v>0</v>
      </c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H210" s="141"/>
      <c r="J210" s="11" t="b">
        <v>0</v>
      </c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H211" s="141"/>
      <c r="J211" s="11" t="b">
        <v>0</v>
      </c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H212" s="141"/>
      <c r="J212" s="11" t="b">
        <v>0</v>
      </c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H213" s="141"/>
      <c r="J213" s="11" t="b">
        <v>0</v>
      </c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H214" s="141"/>
      <c r="J214" s="11" t="b">
        <v>0</v>
      </c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H215" s="141"/>
      <c r="J215" s="11" t="b">
        <v>0</v>
      </c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H216" s="141"/>
      <c r="J216" s="11" t="b">
        <v>0</v>
      </c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H217" s="141"/>
      <c r="J217" s="11" t="b">
        <v>0</v>
      </c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H218" s="141"/>
      <c r="J218" s="11" t="b">
        <v>0</v>
      </c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H219" s="141"/>
      <c r="J219" s="11" t="b">
        <v>0</v>
      </c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H220" s="141"/>
      <c r="J220" s="11" t="b">
        <v>0</v>
      </c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H221" s="141"/>
      <c r="J221" s="11" t="b">
        <v>0</v>
      </c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H222" s="141"/>
      <c r="J222" s="11" t="b">
        <v>0</v>
      </c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H223" s="141"/>
      <c r="J223" s="11" t="b">
        <v>0</v>
      </c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H224" s="141"/>
      <c r="J224" s="11" t="b">
        <v>0</v>
      </c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H225" s="141"/>
      <c r="J225" s="11" t="b">
        <v>0</v>
      </c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H226" s="141"/>
      <c r="J226" s="11" t="b">
        <v>0</v>
      </c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H227" s="141"/>
      <c r="J227" s="11" t="b">
        <v>0</v>
      </c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H228" s="141"/>
      <c r="J228" s="11" t="b">
        <v>0</v>
      </c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H229" s="141"/>
      <c r="J229" s="11" t="b">
        <v>0</v>
      </c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H230" s="141"/>
      <c r="J230" s="11" t="b">
        <v>0</v>
      </c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H231" s="141"/>
      <c r="J231" s="11" t="b">
        <v>0</v>
      </c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H232" s="141"/>
      <c r="J232" s="11" t="b">
        <v>0</v>
      </c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H233" s="141"/>
      <c r="J233" s="11" t="b">
        <v>0</v>
      </c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H234" s="141"/>
      <c r="J234" s="11" t="b">
        <v>0</v>
      </c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H235" s="141"/>
      <c r="J235" s="11" t="b">
        <v>0</v>
      </c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H236" s="141"/>
      <c r="J236" s="11" t="b">
        <v>0</v>
      </c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H237" s="141"/>
      <c r="J237" s="11" t="b">
        <v>0</v>
      </c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H238" s="141"/>
      <c r="J238" s="11" t="b">
        <v>0</v>
      </c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H239" s="141"/>
      <c r="J239" s="11" t="b">
        <v>0</v>
      </c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H240" s="141"/>
      <c r="J240" s="11" t="b">
        <v>0</v>
      </c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H241" s="141"/>
      <c r="J241" s="11" t="b">
        <v>0</v>
      </c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H242" s="141"/>
      <c r="J242" s="11" t="b">
        <v>0</v>
      </c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H243" s="141"/>
      <c r="J243" s="11" t="b">
        <v>0</v>
      </c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H244" s="141"/>
      <c r="J244" s="11" t="b">
        <v>0</v>
      </c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H245" s="141"/>
      <c r="J245" s="11" t="b">
        <v>0</v>
      </c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H246" s="141"/>
      <c r="J246" s="11" t="b">
        <v>0</v>
      </c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H247" s="141"/>
      <c r="J247" s="11" t="b">
        <v>0</v>
      </c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H248" s="141"/>
      <c r="J248" s="11" t="b">
        <v>0</v>
      </c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H249" s="141"/>
      <c r="J249" s="11" t="b">
        <v>0</v>
      </c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H250" s="141"/>
      <c r="J250" s="11" t="b">
        <v>0</v>
      </c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H251" s="141"/>
      <c r="J251" s="11" t="b">
        <v>0</v>
      </c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H252" s="141"/>
      <c r="J252" s="11" t="b">
        <v>0</v>
      </c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H253" s="141"/>
      <c r="J253" s="11" t="b">
        <v>0</v>
      </c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H254" s="141"/>
      <c r="J254" s="11" t="b">
        <v>0</v>
      </c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H255" s="141"/>
      <c r="J255" s="11" t="b">
        <v>0</v>
      </c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H256" s="141"/>
      <c r="J256" s="11" t="b">
        <v>0</v>
      </c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H257" s="141"/>
      <c r="J257" s="11" t="b">
        <v>0</v>
      </c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H258" s="141"/>
      <c r="J258" s="11" t="b">
        <v>0</v>
      </c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H259" s="141"/>
      <c r="J259" s="11" t="b">
        <v>0</v>
      </c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H260" s="141"/>
      <c r="J260" s="11" t="b">
        <v>0</v>
      </c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H261" s="141"/>
      <c r="J261" s="11" t="b">
        <v>0</v>
      </c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H262" s="141"/>
      <c r="J262" s="11" t="b">
        <v>0</v>
      </c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H263" s="141"/>
      <c r="J263" s="11" t="b">
        <v>0</v>
      </c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H264" s="141"/>
      <c r="J264" s="11" t="b">
        <v>0</v>
      </c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H265" s="141"/>
      <c r="J265" s="11" t="b">
        <v>0</v>
      </c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H266" s="141"/>
      <c r="J266" s="11" t="b">
        <v>0</v>
      </c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H267" s="141"/>
      <c r="J267" s="11" t="b">
        <v>0</v>
      </c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H268" s="141"/>
      <c r="J268" s="11" t="b">
        <v>0</v>
      </c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H269" s="141"/>
      <c r="J269" s="11" t="b">
        <v>0</v>
      </c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H270" s="141"/>
      <c r="J270" s="11" t="b">
        <v>0</v>
      </c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H271" s="141"/>
      <c r="J271" s="11" t="b">
        <v>0</v>
      </c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H272" s="141"/>
      <c r="J272" s="11" t="b">
        <v>0</v>
      </c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H273" s="141"/>
      <c r="J273" s="11" t="b">
        <v>0</v>
      </c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H274" s="141"/>
      <c r="J274" s="11" t="b">
        <v>0</v>
      </c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H275" s="141"/>
      <c r="J275" s="11" t="b">
        <v>0</v>
      </c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H276" s="141"/>
      <c r="J276" s="11" t="b">
        <v>0</v>
      </c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H277" s="141"/>
      <c r="J277" s="11" t="b">
        <v>0</v>
      </c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H278" s="141"/>
      <c r="J278" s="11" t="b">
        <v>0</v>
      </c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H279" s="141"/>
      <c r="J279" s="11" t="b">
        <v>0</v>
      </c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H280" s="141"/>
      <c r="J280" s="11" t="b">
        <v>0</v>
      </c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H281" s="141"/>
      <c r="J281" s="11" t="b">
        <v>0</v>
      </c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H282" s="141"/>
      <c r="J282" s="11" t="b">
        <v>0</v>
      </c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H283" s="141"/>
      <c r="J283" s="11" t="b">
        <v>0</v>
      </c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H284" s="141"/>
      <c r="J284" s="11" t="b">
        <v>0</v>
      </c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H285" s="141"/>
      <c r="J285" s="11" t="b">
        <v>0</v>
      </c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H286" s="141"/>
      <c r="J286" s="11" t="b">
        <v>0</v>
      </c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H287" s="141"/>
      <c r="J287" s="11" t="b">
        <v>0</v>
      </c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H288" s="141"/>
      <c r="J288" s="11" t="b">
        <v>0</v>
      </c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H289" s="141"/>
      <c r="J289" s="11" t="b">
        <v>0</v>
      </c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H290" s="141"/>
      <c r="J290" s="11" t="b">
        <v>0</v>
      </c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H291" s="141"/>
      <c r="J291" s="11" t="b">
        <v>0</v>
      </c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H292" s="141"/>
      <c r="J292" s="11" t="b">
        <v>0</v>
      </c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H293" s="141"/>
      <c r="J293" s="11" t="b">
        <v>0</v>
      </c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H294" s="141"/>
      <c r="J294" s="11" t="b">
        <v>0</v>
      </c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H295" s="141"/>
      <c r="J295" s="11" t="b">
        <v>0</v>
      </c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H296" s="141"/>
      <c r="J296" s="11" t="b">
        <v>0</v>
      </c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H297" s="141"/>
      <c r="J297" s="11" t="b">
        <v>0</v>
      </c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H298" s="141"/>
      <c r="J298" s="11" t="b">
        <v>0</v>
      </c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H299" s="141"/>
      <c r="J299" s="11" t="b">
        <v>0</v>
      </c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H300" s="141"/>
      <c r="J300" s="11" t="b">
        <v>0</v>
      </c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H301" s="141"/>
      <c r="J301" s="11" t="b">
        <v>0</v>
      </c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H302" s="141"/>
      <c r="J302" s="11" t="b">
        <v>0</v>
      </c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H303" s="141"/>
      <c r="J303" s="11" t="b">
        <v>0</v>
      </c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H304" s="141"/>
      <c r="J304" s="11" t="b">
        <v>0</v>
      </c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H305" s="141"/>
      <c r="J305" s="11" t="b">
        <v>0</v>
      </c>
    </row>
    <row r="306">
      <c r="J306" s="94"/>
    </row>
    <row r="307">
      <c r="J307" s="94"/>
    </row>
    <row r="308">
      <c r="J308" s="94"/>
    </row>
    <row r="309">
      <c r="J309" s="94"/>
    </row>
    <row r="310">
      <c r="J310" s="94"/>
    </row>
    <row r="311">
      <c r="J311" s="94"/>
    </row>
    <row r="312">
      <c r="J312" s="94"/>
    </row>
    <row r="313">
      <c r="J313" s="94"/>
    </row>
    <row r="314">
      <c r="J314" s="94"/>
    </row>
    <row r="315">
      <c r="J315" s="94"/>
    </row>
    <row r="316">
      <c r="J316" s="94"/>
    </row>
    <row r="317">
      <c r="J317" s="94"/>
    </row>
    <row r="318">
      <c r="J318" s="94"/>
    </row>
    <row r="319">
      <c r="J319" s="94"/>
    </row>
    <row r="320">
      <c r="J320" s="94"/>
    </row>
    <row r="321">
      <c r="J321" s="94"/>
    </row>
    <row r="322">
      <c r="J322" s="94"/>
    </row>
    <row r="323">
      <c r="J323" s="94"/>
    </row>
    <row r="324">
      <c r="J324" s="94"/>
    </row>
    <row r="325">
      <c r="J325" s="94"/>
    </row>
    <row r="326">
      <c r="J326" s="94"/>
    </row>
    <row r="327">
      <c r="J327" s="94"/>
    </row>
    <row r="328">
      <c r="J328" s="94"/>
    </row>
    <row r="329">
      <c r="J329" s="94"/>
    </row>
    <row r="330">
      <c r="J330" s="94"/>
    </row>
    <row r="331">
      <c r="J331" s="94"/>
    </row>
    <row r="332">
      <c r="J332" s="94"/>
    </row>
    <row r="333">
      <c r="J333" s="94"/>
    </row>
    <row r="334">
      <c r="J334" s="94"/>
    </row>
    <row r="335">
      <c r="J335" s="94"/>
    </row>
    <row r="336">
      <c r="J336" s="94"/>
    </row>
    <row r="337">
      <c r="J337" s="94"/>
    </row>
    <row r="338">
      <c r="J338" s="94"/>
    </row>
    <row r="339">
      <c r="J339" s="94"/>
    </row>
    <row r="340">
      <c r="J340" s="94"/>
    </row>
    <row r="341">
      <c r="J341" s="94"/>
    </row>
    <row r="342">
      <c r="J342" s="94"/>
    </row>
    <row r="343">
      <c r="J343" s="94"/>
    </row>
    <row r="344">
      <c r="J344" s="94"/>
    </row>
    <row r="345">
      <c r="J345" s="94"/>
    </row>
    <row r="346">
      <c r="J346" s="94"/>
    </row>
    <row r="347">
      <c r="J347" s="94"/>
    </row>
    <row r="348">
      <c r="J348" s="94"/>
    </row>
    <row r="349">
      <c r="J349" s="94"/>
    </row>
    <row r="350">
      <c r="J350" s="94"/>
    </row>
    <row r="351">
      <c r="J351" s="94"/>
    </row>
    <row r="352">
      <c r="J352" s="94"/>
    </row>
    <row r="353">
      <c r="J353" s="94"/>
    </row>
    <row r="354">
      <c r="J354" s="94"/>
    </row>
    <row r="355">
      <c r="J355" s="94"/>
    </row>
    <row r="356">
      <c r="J356" s="94"/>
    </row>
    <row r="357">
      <c r="J357" s="94"/>
    </row>
    <row r="358">
      <c r="J358" s="94"/>
    </row>
    <row r="359">
      <c r="J359" s="94"/>
    </row>
    <row r="360">
      <c r="J360" s="94"/>
    </row>
    <row r="361">
      <c r="J361" s="94"/>
    </row>
    <row r="362">
      <c r="J362" s="94"/>
    </row>
    <row r="363">
      <c r="J363" s="94"/>
    </row>
    <row r="364">
      <c r="J364" s="94"/>
    </row>
    <row r="365">
      <c r="J365" s="94"/>
    </row>
    <row r="366">
      <c r="J366" s="94"/>
    </row>
    <row r="367">
      <c r="J367" s="94"/>
    </row>
    <row r="368">
      <c r="J368" s="94"/>
    </row>
    <row r="369">
      <c r="J369" s="94"/>
    </row>
    <row r="370">
      <c r="J370" s="94"/>
    </row>
    <row r="371">
      <c r="J371" s="94"/>
    </row>
    <row r="372">
      <c r="J372" s="94"/>
    </row>
    <row r="373">
      <c r="J373" s="94"/>
    </row>
    <row r="374">
      <c r="J374" s="94"/>
    </row>
    <row r="375">
      <c r="J375" s="94"/>
    </row>
    <row r="376">
      <c r="J376" s="94"/>
    </row>
    <row r="377">
      <c r="J377" s="94"/>
    </row>
    <row r="378">
      <c r="J378" s="94"/>
    </row>
    <row r="379">
      <c r="J379" s="94"/>
    </row>
    <row r="380">
      <c r="J380" s="94"/>
    </row>
    <row r="381">
      <c r="J381" s="94"/>
    </row>
    <row r="382">
      <c r="J382" s="94"/>
    </row>
    <row r="383">
      <c r="J383" s="94"/>
    </row>
    <row r="384">
      <c r="J384" s="94"/>
    </row>
    <row r="385">
      <c r="J385" s="94"/>
    </row>
    <row r="386">
      <c r="J386" s="94"/>
    </row>
    <row r="387">
      <c r="J387" s="94"/>
    </row>
    <row r="388">
      <c r="J388" s="94"/>
    </row>
    <row r="389">
      <c r="J389" s="94"/>
    </row>
    <row r="390">
      <c r="J390" s="94"/>
    </row>
    <row r="391">
      <c r="J391" s="94"/>
    </row>
    <row r="392">
      <c r="J392" s="94"/>
    </row>
    <row r="393">
      <c r="J393" s="94"/>
    </row>
    <row r="394">
      <c r="J394" s="94"/>
    </row>
    <row r="395">
      <c r="J395" s="94"/>
    </row>
    <row r="396">
      <c r="J396" s="94"/>
    </row>
    <row r="397">
      <c r="J397" s="94"/>
    </row>
    <row r="398">
      <c r="J398" s="94"/>
    </row>
    <row r="399">
      <c r="J399" s="94"/>
    </row>
    <row r="400">
      <c r="J400" s="94"/>
    </row>
    <row r="401">
      <c r="J401" s="94"/>
    </row>
    <row r="402">
      <c r="J402" s="94"/>
    </row>
    <row r="403">
      <c r="J403" s="94"/>
    </row>
    <row r="404">
      <c r="J404" s="94"/>
    </row>
    <row r="405">
      <c r="J405" s="94"/>
    </row>
    <row r="406">
      <c r="J406" s="94"/>
    </row>
    <row r="407">
      <c r="J407" s="94"/>
    </row>
    <row r="408">
      <c r="J408" s="94"/>
    </row>
    <row r="409">
      <c r="J409" s="94"/>
    </row>
    <row r="410">
      <c r="J410" s="94"/>
    </row>
    <row r="411">
      <c r="J411" s="94"/>
    </row>
    <row r="412">
      <c r="J412" s="94"/>
    </row>
    <row r="413">
      <c r="J413" s="94"/>
    </row>
    <row r="414">
      <c r="J414" s="94"/>
    </row>
    <row r="415">
      <c r="J415" s="94"/>
    </row>
    <row r="416">
      <c r="J416" s="94"/>
    </row>
    <row r="417">
      <c r="J417" s="94"/>
    </row>
    <row r="418">
      <c r="J418" s="94"/>
    </row>
    <row r="419">
      <c r="J419" s="94"/>
    </row>
    <row r="420">
      <c r="J420" s="94"/>
    </row>
    <row r="421">
      <c r="J421" s="94"/>
    </row>
    <row r="422">
      <c r="J422" s="94"/>
    </row>
    <row r="423">
      <c r="J423" s="94"/>
    </row>
    <row r="424">
      <c r="J424" s="94"/>
    </row>
    <row r="425">
      <c r="J425" s="94"/>
    </row>
    <row r="426">
      <c r="J426" s="94"/>
    </row>
    <row r="427">
      <c r="J427" s="94"/>
    </row>
    <row r="428">
      <c r="J428" s="94"/>
    </row>
    <row r="429">
      <c r="J429" s="94"/>
    </row>
    <row r="430">
      <c r="J430" s="94"/>
    </row>
    <row r="431">
      <c r="J431" s="94"/>
    </row>
    <row r="432">
      <c r="J432" s="94"/>
    </row>
    <row r="433">
      <c r="J433" s="94"/>
    </row>
    <row r="434">
      <c r="J434" s="94"/>
    </row>
    <row r="435">
      <c r="J435" s="94"/>
    </row>
    <row r="436">
      <c r="J436" s="94"/>
    </row>
    <row r="437">
      <c r="J437" s="94"/>
    </row>
    <row r="438">
      <c r="J438" s="94"/>
    </row>
    <row r="439">
      <c r="J439" s="94"/>
    </row>
    <row r="440">
      <c r="J440" s="94"/>
    </row>
    <row r="441">
      <c r="J441" s="94"/>
    </row>
    <row r="442">
      <c r="J442" s="94"/>
    </row>
    <row r="443">
      <c r="J443" s="94"/>
    </row>
    <row r="444">
      <c r="J444" s="94"/>
    </row>
    <row r="445">
      <c r="J445" s="94"/>
    </row>
    <row r="446">
      <c r="J446" s="94"/>
    </row>
    <row r="447">
      <c r="J447" s="94"/>
    </row>
    <row r="448">
      <c r="J448" s="94"/>
    </row>
    <row r="449">
      <c r="J449" s="94"/>
    </row>
    <row r="450">
      <c r="J450" s="94"/>
    </row>
    <row r="451">
      <c r="J451" s="94"/>
    </row>
    <row r="452">
      <c r="J452" s="94"/>
    </row>
    <row r="453">
      <c r="J453" s="94"/>
    </row>
    <row r="454">
      <c r="J454" s="94"/>
    </row>
    <row r="455">
      <c r="J455" s="94"/>
    </row>
    <row r="456">
      <c r="J456" s="94"/>
    </row>
    <row r="457">
      <c r="J457" s="94"/>
    </row>
    <row r="458">
      <c r="J458" s="94"/>
    </row>
    <row r="459">
      <c r="J459" s="94"/>
    </row>
    <row r="460">
      <c r="J460" s="94"/>
    </row>
    <row r="461">
      <c r="J461" s="94"/>
    </row>
    <row r="462">
      <c r="J462" s="94"/>
    </row>
    <row r="463">
      <c r="J463" s="94"/>
    </row>
    <row r="464">
      <c r="J464" s="94"/>
    </row>
    <row r="465">
      <c r="J465" s="94"/>
    </row>
    <row r="466">
      <c r="J466" s="94"/>
    </row>
    <row r="467">
      <c r="J467" s="94"/>
    </row>
    <row r="468">
      <c r="J468" s="94"/>
    </row>
    <row r="469">
      <c r="J469" s="94"/>
    </row>
    <row r="470">
      <c r="J470" s="94"/>
    </row>
    <row r="471">
      <c r="J471" s="94"/>
    </row>
    <row r="472">
      <c r="J472" s="94"/>
    </row>
    <row r="473">
      <c r="J473" s="94"/>
    </row>
    <row r="474">
      <c r="J474" s="94"/>
    </row>
    <row r="475">
      <c r="J475" s="94"/>
    </row>
    <row r="476">
      <c r="J476" s="94"/>
    </row>
    <row r="477">
      <c r="J477" s="94"/>
    </row>
    <row r="478">
      <c r="J478" s="94"/>
    </row>
    <row r="479">
      <c r="J479" s="94"/>
    </row>
    <row r="480">
      <c r="J480" s="94"/>
    </row>
    <row r="481">
      <c r="J481" s="94"/>
    </row>
    <row r="482">
      <c r="J482" s="94"/>
    </row>
    <row r="483">
      <c r="J483" s="94"/>
    </row>
    <row r="484">
      <c r="J484" s="94"/>
    </row>
    <row r="485">
      <c r="J485" s="94"/>
    </row>
    <row r="486">
      <c r="J486" s="94"/>
    </row>
    <row r="487">
      <c r="J487" s="94"/>
    </row>
    <row r="488">
      <c r="J488" s="94"/>
    </row>
    <row r="489">
      <c r="J489" s="94"/>
    </row>
    <row r="490">
      <c r="J490" s="94"/>
    </row>
    <row r="491">
      <c r="J491" s="94"/>
    </row>
    <row r="492">
      <c r="J492" s="94"/>
    </row>
    <row r="493">
      <c r="J493" s="94"/>
    </row>
    <row r="494">
      <c r="J494" s="94"/>
    </row>
    <row r="495">
      <c r="J495" s="94"/>
    </row>
    <row r="496">
      <c r="J496" s="94"/>
    </row>
    <row r="497">
      <c r="J497" s="94"/>
    </row>
    <row r="498">
      <c r="J498" s="94"/>
    </row>
    <row r="499">
      <c r="J499" s="94"/>
    </row>
    <row r="500">
      <c r="J500" s="94"/>
    </row>
    <row r="501">
      <c r="J501" s="94"/>
    </row>
    <row r="502">
      <c r="J502" s="94"/>
    </row>
    <row r="503">
      <c r="J503" s="94"/>
    </row>
    <row r="504">
      <c r="J504" s="94"/>
    </row>
    <row r="505">
      <c r="J505" s="94"/>
    </row>
    <row r="506">
      <c r="J506" s="94"/>
    </row>
    <row r="507">
      <c r="J507" s="94"/>
    </row>
    <row r="508">
      <c r="J508" s="94"/>
    </row>
    <row r="509">
      <c r="J509" s="94"/>
    </row>
    <row r="510">
      <c r="J510" s="94"/>
    </row>
    <row r="511">
      <c r="J511" s="94"/>
    </row>
    <row r="512">
      <c r="J512" s="94"/>
    </row>
    <row r="513">
      <c r="J513" s="94"/>
    </row>
    <row r="514">
      <c r="J514" s="94"/>
    </row>
    <row r="515">
      <c r="J515" s="94"/>
    </row>
    <row r="516">
      <c r="J516" s="94"/>
    </row>
    <row r="517">
      <c r="J517" s="94"/>
    </row>
    <row r="518">
      <c r="J518" s="94"/>
    </row>
    <row r="519">
      <c r="J519" s="94"/>
    </row>
    <row r="520">
      <c r="J520" s="94"/>
    </row>
    <row r="521">
      <c r="J521" s="94"/>
    </row>
    <row r="522">
      <c r="J522" s="94"/>
    </row>
    <row r="523">
      <c r="J523" s="94"/>
    </row>
    <row r="524">
      <c r="J524" s="94"/>
    </row>
    <row r="525">
      <c r="J525" s="94"/>
    </row>
    <row r="526">
      <c r="J526" s="94"/>
    </row>
    <row r="527">
      <c r="J527" s="94"/>
    </row>
    <row r="528">
      <c r="J528" s="94"/>
    </row>
    <row r="529">
      <c r="J529" s="94"/>
    </row>
    <row r="530">
      <c r="J530" s="94"/>
    </row>
    <row r="531">
      <c r="J531" s="94"/>
    </row>
    <row r="532">
      <c r="J532" s="94"/>
    </row>
    <row r="533">
      <c r="J533" s="94"/>
    </row>
    <row r="534">
      <c r="J534" s="94"/>
    </row>
    <row r="535">
      <c r="J535" s="94"/>
    </row>
    <row r="536">
      <c r="J536" s="94"/>
    </row>
    <row r="537">
      <c r="J537" s="94"/>
    </row>
    <row r="538">
      <c r="J538" s="94"/>
    </row>
    <row r="539">
      <c r="J539" s="94"/>
    </row>
    <row r="540">
      <c r="J540" s="94"/>
    </row>
    <row r="541">
      <c r="J541" s="94"/>
    </row>
    <row r="542">
      <c r="J542" s="94"/>
    </row>
    <row r="543">
      <c r="J543" s="94"/>
    </row>
    <row r="544">
      <c r="J544" s="94"/>
    </row>
    <row r="545">
      <c r="J545" s="94"/>
    </row>
    <row r="546">
      <c r="J546" s="94"/>
    </row>
    <row r="547">
      <c r="J547" s="94"/>
    </row>
    <row r="548">
      <c r="J548" s="94"/>
    </row>
    <row r="549">
      <c r="J549" s="94"/>
    </row>
    <row r="550">
      <c r="J550" s="94"/>
    </row>
    <row r="551">
      <c r="J551" s="94"/>
    </row>
    <row r="552">
      <c r="J552" s="94"/>
    </row>
    <row r="553">
      <c r="J553" s="94"/>
    </row>
    <row r="554">
      <c r="J554" s="94"/>
    </row>
    <row r="555">
      <c r="J555" s="94"/>
    </row>
    <row r="556">
      <c r="J556" s="94"/>
    </row>
    <row r="557">
      <c r="J557" s="94"/>
    </row>
    <row r="558">
      <c r="J558" s="94"/>
    </row>
    <row r="559">
      <c r="J559" s="94"/>
    </row>
    <row r="560">
      <c r="J560" s="94"/>
    </row>
    <row r="561">
      <c r="J561" s="94"/>
    </row>
    <row r="562">
      <c r="J562" s="94"/>
    </row>
    <row r="563">
      <c r="J563" s="94"/>
    </row>
    <row r="564">
      <c r="J564" s="94"/>
    </row>
    <row r="565">
      <c r="J565" s="94"/>
    </row>
    <row r="566">
      <c r="J566" s="94"/>
    </row>
    <row r="567">
      <c r="J567" s="94"/>
    </row>
    <row r="568">
      <c r="J568" s="94"/>
    </row>
    <row r="569">
      <c r="J569" s="94"/>
    </row>
    <row r="570">
      <c r="J570" s="94"/>
    </row>
    <row r="571">
      <c r="J571" s="94"/>
    </row>
    <row r="572">
      <c r="J572" s="94"/>
    </row>
    <row r="573">
      <c r="J573" s="94"/>
    </row>
    <row r="574">
      <c r="J574" s="94"/>
    </row>
    <row r="575">
      <c r="J575" s="94"/>
    </row>
    <row r="576">
      <c r="J576" s="94"/>
    </row>
    <row r="577">
      <c r="J577" s="94"/>
    </row>
    <row r="578">
      <c r="J578" s="94"/>
    </row>
    <row r="579">
      <c r="J579" s="94"/>
    </row>
    <row r="580">
      <c r="J580" s="94"/>
    </row>
    <row r="581">
      <c r="J581" s="94"/>
    </row>
    <row r="582">
      <c r="J582" s="94"/>
    </row>
    <row r="583">
      <c r="J583" s="94"/>
    </row>
    <row r="584">
      <c r="J584" s="94"/>
    </row>
    <row r="585">
      <c r="J585" s="94"/>
    </row>
    <row r="586">
      <c r="J586" s="94"/>
    </row>
    <row r="587">
      <c r="J587" s="94"/>
    </row>
    <row r="588">
      <c r="J588" s="94"/>
    </row>
    <row r="589">
      <c r="J589" s="94"/>
    </row>
    <row r="590">
      <c r="J590" s="94"/>
    </row>
    <row r="591">
      <c r="J591" s="94"/>
    </row>
    <row r="592">
      <c r="J592" s="94"/>
    </row>
    <row r="593">
      <c r="J593" s="94"/>
    </row>
    <row r="594">
      <c r="J594" s="94"/>
    </row>
    <row r="595">
      <c r="J595" s="94"/>
    </row>
    <row r="596">
      <c r="J596" s="94"/>
    </row>
    <row r="597">
      <c r="J597" s="94"/>
    </row>
    <row r="598">
      <c r="J598" s="94"/>
    </row>
    <row r="599">
      <c r="J599" s="94"/>
    </row>
    <row r="600">
      <c r="J600" s="94"/>
    </row>
    <row r="601">
      <c r="J601" s="94"/>
    </row>
    <row r="602">
      <c r="J602" s="94"/>
    </row>
    <row r="603">
      <c r="J603" s="94"/>
    </row>
    <row r="604">
      <c r="J604" s="94"/>
    </row>
    <row r="605">
      <c r="J605" s="94"/>
    </row>
    <row r="606">
      <c r="J606" s="94"/>
    </row>
    <row r="607">
      <c r="J607" s="94"/>
    </row>
    <row r="608">
      <c r="J608" s="94"/>
    </row>
    <row r="609">
      <c r="J609" s="94"/>
    </row>
    <row r="610">
      <c r="J610" s="94"/>
    </row>
    <row r="611">
      <c r="J611" s="94"/>
    </row>
    <row r="612">
      <c r="J612" s="94"/>
    </row>
    <row r="613">
      <c r="J613" s="94"/>
    </row>
    <row r="614">
      <c r="J614" s="94"/>
    </row>
    <row r="615">
      <c r="J615" s="94"/>
    </row>
    <row r="616">
      <c r="J616" s="94"/>
    </row>
    <row r="617">
      <c r="J617" s="94"/>
    </row>
    <row r="618">
      <c r="J618" s="94"/>
    </row>
    <row r="619">
      <c r="J619" s="94"/>
    </row>
    <row r="620">
      <c r="J620" s="94"/>
    </row>
    <row r="621">
      <c r="J621" s="94"/>
    </row>
    <row r="622">
      <c r="J622" s="94"/>
    </row>
    <row r="623">
      <c r="J623" s="94"/>
    </row>
    <row r="624">
      <c r="J624" s="94"/>
    </row>
    <row r="625">
      <c r="J625" s="94"/>
    </row>
    <row r="626">
      <c r="J626" s="94"/>
    </row>
    <row r="627">
      <c r="J627" s="94"/>
    </row>
    <row r="628">
      <c r="J628" s="94"/>
    </row>
    <row r="629">
      <c r="J629" s="94"/>
    </row>
    <row r="630">
      <c r="J630" s="94"/>
    </row>
    <row r="631">
      <c r="J631" s="94"/>
    </row>
    <row r="632">
      <c r="J632" s="94"/>
    </row>
    <row r="633">
      <c r="J633" s="94"/>
    </row>
    <row r="634">
      <c r="J634" s="94"/>
    </row>
    <row r="635">
      <c r="J635" s="94"/>
    </row>
    <row r="636">
      <c r="J636" s="94"/>
    </row>
    <row r="637">
      <c r="J637" s="94"/>
    </row>
    <row r="638">
      <c r="J638" s="94"/>
    </row>
    <row r="639">
      <c r="J639" s="94"/>
    </row>
    <row r="640">
      <c r="J640" s="94"/>
    </row>
    <row r="641">
      <c r="J641" s="94"/>
    </row>
    <row r="642">
      <c r="J642" s="94"/>
    </row>
    <row r="643">
      <c r="J643" s="94"/>
    </row>
    <row r="644">
      <c r="J644" s="94"/>
    </row>
    <row r="645">
      <c r="J645" s="94"/>
    </row>
    <row r="646">
      <c r="J646" s="94"/>
    </row>
    <row r="647">
      <c r="J647" s="94"/>
    </row>
    <row r="648">
      <c r="J648" s="94"/>
    </row>
    <row r="649">
      <c r="J649" s="94"/>
    </row>
    <row r="650">
      <c r="J650" s="94"/>
    </row>
    <row r="651">
      <c r="J651" s="94"/>
    </row>
    <row r="652">
      <c r="J652" s="94"/>
    </row>
    <row r="653">
      <c r="J653" s="94"/>
    </row>
    <row r="654">
      <c r="J654" s="94"/>
    </row>
    <row r="655">
      <c r="J655" s="94"/>
    </row>
    <row r="656">
      <c r="J656" s="94"/>
    </row>
    <row r="657">
      <c r="J657" s="94"/>
    </row>
    <row r="658">
      <c r="J658" s="94"/>
    </row>
    <row r="659">
      <c r="J659" s="94"/>
    </row>
    <row r="660">
      <c r="J660" s="94"/>
    </row>
    <row r="661">
      <c r="J661" s="94"/>
    </row>
    <row r="662">
      <c r="J662" s="94"/>
    </row>
    <row r="663">
      <c r="J663" s="94"/>
    </row>
    <row r="664">
      <c r="J664" s="94"/>
    </row>
    <row r="665">
      <c r="J665" s="94"/>
    </row>
    <row r="666">
      <c r="J666" s="94"/>
    </row>
    <row r="667">
      <c r="J667" s="94"/>
    </row>
    <row r="668">
      <c r="J668" s="94"/>
    </row>
    <row r="669">
      <c r="J669" s="94"/>
    </row>
    <row r="670">
      <c r="J670" s="94"/>
    </row>
    <row r="671">
      <c r="J671" s="94"/>
    </row>
    <row r="672">
      <c r="J672" s="94"/>
    </row>
    <row r="673">
      <c r="J673" s="94"/>
    </row>
    <row r="674">
      <c r="J674" s="94"/>
    </row>
    <row r="675">
      <c r="J675" s="94"/>
    </row>
    <row r="676">
      <c r="J676" s="94"/>
    </row>
    <row r="677">
      <c r="J677" s="94"/>
    </row>
    <row r="678">
      <c r="J678" s="94"/>
    </row>
    <row r="679">
      <c r="J679" s="94"/>
    </row>
    <row r="680">
      <c r="J680" s="94"/>
    </row>
    <row r="681">
      <c r="J681" s="94"/>
    </row>
    <row r="682">
      <c r="J682" s="94"/>
    </row>
    <row r="683">
      <c r="J683" s="94"/>
    </row>
    <row r="684">
      <c r="J684" s="94"/>
    </row>
    <row r="685">
      <c r="J685" s="94"/>
    </row>
    <row r="686">
      <c r="J686" s="94"/>
    </row>
    <row r="687">
      <c r="J687" s="94"/>
    </row>
    <row r="688">
      <c r="J688" s="94"/>
    </row>
    <row r="689">
      <c r="J689" s="94"/>
    </row>
    <row r="690">
      <c r="J690" s="94"/>
    </row>
    <row r="691">
      <c r="J691" s="94"/>
    </row>
    <row r="692">
      <c r="J692" s="94"/>
    </row>
    <row r="693">
      <c r="J693" s="94"/>
    </row>
    <row r="694">
      <c r="J694" s="94"/>
    </row>
    <row r="695">
      <c r="J695" s="94"/>
    </row>
    <row r="696">
      <c r="J696" s="94"/>
    </row>
    <row r="697">
      <c r="J697" s="94"/>
    </row>
    <row r="698">
      <c r="J698" s="94"/>
    </row>
    <row r="699">
      <c r="J699" s="94"/>
    </row>
    <row r="700">
      <c r="J700" s="94"/>
    </row>
    <row r="701">
      <c r="J701" s="94"/>
    </row>
    <row r="702">
      <c r="J702" s="94"/>
    </row>
    <row r="703">
      <c r="J703" s="94"/>
    </row>
    <row r="704">
      <c r="J704" s="94"/>
    </row>
    <row r="705">
      <c r="J705" s="94"/>
    </row>
    <row r="706">
      <c r="J706" s="94"/>
    </row>
    <row r="707">
      <c r="J707" s="94"/>
    </row>
    <row r="708">
      <c r="J708" s="94"/>
    </row>
    <row r="709">
      <c r="J709" s="94"/>
    </row>
    <row r="710">
      <c r="J710" s="94"/>
    </row>
    <row r="711">
      <c r="J711" s="94"/>
    </row>
    <row r="712">
      <c r="J712" s="94"/>
    </row>
    <row r="713">
      <c r="J713" s="94"/>
    </row>
    <row r="714">
      <c r="J714" s="94"/>
    </row>
    <row r="715">
      <c r="J715" s="94"/>
    </row>
    <row r="716">
      <c r="J716" s="94"/>
    </row>
    <row r="717">
      <c r="J717" s="94"/>
    </row>
    <row r="718">
      <c r="J718" s="94"/>
    </row>
    <row r="719">
      <c r="J719" s="94"/>
    </row>
    <row r="720">
      <c r="J720" s="94"/>
    </row>
    <row r="721">
      <c r="J721" s="94"/>
    </row>
    <row r="722">
      <c r="J722" s="94"/>
    </row>
    <row r="723">
      <c r="J723" s="94"/>
    </row>
    <row r="724">
      <c r="J724" s="94"/>
    </row>
    <row r="725">
      <c r="J725" s="94"/>
    </row>
    <row r="726">
      <c r="J726" s="94"/>
    </row>
    <row r="727">
      <c r="J727" s="94"/>
    </row>
    <row r="728">
      <c r="J728" s="94"/>
    </row>
    <row r="729">
      <c r="J729" s="94"/>
    </row>
    <row r="730">
      <c r="J730" s="94"/>
    </row>
    <row r="731">
      <c r="J731" s="94"/>
    </row>
    <row r="732">
      <c r="J732" s="94"/>
    </row>
    <row r="733">
      <c r="J733" s="94"/>
    </row>
    <row r="734">
      <c r="J734" s="94"/>
    </row>
    <row r="735">
      <c r="J735" s="94"/>
    </row>
    <row r="736">
      <c r="J736" s="94"/>
    </row>
    <row r="737">
      <c r="J737" s="94"/>
    </row>
    <row r="738">
      <c r="J738" s="94"/>
    </row>
    <row r="739">
      <c r="J739" s="94"/>
    </row>
    <row r="740">
      <c r="J740" s="94"/>
    </row>
    <row r="741">
      <c r="J741" s="94"/>
    </row>
    <row r="742">
      <c r="J742" s="94"/>
    </row>
    <row r="743">
      <c r="J743" s="94"/>
    </row>
    <row r="744">
      <c r="J744" s="94"/>
    </row>
    <row r="745">
      <c r="J745" s="94"/>
    </row>
    <row r="746">
      <c r="J746" s="94"/>
    </row>
    <row r="747">
      <c r="J747" s="94"/>
    </row>
    <row r="748">
      <c r="J748" s="94"/>
    </row>
    <row r="749">
      <c r="J749" s="94"/>
    </row>
    <row r="750">
      <c r="J750" s="94"/>
    </row>
    <row r="751">
      <c r="J751" s="94"/>
    </row>
    <row r="752">
      <c r="J752" s="94"/>
    </row>
    <row r="753">
      <c r="J753" s="94"/>
    </row>
    <row r="754">
      <c r="J754" s="94"/>
    </row>
    <row r="755">
      <c r="J755" s="94"/>
    </row>
    <row r="756">
      <c r="J756" s="94"/>
    </row>
    <row r="757">
      <c r="J757" s="94"/>
    </row>
    <row r="758">
      <c r="J758" s="94"/>
    </row>
    <row r="759">
      <c r="J759" s="94"/>
    </row>
    <row r="760">
      <c r="J760" s="94"/>
    </row>
    <row r="761">
      <c r="J761" s="94"/>
    </row>
    <row r="762">
      <c r="J762" s="94"/>
    </row>
    <row r="763">
      <c r="J763" s="94"/>
    </row>
    <row r="764">
      <c r="J764" s="94"/>
    </row>
    <row r="765">
      <c r="J765" s="94"/>
    </row>
    <row r="766">
      <c r="J766" s="94"/>
    </row>
    <row r="767">
      <c r="J767" s="94"/>
    </row>
    <row r="768">
      <c r="J768" s="94"/>
    </row>
    <row r="769">
      <c r="J769" s="94"/>
    </row>
    <row r="770">
      <c r="J770" s="94"/>
    </row>
    <row r="771">
      <c r="J771" s="94"/>
    </row>
    <row r="772">
      <c r="J772" s="94"/>
    </row>
    <row r="773">
      <c r="J773" s="94"/>
    </row>
    <row r="774">
      <c r="J774" s="94"/>
    </row>
    <row r="775">
      <c r="J775" s="94"/>
    </row>
    <row r="776">
      <c r="J776" s="94"/>
    </row>
    <row r="777">
      <c r="J777" s="94"/>
    </row>
    <row r="778">
      <c r="J778" s="94"/>
    </row>
    <row r="779">
      <c r="J779" s="94"/>
    </row>
    <row r="780">
      <c r="J780" s="94"/>
    </row>
    <row r="781">
      <c r="J781" s="94"/>
    </row>
    <row r="782">
      <c r="J782" s="94"/>
    </row>
    <row r="783">
      <c r="J783" s="94"/>
    </row>
    <row r="784">
      <c r="J784" s="94"/>
    </row>
    <row r="785">
      <c r="J785" s="94"/>
    </row>
    <row r="786">
      <c r="J786" s="94"/>
    </row>
    <row r="787">
      <c r="J787" s="94"/>
    </row>
    <row r="788">
      <c r="J788" s="94"/>
    </row>
    <row r="789">
      <c r="J789" s="94"/>
    </row>
    <row r="790">
      <c r="J790" s="94"/>
    </row>
    <row r="791">
      <c r="J791" s="94"/>
    </row>
    <row r="792">
      <c r="J792" s="94"/>
    </row>
    <row r="793">
      <c r="J793" s="94"/>
    </row>
    <row r="794">
      <c r="J794" s="94"/>
    </row>
    <row r="795">
      <c r="J795" s="94"/>
    </row>
    <row r="796">
      <c r="J796" s="94"/>
    </row>
    <row r="797">
      <c r="J797" s="94"/>
    </row>
    <row r="798">
      <c r="J798" s="94"/>
    </row>
    <row r="799">
      <c r="J799" s="94"/>
    </row>
    <row r="800">
      <c r="J800" s="94"/>
    </row>
    <row r="801">
      <c r="J801" s="94"/>
    </row>
    <row r="802">
      <c r="J802" s="94"/>
    </row>
    <row r="803">
      <c r="J803" s="94"/>
    </row>
    <row r="804">
      <c r="J804" s="94"/>
    </row>
    <row r="805">
      <c r="J805" s="94"/>
    </row>
    <row r="806">
      <c r="J806" s="94"/>
    </row>
    <row r="807">
      <c r="J807" s="94"/>
    </row>
    <row r="808">
      <c r="J808" s="94"/>
    </row>
    <row r="809">
      <c r="J809" s="94"/>
    </row>
    <row r="810">
      <c r="J810" s="94"/>
    </row>
    <row r="811">
      <c r="J811" s="94"/>
    </row>
    <row r="812">
      <c r="J812" s="94"/>
    </row>
    <row r="813">
      <c r="J813" s="94"/>
    </row>
    <row r="814">
      <c r="J814" s="94"/>
    </row>
    <row r="815">
      <c r="J815" s="94"/>
    </row>
    <row r="816">
      <c r="J816" s="94"/>
    </row>
    <row r="817">
      <c r="J817" s="94"/>
    </row>
    <row r="818">
      <c r="J818" s="94"/>
    </row>
    <row r="819">
      <c r="J819" s="94"/>
    </row>
    <row r="820">
      <c r="J820" s="94"/>
    </row>
    <row r="821">
      <c r="J821" s="94"/>
    </row>
    <row r="822">
      <c r="J822" s="94"/>
    </row>
    <row r="823">
      <c r="J823" s="94"/>
    </row>
    <row r="824">
      <c r="J824" s="94"/>
    </row>
    <row r="825">
      <c r="J825" s="94"/>
    </row>
    <row r="826">
      <c r="J826" s="94"/>
    </row>
    <row r="827">
      <c r="J827" s="94"/>
    </row>
    <row r="828">
      <c r="J828" s="94"/>
    </row>
    <row r="829">
      <c r="J829" s="94"/>
    </row>
    <row r="830">
      <c r="J830" s="94"/>
    </row>
    <row r="831">
      <c r="J831" s="94"/>
    </row>
    <row r="832">
      <c r="J832" s="94"/>
    </row>
    <row r="833">
      <c r="J833" s="94"/>
    </row>
    <row r="834">
      <c r="J834" s="94"/>
    </row>
    <row r="835">
      <c r="J835" s="94"/>
    </row>
    <row r="836">
      <c r="J836" s="94"/>
    </row>
    <row r="837">
      <c r="J837" s="94"/>
    </row>
    <row r="838">
      <c r="J838" s="94"/>
    </row>
    <row r="839">
      <c r="J839" s="94"/>
    </row>
    <row r="840">
      <c r="J840" s="94"/>
    </row>
    <row r="841">
      <c r="J841" s="94"/>
    </row>
    <row r="842">
      <c r="J842" s="94"/>
    </row>
    <row r="843">
      <c r="J843" s="94"/>
    </row>
    <row r="844">
      <c r="J844" s="94"/>
    </row>
    <row r="845">
      <c r="J845" s="94"/>
    </row>
    <row r="846">
      <c r="J846" s="94"/>
    </row>
    <row r="847">
      <c r="J847" s="94"/>
    </row>
    <row r="848">
      <c r="J848" s="94"/>
    </row>
    <row r="849">
      <c r="J849" s="94"/>
    </row>
    <row r="850">
      <c r="J850" s="94"/>
    </row>
    <row r="851">
      <c r="J851" s="94"/>
    </row>
    <row r="852">
      <c r="J852" s="94"/>
    </row>
    <row r="853">
      <c r="J853" s="94"/>
    </row>
    <row r="854">
      <c r="J854" s="94"/>
    </row>
    <row r="855">
      <c r="J855" s="94"/>
    </row>
    <row r="856">
      <c r="J856" s="94"/>
    </row>
    <row r="857">
      <c r="J857" s="94"/>
    </row>
    <row r="858">
      <c r="J858" s="94"/>
    </row>
    <row r="859">
      <c r="J859" s="94"/>
    </row>
    <row r="860">
      <c r="J860" s="94"/>
    </row>
    <row r="861">
      <c r="J861" s="94"/>
    </row>
    <row r="862">
      <c r="J862" s="94"/>
    </row>
    <row r="863">
      <c r="J863" s="94"/>
    </row>
    <row r="864">
      <c r="J864" s="94"/>
    </row>
    <row r="865">
      <c r="J865" s="94"/>
    </row>
    <row r="866">
      <c r="J866" s="94"/>
    </row>
    <row r="867">
      <c r="J867" s="94"/>
    </row>
    <row r="868">
      <c r="J868" s="94"/>
    </row>
    <row r="869">
      <c r="J869" s="94"/>
    </row>
    <row r="870">
      <c r="J870" s="94"/>
    </row>
    <row r="871">
      <c r="J871" s="94"/>
    </row>
    <row r="872">
      <c r="J872" s="94"/>
    </row>
    <row r="873">
      <c r="J873" s="94"/>
    </row>
    <row r="874">
      <c r="J874" s="94"/>
    </row>
    <row r="875">
      <c r="J875" s="94"/>
    </row>
    <row r="876">
      <c r="J876" s="94"/>
    </row>
    <row r="877">
      <c r="J877" s="94"/>
    </row>
    <row r="878">
      <c r="J878" s="94"/>
    </row>
    <row r="879">
      <c r="J879" s="94"/>
    </row>
    <row r="880">
      <c r="J880" s="94"/>
    </row>
    <row r="881">
      <c r="J881" s="94"/>
    </row>
    <row r="882">
      <c r="J882" s="94"/>
    </row>
    <row r="883">
      <c r="J883" s="94"/>
    </row>
    <row r="884">
      <c r="J884" s="94"/>
    </row>
    <row r="885">
      <c r="J885" s="94"/>
    </row>
    <row r="886">
      <c r="J886" s="94"/>
    </row>
    <row r="887">
      <c r="J887" s="94"/>
    </row>
    <row r="888">
      <c r="J888" s="94"/>
    </row>
    <row r="889">
      <c r="J889" s="94"/>
    </row>
    <row r="890">
      <c r="J890" s="94"/>
    </row>
    <row r="891">
      <c r="J891" s="94"/>
    </row>
    <row r="892">
      <c r="J892" s="94"/>
    </row>
    <row r="893">
      <c r="J893" s="94"/>
    </row>
    <row r="894">
      <c r="J894" s="94"/>
    </row>
    <row r="895">
      <c r="J895" s="94"/>
    </row>
    <row r="896">
      <c r="J896" s="94"/>
    </row>
    <row r="897">
      <c r="J897" s="94"/>
    </row>
    <row r="898">
      <c r="J898" s="94"/>
    </row>
    <row r="899">
      <c r="J899" s="94"/>
    </row>
    <row r="900">
      <c r="J900" s="94"/>
    </row>
    <row r="901">
      <c r="J901" s="94"/>
    </row>
    <row r="902">
      <c r="J902" s="94"/>
    </row>
    <row r="903">
      <c r="J903" s="94"/>
    </row>
    <row r="904">
      <c r="J904" s="94"/>
    </row>
    <row r="905">
      <c r="J905" s="94"/>
    </row>
    <row r="906">
      <c r="J906" s="94"/>
    </row>
    <row r="907">
      <c r="J907" s="94"/>
    </row>
    <row r="908">
      <c r="J908" s="94"/>
    </row>
    <row r="909">
      <c r="J909" s="94"/>
    </row>
    <row r="910">
      <c r="J910" s="94"/>
    </row>
    <row r="911">
      <c r="J911" s="94"/>
    </row>
    <row r="912">
      <c r="J912" s="94"/>
    </row>
    <row r="913">
      <c r="J913" s="94"/>
    </row>
    <row r="914">
      <c r="J914" s="94"/>
    </row>
    <row r="915">
      <c r="J915" s="94"/>
    </row>
    <row r="916">
      <c r="J916" s="94"/>
    </row>
    <row r="917">
      <c r="J917" s="94"/>
    </row>
    <row r="918">
      <c r="J918" s="94"/>
    </row>
    <row r="919">
      <c r="J919" s="94"/>
    </row>
    <row r="920">
      <c r="J920" s="94"/>
    </row>
    <row r="921">
      <c r="J921" s="94"/>
    </row>
    <row r="922">
      <c r="J922" s="94"/>
    </row>
    <row r="923">
      <c r="J923" s="94"/>
    </row>
    <row r="924">
      <c r="J924" s="94"/>
    </row>
    <row r="925">
      <c r="J925" s="94"/>
    </row>
    <row r="926">
      <c r="J926" s="94"/>
    </row>
    <row r="927">
      <c r="J927" s="94"/>
    </row>
    <row r="928">
      <c r="J928" s="94"/>
    </row>
    <row r="929">
      <c r="J929" s="94"/>
    </row>
    <row r="930">
      <c r="J930" s="94"/>
    </row>
    <row r="931">
      <c r="J931" s="94"/>
    </row>
    <row r="932">
      <c r="J932" s="94"/>
    </row>
    <row r="933">
      <c r="J933" s="94"/>
    </row>
    <row r="934">
      <c r="J934" s="94"/>
    </row>
    <row r="935">
      <c r="J935" s="94"/>
    </row>
    <row r="936">
      <c r="J936" s="94"/>
    </row>
    <row r="937">
      <c r="J937" s="94"/>
    </row>
    <row r="938">
      <c r="J938" s="94"/>
    </row>
    <row r="939">
      <c r="J939" s="94"/>
    </row>
    <row r="940">
      <c r="J940" s="94"/>
    </row>
    <row r="941">
      <c r="J941" s="94"/>
    </row>
    <row r="942">
      <c r="J942" s="94"/>
    </row>
    <row r="943">
      <c r="J943" s="94"/>
    </row>
    <row r="944">
      <c r="J944" s="94"/>
    </row>
    <row r="945">
      <c r="J945" s="94"/>
    </row>
    <row r="946">
      <c r="J946" s="94"/>
    </row>
    <row r="947">
      <c r="J947" s="94"/>
    </row>
    <row r="948">
      <c r="J948" s="94"/>
    </row>
    <row r="949">
      <c r="J949" s="94"/>
    </row>
    <row r="950">
      <c r="J950" s="94"/>
    </row>
    <row r="951">
      <c r="J951" s="94"/>
    </row>
    <row r="952">
      <c r="J952" s="94"/>
    </row>
    <row r="953">
      <c r="J953" s="94"/>
    </row>
    <row r="954">
      <c r="J954" s="94"/>
    </row>
    <row r="955">
      <c r="J955" s="94"/>
    </row>
    <row r="956">
      <c r="J956" s="94"/>
    </row>
    <row r="957">
      <c r="J957" s="94"/>
    </row>
    <row r="958">
      <c r="J958" s="94"/>
    </row>
    <row r="959">
      <c r="J959" s="94"/>
    </row>
    <row r="960">
      <c r="J960" s="94"/>
    </row>
    <row r="961">
      <c r="J961" s="94"/>
    </row>
    <row r="962">
      <c r="J962" s="94"/>
    </row>
    <row r="963">
      <c r="J963" s="94"/>
    </row>
    <row r="964">
      <c r="J964" s="94"/>
    </row>
    <row r="965">
      <c r="J965" s="94"/>
    </row>
    <row r="966">
      <c r="J966" s="94"/>
    </row>
    <row r="967">
      <c r="J967" s="94"/>
    </row>
    <row r="968">
      <c r="J968" s="94"/>
    </row>
    <row r="969">
      <c r="J969" s="94"/>
    </row>
    <row r="970">
      <c r="J970" s="94"/>
    </row>
    <row r="971">
      <c r="J971" s="94"/>
    </row>
    <row r="972">
      <c r="J972" s="94"/>
    </row>
    <row r="973">
      <c r="J973" s="94"/>
    </row>
    <row r="974">
      <c r="J974" s="94"/>
    </row>
    <row r="975">
      <c r="J975" s="94"/>
    </row>
    <row r="976">
      <c r="J976" s="94"/>
    </row>
    <row r="977">
      <c r="J977" s="94"/>
    </row>
    <row r="978">
      <c r="J978" s="94"/>
    </row>
    <row r="979">
      <c r="J979" s="94"/>
    </row>
    <row r="980">
      <c r="J980" s="94"/>
    </row>
    <row r="981">
      <c r="J981" s="94"/>
    </row>
    <row r="982">
      <c r="J982" s="94"/>
    </row>
    <row r="983">
      <c r="J983" s="94"/>
    </row>
    <row r="984">
      <c r="J984" s="94"/>
    </row>
    <row r="985">
      <c r="J985" s="94"/>
    </row>
    <row r="986">
      <c r="J986" s="94"/>
    </row>
    <row r="987">
      <c r="J987" s="94"/>
    </row>
    <row r="988">
      <c r="J988" s="94"/>
    </row>
    <row r="989">
      <c r="J989" s="94"/>
    </row>
    <row r="990">
      <c r="J990" s="94"/>
    </row>
    <row r="991">
      <c r="J991" s="94"/>
    </row>
    <row r="992">
      <c r="J992" s="94"/>
    </row>
    <row r="993">
      <c r="J993" s="94"/>
    </row>
    <row r="994">
      <c r="J994" s="94"/>
    </row>
    <row r="995">
      <c r="J995" s="94"/>
    </row>
    <row r="996">
      <c r="J996" s="94"/>
    </row>
    <row r="997">
      <c r="J997" s="94"/>
    </row>
    <row r="998">
      <c r="J998" s="94"/>
    </row>
  </sheetData>
  <dataValidations>
    <dataValidation type="list" allowBlank="1" showErrorMessage="1" sqref="H2:H305">
      <formula1>'TENDINE SLIM'!$F$2:$F$46</formula1>
    </dataValidation>
    <dataValidation type="list" allowBlank="1" showErrorMessage="1" sqref="A2:A100 A102:A282">
      <formula1>ANAGRAFICA!$B$2:$B$506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9.0"/>
    <col customWidth="1" min="8" max="8" width="16.13"/>
    <col customWidth="1" min="9" max="9" width="15.13"/>
    <col customWidth="1" min="10" max="10" width="21.88"/>
    <col customWidth="1" min="11" max="11" width="20.38"/>
    <col customWidth="1" min="12" max="12" width="26.63"/>
  </cols>
  <sheetData>
    <row r="1">
      <c r="A1" s="200" t="s">
        <v>1</v>
      </c>
      <c r="B1" s="201" t="s">
        <v>2</v>
      </c>
      <c r="C1" s="202" t="s">
        <v>3</v>
      </c>
      <c r="D1" s="202" t="s">
        <v>4</v>
      </c>
      <c r="E1" s="202" t="s">
        <v>385</v>
      </c>
      <c r="F1" s="200" t="s">
        <v>6</v>
      </c>
      <c r="G1" s="202" t="s">
        <v>386</v>
      </c>
      <c r="H1" s="203" t="s">
        <v>1092</v>
      </c>
      <c r="I1" s="204" t="s">
        <v>602</v>
      </c>
      <c r="J1" s="202" t="s">
        <v>1093</v>
      </c>
      <c r="K1" s="203" t="s">
        <v>1094</v>
      </c>
      <c r="L1" s="203" t="s">
        <v>1095</v>
      </c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</row>
    <row r="2">
      <c r="A2" s="57">
        <v>2.124002215E9</v>
      </c>
      <c r="B2" s="109" t="str">
        <f>VLOOKUP($A2,ANAGRAFICA!$B$1:$G$306,2,FALSE)</f>
        <v>SCHIFANO</v>
      </c>
      <c r="C2" s="109" t="str">
        <f>VLOOKUP($A2,ANAGRAFICA!$B$1:$G$306,3,FALSE)</f>
        <v>FRANCESCO</v>
      </c>
      <c r="D2" s="109" t="str">
        <f>VLOOKUP($A2,ANAGRAFICA!$B$1:$G$306,4,FALSE)</f>
        <v/>
      </c>
      <c r="E2" s="109">
        <f>VLOOKUP($A2,ANAGRAFICA!$B$1:$G$306,5,FALSE)</f>
        <v>3272024055</v>
      </c>
      <c r="F2" s="109">
        <f>VLOOKUP($A2,ANAGRAFICA!$B$1:$G$306,6,FALSE)</f>
        <v>2024</v>
      </c>
      <c r="G2" s="11">
        <v>1.0</v>
      </c>
      <c r="H2" s="13">
        <v>45329.0</v>
      </c>
      <c r="I2" s="16" t="b">
        <v>0</v>
      </c>
      <c r="J2" s="11" t="s">
        <v>1096</v>
      </c>
      <c r="K2" s="14" t="s">
        <v>1097</v>
      </c>
      <c r="L2" s="14" t="s">
        <v>1098</v>
      </c>
    </row>
    <row r="3">
      <c r="A3" s="57">
        <v>2.124002215E9</v>
      </c>
      <c r="B3" s="109" t="str">
        <f>VLOOKUP($A3,ANAGRAFICA!$B$1:$G$306,2,FALSE)</f>
        <v>SCHIFANO</v>
      </c>
      <c r="C3" s="109" t="str">
        <f>VLOOKUP($A3,ANAGRAFICA!$B$1:$G$306,3,FALSE)</f>
        <v>FRANCESCO</v>
      </c>
      <c r="D3" s="109" t="str">
        <f>VLOOKUP($A3,ANAGRAFICA!$B$1:$G$306,4,FALSE)</f>
        <v/>
      </c>
      <c r="E3" s="109">
        <f>VLOOKUP($A3,ANAGRAFICA!$B$1:$G$306,5,FALSE)</f>
        <v>3272024055</v>
      </c>
      <c r="F3" s="109">
        <f>VLOOKUP($A3,ANAGRAFICA!$B$1:$G$306,6,FALSE)</f>
        <v>2024</v>
      </c>
      <c r="G3" s="11">
        <v>1.0</v>
      </c>
      <c r="H3" s="13">
        <v>45330.0</v>
      </c>
      <c r="I3" s="16" t="b">
        <v>0</v>
      </c>
      <c r="J3" s="11" t="s">
        <v>1096</v>
      </c>
      <c r="K3" s="14" t="s">
        <v>1099</v>
      </c>
      <c r="L3" s="14" t="s">
        <v>1100</v>
      </c>
    </row>
    <row r="4">
      <c r="A4" s="57">
        <v>2.124002215E9</v>
      </c>
      <c r="B4" s="109" t="str">
        <f>VLOOKUP($A4,ANAGRAFICA!$B$1:$G$306,2,FALSE)</f>
        <v>SCHIFANO</v>
      </c>
      <c r="C4" s="109" t="str">
        <f>VLOOKUP($A4,ANAGRAFICA!$B$1:$G$306,3,FALSE)</f>
        <v>FRANCESCO</v>
      </c>
      <c r="D4" s="109" t="str">
        <f>VLOOKUP($A4,ANAGRAFICA!$B$1:$G$306,4,FALSE)</f>
        <v/>
      </c>
      <c r="E4" s="109">
        <f>VLOOKUP($A4,ANAGRAFICA!$B$1:$G$306,5,FALSE)</f>
        <v>3272024055</v>
      </c>
      <c r="F4" s="109">
        <f>VLOOKUP($A4,ANAGRAFICA!$B$1:$G$306,6,FALSE)</f>
        <v>2024</v>
      </c>
      <c r="G4" s="11">
        <v>1.0</v>
      </c>
      <c r="H4" s="13">
        <v>45331.0</v>
      </c>
      <c r="I4" s="16" t="b">
        <v>0</v>
      </c>
      <c r="J4" s="11" t="s">
        <v>1101</v>
      </c>
      <c r="K4" s="14" t="s">
        <v>1097</v>
      </c>
      <c r="L4" s="14" t="s">
        <v>1102</v>
      </c>
    </row>
    <row r="5">
      <c r="A5" s="57">
        <v>2.124002215E9</v>
      </c>
      <c r="B5" s="109" t="str">
        <f>VLOOKUP($A5,ANAGRAFICA!$B$1:$G$306,2,FALSE)</f>
        <v>SCHIFANO</v>
      </c>
      <c r="C5" s="109" t="str">
        <f>VLOOKUP($A5,ANAGRAFICA!$B$1:$G$306,3,FALSE)</f>
        <v>FRANCESCO</v>
      </c>
      <c r="D5" s="109" t="str">
        <f>VLOOKUP($A5,ANAGRAFICA!$B$1:$G$306,4,FALSE)</f>
        <v/>
      </c>
      <c r="E5" s="109">
        <f>VLOOKUP($A5,ANAGRAFICA!$B$1:$G$306,5,FALSE)</f>
        <v>3272024055</v>
      </c>
      <c r="F5" s="109">
        <f>VLOOKUP($A5,ANAGRAFICA!$B$1:$G$306,6,FALSE)</f>
        <v>2024</v>
      </c>
      <c r="G5" s="11">
        <v>1.0</v>
      </c>
      <c r="H5" s="13">
        <v>45332.0</v>
      </c>
      <c r="I5" s="16" t="b">
        <v>0</v>
      </c>
      <c r="J5" s="11" t="s">
        <v>1101</v>
      </c>
      <c r="K5" s="14" t="s">
        <v>1099</v>
      </c>
      <c r="L5" s="14" t="s">
        <v>1098</v>
      </c>
    </row>
    <row r="6">
      <c r="A6" s="57">
        <v>2.124019184E9</v>
      </c>
      <c r="B6" s="154" t="s">
        <v>178</v>
      </c>
      <c r="C6" s="154" t="s">
        <v>158</v>
      </c>
      <c r="D6" s="154" t="s">
        <v>179</v>
      </c>
      <c r="E6" s="109"/>
      <c r="F6" s="154" t="s">
        <v>1103</v>
      </c>
      <c r="G6" s="3">
        <v>1.0</v>
      </c>
      <c r="H6" s="77">
        <v>45600.0</v>
      </c>
      <c r="I6" s="16" t="b">
        <v>0</v>
      </c>
      <c r="J6" s="11" t="s">
        <v>1101</v>
      </c>
      <c r="K6" s="14" t="s">
        <v>1099</v>
      </c>
      <c r="L6" s="14" t="s">
        <v>1104</v>
      </c>
    </row>
    <row r="7">
      <c r="A7" s="57">
        <v>2.124019184E9</v>
      </c>
      <c r="B7" s="109" t="str">
        <f>VLOOKUP($A7,ANAGRAFICA!$B$1:$G$306,2,FALSE)</f>
        <v>SERVIDIO</v>
      </c>
      <c r="C7" s="109" t="str">
        <f>VLOOKUP($A7,ANAGRAFICA!$B$1:$G$306,3,FALSE)</f>
        <v>GIOVANNI</v>
      </c>
      <c r="D7" s="109" t="str">
        <f>VLOOKUP($A7,ANAGRAFICA!$B$1:$G$306,4,FALSE)</f>
        <v>758-17</v>
      </c>
      <c r="E7" s="109">
        <f>VLOOKUP($A7,ANAGRAFICA!$B$1:$G$306,5,FALSE)</f>
        <v>3272024083</v>
      </c>
      <c r="F7" s="109">
        <f>VLOOKUP($A7,ANAGRAFICA!$B$1:$G$306,6,FALSE)</f>
        <v>2024</v>
      </c>
      <c r="G7" s="3">
        <v>1.0</v>
      </c>
      <c r="H7" s="76">
        <v>45607.0</v>
      </c>
      <c r="I7" s="16" t="b">
        <v>0</v>
      </c>
      <c r="J7" s="11" t="s">
        <v>1101</v>
      </c>
      <c r="K7" s="14" t="s">
        <v>1105</v>
      </c>
      <c r="L7" s="14" t="s">
        <v>1106</v>
      </c>
    </row>
    <row r="8">
      <c r="A8" s="57">
        <v>2.124019184E9</v>
      </c>
      <c r="B8" s="109" t="str">
        <f>VLOOKUP($A8,ANAGRAFICA!$B$1:$G$306,2,FALSE)</f>
        <v>SERVIDIO</v>
      </c>
      <c r="C8" s="109" t="str">
        <f>VLOOKUP($A8,ANAGRAFICA!$B$1:$G$306,3,FALSE)</f>
        <v>GIOVANNI</v>
      </c>
      <c r="D8" s="109" t="str">
        <f>VLOOKUP($A8,ANAGRAFICA!$B$1:$G$306,4,FALSE)</f>
        <v>758-17</v>
      </c>
      <c r="E8" s="109">
        <f>VLOOKUP($A8,ANAGRAFICA!$B$1:$G$306,5,FALSE)</f>
        <v>3272024083</v>
      </c>
      <c r="F8" s="109">
        <f>VLOOKUP($A8,ANAGRAFICA!$B$1:$G$306,6,FALSE)</f>
        <v>2024</v>
      </c>
      <c r="G8" s="3">
        <v>1.0</v>
      </c>
      <c r="H8" s="76">
        <v>45607.0</v>
      </c>
      <c r="I8" s="16" t="b">
        <v>0</v>
      </c>
      <c r="J8" s="11" t="s">
        <v>1101</v>
      </c>
      <c r="K8" s="14" t="s">
        <v>1099</v>
      </c>
      <c r="L8" s="14" t="s">
        <v>1107</v>
      </c>
    </row>
    <row r="9">
      <c r="A9" s="57">
        <v>2.124211722E9</v>
      </c>
      <c r="B9" s="109" t="str">
        <f>VLOOKUP($A9,ANAGRAFICA!$B$1:$G$306,2,FALSE)</f>
        <v>CORIO</v>
      </c>
      <c r="C9" s="109" t="str">
        <f>VLOOKUP($A9,ANAGRAFICA!$B$1:$G$306,3,FALSE)</f>
        <v>GIOVANNI</v>
      </c>
      <c r="D9" s="109" t="str">
        <f>VLOOKUP($A9,ANAGRAFICA!$B$1:$G$306,4,FALSE)</f>
        <v>758-13</v>
      </c>
      <c r="E9" s="109">
        <f>VLOOKUP($A9,ANAGRAFICA!$B$1:$G$306,5,FALSE)</f>
        <v>3272024079</v>
      </c>
      <c r="F9" s="109">
        <f>VLOOKUP($A9,ANAGRAFICA!$B$1:$G$306,6,FALSE)</f>
        <v>2024</v>
      </c>
      <c r="G9" s="3">
        <v>1.0</v>
      </c>
      <c r="H9" s="77">
        <v>45574.0</v>
      </c>
      <c r="I9" s="16" t="b">
        <v>0</v>
      </c>
      <c r="J9" s="11" t="s">
        <v>1101</v>
      </c>
      <c r="K9" s="14" t="s">
        <v>1099</v>
      </c>
      <c r="L9" s="14" t="s">
        <v>1108</v>
      </c>
    </row>
    <row r="10">
      <c r="A10" s="57">
        <v>2.124211722E9</v>
      </c>
      <c r="B10" s="109" t="str">
        <f>VLOOKUP($A10,ANAGRAFICA!$B$1:$G$306,2,FALSE)</f>
        <v>CORIO</v>
      </c>
      <c r="C10" s="109" t="str">
        <f>VLOOKUP($A10,ANAGRAFICA!$B$1:$G$306,3,FALSE)</f>
        <v>GIOVANNI</v>
      </c>
      <c r="D10" s="109" t="str">
        <f>VLOOKUP($A10,ANAGRAFICA!$B$1:$G$306,4,FALSE)</f>
        <v>758-13</v>
      </c>
      <c r="E10" s="109">
        <f>VLOOKUP($A10,ANAGRAFICA!$B$1:$G$306,5,FALSE)</f>
        <v>3272024079</v>
      </c>
      <c r="F10" s="109">
        <f>VLOOKUP($A10,ANAGRAFICA!$B$1:$G$306,6,FALSE)</f>
        <v>2024</v>
      </c>
      <c r="G10" s="3">
        <v>1.0</v>
      </c>
      <c r="I10" s="16" t="b">
        <v>0</v>
      </c>
      <c r="J10" s="11" t="s">
        <v>1109</v>
      </c>
      <c r="K10" s="14" t="s">
        <v>1099</v>
      </c>
      <c r="L10" s="14" t="s">
        <v>1108</v>
      </c>
    </row>
    <row r="11">
      <c r="A11" s="57">
        <v>2.124012915E9</v>
      </c>
      <c r="B11" s="109" t="str">
        <f>VLOOKUP($A11,ANAGRAFICA!$B$1:$G$306,2,FALSE)</f>
        <v>GARGIONI</v>
      </c>
      <c r="C11" s="109" t="str">
        <f>VLOOKUP($A11,ANAGRAFICA!$B$1:$G$306,3,FALSE)</f>
        <v>GIULIO</v>
      </c>
      <c r="D11" s="109" t="str">
        <f>VLOOKUP($A11,ANAGRAFICA!$B$1:$G$306,4,FALSE)</f>
        <v>758-6</v>
      </c>
      <c r="E11" s="109">
        <f>VLOOKUP($A11,ANAGRAFICA!$B$1:$G$306,5,FALSE)</f>
        <v>3272024072</v>
      </c>
      <c r="F11" s="109">
        <f>VLOOKUP($A11,ANAGRAFICA!$B$1:$G$306,6,FALSE)</f>
        <v>2024</v>
      </c>
      <c r="G11" s="3">
        <v>1.0</v>
      </c>
      <c r="H11" s="77">
        <v>45487.0</v>
      </c>
      <c r="I11" s="141" t="b">
        <v>1</v>
      </c>
      <c r="J11" s="11" t="s">
        <v>1101</v>
      </c>
      <c r="K11" s="14" t="s">
        <v>1099</v>
      </c>
      <c r="L11" s="14" t="s">
        <v>1107</v>
      </c>
    </row>
    <row r="12">
      <c r="A12" s="57">
        <v>2.124011236E9</v>
      </c>
      <c r="B12" s="109" t="str">
        <f>VLOOKUP($A12,ANAGRAFICA!$B$1:$G$306,2,FALSE)</f>
        <v>BERETTA</v>
      </c>
      <c r="C12" s="109" t="str">
        <f>VLOOKUP($A12,ANAGRAFICA!$B$1:$G$306,3,FALSE)</f>
        <v>ENZO LUCIANO</v>
      </c>
      <c r="D12" s="109" t="str">
        <f>VLOOKUP($A12,ANAGRAFICA!$B$1:$G$306,4,FALSE)</f>
        <v>758-3</v>
      </c>
      <c r="E12" s="109">
        <f>VLOOKUP($A12,ANAGRAFICA!$B$1:$G$306,5,FALSE)</f>
        <v>3272024069</v>
      </c>
      <c r="F12" s="109">
        <f>VLOOKUP($A12,ANAGRAFICA!$B$1:$G$306,6,FALSE)</f>
        <v>2024</v>
      </c>
      <c r="G12" s="3">
        <v>1.0</v>
      </c>
      <c r="H12" s="77">
        <v>45457.0</v>
      </c>
      <c r="I12" s="16" t="b">
        <v>0</v>
      </c>
      <c r="J12" s="11" t="s">
        <v>1110</v>
      </c>
      <c r="K12" s="14" t="s">
        <v>1097</v>
      </c>
      <c r="L12" s="14" t="s">
        <v>1111</v>
      </c>
    </row>
    <row r="13">
      <c r="A13" s="57">
        <v>2.124206072E9</v>
      </c>
      <c r="B13" s="109" t="str">
        <f>VLOOKUP($A13,ANAGRAFICA!$B$1:$G$306,2,FALSE)</f>
        <v>CONSONNI</v>
      </c>
      <c r="C13" s="109" t="str">
        <f>VLOOKUP($A13,ANAGRAFICA!$B$1:$G$306,3,FALSE)</f>
        <v>GIULIO</v>
      </c>
      <c r="D13" s="109" t="str">
        <f>VLOOKUP($A13,ANAGRAFICA!$B$1:$G$306,4,FALSE)</f>
        <v/>
      </c>
      <c r="E13" s="109">
        <f>VLOOKUP($A13,ANAGRAFICA!$B$1:$G$306,5,FALSE)</f>
        <v>3272024064</v>
      </c>
      <c r="F13" s="109">
        <f>VLOOKUP($A13,ANAGRAFICA!$B$1:$G$306,6,FALSE)</f>
        <v>2024</v>
      </c>
      <c r="G13" s="3">
        <v>1.0</v>
      </c>
      <c r="H13" s="77">
        <v>45410.0</v>
      </c>
      <c r="I13" s="141" t="b">
        <v>1</v>
      </c>
      <c r="J13" s="11" t="s">
        <v>1101</v>
      </c>
      <c r="K13" s="14" t="s">
        <v>1097</v>
      </c>
      <c r="L13" s="14" t="s">
        <v>1112</v>
      </c>
    </row>
    <row r="14">
      <c r="A14" s="57">
        <v>2.124206072E9</v>
      </c>
      <c r="B14" s="109" t="str">
        <f>VLOOKUP($A14,ANAGRAFICA!$B$1:$G$306,2,FALSE)</f>
        <v>CONSONNI</v>
      </c>
      <c r="C14" s="109" t="str">
        <f>VLOOKUP($A14,ANAGRAFICA!$B$1:$G$306,3,FALSE)</f>
        <v>GIULIO</v>
      </c>
      <c r="D14" s="109" t="str">
        <f>VLOOKUP($A14,ANAGRAFICA!$B$1:$G$306,4,FALSE)</f>
        <v/>
      </c>
      <c r="E14" s="109">
        <f>VLOOKUP($A14,ANAGRAFICA!$B$1:$G$306,5,FALSE)</f>
        <v>3272024064</v>
      </c>
      <c r="F14" s="109">
        <f>VLOOKUP($A14,ANAGRAFICA!$B$1:$G$306,6,FALSE)</f>
        <v>2024</v>
      </c>
      <c r="G14" s="3">
        <v>1.0</v>
      </c>
      <c r="H14" s="77">
        <v>45410.0</v>
      </c>
      <c r="I14" s="141" t="b">
        <v>1</v>
      </c>
      <c r="J14" s="11" t="s">
        <v>1101</v>
      </c>
      <c r="K14" s="14" t="s">
        <v>1113</v>
      </c>
      <c r="L14" s="14" t="s">
        <v>1114</v>
      </c>
    </row>
    <row r="15">
      <c r="A15" s="57">
        <v>2.124206072E9</v>
      </c>
      <c r="B15" s="109" t="str">
        <f>VLOOKUP($A15,ANAGRAFICA!$B$1:$G$306,2,FALSE)</f>
        <v>CONSONNI</v>
      </c>
      <c r="C15" s="109" t="str">
        <f>VLOOKUP($A15,ANAGRAFICA!$B$1:$G$306,3,FALSE)</f>
        <v>GIULIO</v>
      </c>
      <c r="D15" s="109" t="str">
        <f>VLOOKUP($A15,ANAGRAFICA!$B$1:$G$306,4,FALSE)</f>
        <v/>
      </c>
      <c r="E15" s="109">
        <f>VLOOKUP($A15,ANAGRAFICA!$B$1:$G$306,5,FALSE)</f>
        <v>3272024064</v>
      </c>
      <c r="F15" s="109">
        <f>VLOOKUP($A15,ANAGRAFICA!$B$1:$G$306,6,FALSE)</f>
        <v>2024</v>
      </c>
      <c r="G15" s="3">
        <v>1.0</v>
      </c>
      <c r="H15" s="77">
        <v>45410.0</v>
      </c>
      <c r="I15" s="141" t="b">
        <v>1</v>
      </c>
      <c r="J15" s="11" t="s">
        <v>1101</v>
      </c>
      <c r="K15" s="14" t="s">
        <v>1113</v>
      </c>
      <c r="L15" s="14" t="s">
        <v>1115</v>
      </c>
    </row>
    <row r="16">
      <c r="A16" s="57">
        <v>2.124206072E9</v>
      </c>
      <c r="B16" s="109" t="str">
        <f>VLOOKUP($A16,ANAGRAFICA!$B$1:$G$306,2,FALSE)</f>
        <v>CONSONNI</v>
      </c>
      <c r="C16" s="109" t="str">
        <f>VLOOKUP($A16,ANAGRAFICA!$B$1:$G$306,3,FALSE)</f>
        <v>GIULIO</v>
      </c>
      <c r="D16" s="109" t="str">
        <f>VLOOKUP($A16,ANAGRAFICA!$B$1:$G$306,4,FALSE)</f>
        <v/>
      </c>
      <c r="E16" s="109">
        <f>VLOOKUP($A16,ANAGRAFICA!$B$1:$G$306,5,FALSE)</f>
        <v>3272024064</v>
      </c>
      <c r="F16" s="109">
        <f>VLOOKUP($A16,ANAGRAFICA!$B$1:$G$306,6,FALSE)</f>
        <v>2024</v>
      </c>
      <c r="G16" s="3">
        <v>1.0</v>
      </c>
      <c r="H16" s="77">
        <v>45410.0</v>
      </c>
      <c r="I16" s="141" t="b">
        <v>1</v>
      </c>
      <c r="J16" s="11" t="s">
        <v>1101</v>
      </c>
      <c r="K16" s="14" t="s">
        <v>1099</v>
      </c>
      <c r="L16" s="14" t="s">
        <v>1116</v>
      </c>
    </row>
    <row r="17">
      <c r="A17" s="57">
        <v>2.124008603E9</v>
      </c>
      <c r="B17" s="109" t="str">
        <f>VLOOKUP($A17,ANAGRAFICA!$B$1:$G$306,2,FALSE)</f>
        <v>MARIANI</v>
      </c>
      <c r="C17" s="109" t="str">
        <f>VLOOKUP($A17,ANAGRAFICA!$B$1:$G$306,3,FALSE)</f>
        <v>MARCO</v>
      </c>
      <c r="D17" s="109" t="str">
        <f>VLOOKUP($A17,ANAGRAFICA!$B$1:$G$306,4,FALSE)</f>
        <v/>
      </c>
      <c r="E17" s="109">
        <f>VLOOKUP($A17,ANAGRAFICA!$B$1:$G$306,5,FALSE)</f>
        <v>3272024066</v>
      </c>
      <c r="F17" s="109">
        <f>VLOOKUP($A17,ANAGRAFICA!$B$1:$G$306,6,FALSE)</f>
        <v>2024</v>
      </c>
      <c r="G17" s="3">
        <v>1.0</v>
      </c>
      <c r="H17" s="77">
        <v>45421.0</v>
      </c>
      <c r="I17" s="16" t="b">
        <v>0</v>
      </c>
      <c r="J17" s="11" t="s">
        <v>1117</v>
      </c>
      <c r="K17" s="14" t="s">
        <v>1097</v>
      </c>
      <c r="L17" s="14" t="s">
        <v>1111</v>
      </c>
    </row>
    <row r="18">
      <c r="A18" s="57">
        <v>2.124008603E9</v>
      </c>
      <c r="B18" s="109" t="str">
        <f>VLOOKUP($A18,ANAGRAFICA!$B$1:$G$306,2,FALSE)</f>
        <v>MARIANI</v>
      </c>
      <c r="C18" s="109" t="str">
        <f>VLOOKUP($A18,ANAGRAFICA!$B$1:$G$306,3,FALSE)</f>
        <v>MARCO</v>
      </c>
      <c r="D18" s="109" t="str">
        <f>VLOOKUP($A18,ANAGRAFICA!$B$1:$G$306,4,FALSE)</f>
        <v/>
      </c>
      <c r="E18" s="109">
        <f>VLOOKUP($A18,ANAGRAFICA!$B$1:$G$306,5,FALSE)</f>
        <v>3272024066</v>
      </c>
      <c r="F18" s="109">
        <f>VLOOKUP($A18,ANAGRAFICA!$B$1:$G$306,6,FALSE)</f>
        <v>2024</v>
      </c>
      <c r="G18" s="3">
        <v>1.0</v>
      </c>
      <c r="H18" s="77">
        <v>45422.0</v>
      </c>
      <c r="I18" s="16" t="b">
        <v>0</v>
      </c>
      <c r="J18" s="11" t="s">
        <v>1101</v>
      </c>
      <c r="K18" s="14" t="s">
        <v>1099</v>
      </c>
      <c r="L18" s="14" t="s">
        <v>1104</v>
      </c>
    </row>
    <row r="19" ht="18.75" customHeight="1">
      <c r="A19" s="57">
        <v>2.124008603E9</v>
      </c>
      <c r="B19" s="109" t="str">
        <f>VLOOKUP($A19,ANAGRAFICA!$B$1:$G$306,2,FALSE)</f>
        <v>MARIANI</v>
      </c>
      <c r="C19" s="109" t="str">
        <f>VLOOKUP($A19,ANAGRAFICA!$B$1:$G$306,3,FALSE)</f>
        <v>MARCO</v>
      </c>
      <c r="D19" s="109" t="str">
        <f>VLOOKUP($A19,ANAGRAFICA!$B$1:$G$306,4,FALSE)</f>
        <v/>
      </c>
      <c r="E19" s="109">
        <f>VLOOKUP($A19,ANAGRAFICA!$B$1:$G$306,5,FALSE)</f>
        <v>3272024066</v>
      </c>
      <c r="F19" s="109">
        <f>VLOOKUP($A19,ANAGRAFICA!$B$1:$G$306,6,FALSE)</f>
        <v>2024</v>
      </c>
      <c r="G19" s="3">
        <v>1.0</v>
      </c>
      <c r="H19" s="77">
        <v>45424.0</v>
      </c>
      <c r="I19" s="16" t="b">
        <v>0</v>
      </c>
      <c r="J19" s="11" t="s">
        <v>1101</v>
      </c>
      <c r="K19" s="14" t="s">
        <v>1099</v>
      </c>
      <c r="L19" s="14" t="s">
        <v>1118</v>
      </c>
    </row>
    <row r="20">
      <c r="A20" s="57">
        <v>2.124008603E9</v>
      </c>
      <c r="B20" s="109" t="str">
        <f>VLOOKUP($A20,ANAGRAFICA!$B$1:$G$306,2,FALSE)</f>
        <v>MARIANI</v>
      </c>
      <c r="C20" s="109" t="str">
        <f>VLOOKUP($A20,ANAGRAFICA!$B$1:$G$306,3,FALSE)</f>
        <v>MARCO</v>
      </c>
      <c r="D20" s="109" t="str">
        <f>VLOOKUP($A20,ANAGRAFICA!$B$1:$G$306,4,FALSE)</f>
        <v/>
      </c>
      <c r="E20" s="109">
        <f>VLOOKUP($A20,ANAGRAFICA!$B$1:$G$306,5,FALSE)</f>
        <v>3272024066</v>
      </c>
      <c r="F20" s="109">
        <f>VLOOKUP($A20,ANAGRAFICA!$B$1:$G$306,6,FALSE)</f>
        <v>2024</v>
      </c>
      <c r="G20" s="3">
        <v>1.0</v>
      </c>
      <c r="H20" s="77">
        <v>45424.0</v>
      </c>
      <c r="I20" s="16" t="b">
        <v>0</v>
      </c>
      <c r="J20" s="11" t="s">
        <v>1096</v>
      </c>
      <c r="K20" s="14" t="s">
        <v>1097</v>
      </c>
      <c r="L20" s="14" t="s">
        <v>1111</v>
      </c>
    </row>
    <row r="21">
      <c r="A21" s="57">
        <v>2.124008603E9</v>
      </c>
      <c r="B21" s="109" t="str">
        <f>VLOOKUP($A21,ANAGRAFICA!$B$1:$G$306,2,FALSE)</f>
        <v>MARIANI</v>
      </c>
      <c r="C21" s="109" t="str">
        <f>VLOOKUP($A21,ANAGRAFICA!$B$1:$G$306,3,FALSE)</f>
        <v>MARCO</v>
      </c>
      <c r="D21" s="109" t="str">
        <f>VLOOKUP($A21,ANAGRAFICA!$B$1:$G$306,4,FALSE)</f>
        <v/>
      </c>
      <c r="E21" s="109">
        <f>VLOOKUP($A21,ANAGRAFICA!$B$1:$G$306,5,FALSE)</f>
        <v>3272024066</v>
      </c>
      <c r="F21" s="109">
        <f>VLOOKUP($A21,ANAGRAFICA!$B$1:$G$306,6,FALSE)</f>
        <v>2024</v>
      </c>
      <c r="G21" s="3">
        <v>1.0</v>
      </c>
      <c r="H21" s="77">
        <v>45425.0</v>
      </c>
      <c r="I21" s="16" t="b">
        <v>0</v>
      </c>
      <c r="J21" s="11" t="s">
        <v>1119</v>
      </c>
      <c r="K21" s="14" t="s">
        <v>1099</v>
      </c>
      <c r="L21" s="14" t="s">
        <v>1104</v>
      </c>
    </row>
    <row r="22">
      <c r="A22" s="57">
        <v>2.124008603E9</v>
      </c>
      <c r="B22" s="109" t="str">
        <f>VLOOKUP($A22,ANAGRAFICA!$B$1:$G$306,2,FALSE)</f>
        <v>MARIANI</v>
      </c>
      <c r="C22" s="109" t="str">
        <f>VLOOKUP($A22,ANAGRAFICA!$B$1:$G$306,3,FALSE)</f>
        <v>MARCO</v>
      </c>
      <c r="D22" s="109" t="str">
        <f>VLOOKUP($A22,ANAGRAFICA!$B$1:$G$306,4,FALSE)</f>
        <v/>
      </c>
      <c r="E22" s="109">
        <f>VLOOKUP($A22,ANAGRAFICA!$B$1:$G$306,5,FALSE)</f>
        <v>3272024066</v>
      </c>
      <c r="F22" s="109">
        <f>VLOOKUP($A22,ANAGRAFICA!$B$1:$G$306,6,FALSE)</f>
        <v>2024</v>
      </c>
      <c r="G22" s="3">
        <v>1.0</v>
      </c>
      <c r="H22" s="77">
        <v>45430.0</v>
      </c>
      <c r="I22" s="16" t="b">
        <v>0</v>
      </c>
      <c r="J22" s="11" t="s">
        <v>1101</v>
      </c>
      <c r="K22" s="14" t="s">
        <v>1113</v>
      </c>
      <c r="L22" s="14" t="s">
        <v>1120</v>
      </c>
    </row>
    <row r="23">
      <c r="A23" s="57">
        <v>2.124008603E9</v>
      </c>
      <c r="B23" s="109" t="str">
        <f>VLOOKUP($A23,ANAGRAFICA!$B$1:$G$306,2,FALSE)</f>
        <v>MARIANI</v>
      </c>
      <c r="C23" s="109" t="str">
        <f>VLOOKUP($A23,ANAGRAFICA!$B$1:$G$306,3,FALSE)</f>
        <v>MARCO</v>
      </c>
      <c r="D23" s="109" t="str">
        <f>VLOOKUP($A23,ANAGRAFICA!$B$1:$G$306,4,FALSE)</f>
        <v/>
      </c>
      <c r="E23" s="109">
        <f>VLOOKUP($A23,ANAGRAFICA!$B$1:$G$306,5,FALSE)</f>
        <v>3272024066</v>
      </c>
      <c r="F23" s="109">
        <f>VLOOKUP($A23,ANAGRAFICA!$B$1:$G$306,6,FALSE)</f>
        <v>2024</v>
      </c>
      <c r="G23" s="3">
        <v>1.0</v>
      </c>
      <c r="H23" s="77">
        <v>45443.0</v>
      </c>
      <c r="I23" s="16" t="b">
        <v>0</v>
      </c>
      <c r="J23" s="11" t="s">
        <v>1101</v>
      </c>
      <c r="K23" s="14" t="s">
        <v>1113</v>
      </c>
      <c r="L23" s="14" t="s">
        <v>1121</v>
      </c>
    </row>
    <row r="24">
      <c r="A24" s="57">
        <v>2.124014461E9</v>
      </c>
      <c r="B24" s="109" t="str">
        <f>VLOOKUP($A24,ANAGRAFICA!$B$1:$G$306,2,FALSE)</f>
        <v>FUMAGALLI</v>
      </c>
      <c r="C24" s="109" t="str">
        <f>VLOOKUP($A24,ANAGRAFICA!$B$1:$G$306,3,FALSE)</f>
        <v>LUCA</v>
      </c>
      <c r="D24" s="109" t="str">
        <f>VLOOKUP($A24,ANAGRAFICA!$B$1:$G$306,4,FALSE)</f>
        <v>758-10</v>
      </c>
      <c r="E24" s="109">
        <f>VLOOKUP($A24,ANAGRAFICA!$B$1:$G$306,5,FALSE)</f>
        <v>3272024076</v>
      </c>
      <c r="F24" s="109">
        <f>VLOOKUP($A24,ANAGRAFICA!$B$1:$G$306,6,FALSE)</f>
        <v>2024</v>
      </c>
      <c r="G24" s="3">
        <v>1.0</v>
      </c>
      <c r="H24" s="77">
        <v>45524.0</v>
      </c>
      <c r="I24" s="16" t="b">
        <v>0</v>
      </c>
      <c r="J24" s="11" t="s">
        <v>1109</v>
      </c>
      <c r="K24" s="14" t="s">
        <v>1097</v>
      </c>
      <c r="L24" s="14" t="s">
        <v>1122</v>
      </c>
    </row>
    <row r="25">
      <c r="A25" s="193">
        <v>2.124016781E9</v>
      </c>
      <c r="B25" s="194" t="str">
        <f>VLOOKUP($A25,ANAGRAFICA!$B$1:$G$306,2,FALSE)</f>
        <v>TURNO ARTHEMALLE</v>
      </c>
      <c r="C25" s="194" t="str">
        <f>VLOOKUP($A25,ANAGRAFICA!$B$1:$G$306,3,FALSE)</f>
        <v>ALICE</v>
      </c>
      <c r="D25" s="194" t="str">
        <f>VLOOKUP($A25,ANAGRAFICA!$B$1:$G$306,4,FALSE)</f>
        <v>758-12</v>
      </c>
      <c r="E25" s="194">
        <f>VLOOKUP($A25,ANAGRAFICA!$B$1:$G$306,5,FALSE)</f>
        <v>3272024078</v>
      </c>
      <c r="F25" s="194">
        <f>VLOOKUP($A25,ANAGRAFICA!$B$1:$G$306,6,FALSE)</f>
        <v>2024</v>
      </c>
      <c r="G25" s="195">
        <v>1.0</v>
      </c>
      <c r="H25" s="197">
        <v>45560.0</v>
      </c>
      <c r="I25" s="206" t="b">
        <v>0</v>
      </c>
      <c r="J25" s="198" t="s">
        <v>1101</v>
      </c>
      <c r="K25" s="196" t="s">
        <v>1097</v>
      </c>
      <c r="L25" s="196" t="s">
        <v>1100</v>
      </c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</row>
    <row r="26">
      <c r="A26" s="57">
        <v>2.124024078E9</v>
      </c>
      <c r="B26" s="109" t="str">
        <f>VLOOKUP($A26,ANAGRAFICA!$B$1:$G$306,2,FALSE)</f>
        <v>ROVARIS</v>
      </c>
      <c r="C26" s="109" t="str">
        <f>VLOOKUP($A26,ANAGRAFICA!$B$1:$G$306,3,FALSE)</f>
        <v>ANGELO FELICE</v>
      </c>
      <c r="D26" s="109" t="str">
        <f>VLOOKUP($A26,ANAGRAFICA!$B$1:$G$306,4,FALSE)</f>
        <v>758-20</v>
      </c>
      <c r="E26" s="109">
        <f>VLOOKUP($A26,ANAGRAFICA!$B$1:$G$306,5,FALSE)</f>
        <v>3272024086</v>
      </c>
      <c r="F26" s="109">
        <f>VLOOKUP($A26,ANAGRAFICA!$B$1:$G$306,6,FALSE)</f>
        <v>2024</v>
      </c>
      <c r="G26" s="3">
        <v>1.0</v>
      </c>
      <c r="H26" s="77">
        <v>45628.0</v>
      </c>
      <c r="I26" s="16" t="b">
        <v>0</v>
      </c>
      <c r="J26" s="11" t="s">
        <v>1101</v>
      </c>
      <c r="K26" s="14" t="s">
        <v>1099</v>
      </c>
      <c r="L26" s="14" t="s">
        <v>1123</v>
      </c>
    </row>
    <row r="27">
      <c r="A27" s="57">
        <v>2.124025878E9</v>
      </c>
      <c r="B27" s="109" t="str">
        <f>VLOOKUP($A27,ANAGRAFICA!$B$1:$G$306,2,FALSE)</f>
        <v>PEDRONI </v>
      </c>
      <c r="C27" s="109" t="str">
        <f>VLOOKUP($A27,ANAGRAFICA!$B$1:$G$306,3,FALSE)</f>
        <v>PIERANGELO</v>
      </c>
      <c r="D27" s="109" t="str">
        <f>VLOOKUP($A27,ANAGRAFICA!$B$1:$G$306,4,FALSE)</f>
        <v>758-22</v>
      </c>
      <c r="E27" s="109">
        <f>VLOOKUP($A27,ANAGRAFICA!$B$1:$G$306,5,FALSE)</f>
        <v>3272024088</v>
      </c>
      <c r="F27" s="109">
        <f>VLOOKUP($A27,ANAGRAFICA!$B$1:$G$306,6,FALSE)</f>
        <v>2024</v>
      </c>
      <c r="G27" s="3">
        <v>1.0</v>
      </c>
      <c r="H27" s="76">
        <v>45641.0</v>
      </c>
      <c r="I27" s="16" t="b">
        <v>0</v>
      </c>
      <c r="J27" s="11" t="s">
        <v>1101</v>
      </c>
      <c r="K27" s="14" t="s">
        <v>1099</v>
      </c>
      <c r="L27" s="14" t="s">
        <v>1124</v>
      </c>
    </row>
    <row r="28">
      <c r="A28" s="57">
        <v>2.025010247E9</v>
      </c>
      <c r="B28" s="109" t="str">
        <f>VLOOKUP($A28,ANAGRAFICA!$B$1:$G$306,2,FALSE)</f>
        <v>TREMOLADA</v>
      </c>
      <c r="C28" s="109" t="str">
        <f>VLOOKUP($A28,ANAGRAFICA!$B$1:$G$306,3,FALSE)</f>
        <v>MARCO</v>
      </c>
      <c r="D28" s="109" t="str">
        <f>VLOOKUP($A28,ANAGRAFICA!$B$1:$G$306,4,FALSE)</f>
        <v>758-25</v>
      </c>
      <c r="E28" s="109">
        <f>VLOOKUP($A28,ANAGRAFICA!$B$1:$G$306,5,FALSE)</f>
        <v>3272025054</v>
      </c>
      <c r="F28" s="109">
        <f>VLOOKUP($A28,ANAGRAFICA!$B$1:$G$306,6,FALSE)</f>
        <v>2025</v>
      </c>
      <c r="G28" s="3">
        <v>1.0</v>
      </c>
      <c r="H28" s="77">
        <v>45722.0</v>
      </c>
      <c r="I28" s="16" t="b">
        <v>0</v>
      </c>
      <c r="J28" s="11" t="s">
        <v>1109</v>
      </c>
      <c r="K28" s="14" t="s">
        <v>1097</v>
      </c>
      <c r="L28" s="14" t="s">
        <v>1125</v>
      </c>
    </row>
    <row r="29">
      <c r="A29" s="57">
        <v>2.025010247E9</v>
      </c>
      <c r="B29" s="109" t="str">
        <f>VLOOKUP($A29,ANAGRAFICA!$B$1:$G$306,2,FALSE)</f>
        <v>TREMOLADA</v>
      </c>
      <c r="C29" s="109" t="str">
        <f>VLOOKUP($A29,ANAGRAFICA!$B$1:$G$306,3,FALSE)</f>
        <v>MARCO</v>
      </c>
      <c r="D29" s="109" t="str">
        <f>VLOOKUP($A29,ANAGRAFICA!$B$1:$G$306,4,FALSE)</f>
        <v>758-25</v>
      </c>
      <c r="E29" s="109">
        <f>VLOOKUP($A29,ANAGRAFICA!$B$1:$G$306,5,FALSE)</f>
        <v>3272025054</v>
      </c>
      <c r="F29" s="109">
        <f>VLOOKUP($A29,ANAGRAFICA!$B$1:$G$306,6,FALSE)</f>
        <v>2025</v>
      </c>
      <c r="G29" s="3">
        <v>2.0</v>
      </c>
      <c r="H29" s="77">
        <v>45731.0</v>
      </c>
      <c r="I29" s="16" t="b">
        <v>0</v>
      </c>
      <c r="J29" s="11" t="s">
        <v>1109</v>
      </c>
      <c r="K29" s="14" t="s">
        <v>1097</v>
      </c>
      <c r="L29" s="14" t="s">
        <v>1111</v>
      </c>
    </row>
    <row r="30">
      <c r="A30" s="57">
        <v>2.025010247E9</v>
      </c>
      <c r="B30" s="109" t="str">
        <f>VLOOKUP($A30,ANAGRAFICA!$B$1:$G$306,2,FALSE)</f>
        <v>TREMOLADA</v>
      </c>
      <c r="C30" s="109" t="str">
        <f>VLOOKUP($A30,ANAGRAFICA!$B$1:$G$306,3,FALSE)</f>
        <v>MARCO</v>
      </c>
      <c r="D30" s="109" t="str">
        <f>VLOOKUP($A30,ANAGRAFICA!$B$1:$G$306,4,FALSE)</f>
        <v>758-25</v>
      </c>
      <c r="E30" s="109">
        <f>VLOOKUP($A30,ANAGRAFICA!$B$1:$G$306,5,FALSE)</f>
        <v>3272025054</v>
      </c>
      <c r="F30" s="109">
        <f>VLOOKUP($A30,ANAGRAFICA!$B$1:$G$306,6,FALSE)</f>
        <v>2025</v>
      </c>
      <c r="G30" s="3">
        <v>2.0</v>
      </c>
      <c r="H30" s="77">
        <v>45744.0</v>
      </c>
      <c r="I30" s="16" t="b">
        <v>0</v>
      </c>
      <c r="J30" s="11" t="s">
        <v>1101</v>
      </c>
      <c r="K30" s="14" t="s">
        <v>1099</v>
      </c>
      <c r="L30" s="14" t="s">
        <v>1126</v>
      </c>
    </row>
    <row r="31">
      <c r="A31" s="57">
        <v>2.025010247E9</v>
      </c>
      <c r="B31" s="109" t="str">
        <f>VLOOKUP($A31,ANAGRAFICA!$B$1:$G$306,2,FALSE)</f>
        <v>TREMOLADA</v>
      </c>
      <c r="C31" s="109" t="str">
        <f>VLOOKUP($A31,ANAGRAFICA!$B$1:$G$306,3,FALSE)</f>
        <v>MARCO</v>
      </c>
      <c r="D31" s="109" t="str">
        <f>VLOOKUP($A31,ANAGRAFICA!$B$1:$G$306,4,FALSE)</f>
        <v>758-25</v>
      </c>
      <c r="E31" s="109">
        <f>VLOOKUP($A31,ANAGRAFICA!$B$1:$G$306,5,FALSE)</f>
        <v>3272025054</v>
      </c>
      <c r="F31" s="109">
        <f>VLOOKUP($A31,ANAGRAFICA!$B$1:$G$306,6,FALSE)</f>
        <v>2025</v>
      </c>
      <c r="G31" s="3">
        <v>2.0</v>
      </c>
      <c r="H31" s="77">
        <v>45731.0</v>
      </c>
      <c r="I31" s="16" t="b">
        <v>0</v>
      </c>
      <c r="J31" s="11" t="s">
        <v>1101</v>
      </c>
      <c r="K31" s="14" t="s">
        <v>1099</v>
      </c>
      <c r="L31" s="14" t="s">
        <v>1118</v>
      </c>
      <c r="M31" s="3" t="s">
        <v>1127</v>
      </c>
    </row>
    <row r="32">
      <c r="A32" s="57">
        <v>2.025010247E9</v>
      </c>
      <c r="B32" s="109" t="str">
        <f>VLOOKUP($A32,ANAGRAFICA!$B$1:$G$306,2,FALSE)</f>
        <v>TREMOLADA</v>
      </c>
      <c r="C32" s="109" t="str">
        <f>VLOOKUP($A32,ANAGRAFICA!$B$1:$G$306,3,FALSE)</f>
        <v>MARCO</v>
      </c>
      <c r="D32" s="109" t="str">
        <f>VLOOKUP($A32,ANAGRAFICA!$B$1:$G$306,4,FALSE)</f>
        <v>758-25</v>
      </c>
      <c r="E32" s="109">
        <f>VLOOKUP($A32,ANAGRAFICA!$B$1:$G$306,5,FALSE)</f>
        <v>3272025054</v>
      </c>
      <c r="F32" s="109">
        <f>VLOOKUP($A32,ANAGRAFICA!$B$1:$G$306,6,FALSE)</f>
        <v>2025</v>
      </c>
      <c r="G32" s="3">
        <v>2.0</v>
      </c>
      <c r="H32" s="77">
        <v>45731.0</v>
      </c>
      <c r="I32" s="16" t="b">
        <v>0</v>
      </c>
      <c r="J32" s="11" t="s">
        <v>1128</v>
      </c>
      <c r="K32" s="14" t="s">
        <v>1099</v>
      </c>
      <c r="L32" s="16"/>
    </row>
    <row r="33">
      <c r="A33" s="57">
        <v>2.025010247E9</v>
      </c>
      <c r="B33" s="109" t="str">
        <f>VLOOKUP($A33,ANAGRAFICA!$B$1:$G$306,2,FALSE)</f>
        <v>TREMOLADA</v>
      </c>
      <c r="C33" s="109" t="str">
        <f>VLOOKUP($A33,ANAGRAFICA!$B$1:$G$306,3,FALSE)</f>
        <v>MARCO</v>
      </c>
      <c r="D33" s="109" t="str">
        <f>VLOOKUP($A33,ANAGRAFICA!$B$1:$G$306,4,FALSE)</f>
        <v>758-25</v>
      </c>
      <c r="E33" s="109">
        <f>VLOOKUP($A33,ANAGRAFICA!$B$1:$G$306,5,FALSE)</f>
        <v>3272025054</v>
      </c>
      <c r="F33" s="109">
        <f>VLOOKUP($A33,ANAGRAFICA!$B$1:$G$306,6,FALSE)</f>
        <v>2025</v>
      </c>
      <c r="G33" s="3">
        <v>2.0</v>
      </c>
      <c r="H33" s="77">
        <v>45740.0</v>
      </c>
      <c r="I33" s="16" t="b">
        <v>0</v>
      </c>
      <c r="J33" s="11" t="s">
        <v>1096</v>
      </c>
      <c r="K33" s="14" t="s">
        <v>1099</v>
      </c>
      <c r="L33" s="14" t="s">
        <v>1129</v>
      </c>
    </row>
    <row r="34">
      <c r="A34" s="57">
        <v>2.025010247E9</v>
      </c>
      <c r="B34" s="109" t="str">
        <f>VLOOKUP($A34,ANAGRAFICA!$B$1:$G$306,2,FALSE)</f>
        <v>TREMOLADA</v>
      </c>
      <c r="C34" s="109" t="str">
        <f>VLOOKUP($A34,ANAGRAFICA!$B$1:$G$306,3,FALSE)</f>
        <v>MARCO</v>
      </c>
      <c r="D34" s="109" t="str">
        <f>VLOOKUP($A34,ANAGRAFICA!$B$1:$G$306,4,FALSE)</f>
        <v>758-25</v>
      </c>
      <c r="E34" s="109">
        <f>VLOOKUP($A34,ANAGRAFICA!$B$1:$G$306,5,FALSE)</f>
        <v>3272025054</v>
      </c>
      <c r="F34" s="109">
        <f>VLOOKUP($A34,ANAGRAFICA!$B$1:$G$306,6,FALSE)</f>
        <v>2025</v>
      </c>
      <c r="G34" s="3">
        <v>2.0</v>
      </c>
      <c r="H34" s="77">
        <v>45740.0</v>
      </c>
      <c r="I34" s="16" t="b">
        <v>0</v>
      </c>
      <c r="J34" s="11" t="s">
        <v>1101</v>
      </c>
      <c r="K34" s="14" t="s">
        <v>1099</v>
      </c>
      <c r="L34" s="14" t="s">
        <v>1118</v>
      </c>
    </row>
    <row r="35">
      <c r="A35" s="57">
        <v>2.025010247E9</v>
      </c>
      <c r="B35" s="109" t="str">
        <f>VLOOKUP($A35,ANAGRAFICA!$B$1:$G$306,2,FALSE)</f>
        <v>TREMOLADA</v>
      </c>
      <c r="C35" s="109" t="str">
        <f>VLOOKUP($A35,ANAGRAFICA!$B$1:$G$306,3,FALSE)</f>
        <v>MARCO</v>
      </c>
      <c r="D35" s="109" t="str">
        <f>VLOOKUP($A35,ANAGRAFICA!$B$1:$G$306,4,FALSE)</f>
        <v>758-25</v>
      </c>
      <c r="E35" s="109">
        <f>VLOOKUP($A35,ANAGRAFICA!$B$1:$G$306,5,FALSE)</f>
        <v>3272025054</v>
      </c>
      <c r="F35" s="109">
        <f>VLOOKUP($A35,ANAGRAFICA!$B$1:$G$306,6,FALSE)</f>
        <v>2025</v>
      </c>
      <c r="G35" s="3">
        <v>2.0</v>
      </c>
      <c r="H35" s="77">
        <v>45744.0</v>
      </c>
      <c r="I35" s="16" t="b">
        <v>0</v>
      </c>
      <c r="J35" s="11" t="s">
        <v>1101</v>
      </c>
      <c r="K35" s="14" t="s">
        <v>1099</v>
      </c>
      <c r="L35" s="14" t="s">
        <v>1118</v>
      </c>
    </row>
    <row r="36">
      <c r="A36" s="57">
        <v>2.025010247E9</v>
      </c>
      <c r="B36" s="109" t="str">
        <f>VLOOKUP($A36,ANAGRAFICA!$B$1:$G$306,2,FALSE)</f>
        <v>TREMOLADA</v>
      </c>
      <c r="C36" s="109" t="str">
        <f>VLOOKUP($A36,ANAGRAFICA!$B$1:$G$306,3,FALSE)</f>
        <v>MARCO</v>
      </c>
      <c r="D36" s="109" t="str">
        <f>VLOOKUP($A36,ANAGRAFICA!$B$1:$G$306,4,FALSE)</f>
        <v>758-25</v>
      </c>
      <c r="E36" s="109">
        <f>VLOOKUP($A36,ANAGRAFICA!$B$1:$G$306,5,FALSE)</f>
        <v>3272025054</v>
      </c>
      <c r="F36" s="109">
        <f>VLOOKUP($A36,ANAGRAFICA!$B$1:$G$306,6,FALSE)</f>
        <v>2025</v>
      </c>
      <c r="G36" s="3">
        <v>2.0</v>
      </c>
      <c r="H36" s="77">
        <v>45745.0</v>
      </c>
      <c r="I36" s="16" t="b">
        <v>0</v>
      </c>
      <c r="J36" s="11" t="s">
        <v>1096</v>
      </c>
      <c r="K36" s="14" t="s">
        <v>1099</v>
      </c>
      <c r="L36" s="14" t="s">
        <v>1129</v>
      </c>
    </row>
    <row r="37">
      <c r="A37" s="57">
        <v>2.025010247E9</v>
      </c>
      <c r="B37" s="109" t="str">
        <f>VLOOKUP($A37,ANAGRAFICA!$B$1:$G$306,2,FALSE)</f>
        <v>TREMOLADA</v>
      </c>
      <c r="C37" s="109" t="str">
        <f>VLOOKUP($A37,ANAGRAFICA!$B$1:$G$306,3,FALSE)</f>
        <v>MARCO</v>
      </c>
      <c r="D37" s="109" t="str">
        <f>VLOOKUP($A37,ANAGRAFICA!$B$1:$G$306,4,FALSE)</f>
        <v>758-25</v>
      </c>
      <c r="E37" s="109">
        <f>VLOOKUP($A37,ANAGRAFICA!$B$1:$G$306,5,FALSE)</f>
        <v>3272025054</v>
      </c>
      <c r="F37" s="109">
        <f>VLOOKUP($A37,ANAGRAFICA!$B$1:$G$306,6,FALSE)</f>
        <v>2025</v>
      </c>
      <c r="G37" s="3">
        <v>2.0</v>
      </c>
      <c r="H37" s="77">
        <v>45779.0</v>
      </c>
      <c r="I37" s="16" t="b">
        <v>0</v>
      </c>
      <c r="J37" s="11" t="s">
        <v>1101</v>
      </c>
      <c r="K37" s="14" t="s">
        <v>1099</v>
      </c>
      <c r="L37" s="14" t="s">
        <v>1118</v>
      </c>
    </row>
    <row r="38">
      <c r="A38" s="57">
        <v>2.025010247E9</v>
      </c>
      <c r="B38" s="109" t="str">
        <f>VLOOKUP($A38,ANAGRAFICA!$B$1:$G$306,2,FALSE)</f>
        <v>TREMOLADA</v>
      </c>
      <c r="C38" s="109" t="str">
        <f>VLOOKUP($A38,ANAGRAFICA!$B$1:$G$306,3,FALSE)</f>
        <v>MARCO</v>
      </c>
      <c r="D38" s="109" t="str">
        <f>VLOOKUP($A38,ANAGRAFICA!$B$1:$G$306,4,FALSE)</f>
        <v>758-25</v>
      </c>
      <c r="E38" s="109">
        <f>VLOOKUP($A38,ANAGRAFICA!$B$1:$G$306,5,FALSE)</f>
        <v>3272025054</v>
      </c>
      <c r="F38" s="109">
        <f>VLOOKUP($A38,ANAGRAFICA!$B$1:$G$306,6,FALSE)</f>
        <v>2025</v>
      </c>
      <c r="G38" s="3">
        <v>2.0</v>
      </c>
      <c r="H38" s="77">
        <v>45779.0</v>
      </c>
      <c r="I38" s="16" t="b">
        <v>0</v>
      </c>
      <c r="J38" s="11" t="s">
        <v>1101</v>
      </c>
      <c r="K38" s="14" t="s">
        <v>1099</v>
      </c>
      <c r="L38" s="14" t="s">
        <v>1112</v>
      </c>
    </row>
    <row r="39">
      <c r="A39" s="57">
        <v>2.025010247E9</v>
      </c>
      <c r="B39" s="109" t="str">
        <f>VLOOKUP($A39,ANAGRAFICA!$B$1:$G$306,2,FALSE)</f>
        <v>TREMOLADA</v>
      </c>
      <c r="C39" s="109" t="str">
        <f>VLOOKUP($A39,ANAGRAFICA!$B$1:$G$306,3,FALSE)</f>
        <v>MARCO</v>
      </c>
      <c r="D39" s="109" t="str">
        <f>VLOOKUP($A39,ANAGRAFICA!$B$1:$G$306,4,FALSE)</f>
        <v>758-25</v>
      </c>
      <c r="E39" s="109">
        <f>VLOOKUP($A39,ANAGRAFICA!$B$1:$G$306,5,FALSE)</f>
        <v>3272025054</v>
      </c>
      <c r="F39" s="109">
        <f>VLOOKUP($A39,ANAGRAFICA!$B$1:$G$306,6,FALSE)</f>
        <v>2025</v>
      </c>
      <c r="G39" s="3">
        <v>2.0</v>
      </c>
      <c r="H39" s="77">
        <v>45793.0</v>
      </c>
      <c r="I39" s="16" t="b">
        <v>0</v>
      </c>
      <c r="J39" s="11" t="s">
        <v>1096</v>
      </c>
      <c r="K39" s="14" t="s">
        <v>1099</v>
      </c>
      <c r="L39" s="14" t="s">
        <v>1129</v>
      </c>
    </row>
    <row r="40">
      <c r="A40" s="57">
        <v>2.025010247E9</v>
      </c>
      <c r="B40" s="109" t="str">
        <f>VLOOKUP($A40,ANAGRAFICA!$B$1:$G$306,2,FALSE)</f>
        <v>TREMOLADA</v>
      </c>
      <c r="C40" s="109" t="str">
        <f>VLOOKUP($A40,ANAGRAFICA!$B$1:$G$306,3,FALSE)</f>
        <v>MARCO</v>
      </c>
      <c r="D40" s="109" t="str">
        <f>VLOOKUP($A40,ANAGRAFICA!$B$1:$G$306,4,FALSE)</f>
        <v>758-25</v>
      </c>
      <c r="E40" s="109">
        <f>VLOOKUP($A40,ANAGRAFICA!$B$1:$G$306,5,FALSE)</f>
        <v>3272025054</v>
      </c>
      <c r="F40" s="109">
        <f>VLOOKUP($A40,ANAGRAFICA!$B$1:$G$306,6,FALSE)</f>
        <v>2025</v>
      </c>
      <c r="G40" s="3">
        <v>2.0</v>
      </c>
      <c r="H40" s="77">
        <v>45793.0</v>
      </c>
      <c r="I40" s="16" t="b">
        <v>0</v>
      </c>
      <c r="J40" s="11" t="s">
        <v>1101</v>
      </c>
      <c r="K40" s="14" t="s">
        <v>1099</v>
      </c>
      <c r="L40" s="14" t="s">
        <v>1118</v>
      </c>
    </row>
    <row r="41">
      <c r="A41" s="57">
        <v>2.025010247E9</v>
      </c>
      <c r="B41" s="109" t="str">
        <f>VLOOKUP($A41,ANAGRAFICA!$B$1:$G$306,2,FALSE)</f>
        <v>TREMOLADA</v>
      </c>
      <c r="C41" s="109" t="str">
        <f>VLOOKUP($A41,ANAGRAFICA!$B$1:$G$306,3,FALSE)</f>
        <v>MARCO</v>
      </c>
      <c r="D41" s="109" t="str">
        <f>VLOOKUP($A41,ANAGRAFICA!$B$1:$G$306,4,FALSE)</f>
        <v>758-25</v>
      </c>
      <c r="E41" s="109">
        <f>VLOOKUP($A41,ANAGRAFICA!$B$1:$G$306,5,FALSE)</f>
        <v>3272025054</v>
      </c>
      <c r="F41" s="109">
        <f>VLOOKUP($A41,ANAGRAFICA!$B$1:$G$306,6,FALSE)</f>
        <v>2025</v>
      </c>
      <c r="G41" s="3">
        <v>2.0</v>
      </c>
      <c r="H41" s="77">
        <v>45793.0</v>
      </c>
      <c r="I41" s="16" t="b">
        <v>0</v>
      </c>
      <c r="J41" s="11" t="s">
        <v>1101</v>
      </c>
      <c r="K41" s="14" t="s">
        <v>1099</v>
      </c>
      <c r="L41" s="14" t="s">
        <v>1108</v>
      </c>
    </row>
    <row r="42">
      <c r="A42" s="57">
        <v>2.125025861E9</v>
      </c>
      <c r="B42" s="109" t="str">
        <f>VLOOKUP($A42,ANAGRAFICA!$B$1:$G$306,2,FALSE)</f>
        <v>CASSANI</v>
      </c>
      <c r="C42" s="109" t="str">
        <f>VLOOKUP($A42,ANAGRAFICA!$B$1:$G$306,3,FALSE)</f>
        <v>DAVIDE VIRGILIO</v>
      </c>
      <c r="D42" s="109" t="str">
        <f>VLOOKUP($A42,ANAGRAFICA!$B$1:$G$306,4,FALSE)</f>
        <v>758-31</v>
      </c>
      <c r="E42" s="109">
        <f>VLOOKUP($A42,ANAGRAFICA!$B$1:$G$306,5,FALSE)</f>
        <v>3272025058</v>
      </c>
      <c r="F42" s="109">
        <f>VLOOKUP($A42,ANAGRAFICA!$B$1:$G$306,6,FALSE)</f>
        <v>2025</v>
      </c>
      <c r="G42" s="3">
        <v>1.0</v>
      </c>
      <c r="H42" s="77">
        <v>45821.0</v>
      </c>
      <c r="I42" s="16" t="b">
        <v>0</v>
      </c>
      <c r="J42" s="11" t="s">
        <v>1101</v>
      </c>
      <c r="K42" s="14" t="s">
        <v>1099</v>
      </c>
      <c r="L42" s="14" t="s">
        <v>1130</v>
      </c>
    </row>
    <row r="43">
      <c r="A43" s="57">
        <v>2.125025861E9</v>
      </c>
      <c r="B43" s="109" t="str">
        <f>VLOOKUP($A43,ANAGRAFICA!$B$1:$G$306,2,FALSE)</f>
        <v>CASSANI</v>
      </c>
      <c r="C43" s="109" t="str">
        <f>VLOOKUP($A43,ANAGRAFICA!$B$1:$G$306,3,FALSE)</f>
        <v>DAVIDE VIRGILIO</v>
      </c>
      <c r="D43" s="109" t="str">
        <f>VLOOKUP($A43,ANAGRAFICA!$B$1:$G$306,4,FALSE)</f>
        <v>758-31</v>
      </c>
      <c r="E43" s="109">
        <f>VLOOKUP($A43,ANAGRAFICA!$B$1:$G$306,5,FALSE)</f>
        <v>3272025058</v>
      </c>
      <c r="F43" s="109">
        <f>VLOOKUP($A43,ANAGRAFICA!$B$1:$G$306,6,FALSE)</f>
        <v>2025</v>
      </c>
      <c r="G43" s="3">
        <v>1.0</v>
      </c>
      <c r="H43" s="77">
        <v>45821.0</v>
      </c>
      <c r="I43" s="16" t="b">
        <v>0</v>
      </c>
      <c r="J43" s="11" t="s">
        <v>1101</v>
      </c>
      <c r="K43" s="14" t="s">
        <v>1097</v>
      </c>
      <c r="L43" s="14" t="s">
        <v>1100</v>
      </c>
    </row>
    <row r="44">
      <c r="A44" s="57">
        <v>2.125025861E9</v>
      </c>
      <c r="B44" s="109" t="str">
        <f>VLOOKUP($A44,ANAGRAFICA!$B$1:$G$306,2,FALSE)</f>
        <v>CASSANI</v>
      </c>
      <c r="C44" s="109" t="str">
        <f>VLOOKUP($A44,ANAGRAFICA!$B$1:$G$306,3,FALSE)</f>
        <v>DAVIDE VIRGILIO</v>
      </c>
      <c r="D44" s="109" t="str">
        <f>VLOOKUP($A44,ANAGRAFICA!$B$1:$G$306,4,FALSE)</f>
        <v>758-31</v>
      </c>
      <c r="E44" s="109">
        <f>VLOOKUP($A44,ANAGRAFICA!$B$1:$G$306,5,FALSE)</f>
        <v>3272025058</v>
      </c>
      <c r="F44" s="109">
        <f>VLOOKUP($A44,ANAGRAFICA!$B$1:$G$306,6,FALSE)</f>
        <v>2025</v>
      </c>
      <c r="G44" s="3">
        <v>1.0</v>
      </c>
      <c r="H44" s="77">
        <v>45821.0</v>
      </c>
      <c r="I44" s="16" t="b">
        <v>0</v>
      </c>
      <c r="J44" s="11" t="s">
        <v>1101</v>
      </c>
      <c r="K44" s="14" t="s">
        <v>1099</v>
      </c>
      <c r="L44" s="14" t="s">
        <v>1123</v>
      </c>
    </row>
    <row r="45">
      <c r="A45" s="57">
        <v>2.125029623E9</v>
      </c>
      <c r="B45" s="109" t="str">
        <f>VLOOKUP($A45,ANAGRAFICA!$B$1:$G$306,2,FALSE)</f>
        <v>IANDIORIO</v>
      </c>
      <c r="C45" s="109" t="str">
        <f>VLOOKUP($A45,ANAGRAFICA!$B$1:$G$306,3,FALSE)</f>
        <v>ALDO NATALINO</v>
      </c>
      <c r="D45" s="109" t="str">
        <f>VLOOKUP($A45,ANAGRAFICA!$B$1:$G$306,4,FALSE)</f>
        <v>758-36</v>
      </c>
      <c r="E45" s="109">
        <f>VLOOKUP($A45,ANAGRAFICA!$B$1:$G$306,5,FALSE)</f>
        <v>3272025062</v>
      </c>
      <c r="F45" s="109">
        <f>VLOOKUP($A45,ANAGRAFICA!$B$1:$G$306,6,FALSE)</f>
        <v>2025</v>
      </c>
      <c r="G45" s="3">
        <v>1.0</v>
      </c>
      <c r="H45" s="77">
        <v>45854.0</v>
      </c>
      <c r="I45" s="16" t="b">
        <v>0</v>
      </c>
      <c r="J45" s="11" t="s">
        <v>1109</v>
      </c>
      <c r="K45" s="14" t="s">
        <v>1099</v>
      </c>
      <c r="L45" s="14" t="s">
        <v>1130</v>
      </c>
      <c r="M45" s="3" t="s">
        <v>1131</v>
      </c>
    </row>
    <row r="46">
      <c r="A46" s="57">
        <v>2.125029623E9</v>
      </c>
      <c r="B46" s="109" t="str">
        <f>VLOOKUP($A46,ANAGRAFICA!$B$1:$G$306,2,FALSE)</f>
        <v>IANDIORIO</v>
      </c>
      <c r="C46" s="109" t="str">
        <f>VLOOKUP($A46,ANAGRAFICA!$B$1:$G$306,3,FALSE)</f>
        <v>ALDO NATALINO</v>
      </c>
      <c r="D46" s="109" t="str">
        <f>VLOOKUP($A46,ANAGRAFICA!$B$1:$G$306,4,FALSE)</f>
        <v>758-36</v>
      </c>
      <c r="E46" s="109">
        <f>VLOOKUP($A46,ANAGRAFICA!$B$1:$G$306,5,FALSE)</f>
        <v>3272025062</v>
      </c>
      <c r="F46" s="109">
        <f>VLOOKUP($A46,ANAGRAFICA!$B$1:$G$306,6,FALSE)</f>
        <v>2025</v>
      </c>
      <c r="G46" s="3">
        <v>1.0</v>
      </c>
      <c r="H46" s="77">
        <v>45852.0</v>
      </c>
      <c r="I46" s="16" t="b">
        <v>0</v>
      </c>
      <c r="J46" s="11" t="s">
        <v>1101</v>
      </c>
      <c r="K46" s="14" t="s">
        <v>1099</v>
      </c>
      <c r="L46" s="14" t="s">
        <v>1130</v>
      </c>
    </row>
    <row r="47">
      <c r="A47" s="57">
        <v>2.125029623E9</v>
      </c>
      <c r="B47" s="109" t="str">
        <f>VLOOKUP($A47,ANAGRAFICA!$B$1:$G$306,2,FALSE)</f>
        <v>IANDIORIO</v>
      </c>
      <c r="C47" s="109" t="str">
        <f>VLOOKUP($A47,ANAGRAFICA!$B$1:$G$306,3,FALSE)</f>
        <v>ALDO NATALINO</v>
      </c>
      <c r="D47" s="109" t="str">
        <f>VLOOKUP($A47,ANAGRAFICA!$B$1:$G$306,4,FALSE)</f>
        <v>758-36</v>
      </c>
      <c r="E47" s="109">
        <f>VLOOKUP($A47,ANAGRAFICA!$B$1:$G$306,5,FALSE)</f>
        <v>3272025062</v>
      </c>
      <c r="F47" s="109">
        <f>VLOOKUP($A47,ANAGRAFICA!$B$1:$G$306,6,FALSE)</f>
        <v>2025</v>
      </c>
      <c r="G47" s="3">
        <v>1.0</v>
      </c>
      <c r="H47" s="77">
        <v>45852.0</v>
      </c>
      <c r="I47" s="16" t="b">
        <v>0</v>
      </c>
      <c r="J47" s="11" t="s">
        <v>1101</v>
      </c>
      <c r="K47" s="14" t="s">
        <v>1099</v>
      </c>
      <c r="L47" s="14" t="s">
        <v>1132</v>
      </c>
      <c r="M47" s="3" t="s">
        <v>1133</v>
      </c>
    </row>
    <row r="48">
      <c r="A48" s="57">
        <v>2.125029623E9</v>
      </c>
      <c r="B48" s="109" t="str">
        <f>VLOOKUP($A48,ANAGRAFICA!$B$1:$G$306,2,FALSE)</f>
        <v>IANDIORIO</v>
      </c>
      <c r="C48" s="109" t="str">
        <f>VLOOKUP($A48,ANAGRAFICA!$B$1:$G$306,3,FALSE)</f>
        <v>ALDO NATALINO</v>
      </c>
      <c r="D48" s="109" t="str">
        <f>VLOOKUP($A48,ANAGRAFICA!$B$1:$G$306,4,FALSE)</f>
        <v>758-36</v>
      </c>
      <c r="E48" s="109">
        <f>VLOOKUP($A48,ANAGRAFICA!$B$1:$G$306,5,FALSE)</f>
        <v>3272025062</v>
      </c>
      <c r="F48" s="109">
        <f>VLOOKUP($A48,ANAGRAFICA!$B$1:$G$306,6,FALSE)</f>
        <v>2025</v>
      </c>
      <c r="G48" s="3">
        <v>1.0</v>
      </c>
      <c r="H48" s="77">
        <v>45852.0</v>
      </c>
      <c r="I48" s="16" t="b">
        <v>0</v>
      </c>
      <c r="J48" s="11" t="s">
        <v>1101</v>
      </c>
      <c r="K48" s="14" t="s">
        <v>1113</v>
      </c>
      <c r="L48" s="14" t="s">
        <v>1114</v>
      </c>
    </row>
    <row r="49">
      <c r="A49" s="57">
        <v>2.125026384E9</v>
      </c>
      <c r="B49" s="109" t="str">
        <f>VLOOKUP($A49,ANAGRAFICA!$B$1:$G$306,2,FALSE)</f>
        <v>PRINCIPATO</v>
      </c>
      <c r="C49" s="109" t="str">
        <f>VLOOKUP($A49,ANAGRAFICA!$B$1:$G$306,3,FALSE)</f>
        <v>FRANCO ANGELO</v>
      </c>
      <c r="D49" s="109" t="str">
        <f>VLOOKUP($A49,ANAGRAFICA!$B$1:$G$306,4,FALSE)</f>
        <v>758-35</v>
      </c>
      <c r="E49" s="109">
        <f>VLOOKUP($A49,ANAGRAFICA!$B$1:$G$306,5,FALSE)</f>
        <v>3272025061</v>
      </c>
      <c r="F49" s="109">
        <f>VLOOKUP($A49,ANAGRAFICA!$B$1:$G$306,6,FALSE)</f>
        <v>2025</v>
      </c>
      <c r="G49" s="3">
        <v>1.0</v>
      </c>
      <c r="H49" s="77">
        <v>45840.0</v>
      </c>
      <c r="I49" s="16" t="b">
        <v>0</v>
      </c>
      <c r="J49" s="11" t="s">
        <v>1109</v>
      </c>
      <c r="K49" s="14" t="s">
        <v>1099</v>
      </c>
      <c r="L49" s="14" t="s">
        <v>1108</v>
      </c>
    </row>
    <row r="50">
      <c r="A50" s="57">
        <v>2.125026869E9</v>
      </c>
      <c r="B50" s="109" t="str">
        <f>VLOOKUP($A50,ANAGRAFICA!$B$1:$G$306,2,FALSE)</f>
        <v>NACCARI</v>
      </c>
      <c r="C50" s="109" t="str">
        <f>VLOOKUP($A50,ANAGRAFICA!$B$1:$G$306,3,FALSE)</f>
        <v>ROBERTO</v>
      </c>
      <c r="D50" s="109" t="str">
        <f>VLOOKUP($A50,ANAGRAFICA!$B$1:$G$306,4,FALSE)</f>
        <v>758-33</v>
      </c>
      <c r="E50" s="109">
        <f>VLOOKUP($A50,ANAGRAFICA!$B$1:$G$306,5,FALSE)</f>
        <v>3272025060</v>
      </c>
      <c r="F50" s="109">
        <f>VLOOKUP($A50,ANAGRAFICA!$B$1:$G$306,6,FALSE)</f>
        <v>2025</v>
      </c>
      <c r="G50" s="3">
        <v>1.0</v>
      </c>
      <c r="H50" s="77">
        <v>45864.0</v>
      </c>
      <c r="I50" s="16" t="b">
        <v>0</v>
      </c>
      <c r="J50" s="11" t="s">
        <v>1101</v>
      </c>
      <c r="K50" s="14" t="s">
        <v>1099</v>
      </c>
      <c r="L50" s="14" t="s">
        <v>1124</v>
      </c>
    </row>
    <row r="51">
      <c r="A51" s="57">
        <v>2.125026869E9</v>
      </c>
      <c r="B51" s="109" t="str">
        <f>VLOOKUP($A51,ANAGRAFICA!$B$1:$G$306,2,FALSE)</f>
        <v>NACCARI</v>
      </c>
      <c r="C51" s="109" t="str">
        <f>VLOOKUP($A51,ANAGRAFICA!$B$1:$G$306,3,FALSE)</f>
        <v>ROBERTO</v>
      </c>
      <c r="D51" s="109" t="str">
        <f>VLOOKUP($A51,ANAGRAFICA!$B$1:$G$306,4,FALSE)</f>
        <v>758-33</v>
      </c>
      <c r="E51" s="109">
        <f>VLOOKUP($A51,ANAGRAFICA!$B$1:$G$306,5,FALSE)</f>
        <v>3272025060</v>
      </c>
      <c r="F51" s="109">
        <f>VLOOKUP($A51,ANAGRAFICA!$B$1:$G$306,6,FALSE)</f>
        <v>2025</v>
      </c>
      <c r="G51" s="3">
        <v>1.0</v>
      </c>
      <c r="H51" s="77">
        <v>45850.0</v>
      </c>
      <c r="I51" s="16" t="b">
        <v>0</v>
      </c>
      <c r="J51" s="11" t="s">
        <v>1109</v>
      </c>
      <c r="K51" s="14" t="s">
        <v>1099</v>
      </c>
      <c r="L51" s="14" t="s">
        <v>1111</v>
      </c>
    </row>
    <row r="52">
      <c r="A52" s="57">
        <v>2.125026869E9</v>
      </c>
      <c r="B52" s="109" t="str">
        <f>VLOOKUP($A52,ANAGRAFICA!$B$1:$G$306,2,FALSE)</f>
        <v>NACCARI</v>
      </c>
      <c r="C52" s="109" t="str">
        <f>VLOOKUP($A52,ANAGRAFICA!$B$1:$G$306,3,FALSE)</f>
        <v>ROBERTO</v>
      </c>
      <c r="D52" s="109" t="str">
        <f>VLOOKUP($A52,ANAGRAFICA!$B$1:$G$306,4,FALSE)</f>
        <v>758-33</v>
      </c>
      <c r="E52" s="109">
        <f>VLOOKUP($A52,ANAGRAFICA!$B$1:$G$306,5,FALSE)</f>
        <v>3272025060</v>
      </c>
      <c r="F52" s="109">
        <f>VLOOKUP($A52,ANAGRAFICA!$B$1:$G$306,6,FALSE)</f>
        <v>2025</v>
      </c>
      <c r="G52" s="3">
        <v>1.0</v>
      </c>
      <c r="H52" s="77">
        <v>45853.0</v>
      </c>
      <c r="I52" s="16" t="b">
        <v>0</v>
      </c>
      <c r="J52" s="11" t="s">
        <v>1101</v>
      </c>
      <c r="K52" s="14" t="s">
        <v>1099</v>
      </c>
      <c r="L52" s="14" t="s">
        <v>1104</v>
      </c>
    </row>
    <row r="53">
      <c r="A53" s="57">
        <v>2.125037955E9</v>
      </c>
      <c r="B53" s="109" t="str">
        <f>VLOOKUP($A53,ANAGRAFICA!$B$1:$G$306,2,FALSE)</f>
        <v>MANNINO</v>
      </c>
      <c r="C53" s="109" t="str">
        <f>VLOOKUP($A53,ANAGRAFICA!$B$1:$G$306,3,FALSE)</f>
        <v>ANDREA</v>
      </c>
      <c r="D53" s="109" t="str">
        <f>VLOOKUP($A53,ANAGRAFICA!$B$1:$G$306,4,FALSE)</f>
        <v>758-39</v>
      </c>
      <c r="E53" s="109">
        <f>VLOOKUP($A53,ANAGRAFICA!$B$1:$G$306,5,FALSE)</f>
        <v>3272025066</v>
      </c>
      <c r="F53" s="109">
        <f>VLOOKUP($A53,ANAGRAFICA!$B$1:$G$306,6,FALSE)</f>
        <v>2025</v>
      </c>
      <c r="G53" s="3">
        <v>1.0</v>
      </c>
      <c r="H53" s="77">
        <v>45917.0</v>
      </c>
      <c r="I53" s="141" t="b">
        <v>1</v>
      </c>
      <c r="J53" s="11" t="s">
        <v>1101</v>
      </c>
      <c r="K53" s="14" t="s">
        <v>1134</v>
      </c>
      <c r="L53" s="16"/>
    </row>
    <row r="54">
      <c r="A54" s="57">
        <v>2.125040052E9</v>
      </c>
      <c r="B54" s="109" t="str">
        <f>VLOOKUP($A54,ANAGRAFICA!$B$1:$G$306,2,FALSE)</f>
        <v>TODESCATO</v>
      </c>
      <c r="C54" s="109" t="str">
        <f>VLOOKUP($A54,ANAGRAFICA!$B$1:$G$306,3,FALSE)</f>
        <v>GIANLUCA</v>
      </c>
      <c r="D54" s="109" t="str">
        <f>VLOOKUP($A54,ANAGRAFICA!$B$1:$G$306,4,FALSE)</f>
        <v>758-40</v>
      </c>
      <c r="E54" s="109">
        <f>VLOOKUP($A54,ANAGRAFICA!$B$1:$G$306,5,FALSE)</f>
        <v>3272025067</v>
      </c>
      <c r="F54" s="109">
        <f>VLOOKUP($A54,ANAGRAFICA!$B$1:$G$306,6,FALSE)</f>
        <v>2025</v>
      </c>
      <c r="G54" s="3">
        <v>1.0</v>
      </c>
      <c r="H54" s="77">
        <v>45931.0</v>
      </c>
      <c r="I54" s="141" t="b">
        <v>1</v>
      </c>
      <c r="J54" s="11" t="s">
        <v>1101</v>
      </c>
      <c r="K54" s="14" t="s">
        <v>1099</v>
      </c>
      <c r="L54" s="14" t="s">
        <v>1129</v>
      </c>
    </row>
    <row r="55">
      <c r="A55" s="57">
        <v>2.125040052E9</v>
      </c>
      <c r="B55" s="109" t="str">
        <f>VLOOKUP($A55,ANAGRAFICA!$B$1:$G$306,2,FALSE)</f>
        <v>TODESCATO</v>
      </c>
      <c r="C55" s="109" t="str">
        <f>VLOOKUP($A55,ANAGRAFICA!$B$1:$G$306,3,FALSE)</f>
        <v>GIANLUCA</v>
      </c>
      <c r="D55" s="109" t="str">
        <f>VLOOKUP($A55,ANAGRAFICA!$B$1:$G$306,4,FALSE)</f>
        <v>758-40</v>
      </c>
      <c r="E55" s="109">
        <f>VLOOKUP($A55,ANAGRAFICA!$B$1:$G$306,5,FALSE)</f>
        <v>3272025067</v>
      </c>
      <c r="F55" s="154" t="s">
        <v>741</v>
      </c>
      <c r="G55" s="3">
        <v>1.0</v>
      </c>
      <c r="H55" s="77">
        <v>45931.0</v>
      </c>
      <c r="I55" s="141" t="b">
        <v>1</v>
      </c>
      <c r="J55" s="11" t="s">
        <v>1101</v>
      </c>
      <c r="K55" s="14" t="s">
        <v>1099</v>
      </c>
      <c r="L55" s="14" t="s">
        <v>1130</v>
      </c>
    </row>
    <row r="56">
      <c r="A56" s="57">
        <v>2.125042368E9</v>
      </c>
      <c r="B56" s="109" t="str">
        <f>VLOOKUP($A56,ANAGRAFICA!$B$1:$G$306,2,FALSE)</f>
        <v>MARKOVIC</v>
      </c>
      <c r="C56" s="109" t="str">
        <f>VLOOKUP($A56,ANAGRAFICA!$B$1:$G$306,3,FALSE)</f>
        <v>BRANKO</v>
      </c>
      <c r="D56" s="109" t="str">
        <f>VLOOKUP($A56,ANAGRAFICA!$B$1:$G$306,4,FALSE)</f>
        <v>758-43</v>
      </c>
      <c r="E56" s="109">
        <f>VLOOKUP($A56,ANAGRAFICA!$B$1:$G$306,5,FALSE)</f>
        <v>3272025070</v>
      </c>
      <c r="F56" s="109">
        <f>VLOOKUP($A56,ANAGRAFICA!$B$1:$G$306,6,FALSE)</f>
        <v>2025</v>
      </c>
      <c r="G56" s="3">
        <v>1.0</v>
      </c>
      <c r="H56" s="76">
        <v>45943.0</v>
      </c>
      <c r="I56" s="16" t="b">
        <v>0</v>
      </c>
      <c r="J56" s="11" t="s">
        <v>1101</v>
      </c>
      <c r="K56" s="14" t="s">
        <v>1099</v>
      </c>
      <c r="L56" s="14" t="s">
        <v>1104</v>
      </c>
    </row>
    <row r="57">
      <c r="A57" s="57">
        <v>2.125042368E9</v>
      </c>
      <c r="B57" s="109" t="str">
        <f>VLOOKUP($A57,ANAGRAFICA!$B$1:$G$306,2,FALSE)</f>
        <v>MARKOVIC</v>
      </c>
      <c r="C57" s="109" t="str">
        <f>VLOOKUP($A57,ANAGRAFICA!$B$1:$G$306,3,FALSE)</f>
        <v>BRANKO</v>
      </c>
      <c r="D57" s="109" t="str">
        <f>VLOOKUP($A57,ANAGRAFICA!$B$1:$G$306,4,FALSE)</f>
        <v>758-43</v>
      </c>
      <c r="E57" s="109">
        <f>VLOOKUP($A57,ANAGRAFICA!$B$1:$G$306,5,FALSE)</f>
        <v>3272025070</v>
      </c>
      <c r="F57" s="109">
        <f>VLOOKUP($A57,ANAGRAFICA!$B$1:$G$306,6,FALSE)</f>
        <v>2025</v>
      </c>
      <c r="G57" s="3">
        <v>1.0</v>
      </c>
      <c r="H57" s="76">
        <v>45947.0</v>
      </c>
      <c r="I57" s="16" t="b">
        <v>0</v>
      </c>
      <c r="J57" s="11" t="s">
        <v>1109</v>
      </c>
      <c r="K57" s="14" t="s">
        <v>1097</v>
      </c>
      <c r="L57" s="14" t="s">
        <v>1135</v>
      </c>
    </row>
    <row r="58">
      <c r="A58" s="57">
        <v>2.125053097E9</v>
      </c>
      <c r="B58" s="109" t="str">
        <f>VLOOKUP($A58,ANAGRAFICA!$B$1:$G$306,2,FALSE)</f>
        <v>LISSONI</v>
      </c>
      <c r="C58" s="109" t="str">
        <f>VLOOKUP($A58,ANAGRAFICA!$B$1:$G$306,3,FALSE)</f>
        <v>ALESSANDRA</v>
      </c>
      <c r="D58" s="109" t="str">
        <f>VLOOKUP($A58,ANAGRAFICA!$B$1:$G$306,4,FALSE)</f>
        <v>758-47</v>
      </c>
      <c r="E58" s="109">
        <f>VLOOKUP($A58,ANAGRAFICA!$B$1:$G$306,5,FALSE)</f>
        <v>3272025074</v>
      </c>
      <c r="F58" s="109">
        <f>VLOOKUP($A58,ANAGRAFICA!$B$1:$G$306,6,FALSE)</f>
        <v>2025</v>
      </c>
      <c r="G58" s="3">
        <v>1.0</v>
      </c>
      <c r="H58" s="76">
        <v>46021.0</v>
      </c>
      <c r="I58" s="141" t="b">
        <v>1</v>
      </c>
      <c r="J58" s="11" t="s">
        <v>1096</v>
      </c>
      <c r="K58" s="14" t="s">
        <v>1099</v>
      </c>
      <c r="L58" s="14" t="s">
        <v>1111</v>
      </c>
    </row>
    <row r="59">
      <c r="A59" s="57">
        <v>2.126005799E9</v>
      </c>
      <c r="B59" s="109" t="str">
        <f>VLOOKUP($A59,ANAGRAFICA!$B$1:$G$306,2,FALSE)</f>
        <v>MAIORANO</v>
      </c>
      <c r="C59" s="109" t="str">
        <f>VLOOKUP($A59,ANAGRAFICA!$B$1:$G$306,3,FALSE)</f>
        <v>IOLANDA MARIA</v>
      </c>
      <c r="D59" s="109" t="str">
        <f>VLOOKUP($A59,ANAGRAFICA!$B$1:$G$306,4,FALSE)</f>
        <v>758-56</v>
      </c>
      <c r="E59" s="109" t="str">
        <f>VLOOKUP($A59,ANAGRAFICA!$B$1:$G$306,5,FALSE)</f>
        <v/>
      </c>
      <c r="F59" s="109">
        <f>VLOOKUP($A59,ANAGRAFICA!$B$1:$G$306,6,FALSE)</f>
        <v>2026</v>
      </c>
      <c r="G59" s="3">
        <v>1.0</v>
      </c>
      <c r="H59" s="3" t="s">
        <v>1091</v>
      </c>
      <c r="I59" s="16" t="b">
        <v>0</v>
      </c>
      <c r="J59" s="66"/>
      <c r="K59" s="16"/>
      <c r="L59" s="16"/>
    </row>
    <row r="60">
      <c r="A60" s="57">
        <v>2.126002771E9</v>
      </c>
      <c r="B60" s="109" t="str">
        <f>VLOOKUP($A60,ANAGRAFICA!$B$1:$G$306,2,FALSE)</f>
        <v>LONGOBARDI</v>
      </c>
      <c r="C60" s="109" t="str">
        <f>VLOOKUP($A60,ANAGRAFICA!$B$1:$G$306,3,FALSE)</f>
        <v>FRANCESCO</v>
      </c>
      <c r="D60" s="109" t="str">
        <f>VLOOKUP($A60,ANAGRAFICA!$B$1:$G$306,4,FALSE)</f>
        <v>758-52</v>
      </c>
      <c r="E60" s="109" t="str">
        <f>VLOOKUP($A60,ANAGRAFICA!$B$1:$G$306,5,FALSE)</f>
        <v/>
      </c>
      <c r="F60" s="109">
        <f>VLOOKUP($A60,ANAGRAFICA!$B$1:$G$306,6,FALSE)</f>
        <v>2026</v>
      </c>
      <c r="G60" s="3">
        <v>1.0</v>
      </c>
      <c r="H60" s="3" t="s">
        <v>1091</v>
      </c>
      <c r="I60" s="16" t="b">
        <v>0</v>
      </c>
      <c r="J60" s="66"/>
      <c r="K60" s="16"/>
      <c r="L60" s="16"/>
    </row>
    <row r="61">
      <c r="A61" s="57">
        <v>2.126001104E9</v>
      </c>
      <c r="B61" s="109" t="str">
        <f>VLOOKUP($A61,ANAGRAFICA!$B$1:$G$306,2,FALSE)</f>
        <v>LOREGGIA</v>
      </c>
      <c r="C61" s="109" t="str">
        <f>VLOOKUP($A61,ANAGRAFICA!$B$1:$G$306,3,FALSE)</f>
        <v>GIAN MARCO</v>
      </c>
      <c r="D61" s="109" t="str">
        <f>VLOOKUP($A61,ANAGRAFICA!$B$1:$G$306,4,FALSE)</f>
        <v>758-51</v>
      </c>
      <c r="E61" s="109" t="str">
        <f>VLOOKUP($A61,ANAGRAFICA!$B$1:$G$306,5,FALSE)</f>
        <v/>
      </c>
      <c r="F61" s="109">
        <f>VLOOKUP($A61,ANAGRAFICA!$B$1:$G$306,6,FALSE)</f>
        <v>2026</v>
      </c>
      <c r="G61" s="3">
        <v>1.0</v>
      </c>
      <c r="H61" s="3" t="s">
        <v>1091</v>
      </c>
      <c r="I61" s="16" t="b">
        <v>0</v>
      </c>
      <c r="J61" s="66"/>
      <c r="K61" s="16"/>
      <c r="L61" s="16"/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I62" s="16" t="b">
        <v>0</v>
      </c>
      <c r="J62" s="66"/>
      <c r="K62" s="16"/>
      <c r="L62" s="16"/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I63" s="16" t="b">
        <v>0</v>
      </c>
      <c r="J63" s="66"/>
      <c r="K63" s="16"/>
      <c r="L63" s="16"/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I64" s="16" t="b">
        <v>0</v>
      </c>
      <c r="J64" s="66"/>
      <c r="K64" s="16"/>
      <c r="L64" s="16"/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I65" s="16" t="b">
        <v>0</v>
      </c>
      <c r="J65" s="66"/>
      <c r="K65" s="16"/>
      <c r="L65" s="16"/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I66" s="16" t="b">
        <v>0</v>
      </c>
      <c r="J66" s="66"/>
      <c r="K66" s="16"/>
      <c r="L66" s="16"/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I67" s="16" t="b">
        <v>0</v>
      </c>
      <c r="J67" s="66"/>
      <c r="K67" s="16"/>
      <c r="L67" s="16"/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I68" s="16" t="b">
        <v>0</v>
      </c>
      <c r="J68" s="66"/>
      <c r="K68" s="16"/>
      <c r="L68" s="16"/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I69" s="16" t="b">
        <v>0</v>
      </c>
      <c r="J69" s="66"/>
      <c r="K69" s="16"/>
      <c r="L69" s="16"/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I70" s="16" t="b">
        <v>0</v>
      </c>
      <c r="J70" s="66"/>
      <c r="K70" s="16"/>
      <c r="L70" s="16"/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I71" s="16" t="b">
        <v>0</v>
      </c>
      <c r="J71" s="66"/>
      <c r="K71" s="16"/>
      <c r="L71" s="16"/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I72" s="16" t="b">
        <v>0</v>
      </c>
      <c r="J72" s="66"/>
      <c r="K72" s="16"/>
      <c r="L72" s="16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I73" s="16" t="b">
        <v>0</v>
      </c>
      <c r="J73" s="66"/>
      <c r="K73" s="16"/>
      <c r="L73" s="16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I74" s="16" t="b">
        <v>0</v>
      </c>
      <c r="J74" s="66"/>
      <c r="K74" s="16"/>
      <c r="L74" s="16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I75" s="16" t="b">
        <v>0</v>
      </c>
      <c r="J75" s="66"/>
      <c r="K75" s="16"/>
      <c r="L75" s="16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I76" s="16" t="b">
        <v>0</v>
      </c>
      <c r="J76" s="66"/>
      <c r="K76" s="16"/>
      <c r="L76" s="16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I77" s="16" t="b">
        <v>0</v>
      </c>
      <c r="J77" s="66"/>
      <c r="K77" s="16"/>
      <c r="L77" s="16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I78" s="16" t="b">
        <v>0</v>
      </c>
      <c r="J78" s="66"/>
      <c r="K78" s="16"/>
      <c r="L78" s="16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I79" s="16" t="b">
        <v>0</v>
      </c>
      <c r="J79" s="66"/>
      <c r="K79" s="16"/>
      <c r="L79" s="16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I80" s="16" t="b">
        <v>0</v>
      </c>
      <c r="J80" s="66"/>
      <c r="K80" s="16"/>
      <c r="L80" s="16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I81" s="16" t="b">
        <v>0</v>
      </c>
      <c r="J81" s="66"/>
      <c r="K81" s="16"/>
      <c r="L81" s="16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I82" s="16" t="b">
        <v>0</v>
      </c>
      <c r="J82" s="66"/>
      <c r="K82" s="16"/>
      <c r="L82" s="16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I83" s="16" t="b">
        <v>0</v>
      </c>
      <c r="J83" s="66"/>
      <c r="K83" s="16"/>
      <c r="L83" s="16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I84" s="16" t="b">
        <v>0</v>
      </c>
      <c r="J84" s="66"/>
      <c r="K84" s="16"/>
      <c r="L84" s="16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I85" s="16" t="b">
        <v>0</v>
      </c>
      <c r="J85" s="66"/>
      <c r="K85" s="16"/>
      <c r="L85" s="16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I86" s="16" t="b">
        <v>0</v>
      </c>
      <c r="J86" s="66"/>
      <c r="K86" s="16"/>
      <c r="L86" s="16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I87" s="16" t="b">
        <v>0</v>
      </c>
      <c r="J87" s="66"/>
      <c r="K87" s="16"/>
      <c r="L87" s="16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I88" s="16" t="b">
        <v>0</v>
      </c>
      <c r="J88" s="66"/>
      <c r="K88" s="16"/>
      <c r="L88" s="16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I89" s="16" t="b">
        <v>0</v>
      </c>
      <c r="J89" s="66"/>
      <c r="K89" s="16"/>
      <c r="L89" s="16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I90" s="16" t="b">
        <v>0</v>
      </c>
      <c r="J90" s="66"/>
      <c r="K90" s="16"/>
      <c r="L90" s="16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I91" s="16" t="b">
        <v>0</v>
      </c>
      <c r="J91" s="66"/>
      <c r="K91" s="16"/>
      <c r="L91" s="16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I92" s="16" t="b">
        <v>0</v>
      </c>
      <c r="J92" s="66"/>
      <c r="K92" s="16"/>
      <c r="L92" s="16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I93" s="16" t="b">
        <v>0</v>
      </c>
      <c r="J93" s="66"/>
      <c r="K93" s="16"/>
      <c r="L93" s="16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I94" s="16" t="b">
        <v>0</v>
      </c>
      <c r="J94" s="66"/>
      <c r="K94" s="16"/>
      <c r="L94" s="16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I95" s="16" t="b">
        <v>0</v>
      </c>
      <c r="J95" s="66"/>
      <c r="K95" s="16"/>
      <c r="L95" s="16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I96" s="16" t="b">
        <v>0</v>
      </c>
      <c r="J96" s="66"/>
      <c r="K96" s="16"/>
      <c r="L96" s="16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I97" s="16" t="b">
        <v>0</v>
      </c>
      <c r="J97" s="66"/>
      <c r="K97" s="16"/>
      <c r="L97" s="16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I98" s="16" t="b">
        <v>0</v>
      </c>
      <c r="J98" s="66"/>
      <c r="K98" s="16"/>
      <c r="L98" s="16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I99" s="16" t="b">
        <v>0</v>
      </c>
      <c r="J99" s="66"/>
      <c r="K99" s="16"/>
      <c r="L99" s="16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I100" s="16" t="b">
        <v>0</v>
      </c>
      <c r="J100" s="66"/>
      <c r="K100" s="16"/>
      <c r="L100" s="16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I101" s="16" t="b">
        <v>0</v>
      </c>
      <c r="J101" s="66"/>
      <c r="K101" s="16"/>
      <c r="L101" s="16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I102" s="16" t="b">
        <v>0</v>
      </c>
      <c r="J102" s="66"/>
      <c r="K102" s="16"/>
      <c r="L102" s="16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I103" s="16" t="b">
        <v>0</v>
      </c>
      <c r="J103" s="66"/>
      <c r="K103" s="16"/>
      <c r="L103" s="16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I104" s="16" t="b">
        <v>0</v>
      </c>
      <c r="J104" s="66"/>
      <c r="K104" s="16"/>
      <c r="L104" s="16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I105" s="16" t="b">
        <v>0</v>
      </c>
      <c r="J105" s="66"/>
      <c r="K105" s="16"/>
      <c r="L105" s="16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I106" s="16" t="b">
        <v>0</v>
      </c>
      <c r="J106" s="66"/>
      <c r="K106" s="16"/>
      <c r="L106" s="16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I107" s="16" t="b">
        <v>0</v>
      </c>
      <c r="J107" s="66"/>
      <c r="K107" s="16"/>
      <c r="L107" s="16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I108" s="16" t="b">
        <v>0</v>
      </c>
      <c r="J108" s="66"/>
      <c r="K108" s="16"/>
      <c r="L108" s="16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I109" s="16" t="b">
        <v>0</v>
      </c>
      <c r="J109" s="66"/>
      <c r="K109" s="16"/>
      <c r="L109" s="16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I110" s="16" t="b">
        <v>0</v>
      </c>
      <c r="J110" s="66"/>
      <c r="K110" s="16"/>
      <c r="L110" s="16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I111" s="16" t="b">
        <v>0</v>
      </c>
      <c r="J111" s="66"/>
      <c r="K111" s="16"/>
      <c r="L111" s="16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I112" s="16" t="b">
        <v>0</v>
      </c>
      <c r="J112" s="66"/>
      <c r="K112" s="16"/>
      <c r="L112" s="16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I113" s="16" t="b">
        <v>0</v>
      </c>
      <c r="J113" s="66"/>
      <c r="K113" s="16"/>
      <c r="L113" s="16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I114" s="16" t="b">
        <v>0</v>
      </c>
      <c r="J114" s="66"/>
      <c r="K114" s="16"/>
      <c r="L114" s="16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I115" s="16" t="b">
        <v>0</v>
      </c>
      <c r="J115" s="66"/>
      <c r="K115" s="16"/>
      <c r="L115" s="16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I116" s="16" t="b">
        <v>0</v>
      </c>
      <c r="J116" s="66"/>
      <c r="K116" s="16"/>
      <c r="L116" s="16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I117" s="16" t="b">
        <v>0</v>
      </c>
      <c r="J117" s="66"/>
      <c r="K117" s="16"/>
      <c r="L117" s="16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I118" s="16" t="b">
        <v>0</v>
      </c>
      <c r="J118" s="66"/>
      <c r="K118" s="16"/>
      <c r="L118" s="16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I119" s="16" t="b">
        <v>0</v>
      </c>
      <c r="J119" s="66"/>
      <c r="K119" s="16"/>
      <c r="L119" s="16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I120" s="16" t="b">
        <v>0</v>
      </c>
      <c r="J120" s="66"/>
      <c r="K120" s="16"/>
      <c r="L120" s="16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I121" s="16" t="b">
        <v>0</v>
      </c>
      <c r="J121" s="66"/>
      <c r="K121" s="16"/>
      <c r="L121" s="16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I122" s="16" t="b">
        <v>0</v>
      </c>
      <c r="J122" s="66"/>
      <c r="K122" s="16"/>
      <c r="L122" s="16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I123" s="16" t="b">
        <v>0</v>
      </c>
      <c r="J123" s="66"/>
      <c r="K123" s="16"/>
      <c r="L123" s="16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I124" s="16" t="b">
        <v>0</v>
      </c>
      <c r="J124" s="66"/>
      <c r="K124" s="16"/>
      <c r="L124" s="16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I125" s="16" t="b">
        <v>0</v>
      </c>
      <c r="J125" s="66"/>
      <c r="K125" s="16"/>
      <c r="L125" s="16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I126" s="16" t="b">
        <v>0</v>
      </c>
      <c r="J126" s="66"/>
      <c r="K126" s="16"/>
      <c r="L126" s="16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I127" s="16" t="b">
        <v>0</v>
      </c>
      <c r="J127" s="66"/>
      <c r="K127" s="16"/>
      <c r="L127" s="16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I128" s="16" t="b">
        <v>0</v>
      </c>
      <c r="J128" s="66"/>
      <c r="K128" s="16"/>
      <c r="L128" s="16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I129" s="16" t="b">
        <v>0</v>
      </c>
      <c r="J129" s="66"/>
      <c r="K129" s="16"/>
      <c r="L129" s="16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I130" s="16" t="b">
        <v>0</v>
      </c>
      <c r="J130" s="66"/>
      <c r="K130" s="16"/>
      <c r="L130" s="16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I131" s="16" t="b">
        <v>0</v>
      </c>
      <c r="J131" s="66"/>
      <c r="K131" s="16"/>
      <c r="L131" s="16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I132" s="16" t="b">
        <v>0</v>
      </c>
      <c r="J132" s="66"/>
      <c r="K132" s="16"/>
      <c r="L132" s="16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I133" s="16" t="b">
        <v>0</v>
      </c>
      <c r="J133" s="66"/>
      <c r="K133" s="16"/>
      <c r="L133" s="16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I134" s="16" t="b">
        <v>0</v>
      </c>
      <c r="J134" s="66"/>
      <c r="K134" s="16"/>
      <c r="L134" s="16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I135" s="16" t="b">
        <v>0</v>
      </c>
      <c r="J135" s="66"/>
      <c r="K135" s="16"/>
      <c r="L135" s="16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I136" s="16" t="b">
        <v>0</v>
      </c>
      <c r="J136" s="66"/>
      <c r="K136" s="16"/>
      <c r="L136" s="16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I137" s="16" t="b">
        <v>0</v>
      </c>
      <c r="J137" s="66"/>
      <c r="K137" s="16"/>
      <c r="L137" s="16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I138" s="16" t="b">
        <v>0</v>
      </c>
      <c r="J138" s="66"/>
      <c r="K138" s="16"/>
      <c r="L138" s="16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I139" s="16" t="b">
        <v>0</v>
      </c>
      <c r="J139" s="66"/>
      <c r="K139" s="16"/>
      <c r="L139" s="16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I140" s="16" t="b">
        <v>0</v>
      </c>
      <c r="J140" s="66"/>
      <c r="K140" s="16"/>
      <c r="L140" s="16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I141" s="16" t="b">
        <v>0</v>
      </c>
      <c r="J141" s="66"/>
      <c r="K141" s="16"/>
      <c r="L141" s="16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I142" s="16" t="b">
        <v>0</v>
      </c>
      <c r="J142" s="66"/>
      <c r="K142" s="16"/>
      <c r="L142" s="16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I143" s="16" t="b">
        <v>0</v>
      </c>
      <c r="J143" s="66"/>
      <c r="K143" s="16"/>
      <c r="L143" s="16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I144" s="16" t="b">
        <v>0</v>
      </c>
      <c r="J144" s="66"/>
      <c r="K144" s="16"/>
      <c r="L144" s="16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I145" s="16" t="b">
        <v>0</v>
      </c>
      <c r="J145" s="66"/>
      <c r="K145" s="16"/>
      <c r="L145" s="16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I146" s="16" t="b">
        <v>0</v>
      </c>
      <c r="J146" s="66"/>
      <c r="K146" s="16"/>
      <c r="L146" s="16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I147" s="16" t="b">
        <v>0</v>
      </c>
      <c r="J147" s="66"/>
      <c r="K147" s="16"/>
      <c r="L147" s="16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I148" s="16" t="b">
        <v>0</v>
      </c>
      <c r="J148" s="66"/>
      <c r="K148" s="16"/>
      <c r="L148" s="16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I149" s="16" t="b">
        <v>0</v>
      </c>
      <c r="J149" s="66"/>
      <c r="K149" s="16"/>
      <c r="L149" s="16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I150" s="16" t="b">
        <v>0</v>
      </c>
      <c r="J150" s="66"/>
      <c r="K150" s="16"/>
      <c r="L150" s="16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I151" s="16" t="b">
        <v>0</v>
      </c>
      <c r="J151" s="66"/>
      <c r="K151" s="16"/>
      <c r="L151" s="16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I152" s="16" t="b">
        <v>0</v>
      </c>
      <c r="J152" s="66"/>
      <c r="K152" s="16"/>
      <c r="L152" s="16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I153" s="16" t="b">
        <v>0</v>
      </c>
      <c r="J153" s="66"/>
      <c r="K153" s="16"/>
      <c r="L153" s="16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I154" s="16" t="b">
        <v>0</v>
      </c>
      <c r="J154" s="66"/>
      <c r="K154" s="16"/>
      <c r="L154" s="16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I155" s="16" t="b">
        <v>0</v>
      </c>
      <c r="J155" s="66"/>
      <c r="K155" s="16"/>
      <c r="L155" s="16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I156" s="16" t="b">
        <v>0</v>
      </c>
      <c r="J156" s="66"/>
      <c r="K156" s="16"/>
      <c r="L156" s="16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I157" s="16" t="b">
        <v>0</v>
      </c>
      <c r="J157" s="66"/>
      <c r="K157" s="16"/>
      <c r="L157" s="16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I158" s="16" t="b">
        <v>0</v>
      </c>
      <c r="J158" s="66"/>
      <c r="K158" s="16"/>
      <c r="L158" s="16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I159" s="16" t="b">
        <v>0</v>
      </c>
      <c r="J159" s="66"/>
      <c r="K159" s="16"/>
      <c r="L159" s="16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I160" s="16" t="b">
        <v>0</v>
      </c>
      <c r="J160" s="66"/>
      <c r="K160" s="16"/>
      <c r="L160" s="16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I161" s="16" t="b">
        <v>0</v>
      </c>
      <c r="J161" s="66"/>
      <c r="K161" s="16"/>
      <c r="L161" s="16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I162" s="16" t="b">
        <v>0</v>
      </c>
      <c r="J162" s="66"/>
      <c r="K162" s="16"/>
      <c r="L162" s="16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I163" s="16" t="b">
        <v>0</v>
      </c>
      <c r="J163" s="66"/>
      <c r="K163" s="16"/>
      <c r="L163" s="16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I164" s="16" t="b">
        <v>0</v>
      </c>
      <c r="J164" s="66"/>
      <c r="K164" s="16"/>
      <c r="L164" s="16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I165" s="16" t="b">
        <v>0</v>
      </c>
      <c r="J165" s="66"/>
      <c r="K165" s="16"/>
      <c r="L165" s="16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I166" s="16" t="b">
        <v>0</v>
      </c>
      <c r="J166" s="66"/>
      <c r="K166" s="16"/>
      <c r="L166" s="16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I167" s="16" t="b">
        <v>0</v>
      </c>
      <c r="J167" s="66"/>
      <c r="K167" s="16"/>
      <c r="L167" s="16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I168" s="16" t="b">
        <v>0</v>
      </c>
      <c r="J168" s="66"/>
      <c r="K168" s="16"/>
      <c r="L168" s="16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I169" s="16" t="b">
        <v>0</v>
      </c>
      <c r="J169" s="66"/>
      <c r="K169" s="16"/>
      <c r="L169" s="16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I170" s="16" t="b">
        <v>0</v>
      </c>
      <c r="J170" s="66"/>
      <c r="K170" s="16"/>
      <c r="L170" s="16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I171" s="16" t="b">
        <v>0</v>
      </c>
      <c r="J171" s="66"/>
      <c r="K171" s="16"/>
      <c r="L171" s="16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I172" s="16" t="b">
        <v>0</v>
      </c>
      <c r="J172" s="66"/>
      <c r="K172" s="16"/>
      <c r="L172" s="16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I173" s="16" t="b">
        <v>0</v>
      </c>
      <c r="J173" s="66"/>
      <c r="K173" s="16"/>
      <c r="L173" s="16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I174" s="16" t="b">
        <v>0</v>
      </c>
      <c r="J174" s="66"/>
      <c r="K174" s="16"/>
      <c r="L174" s="16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I175" s="16" t="b">
        <v>0</v>
      </c>
      <c r="J175" s="66"/>
      <c r="K175" s="16"/>
      <c r="L175" s="16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I176" s="16" t="b">
        <v>0</v>
      </c>
      <c r="J176" s="66"/>
      <c r="K176" s="16"/>
      <c r="L176" s="16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I177" s="16" t="b">
        <v>0</v>
      </c>
      <c r="J177" s="66"/>
      <c r="K177" s="16"/>
      <c r="L177" s="16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I178" s="16" t="b">
        <v>0</v>
      </c>
      <c r="J178" s="66"/>
      <c r="K178" s="16"/>
      <c r="L178" s="16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I179" s="16" t="b">
        <v>0</v>
      </c>
      <c r="J179" s="66"/>
      <c r="K179" s="16"/>
      <c r="L179" s="16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I180" s="16" t="b">
        <v>0</v>
      </c>
      <c r="J180" s="66"/>
      <c r="K180" s="16"/>
      <c r="L180" s="16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I181" s="16" t="b">
        <v>0</v>
      </c>
      <c r="J181" s="66"/>
      <c r="K181" s="16"/>
      <c r="L181" s="16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I182" s="16" t="b">
        <v>0</v>
      </c>
      <c r="J182" s="66"/>
      <c r="K182" s="16"/>
      <c r="L182" s="16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I183" s="16" t="b">
        <v>0</v>
      </c>
      <c r="J183" s="66"/>
      <c r="K183" s="16"/>
      <c r="L183" s="16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I184" s="16" t="b">
        <v>0</v>
      </c>
      <c r="J184" s="66"/>
      <c r="K184" s="16"/>
      <c r="L184" s="16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I185" s="16" t="b">
        <v>0</v>
      </c>
      <c r="J185" s="66"/>
      <c r="K185" s="16"/>
      <c r="L185" s="16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I186" s="16" t="b">
        <v>0</v>
      </c>
      <c r="J186" s="66"/>
      <c r="K186" s="16"/>
      <c r="L186" s="16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I187" s="16" t="b">
        <v>0</v>
      </c>
      <c r="J187" s="66"/>
      <c r="K187" s="16"/>
      <c r="L187" s="16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I188" s="16" t="b">
        <v>0</v>
      </c>
      <c r="J188" s="66"/>
      <c r="K188" s="16"/>
      <c r="L188" s="16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I189" s="16" t="b">
        <v>0</v>
      </c>
      <c r="J189" s="66"/>
      <c r="K189" s="16"/>
      <c r="L189" s="16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I190" s="16" t="b">
        <v>0</v>
      </c>
      <c r="J190" s="66"/>
      <c r="K190" s="16"/>
      <c r="L190" s="16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I191" s="16" t="b">
        <v>0</v>
      </c>
      <c r="J191" s="66"/>
      <c r="K191" s="16"/>
      <c r="L191" s="16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I192" s="16" t="b">
        <v>0</v>
      </c>
      <c r="J192" s="66"/>
      <c r="K192" s="16"/>
      <c r="L192" s="16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I193" s="16" t="b">
        <v>0</v>
      </c>
      <c r="J193" s="66"/>
      <c r="K193" s="16"/>
      <c r="L193" s="16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I194" s="16" t="b">
        <v>0</v>
      </c>
      <c r="J194" s="66"/>
      <c r="K194" s="16"/>
      <c r="L194" s="16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I195" s="16" t="b">
        <v>0</v>
      </c>
      <c r="J195" s="66"/>
      <c r="K195" s="16"/>
      <c r="L195" s="16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I196" s="16" t="b">
        <v>0</v>
      </c>
      <c r="J196" s="66"/>
      <c r="K196" s="16"/>
      <c r="L196" s="16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I197" s="16" t="b">
        <v>0</v>
      </c>
      <c r="J197" s="66"/>
      <c r="K197" s="16"/>
      <c r="L197" s="16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I198" s="16" t="b">
        <v>0</v>
      </c>
      <c r="J198" s="66"/>
      <c r="K198" s="16"/>
      <c r="L198" s="16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I199" s="16" t="b">
        <v>0</v>
      </c>
      <c r="J199" s="66"/>
      <c r="K199" s="16"/>
      <c r="L199" s="16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I200" s="16" t="b">
        <v>0</v>
      </c>
      <c r="J200" s="66"/>
      <c r="K200" s="16"/>
      <c r="L200" s="16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I201" s="16" t="b">
        <v>0</v>
      </c>
      <c r="J201" s="66"/>
      <c r="K201" s="16"/>
      <c r="L201" s="16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I202" s="16" t="b">
        <v>0</v>
      </c>
      <c r="J202" s="66"/>
      <c r="K202" s="16"/>
      <c r="L202" s="16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I203" s="16" t="b">
        <v>0</v>
      </c>
      <c r="J203" s="66"/>
      <c r="K203" s="16"/>
      <c r="L203" s="16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I204" s="16" t="b">
        <v>0</v>
      </c>
      <c r="J204" s="66"/>
      <c r="K204" s="16"/>
      <c r="L204" s="16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I205" s="16" t="b">
        <v>0</v>
      </c>
      <c r="J205" s="66"/>
      <c r="K205" s="16"/>
      <c r="L205" s="16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I206" s="16" t="b">
        <v>0</v>
      </c>
      <c r="J206" s="66"/>
      <c r="K206" s="16"/>
      <c r="L206" s="16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I207" s="16" t="b">
        <v>0</v>
      </c>
      <c r="J207" s="66"/>
      <c r="K207" s="16"/>
      <c r="L207" s="16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I208" s="16" t="b">
        <v>0</v>
      </c>
      <c r="J208" s="66"/>
      <c r="K208" s="16"/>
      <c r="L208" s="16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I209" s="16" t="b">
        <v>0</v>
      </c>
      <c r="J209" s="66"/>
      <c r="K209" s="16"/>
      <c r="L209" s="16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I210" s="16" t="b">
        <v>0</v>
      </c>
      <c r="J210" s="66"/>
      <c r="K210" s="16"/>
      <c r="L210" s="16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I211" s="16" t="b">
        <v>0</v>
      </c>
      <c r="J211" s="66"/>
      <c r="K211" s="16"/>
      <c r="L211" s="16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I212" s="16" t="b">
        <v>0</v>
      </c>
      <c r="J212" s="66"/>
      <c r="K212" s="16"/>
      <c r="L212" s="16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I213" s="16" t="b">
        <v>0</v>
      </c>
      <c r="J213" s="66"/>
      <c r="K213" s="16"/>
      <c r="L213" s="16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I214" s="16" t="b">
        <v>0</v>
      </c>
      <c r="J214" s="66"/>
      <c r="K214" s="16"/>
      <c r="L214" s="16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I215" s="16" t="b">
        <v>0</v>
      </c>
      <c r="J215" s="66"/>
      <c r="K215" s="16"/>
      <c r="L215" s="16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I216" s="16" t="b">
        <v>0</v>
      </c>
      <c r="J216" s="66"/>
      <c r="K216" s="16"/>
      <c r="L216" s="16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I217" s="16" t="b">
        <v>0</v>
      </c>
      <c r="J217" s="66"/>
      <c r="K217" s="16"/>
      <c r="L217" s="16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I218" s="16" t="b">
        <v>0</v>
      </c>
      <c r="J218" s="66"/>
      <c r="K218" s="16"/>
      <c r="L218" s="16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I219" s="16" t="b">
        <v>0</v>
      </c>
      <c r="J219" s="66"/>
      <c r="K219" s="16"/>
      <c r="L219" s="16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I220" s="16" t="b">
        <v>0</v>
      </c>
      <c r="J220" s="66"/>
      <c r="K220" s="16"/>
      <c r="L220" s="16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I221" s="16" t="b">
        <v>0</v>
      </c>
      <c r="J221" s="66"/>
      <c r="K221" s="16"/>
      <c r="L221" s="16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I222" s="16" t="b">
        <v>0</v>
      </c>
      <c r="J222" s="66"/>
      <c r="K222" s="16"/>
      <c r="L222" s="16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I223" s="16" t="b">
        <v>0</v>
      </c>
      <c r="J223" s="66"/>
      <c r="K223" s="16"/>
      <c r="L223" s="16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I224" s="16" t="b">
        <v>0</v>
      </c>
      <c r="J224" s="66"/>
      <c r="K224" s="16"/>
      <c r="L224" s="16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I225" s="16" t="b">
        <v>0</v>
      </c>
      <c r="J225" s="66"/>
      <c r="K225" s="16"/>
      <c r="L225" s="16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I226" s="16" t="b">
        <v>0</v>
      </c>
      <c r="J226" s="66"/>
      <c r="K226" s="16"/>
      <c r="L226" s="16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I227" s="16" t="b">
        <v>0</v>
      </c>
      <c r="J227" s="66"/>
      <c r="K227" s="16"/>
      <c r="L227" s="16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I228" s="16" t="b">
        <v>0</v>
      </c>
      <c r="J228" s="66"/>
      <c r="K228" s="16"/>
      <c r="L228" s="16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I229" s="16" t="b">
        <v>0</v>
      </c>
      <c r="J229" s="66"/>
      <c r="K229" s="16"/>
      <c r="L229" s="16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I230" s="16" t="b">
        <v>0</v>
      </c>
      <c r="J230" s="66"/>
      <c r="K230" s="16"/>
      <c r="L230" s="16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I231" s="16" t="b">
        <v>0</v>
      </c>
      <c r="J231" s="66"/>
      <c r="K231" s="16"/>
      <c r="L231" s="16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I232" s="16" t="b">
        <v>0</v>
      </c>
      <c r="J232" s="66"/>
      <c r="K232" s="16"/>
      <c r="L232" s="16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I233" s="16" t="b">
        <v>0</v>
      </c>
      <c r="J233" s="66"/>
      <c r="K233" s="16"/>
      <c r="L233" s="16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I234" s="16" t="b">
        <v>0</v>
      </c>
      <c r="J234" s="66"/>
      <c r="K234" s="16"/>
      <c r="L234" s="16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I235" s="16" t="b">
        <v>0</v>
      </c>
      <c r="J235" s="66"/>
      <c r="K235" s="16"/>
      <c r="L235" s="16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I236" s="16" t="b">
        <v>0</v>
      </c>
      <c r="J236" s="66"/>
      <c r="K236" s="16"/>
      <c r="L236" s="16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I237" s="16" t="b">
        <v>0</v>
      </c>
      <c r="J237" s="66"/>
      <c r="K237" s="16"/>
      <c r="L237" s="16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I238" s="16" t="b">
        <v>0</v>
      </c>
      <c r="J238" s="66"/>
      <c r="K238" s="16"/>
      <c r="L238" s="16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I239" s="16" t="b">
        <v>0</v>
      </c>
      <c r="J239" s="66"/>
      <c r="K239" s="16"/>
      <c r="L239" s="16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I240" s="16" t="b">
        <v>0</v>
      </c>
      <c r="J240" s="66"/>
      <c r="K240" s="16"/>
      <c r="L240" s="16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I241" s="16" t="b">
        <v>0</v>
      </c>
      <c r="J241" s="66"/>
      <c r="K241" s="16"/>
      <c r="L241" s="16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I242" s="16" t="b">
        <v>0</v>
      </c>
      <c r="J242" s="66"/>
      <c r="K242" s="16"/>
      <c r="L242" s="16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I243" s="16" t="b">
        <v>0</v>
      </c>
      <c r="J243" s="66"/>
      <c r="K243" s="16"/>
      <c r="L243" s="16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I244" s="16" t="b">
        <v>0</v>
      </c>
      <c r="J244" s="66"/>
      <c r="K244" s="16"/>
      <c r="L244" s="16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I245" s="16" t="b">
        <v>0</v>
      </c>
      <c r="J245" s="66"/>
      <c r="K245" s="16"/>
      <c r="L245" s="16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I246" s="16" t="b">
        <v>0</v>
      </c>
      <c r="J246" s="66"/>
      <c r="K246" s="16"/>
      <c r="L246" s="16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I247" s="16" t="b">
        <v>0</v>
      </c>
      <c r="J247" s="66"/>
      <c r="K247" s="16"/>
      <c r="L247" s="16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I248" s="16" t="b">
        <v>0</v>
      </c>
      <c r="J248" s="66"/>
      <c r="K248" s="16"/>
      <c r="L248" s="16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I249" s="16" t="b">
        <v>0</v>
      </c>
      <c r="J249" s="66"/>
      <c r="K249" s="16"/>
      <c r="L249" s="16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I250" s="16" t="b">
        <v>0</v>
      </c>
      <c r="J250" s="66"/>
      <c r="K250" s="16"/>
      <c r="L250" s="16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I251" s="16" t="b">
        <v>0</v>
      </c>
      <c r="J251" s="66"/>
      <c r="K251" s="16"/>
      <c r="L251" s="16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I252" s="16" t="b">
        <v>0</v>
      </c>
      <c r="J252" s="66"/>
      <c r="K252" s="16"/>
      <c r="L252" s="16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I253" s="16" t="b">
        <v>0</v>
      </c>
      <c r="J253" s="66"/>
      <c r="K253" s="16"/>
      <c r="L253" s="16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I254" s="16" t="b">
        <v>0</v>
      </c>
      <c r="J254" s="66"/>
      <c r="K254" s="16"/>
      <c r="L254" s="16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I255" s="16" t="b">
        <v>0</v>
      </c>
      <c r="J255" s="66"/>
      <c r="K255" s="16"/>
      <c r="L255" s="16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I256" s="16" t="b">
        <v>0</v>
      </c>
      <c r="J256" s="66"/>
      <c r="K256" s="16"/>
      <c r="L256" s="16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I257" s="16" t="b">
        <v>0</v>
      </c>
      <c r="J257" s="66"/>
      <c r="K257" s="16"/>
      <c r="L257" s="16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I258" s="16" t="b">
        <v>0</v>
      </c>
      <c r="J258" s="66"/>
      <c r="K258" s="16"/>
      <c r="L258" s="16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I259" s="16" t="b">
        <v>0</v>
      </c>
      <c r="J259" s="66"/>
      <c r="K259" s="16"/>
      <c r="L259" s="16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I260" s="16" t="b">
        <v>0</v>
      </c>
      <c r="J260" s="66"/>
      <c r="K260" s="16"/>
      <c r="L260" s="16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I261" s="16" t="b">
        <v>0</v>
      </c>
      <c r="J261" s="66"/>
      <c r="K261" s="16"/>
      <c r="L261" s="16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I262" s="16" t="b">
        <v>0</v>
      </c>
      <c r="J262" s="66"/>
      <c r="K262" s="16"/>
      <c r="L262" s="16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I263" s="16" t="b">
        <v>0</v>
      </c>
      <c r="J263" s="66"/>
      <c r="K263" s="16"/>
      <c r="L263" s="16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I264" s="16" t="b">
        <v>0</v>
      </c>
      <c r="J264" s="66"/>
      <c r="K264" s="16"/>
      <c r="L264" s="16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I265" s="16" t="b">
        <v>0</v>
      </c>
      <c r="J265" s="66"/>
      <c r="K265" s="16"/>
      <c r="L265" s="16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I266" s="16" t="b">
        <v>0</v>
      </c>
      <c r="J266" s="66"/>
      <c r="K266" s="16"/>
      <c r="L266" s="16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I267" s="16" t="b">
        <v>0</v>
      </c>
      <c r="J267" s="66"/>
      <c r="K267" s="16"/>
      <c r="L267" s="16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I268" s="16" t="b">
        <v>0</v>
      </c>
      <c r="J268" s="66"/>
      <c r="K268" s="16"/>
      <c r="L268" s="16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I269" s="16" t="b">
        <v>0</v>
      </c>
      <c r="J269" s="66"/>
      <c r="K269" s="16"/>
      <c r="L269" s="16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I270" s="16" t="b">
        <v>0</v>
      </c>
      <c r="J270" s="66"/>
      <c r="K270" s="16"/>
      <c r="L270" s="16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I271" s="16" t="b">
        <v>0</v>
      </c>
      <c r="J271" s="66"/>
      <c r="K271" s="16"/>
      <c r="L271" s="16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I272" s="16" t="b">
        <v>0</v>
      </c>
      <c r="J272" s="66"/>
      <c r="K272" s="16"/>
      <c r="L272" s="16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I273" s="16" t="b">
        <v>0</v>
      </c>
      <c r="J273" s="66"/>
      <c r="K273" s="16"/>
      <c r="L273" s="16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I274" s="16" t="b">
        <v>0</v>
      </c>
      <c r="J274" s="66"/>
      <c r="K274" s="16"/>
      <c r="L274" s="16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I275" s="16" t="b">
        <v>0</v>
      </c>
      <c r="J275" s="66"/>
      <c r="K275" s="16"/>
      <c r="L275" s="16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I276" s="16" t="b">
        <v>0</v>
      </c>
      <c r="J276" s="66"/>
      <c r="K276" s="16"/>
      <c r="L276" s="16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I277" s="16" t="b">
        <v>0</v>
      </c>
      <c r="J277" s="66"/>
      <c r="K277" s="16"/>
      <c r="L277" s="16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I278" s="16" t="b">
        <v>0</v>
      </c>
      <c r="J278" s="66"/>
      <c r="K278" s="16"/>
      <c r="L278" s="16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I279" s="16" t="b">
        <v>0</v>
      </c>
      <c r="J279" s="66"/>
      <c r="K279" s="16"/>
      <c r="L279" s="16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I280" s="16" t="b">
        <v>0</v>
      </c>
      <c r="J280" s="66"/>
      <c r="K280" s="16"/>
      <c r="L280" s="16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I281" s="16" t="b">
        <v>0</v>
      </c>
      <c r="J281" s="66"/>
      <c r="K281" s="16"/>
      <c r="L281" s="16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I282" s="16" t="b">
        <v>0</v>
      </c>
      <c r="J282" s="66"/>
      <c r="K282" s="16"/>
      <c r="L282" s="16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I283" s="16" t="b">
        <v>0</v>
      </c>
      <c r="J283" s="66"/>
      <c r="K283" s="16"/>
      <c r="L283" s="16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I284" s="16" t="b">
        <v>0</v>
      </c>
      <c r="J284" s="66"/>
      <c r="K284" s="16"/>
      <c r="L284" s="16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I285" s="16" t="b">
        <v>0</v>
      </c>
      <c r="J285" s="66"/>
      <c r="K285" s="16"/>
      <c r="L285" s="16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I286" s="16" t="b">
        <v>0</v>
      </c>
      <c r="J286" s="66"/>
      <c r="K286" s="16"/>
      <c r="L286" s="16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I287" s="16" t="b">
        <v>0</v>
      </c>
      <c r="J287" s="66"/>
      <c r="K287" s="16"/>
      <c r="L287" s="16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I288" s="16" t="b">
        <v>0</v>
      </c>
      <c r="J288" s="66"/>
      <c r="K288" s="16"/>
      <c r="L288" s="16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I289" s="16" t="b">
        <v>0</v>
      </c>
      <c r="J289" s="66"/>
      <c r="K289" s="16"/>
      <c r="L289" s="16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I290" s="16" t="b">
        <v>0</v>
      </c>
      <c r="J290" s="66"/>
      <c r="K290" s="16"/>
      <c r="L290" s="16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I291" s="16" t="b">
        <v>0</v>
      </c>
      <c r="J291" s="66"/>
      <c r="K291" s="16"/>
      <c r="L291" s="16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I292" s="16" t="b">
        <v>0</v>
      </c>
      <c r="J292" s="66"/>
      <c r="K292" s="16"/>
      <c r="L292" s="16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I293" s="16" t="b">
        <v>0</v>
      </c>
      <c r="J293" s="66"/>
      <c r="K293" s="16"/>
      <c r="L293" s="16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I294" s="16" t="b">
        <v>0</v>
      </c>
      <c r="J294" s="66"/>
      <c r="K294" s="16"/>
      <c r="L294" s="16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I295" s="16" t="b">
        <v>0</v>
      </c>
      <c r="J295" s="66"/>
      <c r="K295" s="16"/>
      <c r="L295" s="16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I296" s="16" t="b">
        <v>0</v>
      </c>
      <c r="J296" s="66"/>
      <c r="K296" s="16"/>
      <c r="L296" s="16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I297" s="16" t="b">
        <v>0</v>
      </c>
      <c r="J297" s="66"/>
      <c r="K297" s="16"/>
      <c r="L297" s="16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I298" s="16" t="b">
        <v>0</v>
      </c>
      <c r="J298" s="66"/>
      <c r="K298" s="16"/>
      <c r="L298" s="16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I299" s="16" t="b">
        <v>0</v>
      </c>
      <c r="J299" s="66"/>
      <c r="K299" s="16"/>
      <c r="L299" s="16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I300" s="16" t="b">
        <v>0</v>
      </c>
      <c r="J300" s="66"/>
      <c r="K300" s="16"/>
      <c r="L300" s="16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I301" s="16" t="b">
        <v>0</v>
      </c>
      <c r="J301" s="66"/>
      <c r="K301" s="16"/>
      <c r="L301" s="16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I302" s="16" t="b">
        <v>0</v>
      </c>
      <c r="J302" s="66"/>
      <c r="K302" s="16"/>
      <c r="L302" s="16"/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I303" s="16" t="b">
        <v>0</v>
      </c>
      <c r="J303" s="66"/>
      <c r="K303" s="16"/>
      <c r="L303" s="16"/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I304" s="16" t="b">
        <v>0</v>
      </c>
      <c r="J304" s="66"/>
      <c r="K304" s="16"/>
      <c r="L304" s="16"/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I305" s="16" t="b">
        <v>0</v>
      </c>
      <c r="J305" s="66"/>
      <c r="K305" s="16"/>
      <c r="L305" s="16"/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I306" s="16" t="b">
        <v>0</v>
      </c>
      <c r="J306" s="66"/>
      <c r="K306" s="16"/>
      <c r="L306" s="16"/>
    </row>
    <row r="307">
      <c r="A307" s="94"/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I307" s="16" t="b">
        <v>0</v>
      </c>
      <c r="J307" s="66"/>
      <c r="K307" s="16"/>
      <c r="L307" s="16"/>
    </row>
    <row r="308">
      <c r="J308" s="94"/>
    </row>
    <row r="309">
      <c r="J309" s="94"/>
    </row>
    <row r="310">
      <c r="J310" s="94"/>
    </row>
    <row r="311">
      <c r="J311" s="94"/>
    </row>
    <row r="312">
      <c r="J312" s="94"/>
    </row>
    <row r="313">
      <c r="J313" s="94"/>
    </row>
    <row r="314">
      <c r="J314" s="94"/>
    </row>
    <row r="315">
      <c r="J315" s="94"/>
    </row>
    <row r="316">
      <c r="J316" s="94"/>
    </row>
    <row r="317">
      <c r="J317" s="94"/>
    </row>
    <row r="318">
      <c r="J318" s="94"/>
    </row>
    <row r="319">
      <c r="J319" s="94"/>
    </row>
    <row r="320">
      <c r="J320" s="94"/>
    </row>
    <row r="321">
      <c r="J321" s="94"/>
    </row>
    <row r="322">
      <c r="J322" s="94"/>
    </row>
    <row r="323">
      <c r="J323" s="94"/>
    </row>
    <row r="324">
      <c r="J324" s="94"/>
    </row>
    <row r="325">
      <c r="J325" s="94"/>
    </row>
    <row r="326">
      <c r="J326" s="94"/>
    </row>
    <row r="327">
      <c r="J327" s="94"/>
    </row>
    <row r="328">
      <c r="J328" s="94"/>
    </row>
    <row r="329">
      <c r="J329" s="94"/>
    </row>
    <row r="330">
      <c r="J330" s="94"/>
    </row>
    <row r="331">
      <c r="J331" s="94"/>
    </row>
    <row r="332">
      <c r="J332" s="94"/>
    </row>
    <row r="333">
      <c r="J333" s="94"/>
    </row>
    <row r="334">
      <c r="J334" s="94"/>
    </row>
    <row r="335">
      <c r="J335" s="94"/>
    </row>
    <row r="336">
      <c r="J336" s="94"/>
    </row>
    <row r="337">
      <c r="J337" s="94"/>
    </row>
    <row r="338">
      <c r="J338" s="94"/>
    </row>
    <row r="339">
      <c r="J339" s="94"/>
    </row>
    <row r="340">
      <c r="J340" s="94"/>
    </row>
    <row r="341">
      <c r="J341" s="94"/>
    </row>
    <row r="342">
      <c r="J342" s="94"/>
    </row>
    <row r="343">
      <c r="J343" s="94"/>
    </row>
    <row r="344">
      <c r="J344" s="94"/>
    </row>
    <row r="345">
      <c r="J345" s="94"/>
    </row>
    <row r="346">
      <c r="J346" s="94"/>
    </row>
    <row r="347">
      <c r="J347" s="94"/>
    </row>
    <row r="348">
      <c r="J348" s="94"/>
    </row>
    <row r="349">
      <c r="J349" s="94"/>
    </row>
    <row r="350">
      <c r="J350" s="94"/>
    </row>
    <row r="351">
      <c r="J351" s="94"/>
    </row>
    <row r="352">
      <c r="J352" s="94"/>
    </row>
    <row r="353">
      <c r="J353" s="94"/>
    </row>
    <row r="354">
      <c r="J354" s="94"/>
    </row>
    <row r="355">
      <c r="J355" s="94"/>
    </row>
    <row r="356">
      <c r="J356" s="94"/>
    </row>
    <row r="357">
      <c r="J357" s="94"/>
    </row>
    <row r="358">
      <c r="J358" s="94"/>
    </row>
    <row r="359">
      <c r="J359" s="94"/>
    </row>
    <row r="360">
      <c r="J360" s="94"/>
    </row>
    <row r="361">
      <c r="J361" s="94"/>
    </row>
    <row r="362">
      <c r="J362" s="94"/>
    </row>
    <row r="363">
      <c r="J363" s="94"/>
    </row>
    <row r="364">
      <c r="J364" s="94"/>
    </row>
    <row r="365">
      <c r="J365" s="94"/>
    </row>
    <row r="366">
      <c r="J366" s="94"/>
    </row>
    <row r="367">
      <c r="J367" s="94"/>
    </row>
    <row r="368">
      <c r="J368" s="94"/>
    </row>
    <row r="369">
      <c r="J369" s="94"/>
    </row>
    <row r="370">
      <c r="J370" s="94"/>
    </row>
    <row r="371">
      <c r="J371" s="94"/>
    </row>
    <row r="372">
      <c r="J372" s="94"/>
    </row>
    <row r="373">
      <c r="J373" s="94"/>
    </row>
    <row r="374">
      <c r="J374" s="94"/>
    </row>
    <row r="375">
      <c r="J375" s="94"/>
    </row>
    <row r="376">
      <c r="J376" s="94"/>
    </row>
    <row r="377">
      <c r="J377" s="94"/>
    </row>
    <row r="378">
      <c r="J378" s="94"/>
    </row>
    <row r="379">
      <c r="J379" s="94"/>
    </row>
    <row r="380">
      <c r="J380" s="94"/>
    </row>
    <row r="381">
      <c r="J381" s="94"/>
    </row>
    <row r="382">
      <c r="J382" s="94"/>
    </row>
    <row r="383">
      <c r="J383" s="94"/>
    </row>
    <row r="384">
      <c r="J384" s="94"/>
    </row>
    <row r="385">
      <c r="J385" s="94"/>
    </row>
    <row r="386">
      <c r="J386" s="94"/>
    </row>
    <row r="387">
      <c r="J387" s="94"/>
    </row>
    <row r="388">
      <c r="J388" s="94"/>
    </row>
    <row r="389">
      <c r="J389" s="94"/>
    </row>
    <row r="390">
      <c r="J390" s="94"/>
    </row>
    <row r="391">
      <c r="J391" s="94"/>
    </row>
    <row r="392">
      <c r="J392" s="94"/>
    </row>
    <row r="393">
      <c r="J393" s="94"/>
    </row>
    <row r="394">
      <c r="J394" s="94"/>
    </row>
    <row r="395">
      <c r="J395" s="94"/>
    </row>
    <row r="396">
      <c r="J396" s="94"/>
    </row>
    <row r="397">
      <c r="J397" s="94"/>
    </row>
    <row r="398">
      <c r="J398" s="94"/>
    </row>
    <row r="399">
      <c r="J399" s="94"/>
    </row>
    <row r="400">
      <c r="J400" s="94"/>
    </row>
    <row r="401">
      <c r="J401" s="94"/>
    </row>
    <row r="402">
      <c r="J402" s="94"/>
    </row>
    <row r="403">
      <c r="J403" s="94"/>
    </row>
    <row r="404">
      <c r="J404" s="94"/>
    </row>
    <row r="405">
      <c r="J405" s="94"/>
    </row>
    <row r="406">
      <c r="J406" s="94"/>
    </row>
    <row r="407">
      <c r="J407" s="94"/>
    </row>
    <row r="408">
      <c r="J408" s="94"/>
    </row>
    <row r="409">
      <c r="J409" s="94"/>
    </row>
    <row r="410">
      <c r="J410" s="94"/>
    </row>
    <row r="411">
      <c r="J411" s="94"/>
    </row>
    <row r="412">
      <c r="J412" s="94"/>
    </row>
    <row r="413">
      <c r="J413" s="94"/>
    </row>
    <row r="414">
      <c r="J414" s="94"/>
    </row>
    <row r="415">
      <c r="J415" s="94"/>
    </row>
    <row r="416">
      <c r="J416" s="94"/>
    </row>
    <row r="417">
      <c r="J417" s="94"/>
    </row>
    <row r="418">
      <c r="J418" s="94"/>
    </row>
    <row r="419">
      <c r="J419" s="94"/>
    </row>
    <row r="420">
      <c r="J420" s="94"/>
    </row>
    <row r="421">
      <c r="J421" s="94"/>
    </row>
    <row r="422">
      <c r="J422" s="94"/>
    </row>
    <row r="423">
      <c r="J423" s="94"/>
    </row>
    <row r="424">
      <c r="J424" s="94"/>
    </row>
    <row r="425">
      <c r="J425" s="94"/>
    </row>
    <row r="426">
      <c r="J426" s="94"/>
    </row>
    <row r="427">
      <c r="J427" s="94"/>
    </row>
    <row r="428">
      <c r="J428" s="94"/>
    </row>
    <row r="429">
      <c r="J429" s="94"/>
    </row>
    <row r="430">
      <c r="J430" s="94"/>
    </row>
    <row r="431">
      <c r="J431" s="94"/>
    </row>
    <row r="432">
      <c r="J432" s="94"/>
    </row>
    <row r="433">
      <c r="J433" s="94"/>
    </row>
    <row r="434">
      <c r="J434" s="94"/>
    </row>
    <row r="435">
      <c r="J435" s="94"/>
    </row>
    <row r="436">
      <c r="J436" s="94"/>
    </row>
    <row r="437">
      <c r="J437" s="94"/>
    </row>
    <row r="438">
      <c r="J438" s="94"/>
    </row>
    <row r="439">
      <c r="J439" s="94"/>
    </row>
    <row r="440">
      <c r="J440" s="94"/>
    </row>
    <row r="441">
      <c r="J441" s="94"/>
    </row>
    <row r="442">
      <c r="J442" s="94"/>
    </row>
    <row r="443">
      <c r="J443" s="94"/>
    </row>
    <row r="444">
      <c r="J444" s="94"/>
    </row>
    <row r="445">
      <c r="J445" s="94"/>
    </row>
    <row r="446">
      <c r="J446" s="94"/>
    </row>
    <row r="447">
      <c r="J447" s="94"/>
    </row>
    <row r="448">
      <c r="J448" s="94"/>
    </row>
    <row r="449">
      <c r="J449" s="94"/>
    </row>
    <row r="450">
      <c r="J450" s="94"/>
    </row>
    <row r="451">
      <c r="J451" s="94"/>
    </row>
    <row r="452">
      <c r="J452" s="94"/>
    </row>
    <row r="453">
      <c r="J453" s="94"/>
    </row>
    <row r="454">
      <c r="J454" s="94"/>
    </row>
    <row r="455">
      <c r="J455" s="94"/>
    </row>
    <row r="456">
      <c r="J456" s="94"/>
    </row>
    <row r="457">
      <c r="J457" s="94"/>
    </row>
    <row r="458">
      <c r="J458" s="94"/>
    </row>
    <row r="459">
      <c r="J459" s="94"/>
    </row>
    <row r="460">
      <c r="J460" s="94"/>
    </row>
    <row r="461">
      <c r="J461" s="94"/>
    </row>
    <row r="462">
      <c r="J462" s="94"/>
    </row>
    <row r="463">
      <c r="J463" s="94"/>
    </row>
    <row r="464">
      <c r="J464" s="94"/>
    </row>
    <row r="465">
      <c r="J465" s="94"/>
    </row>
    <row r="466">
      <c r="J466" s="94"/>
    </row>
    <row r="467">
      <c r="J467" s="94"/>
    </row>
    <row r="468">
      <c r="J468" s="94"/>
    </row>
    <row r="469">
      <c r="J469" s="94"/>
    </row>
    <row r="470">
      <c r="J470" s="94"/>
    </row>
    <row r="471">
      <c r="J471" s="94"/>
    </row>
    <row r="472">
      <c r="J472" s="94"/>
    </row>
    <row r="473">
      <c r="J473" s="94"/>
    </row>
    <row r="474">
      <c r="J474" s="94"/>
    </row>
    <row r="475">
      <c r="J475" s="94"/>
    </row>
    <row r="476">
      <c r="J476" s="94"/>
    </row>
    <row r="477">
      <c r="J477" s="94"/>
    </row>
    <row r="478">
      <c r="J478" s="94"/>
    </row>
    <row r="479">
      <c r="J479" s="94"/>
    </row>
    <row r="480">
      <c r="J480" s="94"/>
    </row>
    <row r="481">
      <c r="J481" s="94"/>
    </row>
    <row r="482">
      <c r="J482" s="94"/>
    </row>
    <row r="483">
      <c r="J483" s="94"/>
    </row>
    <row r="484">
      <c r="J484" s="94"/>
    </row>
    <row r="485">
      <c r="J485" s="94"/>
    </row>
    <row r="486">
      <c r="J486" s="94"/>
    </row>
    <row r="487">
      <c r="J487" s="94"/>
    </row>
    <row r="488">
      <c r="J488" s="94"/>
    </row>
    <row r="489">
      <c r="J489" s="94"/>
    </row>
    <row r="490">
      <c r="J490" s="94"/>
    </row>
    <row r="491">
      <c r="J491" s="94"/>
    </row>
    <row r="492">
      <c r="J492" s="94"/>
    </row>
    <row r="493">
      <c r="J493" s="94"/>
    </row>
    <row r="494">
      <c r="J494" s="94"/>
    </row>
    <row r="495">
      <c r="J495" s="94"/>
    </row>
    <row r="496">
      <c r="J496" s="94"/>
    </row>
    <row r="497">
      <c r="J497" s="94"/>
    </row>
    <row r="498">
      <c r="J498" s="94"/>
    </row>
    <row r="499">
      <c r="J499" s="94"/>
    </row>
    <row r="500">
      <c r="J500" s="94"/>
    </row>
    <row r="501">
      <c r="J501" s="94"/>
    </row>
    <row r="502">
      <c r="J502" s="94"/>
    </row>
    <row r="503">
      <c r="J503" s="94"/>
    </row>
    <row r="504">
      <c r="J504" s="94"/>
    </row>
    <row r="505">
      <c r="J505" s="94"/>
    </row>
    <row r="506">
      <c r="J506" s="94"/>
    </row>
    <row r="507">
      <c r="J507" s="94"/>
    </row>
    <row r="508">
      <c r="J508" s="94"/>
    </row>
    <row r="509">
      <c r="J509" s="94"/>
    </row>
    <row r="510">
      <c r="J510" s="94"/>
    </row>
    <row r="511">
      <c r="J511" s="94"/>
    </row>
    <row r="512">
      <c r="J512" s="94"/>
    </row>
    <row r="513">
      <c r="J513" s="94"/>
    </row>
    <row r="514">
      <c r="J514" s="94"/>
    </row>
    <row r="515">
      <c r="J515" s="94"/>
    </row>
    <row r="516">
      <c r="J516" s="94"/>
    </row>
    <row r="517">
      <c r="J517" s="94"/>
    </row>
    <row r="518">
      <c r="J518" s="94"/>
    </row>
    <row r="519">
      <c r="J519" s="94"/>
    </row>
    <row r="520">
      <c r="J520" s="94"/>
    </row>
    <row r="521">
      <c r="J521" s="94"/>
    </row>
    <row r="522">
      <c r="J522" s="94"/>
    </row>
    <row r="523">
      <c r="J523" s="94"/>
    </row>
    <row r="524">
      <c r="J524" s="94"/>
    </row>
    <row r="525">
      <c r="J525" s="94"/>
    </row>
    <row r="526">
      <c r="J526" s="94"/>
    </row>
    <row r="527">
      <c r="J527" s="94"/>
    </row>
    <row r="528">
      <c r="J528" s="94"/>
    </row>
    <row r="529">
      <c r="J529" s="94"/>
    </row>
    <row r="530">
      <c r="J530" s="94"/>
    </row>
    <row r="531">
      <c r="J531" s="94"/>
    </row>
    <row r="532">
      <c r="J532" s="94"/>
    </row>
    <row r="533">
      <c r="J533" s="94"/>
    </row>
    <row r="534">
      <c r="J534" s="94"/>
    </row>
    <row r="535">
      <c r="J535" s="94"/>
    </row>
    <row r="536">
      <c r="J536" s="94"/>
    </row>
    <row r="537">
      <c r="J537" s="94"/>
    </row>
    <row r="538">
      <c r="J538" s="94"/>
    </row>
    <row r="539">
      <c r="J539" s="94"/>
    </row>
    <row r="540">
      <c r="J540" s="94"/>
    </row>
    <row r="541">
      <c r="J541" s="94"/>
    </row>
    <row r="542">
      <c r="J542" s="94"/>
    </row>
    <row r="543">
      <c r="J543" s="94"/>
    </row>
    <row r="544">
      <c r="J544" s="94"/>
    </row>
    <row r="545">
      <c r="J545" s="94"/>
    </row>
    <row r="546">
      <c r="J546" s="94"/>
    </row>
    <row r="547">
      <c r="J547" s="94"/>
    </row>
    <row r="548">
      <c r="J548" s="94"/>
    </row>
    <row r="549">
      <c r="J549" s="94"/>
    </row>
    <row r="550">
      <c r="J550" s="94"/>
    </row>
    <row r="551">
      <c r="J551" s="94"/>
    </row>
    <row r="552">
      <c r="J552" s="94"/>
    </row>
    <row r="553">
      <c r="J553" s="94"/>
    </row>
    <row r="554">
      <c r="J554" s="94"/>
    </row>
    <row r="555">
      <c r="J555" s="94"/>
    </row>
    <row r="556">
      <c r="J556" s="94"/>
    </row>
    <row r="557">
      <c r="J557" s="94"/>
    </row>
    <row r="558">
      <c r="J558" s="94"/>
    </row>
    <row r="559">
      <c r="J559" s="94"/>
    </row>
    <row r="560">
      <c r="J560" s="94"/>
    </row>
    <row r="561">
      <c r="J561" s="94"/>
    </row>
    <row r="562">
      <c r="J562" s="94"/>
    </row>
    <row r="563">
      <c r="J563" s="94"/>
    </row>
    <row r="564">
      <c r="J564" s="94"/>
    </row>
    <row r="565">
      <c r="J565" s="94"/>
    </row>
    <row r="566">
      <c r="J566" s="94"/>
    </row>
    <row r="567">
      <c r="J567" s="94"/>
    </row>
    <row r="568">
      <c r="J568" s="94"/>
    </row>
    <row r="569">
      <c r="J569" s="94"/>
    </row>
    <row r="570">
      <c r="J570" s="94"/>
    </row>
    <row r="571">
      <c r="J571" s="94"/>
    </row>
    <row r="572">
      <c r="J572" s="94"/>
    </row>
    <row r="573">
      <c r="J573" s="94"/>
    </row>
    <row r="574">
      <c r="J574" s="94"/>
    </row>
    <row r="575">
      <c r="J575" s="94"/>
    </row>
    <row r="576">
      <c r="J576" s="94"/>
    </row>
    <row r="577">
      <c r="J577" s="94"/>
    </row>
    <row r="578">
      <c r="J578" s="94"/>
    </row>
    <row r="579">
      <c r="J579" s="94"/>
    </row>
    <row r="580">
      <c r="J580" s="94"/>
    </row>
    <row r="581">
      <c r="J581" s="94"/>
    </row>
    <row r="582">
      <c r="J582" s="94"/>
    </row>
    <row r="583">
      <c r="J583" s="94"/>
    </row>
    <row r="584">
      <c r="J584" s="94"/>
    </row>
    <row r="585">
      <c r="J585" s="94"/>
    </row>
    <row r="586">
      <c r="J586" s="94"/>
    </row>
    <row r="587">
      <c r="J587" s="94"/>
    </row>
    <row r="588">
      <c r="J588" s="94"/>
    </row>
    <row r="589">
      <c r="J589" s="94"/>
    </row>
    <row r="590">
      <c r="J590" s="94"/>
    </row>
    <row r="591">
      <c r="J591" s="94"/>
    </row>
    <row r="592">
      <c r="J592" s="94"/>
    </row>
    <row r="593">
      <c r="J593" s="94"/>
    </row>
    <row r="594">
      <c r="J594" s="94"/>
    </row>
    <row r="595">
      <c r="J595" s="94"/>
    </row>
    <row r="596">
      <c r="J596" s="94"/>
    </row>
    <row r="597">
      <c r="J597" s="94"/>
    </row>
    <row r="598">
      <c r="J598" s="94"/>
    </row>
    <row r="599">
      <c r="J599" s="94"/>
    </row>
    <row r="600">
      <c r="J600" s="94"/>
    </row>
    <row r="601">
      <c r="J601" s="94"/>
    </row>
    <row r="602">
      <c r="J602" s="94"/>
    </row>
    <row r="603">
      <c r="J603" s="94"/>
    </row>
    <row r="604">
      <c r="J604" s="94"/>
    </row>
    <row r="605">
      <c r="J605" s="94"/>
    </row>
    <row r="606">
      <c r="J606" s="94"/>
    </row>
    <row r="607">
      <c r="J607" s="94"/>
    </row>
    <row r="608">
      <c r="J608" s="94"/>
    </row>
    <row r="609">
      <c r="J609" s="94"/>
    </row>
    <row r="610">
      <c r="J610" s="94"/>
    </row>
    <row r="611">
      <c r="J611" s="94"/>
    </row>
    <row r="612">
      <c r="J612" s="94"/>
    </row>
    <row r="613">
      <c r="J613" s="94"/>
    </row>
    <row r="614">
      <c r="J614" s="94"/>
    </row>
    <row r="615">
      <c r="J615" s="94"/>
    </row>
    <row r="616">
      <c r="J616" s="94"/>
    </row>
    <row r="617">
      <c r="J617" s="94"/>
    </row>
    <row r="618">
      <c r="J618" s="94"/>
    </row>
    <row r="619">
      <c r="J619" s="94"/>
    </row>
    <row r="620">
      <c r="J620" s="94"/>
    </row>
    <row r="621">
      <c r="J621" s="94"/>
    </row>
    <row r="622">
      <c r="J622" s="94"/>
    </row>
    <row r="623">
      <c r="J623" s="94"/>
    </row>
    <row r="624">
      <c r="J624" s="94"/>
    </row>
    <row r="625">
      <c r="J625" s="94"/>
    </row>
    <row r="626">
      <c r="J626" s="94"/>
    </row>
    <row r="627">
      <c r="J627" s="94"/>
    </row>
    <row r="628">
      <c r="J628" s="94"/>
    </row>
    <row r="629">
      <c r="J629" s="94"/>
    </row>
    <row r="630">
      <c r="J630" s="94"/>
    </row>
    <row r="631">
      <c r="J631" s="94"/>
    </row>
    <row r="632">
      <c r="J632" s="94"/>
    </row>
    <row r="633">
      <c r="J633" s="94"/>
    </row>
    <row r="634">
      <c r="J634" s="94"/>
    </row>
    <row r="635">
      <c r="J635" s="94"/>
    </row>
    <row r="636">
      <c r="J636" s="94"/>
    </row>
    <row r="637">
      <c r="J637" s="94"/>
    </row>
    <row r="638">
      <c r="J638" s="94"/>
    </row>
    <row r="639">
      <c r="J639" s="94"/>
    </row>
    <row r="640">
      <c r="J640" s="94"/>
    </row>
    <row r="641">
      <c r="J641" s="94"/>
    </row>
    <row r="642">
      <c r="J642" s="94"/>
    </row>
    <row r="643">
      <c r="J643" s="94"/>
    </row>
    <row r="644">
      <c r="J644" s="94"/>
    </row>
    <row r="645">
      <c r="J645" s="94"/>
    </row>
    <row r="646">
      <c r="J646" s="94"/>
    </row>
    <row r="647">
      <c r="J647" s="94"/>
    </row>
    <row r="648">
      <c r="J648" s="94"/>
    </row>
    <row r="649">
      <c r="J649" s="94"/>
    </row>
    <row r="650">
      <c r="J650" s="94"/>
    </row>
    <row r="651">
      <c r="J651" s="94"/>
    </row>
    <row r="652">
      <c r="J652" s="94"/>
    </row>
    <row r="653">
      <c r="J653" s="94"/>
    </row>
    <row r="654">
      <c r="J654" s="94"/>
    </row>
    <row r="655">
      <c r="J655" s="94"/>
    </row>
    <row r="656">
      <c r="J656" s="94"/>
    </row>
    <row r="657">
      <c r="J657" s="94"/>
    </row>
    <row r="658">
      <c r="J658" s="94"/>
    </row>
    <row r="659">
      <c r="J659" s="94"/>
    </row>
    <row r="660">
      <c r="J660" s="94"/>
    </row>
    <row r="661">
      <c r="J661" s="94"/>
    </row>
    <row r="662">
      <c r="J662" s="94"/>
    </row>
    <row r="663">
      <c r="J663" s="94"/>
    </row>
    <row r="664">
      <c r="J664" s="94"/>
    </row>
    <row r="665">
      <c r="J665" s="94"/>
    </row>
    <row r="666">
      <c r="J666" s="94"/>
    </row>
    <row r="667">
      <c r="J667" s="94"/>
    </row>
    <row r="668">
      <c r="J668" s="94"/>
    </row>
    <row r="669">
      <c r="J669" s="94"/>
    </row>
    <row r="670">
      <c r="J670" s="94"/>
    </row>
    <row r="671">
      <c r="J671" s="94"/>
    </row>
    <row r="672">
      <c r="J672" s="94"/>
    </row>
    <row r="673">
      <c r="J673" s="94"/>
    </row>
    <row r="674">
      <c r="J674" s="94"/>
    </row>
    <row r="675">
      <c r="J675" s="94"/>
    </row>
    <row r="676">
      <c r="J676" s="94"/>
    </row>
    <row r="677">
      <c r="J677" s="94"/>
    </row>
    <row r="678">
      <c r="J678" s="94"/>
    </row>
    <row r="679">
      <c r="J679" s="94"/>
    </row>
    <row r="680">
      <c r="J680" s="94"/>
    </row>
    <row r="681">
      <c r="J681" s="94"/>
    </row>
    <row r="682">
      <c r="J682" s="94"/>
    </row>
    <row r="683">
      <c r="J683" s="94"/>
    </row>
    <row r="684">
      <c r="J684" s="94"/>
    </row>
    <row r="685">
      <c r="J685" s="94"/>
    </row>
    <row r="686">
      <c r="J686" s="94"/>
    </row>
    <row r="687">
      <c r="J687" s="94"/>
    </row>
    <row r="688">
      <c r="J688" s="94"/>
    </row>
    <row r="689">
      <c r="J689" s="94"/>
    </row>
    <row r="690">
      <c r="J690" s="94"/>
    </row>
    <row r="691">
      <c r="J691" s="94"/>
    </row>
    <row r="692">
      <c r="J692" s="94"/>
    </row>
    <row r="693">
      <c r="J693" s="94"/>
    </row>
    <row r="694">
      <c r="J694" s="94"/>
    </row>
    <row r="695">
      <c r="J695" s="94"/>
    </row>
    <row r="696">
      <c r="J696" s="94"/>
    </row>
    <row r="697">
      <c r="J697" s="94"/>
    </row>
    <row r="698">
      <c r="J698" s="94"/>
    </row>
    <row r="699">
      <c r="J699" s="94"/>
    </row>
    <row r="700">
      <c r="J700" s="94"/>
    </row>
    <row r="701">
      <c r="J701" s="94"/>
    </row>
    <row r="702">
      <c r="J702" s="94"/>
    </row>
    <row r="703">
      <c r="J703" s="94"/>
    </row>
    <row r="704">
      <c r="J704" s="94"/>
    </row>
    <row r="705">
      <c r="J705" s="94"/>
    </row>
    <row r="706">
      <c r="J706" s="94"/>
    </row>
    <row r="707">
      <c r="J707" s="94"/>
    </row>
    <row r="708">
      <c r="J708" s="94"/>
    </row>
    <row r="709">
      <c r="J709" s="94"/>
    </row>
    <row r="710">
      <c r="J710" s="94"/>
    </row>
    <row r="711">
      <c r="J711" s="94"/>
    </row>
    <row r="712">
      <c r="J712" s="94"/>
    </row>
    <row r="713">
      <c r="J713" s="94"/>
    </row>
    <row r="714">
      <c r="J714" s="94"/>
    </row>
    <row r="715">
      <c r="J715" s="94"/>
    </row>
    <row r="716">
      <c r="J716" s="94"/>
    </row>
    <row r="717">
      <c r="J717" s="94"/>
    </row>
    <row r="718">
      <c r="J718" s="94"/>
    </row>
    <row r="719">
      <c r="J719" s="94"/>
    </row>
    <row r="720">
      <c r="J720" s="94"/>
    </row>
    <row r="721">
      <c r="J721" s="94"/>
    </row>
    <row r="722">
      <c r="J722" s="94"/>
    </row>
    <row r="723">
      <c r="J723" s="94"/>
    </row>
    <row r="724">
      <c r="J724" s="94"/>
    </row>
    <row r="725">
      <c r="J725" s="94"/>
    </row>
    <row r="726">
      <c r="J726" s="94"/>
    </row>
    <row r="727">
      <c r="J727" s="94"/>
    </row>
    <row r="728">
      <c r="J728" s="94"/>
    </row>
    <row r="729">
      <c r="J729" s="94"/>
    </row>
    <row r="730">
      <c r="J730" s="94"/>
    </row>
    <row r="731">
      <c r="J731" s="94"/>
    </row>
    <row r="732">
      <c r="J732" s="94"/>
    </row>
    <row r="733">
      <c r="J733" s="94"/>
    </row>
    <row r="734">
      <c r="J734" s="94"/>
    </row>
    <row r="735">
      <c r="J735" s="94"/>
    </row>
    <row r="736">
      <c r="J736" s="94"/>
    </row>
    <row r="737">
      <c r="J737" s="94"/>
    </row>
    <row r="738">
      <c r="J738" s="94"/>
    </row>
    <row r="739">
      <c r="J739" s="94"/>
    </row>
    <row r="740">
      <c r="J740" s="94"/>
    </row>
    <row r="741">
      <c r="J741" s="94"/>
    </row>
    <row r="742">
      <c r="J742" s="94"/>
    </row>
    <row r="743">
      <c r="J743" s="94"/>
    </row>
    <row r="744">
      <c r="J744" s="94"/>
    </row>
    <row r="745">
      <c r="J745" s="94"/>
    </row>
    <row r="746">
      <c r="J746" s="94"/>
    </row>
    <row r="747">
      <c r="J747" s="94"/>
    </row>
    <row r="748">
      <c r="J748" s="94"/>
    </row>
    <row r="749">
      <c r="J749" s="94"/>
    </row>
    <row r="750">
      <c r="J750" s="94"/>
    </row>
    <row r="751">
      <c r="J751" s="94"/>
    </row>
    <row r="752">
      <c r="J752" s="94"/>
    </row>
    <row r="753">
      <c r="J753" s="94"/>
    </row>
    <row r="754">
      <c r="J754" s="94"/>
    </row>
    <row r="755">
      <c r="J755" s="94"/>
    </row>
    <row r="756">
      <c r="J756" s="94"/>
    </row>
    <row r="757">
      <c r="J757" s="94"/>
    </row>
    <row r="758">
      <c r="J758" s="94"/>
    </row>
    <row r="759">
      <c r="J759" s="94"/>
    </row>
    <row r="760">
      <c r="J760" s="94"/>
    </row>
    <row r="761">
      <c r="J761" s="94"/>
    </row>
    <row r="762">
      <c r="J762" s="94"/>
    </row>
    <row r="763">
      <c r="J763" s="94"/>
    </row>
    <row r="764">
      <c r="J764" s="94"/>
    </row>
    <row r="765">
      <c r="J765" s="94"/>
    </row>
    <row r="766">
      <c r="J766" s="94"/>
    </row>
    <row r="767">
      <c r="J767" s="94"/>
    </row>
    <row r="768">
      <c r="J768" s="94"/>
    </row>
    <row r="769">
      <c r="J769" s="94"/>
    </row>
    <row r="770">
      <c r="J770" s="94"/>
    </row>
    <row r="771">
      <c r="J771" s="94"/>
    </row>
    <row r="772">
      <c r="J772" s="94"/>
    </row>
    <row r="773">
      <c r="J773" s="94"/>
    </row>
    <row r="774">
      <c r="J774" s="94"/>
    </row>
    <row r="775">
      <c r="J775" s="94"/>
    </row>
    <row r="776">
      <c r="J776" s="94"/>
    </row>
    <row r="777">
      <c r="J777" s="94"/>
    </row>
    <row r="778">
      <c r="J778" s="94"/>
    </row>
    <row r="779">
      <c r="J779" s="94"/>
    </row>
    <row r="780">
      <c r="J780" s="94"/>
    </row>
    <row r="781">
      <c r="J781" s="94"/>
    </row>
    <row r="782">
      <c r="J782" s="94"/>
    </row>
    <row r="783">
      <c r="J783" s="94"/>
    </row>
    <row r="784">
      <c r="J784" s="94"/>
    </row>
    <row r="785">
      <c r="J785" s="94"/>
    </row>
    <row r="786">
      <c r="J786" s="94"/>
    </row>
    <row r="787">
      <c r="J787" s="94"/>
    </row>
    <row r="788">
      <c r="J788" s="94"/>
    </row>
    <row r="789">
      <c r="J789" s="94"/>
    </row>
    <row r="790">
      <c r="J790" s="94"/>
    </row>
    <row r="791">
      <c r="J791" s="94"/>
    </row>
    <row r="792">
      <c r="J792" s="94"/>
    </row>
    <row r="793">
      <c r="J793" s="94"/>
    </row>
    <row r="794">
      <c r="J794" s="94"/>
    </row>
    <row r="795">
      <c r="J795" s="94"/>
    </row>
    <row r="796">
      <c r="J796" s="94"/>
    </row>
    <row r="797">
      <c r="J797" s="94"/>
    </row>
    <row r="798">
      <c r="J798" s="94"/>
    </row>
    <row r="799">
      <c r="J799" s="94"/>
    </row>
    <row r="800">
      <c r="J800" s="94"/>
    </row>
    <row r="801">
      <c r="J801" s="94"/>
    </row>
    <row r="802">
      <c r="J802" s="94"/>
    </row>
    <row r="803">
      <c r="J803" s="94"/>
    </row>
    <row r="804">
      <c r="J804" s="94"/>
    </row>
    <row r="805">
      <c r="J805" s="94"/>
    </row>
    <row r="806">
      <c r="J806" s="94"/>
    </row>
    <row r="807">
      <c r="J807" s="94"/>
    </row>
    <row r="808">
      <c r="J808" s="94"/>
    </row>
    <row r="809">
      <c r="J809" s="94"/>
    </row>
    <row r="810">
      <c r="J810" s="94"/>
    </row>
    <row r="811">
      <c r="J811" s="94"/>
    </row>
    <row r="812">
      <c r="J812" s="94"/>
    </row>
    <row r="813">
      <c r="J813" s="94"/>
    </row>
    <row r="814">
      <c r="J814" s="94"/>
    </row>
    <row r="815">
      <c r="J815" s="94"/>
    </row>
    <row r="816">
      <c r="J816" s="94"/>
    </row>
    <row r="817">
      <c r="J817" s="94"/>
    </row>
    <row r="818">
      <c r="J818" s="94"/>
    </row>
    <row r="819">
      <c r="J819" s="94"/>
    </row>
    <row r="820">
      <c r="J820" s="94"/>
    </row>
    <row r="821">
      <c r="J821" s="94"/>
    </row>
    <row r="822">
      <c r="J822" s="94"/>
    </row>
    <row r="823">
      <c r="J823" s="94"/>
    </row>
    <row r="824">
      <c r="J824" s="94"/>
    </row>
    <row r="825">
      <c r="J825" s="94"/>
    </row>
    <row r="826">
      <c r="J826" s="94"/>
    </row>
    <row r="827">
      <c r="J827" s="94"/>
    </row>
    <row r="828">
      <c r="J828" s="94"/>
    </row>
    <row r="829">
      <c r="J829" s="94"/>
    </row>
    <row r="830">
      <c r="J830" s="94"/>
    </row>
    <row r="831">
      <c r="J831" s="94"/>
    </row>
    <row r="832">
      <c r="J832" s="94"/>
    </row>
    <row r="833">
      <c r="J833" s="94"/>
    </row>
    <row r="834">
      <c r="J834" s="94"/>
    </row>
    <row r="835">
      <c r="J835" s="94"/>
    </row>
    <row r="836">
      <c r="J836" s="94"/>
    </row>
    <row r="837">
      <c r="J837" s="94"/>
    </row>
    <row r="838">
      <c r="J838" s="94"/>
    </row>
    <row r="839">
      <c r="J839" s="94"/>
    </row>
    <row r="840">
      <c r="J840" s="94"/>
    </row>
    <row r="841">
      <c r="J841" s="94"/>
    </row>
    <row r="842">
      <c r="J842" s="94"/>
    </row>
    <row r="843">
      <c r="J843" s="94"/>
    </row>
    <row r="844">
      <c r="J844" s="94"/>
    </row>
    <row r="845">
      <c r="J845" s="94"/>
    </row>
    <row r="846">
      <c r="J846" s="94"/>
    </row>
    <row r="847">
      <c r="J847" s="94"/>
    </row>
    <row r="848">
      <c r="J848" s="94"/>
    </row>
    <row r="849">
      <c r="J849" s="94"/>
    </row>
    <row r="850">
      <c r="J850" s="94"/>
    </row>
    <row r="851">
      <c r="J851" s="94"/>
    </row>
    <row r="852">
      <c r="J852" s="94"/>
    </row>
    <row r="853">
      <c r="J853" s="94"/>
    </row>
    <row r="854">
      <c r="J854" s="94"/>
    </row>
    <row r="855">
      <c r="J855" s="94"/>
    </row>
    <row r="856">
      <c r="J856" s="94"/>
    </row>
    <row r="857">
      <c r="J857" s="94"/>
    </row>
    <row r="858">
      <c r="J858" s="94"/>
    </row>
    <row r="859">
      <c r="J859" s="94"/>
    </row>
    <row r="860">
      <c r="J860" s="94"/>
    </row>
    <row r="861">
      <c r="J861" s="94"/>
    </row>
    <row r="862">
      <c r="J862" s="94"/>
    </row>
    <row r="863">
      <c r="J863" s="94"/>
    </row>
    <row r="864">
      <c r="J864" s="94"/>
    </row>
    <row r="865">
      <c r="J865" s="94"/>
    </row>
    <row r="866">
      <c r="J866" s="94"/>
    </row>
    <row r="867">
      <c r="J867" s="94"/>
    </row>
    <row r="868">
      <c r="J868" s="94"/>
    </row>
    <row r="869">
      <c r="J869" s="94"/>
    </row>
    <row r="870">
      <c r="J870" s="94"/>
    </row>
    <row r="871">
      <c r="J871" s="94"/>
    </row>
    <row r="872">
      <c r="J872" s="94"/>
    </row>
    <row r="873">
      <c r="J873" s="94"/>
    </row>
    <row r="874">
      <c r="J874" s="94"/>
    </row>
    <row r="875">
      <c r="J875" s="94"/>
    </row>
    <row r="876">
      <c r="J876" s="94"/>
    </row>
    <row r="877">
      <c r="J877" s="94"/>
    </row>
    <row r="878">
      <c r="J878" s="94"/>
    </row>
    <row r="879">
      <c r="J879" s="94"/>
    </row>
    <row r="880">
      <c r="J880" s="94"/>
    </row>
    <row r="881">
      <c r="J881" s="94"/>
    </row>
    <row r="882">
      <c r="J882" s="94"/>
    </row>
    <row r="883">
      <c r="J883" s="94"/>
    </row>
    <row r="884">
      <c r="J884" s="94"/>
    </row>
    <row r="885">
      <c r="J885" s="94"/>
    </row>
    <row r="886">
      <c r="J886" s="94"/>
    </row>
    <row r="887">
      <c r="J887" s="94"/>
    </row>
    <row r="888">
      <c r="J888" s="94"/>
    </row>
    <row r="889">
      <c r="J889" s="94"/>
    </row>
    <row r="890">
      <c r="J890" s="94"/>
    </row>
    <row r="891">
      <c r="J891" s="94"/>
    </row>
    <row r="892">
      <c r="J892" s="94"/>
    </row>
    <row r="893">
      <c r="J893" s="94"/>
    </row>
    <row r="894">
      <c r="J894" s="94"/>
    </row>
    <row r="895">
      <c r="J895" s="94"/>
    </row>
    <row r="896">
      <c r="J896" s="94"/>
    </row>
    <row r="897">
      <c r="J897" s="94"/>
    </row>
    <row r="898">
      <c r="J898" s="94"/>
    </row>
    <row r="899">
      <c r="J899" s="94"/>
    </row>
    <row r="900">
      <c r="J900" s="94"/>
    </row>
    <row r="901">
      <c r="J901" s="94"/>
    </row>
    <row r="902">
      <c r="J902" s="94"/>
    </row>
    <row r="903">
      <c r="J903" s="94"/>
    </row>
    <row r="904">
      <c r="J904" s="94"/>
    </row>
    <row r="905">
      <c r="J905" s="94"/>
    </row>
    <row r="906">
      <c r="J906" s="94"/>
    </row>
    <row r="907">
      <c r="J907" s="94"/>
    </row>
    <row r="908">
      <c r="J908" s="94"/>
    </row>
    <row r="909">
      <c r="J909" s="94"/>
    </row>
    <row r="910">
      <c r="J910" s="94"/>
    </row>
    <row r="911">
      <c r="J911" s="94"/>
    </row>
    <row r="912">
      <c r="J912" s="94"/>
    </row>
    <row r="913">
      <c r="J913" s="94"/>
    </row>
    <row r="914">
      <c r="J914" s="94"/>
    </row>
    <row r="915">
      <c r="J915" s="94"/>
    </row>
    <row r="916">
      <c r="J916" s="94"/>
    </row>
    <row r="917">
      <c r="J917" s="94"/>
    </row>
    <row r="918">
      <c r="J918" s="94"/>
    </row>
    <row r="919">
      <c r="J919" s="94"/>
    </row>
    <row r="920">
      <c r="J920" s="94"/>
    </row>
    <row r="921">
      <c r="J921" s="94"/>
    </row>
    <row r="922">
      <c r="J922" s="94"/>
    </row>
    <row r="923">
      <c r="J923" s="94"/>
    </row>
    <row r="924">
      <c r="J924" s="94"/>
    </row>
    <row r="925">
      <c r="J925" s="94"/>
    </row>
    <row r="926">
      <c r="J926" s="94"/>
    </row>
    <row r="927">
      <c r="J927" s="94"/>
    </row>
    <row r="928">
      <c r="J928" s="94"/>
    </row>
    <row r="929">
      <c r="J929" s="94"/>
    </row>
    <row r="930">
      <c r="J930" s="94"/>
    </row>
    <row r="931">
      <c r="J931" s="94"/>
    </row>
    <row r="932">
      <c r="J932" s="94"/>
    </row>
    <row r="933">
      <c r="J933" s="94"/>
    </row>
    <row r="934">
      <c r="J934" s="94"/>
    </row>
    <row r="935">
      <c r="J935" s="94"/>
    </row>
    <row r="936">
      <c r="J936" s="94"/>
    </row>
    <row r="937">
      <c r="J937" s="94"/>
    </row>
    <row r="938">
      <c r="J938" s="94"/>
    </row>
    <row r="939">
      <c r="J939" s="94"/>
    </row>
    <row r="940">
      <c r="J940" s="94"/>
    </row>
    <row r="941">
      <c r="J941" s="94"/>
    </row>
    <row r="942">
      <c r="J942" s="94"/>
    </row>
    <row r="943">
      <c r="J943" s="94"/>
    </row>
    <row r="944">
      <c r="J944" s="94"/>
    </row>
    <row r="945">
      <c r="J945" s="94"/>
    </row>
    <row r="946">
      <c r="J946" s="94"/>
    </row>
    <row r="947">
      <c r="J947" s="94"/>
    </row>
    <row r="948">
      <c r="J948" s="94"/>
    </row>
    <row r="949">
      <c r="J949" s="94"/>
    </row>
    <row r="950">
      <c r="J950" s="94"/>
    </row>
    <row r="951">
      <c r="J951" s="94"/>
    </row>
    <row r="952">
      <c r="J952" s="94"/>
    </row>
    <row r="953">
      <c r="J953" s="94"/>
    </row>
    <row r="954">
      <c r="J954" s="94"/>
    </row>
    <row r="955">
      <c r="J955" s="94"/>
    </row>
    <row r="956">
      <c r="J956" s="94"/>
    </row>
    <row r="957">
      <c r="J957" s="94"/>
    </row>
    <row r="958">
      <c r="J958" s="94"/>
    </row>
    <row r="959">
      <c r="J959" s="94"/>
    </row>
    <row r="960">
      <c r="J960" s="94"/>
    </row>
    <row r="961">
      <c r="J961" s="94"/>
    </row>
    <row r="962">
      <c r="J962" s="94"/>
    </row>
    <row r="963">
      <c r="J963" s="94"/>
    </row>
    <row r="964">
      <c r="J964" s="94"/>
    </row>
    <row r="965">
      <c r="J965" s="94"/>
    </row>
    <row r="966">
      <c r="J966" s="94"/>
    </row>
    <row r="967">
      <c r="J967" s="94"/>
    </row>
    <row r="968">
      <c r="J968" s="94"/>
    </row>
    <row r="969">
      <c r="J969" s="94"/>
    </row>
    <row r="970">
      <c r="J970" s="94"/>
    </row>
    <row r="971">
      <c r="J971" s="94"/>
    </row>
    <row r="972">
      <c r="J972" s="94"/>
    </row>
    <row r="973">
      <c r="J973" s="94"/>
    </row>
    <row r="974">
      <c r="J974" s="94"/>
    </row>
    <row r="975">
      <c r="J975" s="94"/>
    </row>
    <row r="976">
      <c r="J976" s="94"/>
    </row>
    <row r="977">
      <c r="J977" s="94"/>
    </row>
    <row r="978">
      <c r="J978" s="94"/>
    </row>
    <row r="979">
      <c r="J979" s="94"/>
    </row>
    <row r="980">
      <c r="J980" s="94"/>
    </row>
    <row r="981">
      <c r="J981" s="94"/>
    </row>
    <row r="982">
      <c r="J982" s="94"/>
    </row>
    <row r="983">
      <c r="J983" s="94"/>
    </row>
    <row r="984">
      <c r="J984" s="94"/>
    </row>
    <row r="985">
      <c r="J985" s="94"/>
    </row>
    <row r="986">
      <c r="J986" s="94"/>
    </row>
    <row r="987">
      <c r="J987" s="94"/>
    </row>
    <row r="988">
      <c r="J988" s="94"/>
    </row>
    <row r="989">
      <c r="J989" s="94"/>
    </row>
    <row r="990">
      <c r="J990" s="94"/>
    </row>
    <row r="991">
      <c r="J991" s="94"/>
    </row>
    <row r="992">
      <c r="J992" s="94"/>
    </row>
    <row r="993">
      <c r="J993" s="94"/>
    </row>
    <row r="994">
      <c r="J994" s="94"/>
    </row>
    <row r="995">
      <c r="J995" s="94"/>
    </row>
    <row r="996">
      <c r="J996" s="94"/>
    </row>
    <row r="997">
      <c r="J997" s="94"/>
    </row>
    <row r="998">
      <c r="J998" s="94"/>
    </row>
    <row r="999">
      <c r="J999" s="94"/>
    </row>
    <row r="1000">
      <c r="J1000" s="94"/>
    </row>
  </sheetData>
  <dataValidations>
    <dataValidation type="list" allowBlank="1" showErrorMessage="1" sqref="L2:L307">
      <formula1>'TENDINE SLIM'!$I$2:$I$155</formula1>
    </dataValidation>
    <dataValidation type="list" allowBlank="1" showErrorMessage="1" sqref="J2:J307">
      <formula1>'TENDINE SLIM'!$G$2:$G$13</formula1>
    </dataValidation>
    <dataValidation type="list" allowBlank="1" showErrorMessage="1" sqref="K2:K307">
      <formula1>'TENDINE SLIM'!$H$2:$H$8</formula1>
    </dataValidation>
    <dataValidation type="list" allowBlank="1" showErrorMessage="1" sqref="A2:A284">
      <formula1>ANAGRAFICA!$B$2:$B$506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8" max="8" width="45.25"/>
    <col customWidth="1" min="9" max="10" width="19.5"/>
    <col customWidth="1" min="11" max="11" width="18.25"/>
    <col customWidth="1" min="12" max="12" width="14.38"/>
    <col customWidth="1" min="13" max="14" width="20.75"/>
    <col customWidth="1" min="15" max="15" width="20.38"/>
    <col customWidth="1" min="16" max="16" width="30.88"/>
    <col customWidth="1" min="17" max="17" width="30.38"/>
    <col customWidth="1" min="18" max="18" width="25.38"/>
    <col customWidth="1" min="19" max="19" width="35.5"/>
    <col customWidth="1" min="20" max="20" width="19.25"/>
    <col customWidth="1" min="21" max="24" width="25.25"/>
    <col customWidth="1" min="25" max="25" width="17.63"/>
    <col customWidth="1" min="26" max="26" width="28.13"/>
    <col customWidth="1" min="27" max="27" width="24.63"/>
    <col customWidth="1" min="28" max="28" width="25.25"/>
    <col customWidth="1" min="29" max="29" width="13.88"/>
  </cols>
  <sheetData>
    <row r="1">
      <c r="A1" s="207" t="s">
        <v>1</v>
      </c>
      <c r="B1" s="208" t="s">
        <v>2</v>
      </c>
      <c r="C1" s="207" t="s">
        <v>3</v>
      </c>
      <c r="D1" s="207" t="s">
        <v>4</v>
      </c>
      <c r="E1" s="207" t="s">
        <v>385</v>
      </c>
      <c r="F1" s="209" t="s">
        <v>6</v>
      </c>
      <c r="G1" s="207" t="s">
        <v>386</v>
      </c>
      <c r="H1" s="207" t="s">
        <v>1136</v>
      </c>
      <c r="I1" s="209" t="s">
        <v>1137</v>
      </c>
      <c r="J1" s="207" t="s">
        <v>1138</v>
      </c>
      <c r="K1" s="209" t="s">
        <v>1139</v>
      </c>
      <c r="L1" s="207" t="s">
        <v>1140</v>
      </c>
      <c r="M1" s="209" t="s">
        <v>1141</v>
      </c>
      <c r="N1" s="209" t="s">
        <v>1142</v>
      </c>
      <c r="O1" s="207" t="s">
        <v>1143</v>
      </c>
      <c r="P1" s="207" t="s">
        <v>1144</v>
      </c>
      <c r="Q1" s="207" t="s">
        <v>1145</v>
      </c>
      <c r="R1" s="207" t="s">
        <v>1146</v>
      </c>
      <c r="S1" s="207" t="s">
        <v>1147</v>
      </c>
      <c r="T1" s="207" t="s">
        <v>1148</v>
      </c>
      <c r="U1" s="209" t="s">
        <v>1149</v>
      </c>
      <c r="V1" s="209" t="s">
        <v>1150</v>
      </c>
      <c r="W1" s="209" t="s">
        <v>1151</v>
      </c>
      <c r="X1" s="209" t="s">
        <v>1152</v>
      </c>
      <c r="Y1" s="207" t="s">
        <v>1153</v>
      </c>
      <c r="Z1" s="209" t="s">
        <v>1154</v>
      </c>
      <c r="AA1" s="207" t="s">
        <v>1155</v>
      </c>
      <c r="AB1" s="209" t="s">
        <v>1156</v>
      </c>
      <c r="AC1" s="210" t="s">
        <v>1157</v>
      </c>
      <c r="AD1" s="211"/>
      <c r="AE1" s="211"/>
    </row>
    <row r="2">
      <c r="A2" s="57">
        <v>2.124012963E9</v>
      </c>
      <c r="B2" s="109" t="str">
        <f>VLOOKUP($A2,ANAGRAFICA!$B$1:$G$306,2,FALSE)</f>
        <v>TARENZI</v>
      </c>
      <c r="C2" s="109" t="str">
        <f>VLOOKUP($A2,ANAGRAFICA!$B$1:$G$306,3,FALSE)</f>
        <v>GIACOMO</v>
      </c>
      <c r="D2" s="109" t="str">
        <f>VLOOKUP($A2,ANAGRAFICA!$B$1:$G$306,4,FALSE)</f>
        <v>758-7</v>
      </c>
      <c r="E2" s="109">
        <f>VLOOKUP($A2,ANAGRAFICA!$B$1:$G$306,5,FALSE)</f>
        <v>3272024073</v>
      </c>
      <c r="F2" s="109">
        <f>VLOOKUP($A2,ANAGRAFICA!$B$1:$G$306,6,FALSE)</f>
        <v>2024</v>
      </c>
      <c r="G2" s="212">
        <v>1.0</v>
      </c>
      <c r="H2" s="11" t="s">
        <v>1158</v>
      </c>
      <c r="I2" s="115" t="b">
        <v>0</v>
      </c>
      <c r="J2" s="66"/>
      <c r="K2" s="11" t="s">
        <v>1159</v>
      </c>
      <c r="L2" s="11" t="b">
        <v>0</v>
      </c>
      <c r="M2" s="11" t="b">
        <v>0</v>
      </c>
      <c r="N2" s="164">
        <v>45496.0</v>
      </c>
      <c r="O2" s="66"/>
      <c r="P2" s="164">
        <v>45496.0</v>
      </c>
      <c r="Q2" s="164">
        <v>45496.0</v>
      </c>
      <c r="R2" s="66"/>
      <c r="S2" s="66"/>
      <c r="T2" s="116">
        <v>45496.0</v>
      </c>
      <c r="U2" s="11"/>
      <c r="V2" s="11" t="b">
        <v>0</v>
      </c>
      <c r="W2" s="11" t="b">
        <v>0</v>
      </c>
      <c r="X2" s="11" t="s">
        <v>1160</v>
      </c>
      <c r="Y2" s="115"/>
      <c r="Z2" s="11" t="b">
        <v>1</v>
      </c>
      <c r="AA2" s="11" t="s">
        <v>1161</v>
      </c>
      <c r="AB2" s="11" t="b">
        <v>1</v>
      </c>
      <c r="AC2" s="117"/>
    </row>
    <row r="3">
      <c r="A3" s="57">
        <v>2.123023299E9</v>
      </c>
      <c r="B3" s="109" t="str">
        <f>VLOOKUP($A3,ANAGRAFICA!$B$1:$G$306,2,FALSE)</f>
        <v>BEATRICE</v>
      </c>
      <c r="C3" s="109" t="str">
        <f>VLOOKUP($A3,ANAGRAFICA!$B$1:$G$306,3,FALSE)</f>
        <v>GERARDINA</v>
      </c>
      <c r="D3" s="109" t="str">
        <f>VLOOKUP($A3,ANAGRAFICA!$B$1:$G$306,4,FALSE)</f>
        <v/>
      </c>
      <c r="E3" s="109">
        <f>VLOOKUP($A3,ANAGRAFICA!$B$1:$G$306,5,FALSE)</f>
        <v>3272024098</v>
      </c>
      <c r="F3" s="109">
        <f>VLOOKUP($A3,ANAGRAFICA!$B$1:$G$306,6,FALSE)</f>
        <v>2024</v>
      </c>
      <c r="G3" s="212">
        <v>1.0</v>
      </c>
      <c r="H3" s="11" t="s">
        <v>1158</v>
      </c>
      <c r="I3" s="115" t="b">
        <v>0</v>
      </c>
      <c r="J3" s="66"/>
      <c r="K3" s="11" t="s">
        <v>1159</v>
      </c>
      <c r="L3" s="11" t="b">
        <v>0</v>
      </c>
      <c r="M3" s="11" t="b">
        <v>0</v>
      </c>
      <c r="N3" s="164">
        <v>45293.0</v>
      </c>
      <c r="O3" s="11" t="s">
        <v>199</v>
      </c>
      <c r="P3" s="164">
        <v>6701107.0</v>
      </c>
      <c r="Q3" s="11" t="s">
        <v>199</v>
      </c>
      <c r="R3" s="66"/>
      <c r="S3" s="66"/>
      <c r="T3" s="164">
        <v>45324.0</v>
      </c>
      <c r="U3" s="11" t="s">
        <v>199</v>
      </c>
      <c r="V3" s="11" t="b">
        <v>0</v>
      </c>
      <c r="W3" s="11" t="b">
        <v>1</v>
      </c>
      <c r="X3" s="11" t="s">
        <v>1160</v>
      </c>
      <c r="Y3" s="115"/>
      <c r="Z3" s="11" t="b">
        <v>0</v>
      </c>
      <c r="AA3" s="115"/>
      <c r="AB3" s="11" t="b">
        <v>0</v>
      </c>
      <c r="AC3" s="117"/>
    </row>
    <row r="4">
      <c r="A4" s="57">
        <v>2.124000149E9</v>
      </c>
      <c r="B4" s="109" t="str">
        <f>VLOOKUP($A4,ANAGRAFICA!$B$1:$G$306,2,FALSE)</f>
        <v>MOTTA</v>
      </c>
      <c r="C4" s="109" t="str">
        <f>VLOOKUP($A4,ANAGRAFICA!$B$1:$G$306,3,FALSE)</f>
        <v>FABIO</v>
      </c>
      <c r="D4" s="109" t="str">
        <f>VLOOKUP($A4,ANAGRAFICA!$B$1:$G$306,4,FALSE)</f>
        <v/>
      </c>
      <c r="E4" s="109">
        <f>VLOOKUP($A4,ANAGRAFICA!$B$1:$G$306,5,FALSE)</f>
        <v>3272024051</v>
      </c>
      <c r="F4" s="109">
        <f>VLOOKUP($A4,ANAGRAFICA!$B$1:$G$306,6,FALSE)</f>
        <v>2024</v>
      </c>
      <c r="G4" s="212">
        <v>1.0</v>
      </c>
      <c r="H4" s="115"/>
      <c r="I4" s="115" t="b">
        <v>1</v>
      </c>
      <c r="J4" s="164">
        <v>45312.0</v>
      </c>
      <c r="K4" s="11" t="s">
        <v>1162</v>
      </c>
      <c r="L4" s="11" t="b">
        <v>1</v>
      </c>
      <c r="M4" s="11" t="b">
        <v>0</v>
      </c>
      <c r="N4" s="164">
        <v>45316.0</v>
      </c>
      <c r="O4" s="11" t="s">
        <v>45</v>
      </c>
      <c r="P4" s="164">
        <v>45342.0</v>
      </c>
      <c r="Q4" s="11" t="s">
        <v>68</v>
      </c>
      <c r="R4" s="11" t="s">
        <v>1163</v>
      </c>
      <c r="S4" s="11" t="s">
        <v>1164</v>
      </c>
      <c r="T4" s="116"/>
      <c r="U4" s="11"/>
      <c r="V4" s="11" t="b">
        <v>0</v>
      </c>
      <c r="W4" s="11" t="b">
        <v>0</v>
      </c>
      <c r="X4" s="11"/>
      <c r="Y4" s="115"/>
      <c r="Z4" s="11" t="b">
        <v>0</v>
      </c>
      <c r="AA4" s="115"/>
      <c r="AB4" s="11" t="b">
        <v>0</v>
      </c>
      <c r="AC4" s="3">
        <v>1.0</v>
      </c>
    </row>
    <row r="5">
      <c r="A5" s="57">
        <v>2.124000241E9</v>
      </c>
      <c r="B5" s="109" t="str">
        <f>VLOOKUP($A5,ANAGRAFICA!$B$1:$G$306,2,FALSE)</f>
        <v>ISELLA</v>
      </c>
      <c r="C5" s="109" t="str">
        <f>VLOOKUP($A5,ANAGRAFICA!$B$1:$G$306,3,FALSE)</f>
        <v>VINCENZO</v>
      </c>
      <c r="D5" s="109" t="str">
        <f>VLOOKUP($A5,ANAGRAFICA!$B$1:$G$306,4,FALSE)</f>
        <v/>
      </c>
      <c r="E5" s="109">
        <f>VLOOKUP($A5,ANAGRAFICA!$B$1:$G$306,5,FALSE)</f>
        <v>3272024052</v>
      </c>
      <c r="F5" s="109">
        <f>VLOOKUP($A5,ANAGRAFICA!$B$1:$G$306,6,FALSE)</f>
        <v>2024</v>
      </c>
      <c r="G5" s="212">
        <v>1.0</v>
      </c>
      <c r="H5" s="11" t="s">
        <v>1158</v>
      </c>
      <c r="I5" s="115" t="b">
        <v>0</v>
      </c>
      <c r="J5" s="66"/>
      <c r="K5" s="11" t="s">
        <v>1159</v>
      </c>
      <c r="L5" s="11" t="b">
        <v>0</v>
      </c>
      <c r="M5" s="11" t="b">
        <v>0</v>
      </c>
      <c r="N5" s="164">
        <v>45297.0</v>
      </c>
      <c r="O5" s="11" t="s">
        <v>104</v>
      </c>
      <c r="P5" s="164">
        <v>45297.0</v>
      </c>
      <c r="Q5" s="11" t="s">
        <v>104</v>
      </c>
      <c r="R5" s="66"/>
      <c r="S5" s="66"/>
      <c r="T5" s="164">
        <v>45297.0</v>
      </c>
      <c r="U5" s="11" t="s">
        <v>104</v>
      </c>
      <c r="V5" s="11" t="b">
        <v>0</v>
      </c>
      <c r="W5" s="11" t="b">
        <v>1</v>
      </c>
      <c r="X5" s="11" t="s">
        <v>1160</v>
      </c>
      <c r="Y5" s="115"/>
      <c r="Z5" s="11" t="b">
        <v>0</v>
      </c>
      <c r="AA5" s="115"/>
      <c r="AB5" s="11" t="b">
        <v>0</v>
      </c>
      <c r="AC5" s="117"/>
    </row>
    <row r="6">
      <c r="A6" s="57">
        <v>2.124000328E9</v>
      </c>
      <c r="B6" s="109" t="str">
        <f>VLOOKUP($A6,ANAGRAFICA!$B$1:$G$306,2,FALSE)</f>
        <v>LAVANGA</v>
      </c>
      <c r="C6" s="109" t="str">
        <f>VLOOKUP($A6,ANAGRAFICA!$B$1:$G$306,3,FALSE)</f>
        <v>DONATO</v>
      </c>
      <c r="D6" s="109" t="str">
        <f>VLOOKUP($A6,ANAGRAFICA!$B$1:$G$306,4,FALSE)</f>
        <v/>
      </c>
      <c r="E6" s="109">
        <f>VLOOKUP($A6,ANAGRAFICA!$B$1:$G$306,5,FALSE)</f>
        <v>3272024053</v>
      </c>
      <c r="F6" s="109">
        <f>VLOOKUP($A6,ANAGRAFICA!$B$1:$G$306,6,FALSE)</f>
        <v>2024</v>
      </c>
      <c r="G6" s="212">
        <v>1.0</v>
      </c>
      <c r="H6" s="11" t="s">
        <v>1158</v>
      </c>
      <c r="I6" s="115" t="b">
        <v>0</v>
      </c>
      <c r="J6" s="66"/>
      <c r="K6" s="11" t="s">
        <v>1159</v>
      </c>
      <c r="L6" s="11" t="b">
        <v>0</v>
      </c>
      <c r="M6" s="11" t="b">
        <v>0</v>
      </c>
      <c r="N6" s="164">
        <v>45301.0</v>
      </c>
      <c r="O6" s="11" t="s">
        <v>64</v>
      </c>
      <c r="P6" s="164">
        <v>45301.0</v>
      </c>
      <c r="Q6" s="11" t="s">
        <v>64</v>
      </c>
      <c r="R6" s="66"/>
      <c r="S6" s="66"/>
      <c r="T6" s="164">
        <v>45300.0</v>
      </c>
      <c r="U6" s="11" t="s">
        <v>1165</v>
      </c>
      <c r="V6" s="11" t="b">
        <v>1</v>
      </c>
      <c r="W6" s="11" t="b">
        <v>0</v>
      </c>
      <c r="X6" s="11"/>
      <c r="Y6" s="115"/>
      <c r="Z6" s="11" t="b">
        <v>1</v>
      </c>
      <c r="AA6" s="11" t="s">
        <v>1166</v>
      </c>
      <c r="AB6" s="11" t="b">
        <v>1</v>
      </c>
      <c r="AC6" s="3">
        <v>5.0</v>
      </c>
    </row>
    <row r="7">
      <c r="A7" s="57">
        <v>2.124001121E9</v>
      </c>
      <c r="B7" s="109" t="str">
        <f>VLOOKUP($A7,ANAGRAFICA!$B$1:$G$306,2,FALSE)</f>
        <v>TIEGHI</v>
      </c>
      <c r="C7" s="109" t="str">
        <f>VLOOKUP($A7,ANAGRAFICA!$B$1:$G$306,3,FALSE)</f>
        <v>MASSIMO</v>
      </c>
      <c r="D7" s="109" t="str">
        <f>VLOOKUP($A7,ANAGRAFICA!$B$1:$G$306,4,FALSE)</f>
        <v/>
      </c>
      <c r="E7" s="109">
        <f>VLOOKUP($A7,ANAGRAFICA!$B$1:$G$306,5,FALSE)</f>
        <v>3272024054</v>
      </c>
      <c r="F7" s="109">
        <f>VLOOKUP($A7,ANAGRAFICA!$B$1:$G$306,6,FALSE)</f>
        <v>2024</v>
      </c>
      <c r="G7" s="212">
        <v>1.0</v>
      </c>
      <c r="H7" s="115"/>
      <c r="I7" s="115" t="b">
        <v>1</v>
      </c>
      <c r="J7" s="164">
        <v>45311.0</v>
      </c>
      <c r="K7" s="11" t="s">
        <v>1162</v>
      </c>
      <c r="L7" s="11" t="b">
        <v>1</v>
      </c>
      <c r="M7" s="11" t="b">
        <v>0</v>
      </c>
      <c r="N7" s="164">
        <v>45313.0</v>
      </c>
      <c r="O7" s="11" t="s">
        <v>45</v>
      </c>
      <c r="P7" s="164">
        <v>45320.0</v>
      </c>
      <c r="Q7" s="11" t="s">
        <v>45</v>
      </c>
      <c r="R7" s="11" t="s">
        <v>1167</v>
      </c>
      <c r="S7" s="11" t="s">
        <v>1168</v>
      </c>
      <c r="T7" s="116"/>
      <c r="U7" s="11"/>
      <c r="V7" s="11" t="b">
        <v>0</v>
      </c>
      <c r="W7" s="11" t="b">
        <v>0</v>
      </c>
      <c r="X7" s="11"/>
      <c r="Y7" s="115"/>
      <c r="Z7" s="11" t="b">
        <v>0</v>
      </c>
      <c r="AA7" s="115"/>
      <c r="AB7" s="11" t="b">
        <v>0</v>
      </c>
      <c r="AC7" s="3">
        <v>1.0</v>
      </c>
    </row>
    <row r="8">
      <c r="A8" s="57">
        <v>2.124002215E9</v>
      </c>
      <c r="B8" s="109" t="str">
        <f>VLOOKUP($A8,ANAGRAFICA!$B$1:$G$306,2,FALSE)</f>
        <v>SCHIFANO</v>
      </c>
      <c r="C8" s="109" t="str">
        <f>VLOOKUP($A8,ANAGRAFICA!$B$1:$G$306,3,FALSE)</f>
        <v>FRANCESCO</v>
      </c>
      <c r="D8" s="109" t="str">
        <f>VLOOKUP($A8,ANAGRAFICA!$B$1:$G$306,4,FALSE)</f>
        <v/>
      </c>
      <c r="E8" s="109">
        <f>VLOOKUP($A8,ANAGRAFICA!$B$1:$G$306,5,FALSE)</f>
        <v>3272024055</v>
      </c>
      <c r="F8" s="109">
        <f>VLOOKUP($A8,ANAGRAFICA!$B$1:$G$306,6,FALSE)</f>
        <v>2024</v>
      </c>
      <c r="G8" s="212">
        <v>1.0</v>
      </c>
      <c r="H8" s="11" t="s">
        <v>1158</v>
      </c>
      <c r="I8" s="115" t="b">
        <v>1</v>
      </c>
      <c r="J8" s="164">
        <v>45336.0</v>
      </c>
      <c r="K8" s="11"/>
      <c r="L8" s="11" t="b">
        <v>0</v>
      </c>
      <c r="M8" s="11" t="b">
        <v>0</v>
      </c>
      <c r="N8" s="164">
        <v>45336.0</v>
      </c>
      <c r="O8" s="11" t="s">
        <v>28</v>
      </c>
      <c r="P8" s="164">
        <v>45336.0</v>
      </c>
      <c r="Q8" s="11" t="s">
        <v>28</v>
      </c>
      <c r="R8" s="66"/>
      <c r="S8" s="66"/>
      <c r="T8" s="164">
        <v>45336.0</v>
      </c>
      <c r="U8" s="11" t="s">
        <v>1169</v>
      </c>
      <c r="V8" s="11" t="b">
        <v>0</v>
      </c>
      <c r="W8" s="11" t="b">
        <v>1</v>
      </c>
      <c r="X8" s="11"/>
      <c r="Y8" s="115"/>
      <c r="Z8" s="11" t="b">
        <v>1</v>
      </c>
      <c r="AA8" s="11" t="s">
        <v>1161</v>
      </c>
      <c r="AB8" s="11" t="b">
        <v>1</v>
      </c>
      <c r="AC8" s="117"/>
    </row>
    <row r="9">
      <c r="A9" s="57">
        <v>2.124202869E9</v>
      </c>
      <c r="B9" s="109" t="str">
        <f>VLOOKUP($A9,ANAGRAFICA!$B$1:$G$306,2,FALSE)</f>
        <v>VALSECCHI</v>
      </c>
      <c r="C9" s="109" t="str">
        <f>VLOOKUP($A9,ANAGRAFICA!$B$1:$G$306,3,FALSE)</f>
        <v>ANDREA</v>
      </c>
      <c r="D9" s="109" t="str">
        <f>VLOOKUP($A9,ANAGRAFICA!$B$1:$G$306,4,FALSE)</f>
        <v/>
      </c>
      <c r="E9" s="109">
        <f>VLOOKUP($A9,ANAGRAFICA!$B$1:$G$306,5,FALSE)</f>
        <v>3272024056</v>
      </c>
      <c r="F9" s="109">
        <f>VLOOKUP($A9,ANAGRAFICA!$B$1:$G$306,6,FALSE)</f>
        <v>2024</v>
      </c>
      <c r="G9" s="212">
        <v>1.0</v>
      </c>
      <c r="H9" s="115"/>
      <c r="I9" s="115" t="b">
        <v>1</v>
      </c>
      <c r="J9" s="213">
        <v>45345.0</v>
      </c>
      <c r="K9" s="11" t="s">
        <v>1170</v>
      </c>
      <c r="L9" s="11" t="b">
        <v>1</v>
      </c>
      <c r="M9" s="11" t="b">
        <v>0</v>
      </c>
      <c r="N9" s="213">
        <v>45351.0</v>
      </c>
      <c r="O9" s="11" t="s">
        <v>87</v>
      </c>
      <c r="P9" s="213">
        <v>45341.0</v>
      </c>
      <c r="Q9" s="11" t="s">
        <v>87</v>
      </c>
      <c r="R9" s="11" t="s">
        <v>1167</v>
      </c>
      <c r="S9" s="11" t="s">
        <v>1171</v>
      </c>
      <c r="T9" s="116"/>
      <c r="U9" s="11"/>
      <c r="V9" s="11" t="b">
        <v>0</v>
      </c>
      <c r="W9" s="11" t="b">
        <v>0</v>
      </c>
      <c r="X9" s="11"/>
      <c r="Y9" s="115"/>
      <c r="Z9" s="11" t="b">
        <v>0</v>
      </c>
      <c r="AA9" s="115"/>
      <c r="AB9" s="11" t="b">
        <v>0</v>
      </c>
      <c r="AC9" s="3">
        <v>2.0</v>
      </c>
    </row>
    <row r="10">
      <c r="A10" s="57">
        <v>2.124003531E9</v>
      </c>
      <c r="B10" s="109" t="str">
        <f>VLOOKUP($A10,ANAGRAFICA!$B$1:$G$306,2,FALSE)</f>
        <v>RASPANTI</v>
      </c>
      <c r="C10" s="109" t="str">
        <f>VLOOKUP($A10,ANAGRAFICA!$B$1:$G$306,3,FALSE)</f>
        <v>ANDREA</v>
      </c>
      <c r="D10" s="109" t="str">
        <f>VLOOKUP($A10,ANAGRAFICA!$B$1:$G$306,4,FALSE)</f>
        <v/>
      </c>
      <c r="E10" s="109">
        <f>VLOOKUP($A10,ANAGRAFICA!$B$1:$G$306,5,FALSE)</f>
        <v>3272024057</v>
      </c>
      <c r="F10" s="109">
        <f>VLOOKUP($A10,ANAGRAFICA!$B$1:$G$306,6,FALSE)</f>
        <v>2024</v>
      </c>
      <c r="G10" s="212">
        <v>1.0</v>
      </c>
      <c r="H10" s="11" t="s">
        <v>1172</v>
      </c>
      <c r="I10" s="115" t="b">
        <v>1</v>
      </c>
      <c r="J10" s="164">
        <v>45362.0</v>
      </c>
      <c r="K10" s="11" t="s">
        <v>1170</v>
      </c>
      <c r="L10" s="11" t="b">
        <v>1</v>
      </c>
      <c r="M10" s="11" t="b">
        <v>0</v>
      </c>
      <c r="N10" s="164">
        <v>45370.0</v>
      </c>
      <c r="O10" s="11" t="s">
        <v>39</v>
      </c>
      <c r="P10" s="164">
        <v>45408.0</v>
      </c>
      <c r="Q10" s="11" t="s">
        <v>87</v>
      </c>
      <c r="R10" s="11" t="s">
        <v>1173</v>
      </c>
      <c r="S10" s="11" t="s">
        <v>1164</v>
      </c>
      <c r="T10" s="116"/>
      <c r="U10" s="11"/>
      <c r="V10" s="11" t="b">
        <v>0</v>
      </c>
      <c r="W10" s="11" t="b">
        <v>0</v>
      </c>
      <c r="X10" s="11"/>
      <c r="Y10" s="115"/>
      <c r="Z10" s="11" t="b">
        <v>0</v>
      </c>
      <c r="AA10" s="115"/>
      <c r="AB10" s="11" t="b">
        <v>0</v>
      </c>
      <c r="AC10" s="3">
        <v>1.0</v>
      </c>
    </row>
    <row r="11">
      <c r="A11" s="57">
        <v>2.124203781E9</v>
      </c>
      <c r="B11" s="109" t="str">
        <f>VLOOKUP($A11,ANAGRAFICA!$B$1:$G$306,2,FALSE)</f>
        <v>CONCA</v>
      </c>
      <c r="C11" s="109" t="str">
        <f>VLOOKUP($A11,ANAGRAFICA!$B$1:$G$306,3,FALSE)</f>
        <v>CAMILLA</v>
      </c>
      <c r="D11" s="109" t="str">
        <f>VLOOKUP($A11,ANAGRAFICA!$B$1:$G$306,4,FALSE)</f>
        <v/>
      </c>
      <c r="E11" s="109">
        <f>VLOOKUP($A11,ANAGRAFICA!$B$1:$G$306,5,FALSE)</f>
        <v>3272024058</v>
      </c>
      <c r="F11" s="109">
        <f>VLOOKUP($A11,ANAGRAFICA!$B$1:$G$306,6,FALSE)</f>
        <v>2024</v>
      </c>
      <c r="G11" s="212">
        <v>1.0</v>
      </c>
      <c r="H11" s="11" t="s">
        <v>1158</v>
      </c>
      <c r="I11" s="115" t="b">
        <v>0</v>
      </c>
      <c r="J11" s="66"/>
      <c r="K11" s="11" t="s">
        <v>1159</v>
      </c>
      <c r="L11" s="11" t="b">
        <v>0</v>
      </c>
      <c r="M11" s="11" t="b">
        <v>0</v>
      </c>
      <c r="N11" s="164">
        <v>45352.0</v>
      </c>
      <c r="O11" s="11" t="s">
        <v>28</v>
      </c>
      <c r="P11" s="164">
        <v>45352.0</v>
      </c>
      <c r="Q11" s="11" t="s">
        <v>28</v>
      </c>
      <c r="R11" s="66"/>
      <c r="S11" s="66"/>
      <c r="T11" s="164">
        <v>45352.0</v>
      </c>
      <c r="U11" s="11" t="s">
        <v>28</v>
      </c>
      <c r="V11" s="11" t="b">
        <v>0</v>
      </c>
      <c r="W11" s="11" t="b">
        <v>1</v>
      </c>
      <c r="X11" s="11" t="s">
        <v>1160</v>
      </c>
      <c r="Y11" s="115"/>
      <c r="Z11" s="11" t="b">
        <v>0</v>
      </c>
      <c r="AA11" s="115"/>
      <c r="AB11" s="11" t="b">
        <v>0</v>
      </c>
      <c r="AC11" s="3">
        <v>5.0</v>
      </c>
    </row>
    <row r="12">
      <c r="A12" s="57">
        <v>2.124019725E9</v>
      </c>
      <c r="B12" s="109" t="str">
        <f>VLOOKUP($A12,ANAGRAFICA!$B$1:$G$306,2,FALSE)</f>
        <v>AMIWO</v>
      </c>
      <c r="C12" s="109" t="str">
        <f>VLOOKUP($A12,ANAGRAFICA!$B$1:$G$306,3,FALSE)</f>
        <v>REX STEVE</v>
      </c>
      <c r="D12" s="109" t="str">
        <f>VLOOKUP($A12,ANAGRAFICA!$B$1:$G$306,4,FALSE)</f>
        <v>758-18</v>
      </c>
      <c r="E12" s="109">
        <f>VLOOKUP($A12,ANAGRAFICA!$B$1:$G$306,5,FALSE)</f>
        <v>3272024084</v>
      </c>
      <c r="F12" s="109">
        <f>VLOOKUP($A12,ANAGRAFICA!$B$1:$G$306,6,FALSE)</f>
        <v>2024</v>
      </c>
      <c r="G12" s="212">
        <v>1.0</v>
      </c>
      <c r="H12" s="11" t="s">
        <v>1158</v>
      </c>
      <c r="I12" s="115" t="b">
        <v>0</v>
      </c>
      <c r="J12" s="66"/>
      <c r="K12" s="11" t="s">
        <v>1174</v>
      </c>
      <c r="L12" s="11" t="b">
        <v>0</v>
      </c>
      <c r="M12" s="11" t="b">
        <v>0</v>
      </c>
      <c r="N12" s="164">
        <v>45602.0</v>
      </c>
      <c r="O12" s="11" t="s">
        <v>333</v>
      </c>
      <c r="P12" s="164">
        <v>45602.0</v>
      </c>
      <c r="Q12" s="11" t="s">
        <v>333</v>
      </c>
      <c r="R12" s="66"/>
      <c r="S12" s="66"/>
      <c r="T12" s="164">
        <v>45602.0</v>
      </c>
      <c r="U12" s="11" t="s">
        <v>333</v>
      </c>
      <c r="V12" s="11" t="b">
        <v>0</v>
      </c>
      <c r="W12" s="11" t="b">
        <v>1</v>
      </c>
      <c r="X12" s="11" t="s">
        <v>1160</v>
      </c>
      <c r="Y12" s="115"/>
      <c r="Z12" s="11" t="b">
        <v>0</v>
      </c>
      <c r="AA12" s="115"/>
      <c r="AB12" s="11" t="b">
        <v>0</v>
      </c>
      <c r="AC12" s="117"/>
    </row>
    <row r="13">
      <c r="A13" s="57">
        <v>2.12401869E9</v>
      </c>
      <c r="B13" s="109" t="str">
        <f>VLOOKUP($A13,ANAGRAFICA!$B$1:$G$306,2,FALSE)</f>
        <v>AVENIDO</v>
      </c>
      <c r="C13" s="109" t="str">
        <f>VLOOKUP($A13,ANAGRAFICA!$B$1:$G$306,3,FALSE)</f>
        <v>DELFIN</v>
      </c>
      <c r="D13" s="109" t="str">
        <f>VLOOKUP($A13,ANAGRAFICA!$B$1:$G$306,4,FALSE)</f>
        <v>758-16</v>
      </c>
      <c r="E13" s="109">
        <f>VLOOKUP($A13,ANAGRAFICA!$B$1:$G$306,5,FALSE)</f>
        <v>3272024082</v>
      </c>
      <c r="F13" s="109">
        <f>VLOOKUP($A13,ANAGRAFICA!$B$1:$G$306,6,FALSE)</f>
        <v>2024</v>
      </c>
      <c r="G13" s="212">
        <v>1.0</v>
      </c>
      <c r="H13" s="11" t="s">
        <v>1158</v>
      </c>
      <c r="I13" s="115" t="b">
        <v>0</v>
      </c>
      <c r="J13" s="66"/>
      <c r="K13" s="11" t="s">
        <v>1159</v>
      </c>
      <c r="L13" s="11" t="b">
        <v>0</v>
      </c>
      <c r="M13" s="11" t="b">
        <v>0</v>
      </c>
      <c r="N13" s="214">
        <v>45590.0</v>
      </c>
      <c r="O13" s="11" t="s">
        <v>398</v>
      </c>
      <c r="P13" s="214">
        <v>45590.0</v>
      </c>
      <c r="Q13" s="11" t="s">
        <v>961</v>
      </c>
      <c r="R13" s="66"/>
      <c r="S13" s="66"/>
      <c r="T13" s="164">
        <v>45590.0</v>
      </c>
      <c r="U13" s="11" t="s">
        <v>398</v>
      </c>
      <c r="V13" s="11" t="b">
        <v>0</v>
      </c>
      <c r="W13" s="11" t="b">
        <v>1</v>
      </c>
      <c r="X13" s="11"/>
      <c r="Y13" s="115"/>
      <c r="Z13" s="11" t="b">
        <v>1</v>
      </c>
      <c r="AA13" s="11" t="s">
        <v>1161</v>
      </c>
      <c r="AB13" s="11" t="b">
        <v>1</v>
      </c>
      <c r="AC13" s="3"/>
    </row>
    <row r="14">
      <c r="A14" s="57">
        <v>2.124018637E9</v>
      </c>
      <c r="B14" s="109" t="str">
        <f>VLOOKUP($A14,ANAGRAFICA!$B$1:$G$306,2,FALSE)</f>
        <v>CARIBONI</v>
      </c>
      <c r="C14" s="109" t="str">
        <f>VLOOKUP($A14,ANAGRAFICA!$B$1:$G$306,3,FALSE)</f>
        <v>LORENZA</v>
      </c>
      <c r="D14" s="109" t="str">
        <f>VLOOKUP($A14,ANAGRAFICA!$B$1:$G$306,4,FALSE)</f>
        <v>758-15</v>
      </c>
      <c r="E14" s="109">
        <f>VLOOKUP($A14,ANAGRAFICA!$B$1:$G$306,5,FALSE)</f>
        <v>3272024081</v>
      </c>
      <c r="F14" s="109">
        <f>VLOOKUP($A14,ANAGRAFICA!$B$1:$G$306,6,FALSE)</f>
        <v>2024</v>
      </c>
      <c r="G14" s="212">
        <v>1.0</v>
      </c>
      <c r="H14" s="11" t="s">
        <v>1158</v>
      </c>
      <c r="I14" s="115" t="b">
        <v>0</v>
      </c>
      <c r="J14" s="66"/>
      <c r="K14" s="11" t="s">
        <v>1159</v>
      </c>
      <c r="L14" s="11" t="b">
        <v>0</v>
      </c>
      <c r="M14" s="11" t="b">
        <v>0</v>
      </c>
      <c r="N14" s="214">
        <v>45585.0</v>
      </c>
      <c r="O14" s="11" t="s">
        <v>1175</v>
      </c>
      <c r="P14" s="214">
        <v>45585.0</v>
      </c>
      <c r="Q14" s="11" t="s">
        <v>1175</v>
      </c>
      <c r="R14" s="66"/>
      <c r="S14" s="66"/>
      <c r="T14" s="164">
        <v>45585.0</v>
      </c>
      <c r="U14" s="11" t="s">
        <v>405</v>
      </c>
      <c r="V14" s="11" t="b">
        <v>1</v>
      </c>
      <c r="W14" s="11" t="b">
        <v>1</v>
      </c>
      <c r="X14" s="11"/>
      <c r="Y14" s="115"/>
      <c r="Z14" s="11" t="b">
        <v>0</v>
      </c>
      <c r="AA14" s="115"/>
      <c r="AB14" s="11" t="b">
        <v>0</v>
      </c>
      <c r="AC14" s="3"/>
    </row>
    <row r="15">
      <c r="A15" s="57">
        <v>2.124019184E9</v>
      </c>
      <c r="B15" s="109" t="str">
        <f>VLOOKUP($A15,ANAGRAFICA!$B$1:$G$306,2,FALSE)</f>
        <v>SERVIDIO</v>
      </c>
      <c r="C15" s="109" t="str">
        <f>VLOOKUP($A15,ANAGRAFICA!$B$1:$G$306,3,FALSE)</f>
        <v>GIOVANNI</v>
      </c>
      <c r="D15" s="109" t="str">
        <f>VLOOKUP($A15,ANAGRAFICA!$B$1:$G$306,4,FALSE)</f>
        <v>758-17</v>
      </c>
      <c r="E15" s="109">
        <f>VLOOKUP($A15,ANAGRAFICA!$B$1:$G$306,5,FALSE)</f>
        <v>3272024083</v>
      </c>
      <c r="F15" s="109">
        <f>VLOOKUP($A15,ANAGRAFICA!$B$1:$G$306,6,FALSE)</f>
        <v>2024</v>
      </c>
      <c r="G15" s="212">
        <v>1.0</v>
      </c>
      <c r="H15" s="115"/>
      <c r="I15" s="115" t="b">
        <v>0</v>
      </c>
      <c r="J15" s="66"/>
      <c r="K15" s="11" t="s">
        <v>1174</v>
      </c>
      <c r="L15" s="11" t="b">
        <v>0</v>
      </c>
      <c r="M15" s="11" t="b">
        <v>0</v>
      </c>
      <c r="N15" s="66"/>
      <c r="O15" s="66"/>
      <c r="P15" s="66"/>
      <c r="Q15" s="66"/>
      <c r="R15" s="66"/>
      <c r="S15" s="66"/>
      <c r="T15" s="116"/>
      <c r="U15" s="11"/>
      <c r="V15" s="11" t="b">
        <v>0</v>
      </c>
      <c r="W15" s="11" t="b">
        <v>0</v>
      </c>
      <c r="X15" s="11"/>
      <c r="Y15" s="115"/>
      <c r="Z15" s="11" t="b">
        <v>0</v>
      </c>
      <c r="AA15" s="115"/>
      <c r="AB15" s="11" t="b">
        <v>0</v>
      </c>
      <c r="AC15" s="117"/>
    </row>
    <row r="16">
      <c r="A16" s="57">
        <v>2.124017757E9</v>
      </c>
      <c r="B16" s="109" t="str">
        <f>VLOOKUP($A16,ANAGRAFICA!$B$1:$G$306,2,FALSE)</f>
        <v>SALA</v>
      </c>
      <c r="C16" s="109" t="str">
        <f>VLOOKUP($A16,ANAGRAFICA!$B$1:$G$306,3,FALSE)</f>
        <v>FELICE</v>
      </c>
      <c r="D16" s="109" t="str">
        <f>VLOOKUP($A16,ANAGRAFICA!$B$1:$G$306,4,FALSE)</f>
        <v>758-14</v>
      </c>
      <c r="E16" s="109">
        <f>VLOOKUP($A16,ANAGRAFICA!$B$1:$G$306,5,FALSE)</f>
        <v>3272024080</v>
      </c>
      <c r="F16" s="109">
        <f>VLOOKUP($A16,ANAGRAFICA!$B$1:$G$306,6,FALSE)</f>
        <v>2024</v>
      </c>
      <c r="G16" s="212">
        <v>1.0</v>
      </c>
      <c r="H16" s="11" t="s">
        <v>1158</v>
      </c>
      <c r="I16" s="115" t="b">
        <v>0</v>
      </c>
      <c r="J16" s="66"/>
      <c r="K16" s="11" t="s">
        <v>1159</v>
      </c>
      <c r="L16" s="11" t="b">
        <v>0</v>
      </c>
      <c r="M16" s="11" t="b">
        <v>0</v>
      </c>
      <c r="N16" s="214">
        <v>45576.0</v>
      </c>
      <c r="O16" s="11" t="s">
        <v>651</v>
      </c>
      <c r="P16" s="214">
        <v>45576.0</v>
      </c>
      <c r="Q16" s="11" t="s">
        <v>203</v>
      </c>
      <c r="R16" s="66"/>
      <c r="S16" s="66"/>
      <c r="T16" s="116"/>
      <c r="U16" s="11"/>
      <c r="V16" s="11" t="b">
        <v>0</v>
      </c>
      <c r="W16" s="11" t="b">
        <v>0</v>
      </c>
      <c r="X16" s="11"/>
      <c r="Y16" s="115"/>
      <c r="Z16" s="11" t="b">
        <v>0</v>
      </c>
      <c r="AA16" s="115"/>
      <c r="AB16" s="11" t="b">
        <v>0</v>
      </c>
      <c r="AC16" s="117"/>
    </row>
    <row r="17">
      <c r="A17" s="57">
        <v>2.124211722E9</v>
      </c>
      <c r="B17" s="109" t="str">
        <f>VLOOKUP($A17,ANAGRAFICA!$B$1:$G$306,2,FALSE)</f>
        <v>CORIO</v>
      </c>
      <c r="C17" s="109" t="str">
        <f>VLOOKUP($A17,ANAGRAFICA!$B$1:$G$306,3,FALSE)</f>
        <v>GIOVANNI</v>
      </c>
      <c r="D17" s="109" t="str">
        <f>VLOOKUP($A17,ANAGRAFICA!$B$1:$G$306,4,FALSE)</f>
        <v>758-13</v>
      </c>
      <c r="E17" s="109">
        <f>VLOOKUP($A17,ANAGRAFICA!$B$1:$G$306,5,FALSE)</f>
        <v>3272024079</v>
      </c>
      <c r="F17" s="109">
        <f>VLOOKUP($A17,ANAGRAFICA!$B$1:$G$306,6,FALSE)</f>
        <v>2024</v>
      </c>
      <c r="G17" s="212">
        <v>1.0</v>
      </c>
      <c r="H17" s="11" t="s">
        <v>1172</v>
      </c>
      <c r="I17" s="115" t="b">
        <v>1</v>
      </c>
      <c r="J17" s="214">
        <v>45602.0</v>
      </c>
      <c r="K17" s="11" t="s">
        <v>1170</v>
      </c>
      <c r="L17" s="11" t="b">
        <v>1</v>
      </c>
      <c r="M17" s="11" t="b">
        <v>0</v>
      </c>
      <c r="N17" s="214">
        <v>45606.0</v>
      </c>
      <c r="O17" s="11" t="s">
        <v>324</v>
      </c>
      <c r="P17" s="66"/>
      <c r="Q17" s="66"/>
      <c r="R17" s="11" t="s">
        <v>1167</v>
      </c>
      <c r="S17" s="66"/>
      <c r="T17" s="116"/>
      <c r="U17" s="11"/>
      <c r="V17" s="11" t="b">
        <v>0</v>
      </c>
      <c r="W17" s="11" t="b">
        <v>0</v>
      </c>
      <c r="X17" s="11"/>
      <c r="Y17" s="115"/>
      <c r="Z17" s="11" t="b">
        <v>0</v>
      </c>
      <c r="AA17" s="115"/>
      <c r="AB17" s="11" t="b">
        <v>0</v>
      </c>
      <c r="AC17" s="117"/>
    </row>
    <row r="18">
      <c r="A18" s="57">
        <v>2.124014334E9</v>
      </c>
      <c r="B18" s="109" t="str">
        <f>VLOOKUP($A18,ANAGRAFICA!$B$1:$G$306,2,FALSE)</f>
        <v>PONTIGGIA</v>
      </c>
      <c r="C18" s="109" t="str">
        <f>VLOOKUP($A18,ANAGRAFICA!$B$1:$G$306,3,FALSE)</f>
        <v>FLAVIO</v>
      </c>
      <c r="D18" s="109" t="str">
        <f>VLOOKUP($A18,ANAGRAFICA!$B$1:$G$306,4,FALSE)</f>
        <v>758-9</v>
      </c>
      <c r="E18" s="109">
        <f>VLOOKUP($A18,ANAGRAFICA!$B$1:$G$306,5,FALSE)</f>
        <v>3272024075</v>
      </c>
      <c r="F18" s="109">
        <f>VLOOKUP($A18,ANAGRAFICA!$B$1:$G$306,6,FALSE)</f>
        <v>2024</v>
      </c>
      <c r="G18" s="212">
        <v>1.0</v>
      </c>
      <c r="H18" s="11" t="s">
        <v>1158</v>
      </c>
      <c r="I18" s="115" t="b">
        <v>0</v>
      </c>
      <c r="J18" s="66"/>
      <c r="K18" s="11" t="s">
        <v>1174</v>
      </c>
      <c r="L18" s="11" t="b">
        <v>0</v>
      </c>
      <c r="M18" s="11" t="b">
        <v>0</v>
      </c>
      <c r="N18" s="164">
        <v>45513.0</v>
      </c>
      <c r="O18" s="11" t="s">
        <v>502</v>
      </c>
      <c r="P18" s="164">
        <v>45513.0</v>
      </c>
      <c r="Q18" s="11" t="s">
        <v>502</v>
      </c>
      <c r="R18" s="66"/>
      <c r="S18" s="66"/>
      <c r="T18" s="164">
        <v>45513.0</v>
      </c>
      <c r="U18" s="11" t="s">
        <v>1176</v>
      </c>
      <c r="V18" s="11" t="b">
        <v>1</v>
      </c>
      <c r="W18" s="11" t="b">
        <v>0</v>
      </c>
      <c r="X18" s="11"/>
      <c r="Y18" s="115"/>
      <c r="Z18" s="11" t="b">
        <v>0</v>
      </c>
      <c r="AA18" s="115"/>
      <c r="AB18" s="11" t="b">
        <v>0</v>
      </c>
      <c r="AC18" s="3">
        <v>5.0</v>
      </c>
    </row>
    <row r="19">
      <c r="A19" s="57">
        <v>2.124013801E9</v>
      </c>
      <c r="B19" s="109" t="str">
        <f>VLOOKUP($A19,ANAGRAFICA!$B$1:$G$306,2,FALSE)</f>
        <v>SGOBBA</v>
      </c>
      <c r="C19" s="109" t="str">
        <f>VLOOKUP($A19,ANAGRAFICA!$B$1:$G$306,3,FALSE)</f>
        <v>ANNA</v>
      </c>
      <c r="D19" s="109" t="str">
        <f>VLOOKUP($A19,ANAGRAFICA!$B$1:$G$306,4,FALSE)</f>
        <v>758-8</v>
      </c>
      <c r="E19" s="109">
        <f>VLOOKUP($A19,ANAGRAFICA!$B$1:$G$306,5,FALSE)</f>
        <v>3272024074</v>
      </c>
      <c r="F19" s="109">
        <f>VLOOKUP($A19,ANAGRAFICA!$B$1:$G$306,6,FALSE)</f>
        <v>2024</v>
      </c>
      <c r="G19" s="212">
        <v>1.0</v>
      </c>
      <c r="H19" s="11" t="s">
        <v>1158</v>
      </c>
      <c r="I19" s="115" t="b">
        <v>0</v>
      </c>
      <c r="J19" s="66"/>
      <c r="K19" s="11" t="s">
        <v>1177</v>
      </c>
      <c r="L19" s="11" t="b">
        <v>0</v>
      </c>
      <c r="M19" s="11" t="b">
        <v>0</v>
      </c>
      <c r="N19" s="164">
        <v>45574.0</v>
      </c>
      <c r="O19" s="11" t="s">
        <v>444</v>
      </c>
      <c r="P19" s="164">
        <v>45574.0</v>
      </c>
      <c r="Q19" s="11" t="s">
        <v>444</v>
      </c>
      <c r="R19" s="66"/>
      <c r="S19" s="66"/>
      <c r="T19" s="164" t="s">
        <v>1178</v>
      </c>
      <c r="U19" s="11" t="s">
        <v>444</v>
      </c>
      <c r="V19" s="11" t="b">
        <v>0</v>
      </c>
      <c r="W19" s="11" t="b">
        <v>1</v>
      </c>
      <c r="X19" s="11" t="s">
        <v>1160</v>
      </c>
      <c r="Y19" s="115"/>
      <c r="Z19" s="11" t="b">
        <v>0</v>
      </c>
      <c r="AA19" s="115"/>
      <c r="AB19" s="11" t="b">
        <v>0</v>
      </c>
      <c r="AC19" s="117"/>
    </row>
    <row r="20">
      <c r="A20" s="57">
        <v>2.124012915E9</v>
      </c>
      <c r="B20" s="109" t="str">
        <f>VLOOKUP($A20,ANAGRAFICA!$B$1:$G$306,2,FALSE)</f>
        <v>GARGIONI</v>
      </c>
      <c r="C20" s="109" t="str">
        <f>VLOOKUP($A20,ANAGRAFICA!$B$1:$G$306,3,FALSE)</f>
        <v>GIULIO</v>
      </c>
      <c r="D20" s="109" t="str">
        <f>VLOOKUP($A20,ANAGRAFICA!$B$1:$G$306,4,FALSE)</f>
        <v>758-6</v>
      </c>
      <c r="E20" s="109">
        <f>VLOOKUP($A20,ANAGRAFICA!$B$1:$G$306,5,FALSE)</f>
        <v>3272024072</v>
      </c>
      <c r="F20" s="109">
        <f>VLOOKUP($A20,ANAGRAFICA!$B$1:$G$306,6,FALSE)</f>
        <v>2024</v>
      </c>
      <c r="G20" s="212">
        <v>1.0</v>
      </c>
      <c r="H20" s="115"/>
      <c r="I20" s="115" t="b">
        <v>1</v>
      </c>
      <c r="J20" s="164">
        <v>45506.0</v>
      </c>
      <c r="K20" s="11" t="s">
        <v>1170</v>
      </c>
      <c r="L20" s="11" t="b">
        <v>1</v>
      </c>
      <c r="M20" s="11" t="b">
        <v>0</v>
      </c>
      <c r="N20" s="164">
        <v>45510.0</v>
      </c>
      <c r="O20" s="11" t="s">
        <v>457</v>
      </c>
      <c r="P20" s="164">
        <v>45523.0</v>
      </c>
      <c r="Q20" s="11" t="s">
        <v>203</v>
      </c>
      <c r="R20" s="11" t="s">
        <v>1163</v>
      </c>
      <c r="S20" s="11" t="s">
        <v>1164</v>
      </c>
      <c r="T20" s="116"/>
      <c r="U20" s="11"/>
      <c r="V20" s="11" t="b">
        <v>0</v>
      </c>
      <c r="W20" s="11" t="b">
        <v>0</v>
      </c>
      <c r="X20" s="11"/>
      <c r="Y20" s="115"/>
      <c r="Z20" s="11" t="b">
        <v>0</v>
      </c>
      <c r="AA20" s="115"/>
      <c r="AB20" s="11" t="b">
        <v>0</v>
      </c>
      <c r="AC20" s="3">
        <v>2.0</v>
      </c>
    </row>
    <row r="21">
      <c r="A21" s="57">
        <v>2.124011588E9</v>
      </c>
      <c r="B21" s="109" t="str">
        <f>VLOOKUP($A21,ANAGRAFICA!$B$1:$G$306,2,FALSE)</f>
        <v>FRATINO</v>
      </c>
      <c r="C21" s="109" t="str">
        <f>VLOOKUP($A21,ANAGRAFICA!$B$1:$G$306,3,FALSE)</f>
        <v>OLIVIERO</v>
      </c>
      <c r="D21" s="109" t="str">
        <f>VLOOKUP($A21,ANAGRAFICA!$B$1:$G$306,4,FALSE)</f>
        <v>758-4</v>
      </c>
      <c r="E21" s="109">
        <f>VLOOKUP($A21,ANAGRAFICA!$B$1:$G$306,5,FALSE)</f>
        <v>3272024070</v>
      </c>
      <c r="F21" s="109">
        <f>VLOOKUP($A21,ANAGRAFICA!$B$1:$G$306,6,FALSE)</f>
        <v>2024</v>
      </c>
      <c r="G21" s="212">
        <v>1.0</v>
      </c>
      <c r="H21" s="11" t="s">
        <v>1158</v>
      </c>
      <c r="I21" s="115" t="b">
        <v>0</v>
      </c>
      <c r="J21" s="66"/>
      <c r="K21" s="11" t="s">
        <v>1159</v>
      </c>
      <c r="L21" s="11" t="b">
        <v>0</v>
      </c>
      <c r="M21" s="11" t="b">
        <v>0</v>
      </c>
      <c r="N21" s="164">
        <v>45468.0</v>
      </c>
      <c r="O21" s="11" t="s">
        <v>264</v>
      </c>
      <c r="P21" s="164">
        <v>45468.0</v>
      </c>
      <c r="Q21" s="11" t="s">
        <v>264</v>
      </c>
      <c r="R21" s="66"/>
      <c r="S21" s="66"/>
      <c r="T21" s="164">
        <v>45468.0</v>
      </c>
      <c r="U21" s="11" t="s">
        <v>264</v>
      </c>
      <c r="V21" s="11" t="b">
        <v>0</v>
      </c>
      <c r="W21" s="11" t="b">
        <v>1</v>
      </c>
      <c r="X21" s="11" t="s">
        <v>1160</v>
      </c>
      <c r="Y21" s="11" t="s">
        <v>1179</v>
      </c>
      <c r="Z21" s="11" t="b">
        <v>0</v>
      </c>
      <c r="AA21" s="115"/>
      <c r="AB21" s="11" t="b">
        <v>0</v>
      </c>
      <c r="AC21" s="117"/>
    </row>
    <row r="22">
      <c r="A22" s="57">
        <v>2.124208629E9</v>
      </c>
      <c r="B22" s="109" t="str">
        <f>VLOOKUP($A22,ANAGRAFICA!$B$1:$G$306,2,FALSE)</f>
        <v>D'ANDREA</v>
      </c>
      <c r="C22" s="109" t="str">
        <f>VLOOKUP($A22,ANAGRAFICA!$B$1:$G$306,3,FALSE)</f>
        <v>FERNANDO ANTONIO</v>
      </c>
      <c r="D22" s="109" t="str">
        <f>VLOOKUP($A22,ANAGRAFICA!$B$1:$G$306,4,FALSE)</f>
        <v>758-5</v>
      </c>
      <c r="E22" s="109">
        <f>VLOOKUP($A22,ANAGRAFICA!$B$1:$G$306,5,FALSE)</f>
        <v>3272024071</v>
      </c>
      <c r="F22" s="109">
        <f>VLOOKUP($A22,ANAGRAFICA!$B$1:$G$306,6,FALSE)</f>
        <v>2024</v>
      </c>
      <c r="G22" s="212">
        <v>1.0</v>
      </c>
      <c r="H22" s="11" t="s">
        <v>1158</v>
      </c>
      <c r="I22" s="115" t="b">
        <v>0</v>
      </c>
      <c r="J22" s="66"/>
      <c r="K22" s="11" t="s">
        <v>1174</v>
      </c>
      <c r="L22" s="11" t="b">
        <v>0</v>
      </c>
      <c r="M22" s="11" t="b">
        <v>0</v>
      </c>
      <c r="N22" s="164">
        <v>45475.0</v>
      </c>
      <c r="O22" s="11" t="s">
        <v>525</v>
      </c>
      <c r="P22" s="164">
        <v>45475.0</v>
      </c>
      <c r="Q22" s="11" t="s">
        <v>525</v>
      </c>
      <c r="R22" s="66"/>
      <c r="S22" s="66"/>
      <c r="T22" s="164">
        <v>45475.0</v>
      </c>
      <c r="U22" s="11" t="s">
        <v>525</v>
      </c>
      <c r="V22" s="11" t="b">
        <v>0</v>
      </c>
      <c r="W22" s="11" t="b">
        <v>1</v>
      </c>
      <c r="X22" s="11"/>
      <c r="Y22" s="115"/>
      <c r="Z22" s="11" t="b">
        <v>0</v>
      </c>
      <c r="AA22" s="115"/>
      <c r="AB22" s="11" t="b">
        <v>0</v>
      </c>
      <c r="AC22" s="3">
        <v>5.0</v>
      </c>
    </row>
    <row r="23">
      <c r="A23" s="57">
        <v>2.1240107E9</v>
      </c>
      <c r="B23" s="109" t="str">
        <f>VLOOKUP($A23,ANAGRAFICA!$B$1:$G$306,2,FALSE)</f>
        <v>ORNAGHI</v>
      </c>
      <c r="C23" s="109" t="str">
        <f>VLOOKUP($A23,ANAGRAFICA!$B$1:$G$306,3,FALSE)</f>
        <v>LORENZO</v>
      </c>
      <c r="D23" s="109" t="str">
        <f>VLOOKUP($A23,ANAGRAFICA!$B$1:$G$306,4,FALSE)</f>
        <v>758-2</v>
      </c>
      <c r="E23" s="109">
        <f>VLOOKUP($A23,ANAGRAFICA!$B$1:$G$306,5,FALSE)</f>
        <v>3272024068</v>
      </c>
      <c r="F23" s="109">
        <f>VLOOKUP($A23,ANAGRAFICA!$B$1:$G$306,6,FALSE)</f>
        <v>2024</v>
      </c>
      <c r="G23" s="212">
        <v>1.0</v>
      </c>
      <c r="H23" s="11" t="s">
        <v>1158</v>
      </c>
      <c r="I23" s="115" t="b">
        <v>0</v>
      </c>
      <c r="J23" s="66"/>
      <c r="K23" s="11" t="s">
        <v>1159</v>
      </c>
      <c r="L23" s="11" t="b">
        <v>0</v>
      </c>
      <c r="M23" s="11" t="b">
        <v>0</v>
      </c>
      <c r="N23" s="164">
        <v>45450.0</v>
      </c>
      <c r="O23" s="11" t="s">
        <v>434</v>
      </c>
      <c r="P23" s="164">
        <v>45450.0</v>
      </c>
      <c r="Q23" s="11" t="s">
        <v>434</v>
      </c>
      <c r="R23" s="66"/>
      <c r="S23" s="11" t="s">
        <v>1164</v>
      </c>
      <c r="T23" s="164">
        <v>45450.0</v>
      </c>
      <c r="U23" s="11" t="s">
        <v>434</v>
      </c>
      <c r="V23" s="11" t="b">
        <v>1</v>
      </c>
      <c r="W23" s="11" t="b">
        <v>1</v>
      </c>
      <c r="X23" s="11"/>
      <c r="Y23" s="115"/>
      <c r="Z23" s="11" t="b">
        <v>1</v>
      </c>
      <c r="AA23" s="11" t="s">
        <v>1161</v>
      </c>
      <c r="AB23" s="11" t="b">
        <v>1</v>
      </c>
      <c r="AC23" s="117"/>
    </row>
    <row r="24">
      <c r="A24" s="57">
        <v>2.124009735E9</v>
      </c>
      <c r="B24" s="109" t="str">
        <f>VLOOKUP($A24,ANAGRAFICA!$B$1:$G$306,2,FALSE)</f>
        <v>BOSSI</v>
      </c>
      <c r="C24" s="109" t="str">
        <f>VLOOKUP($A24,ANAGRAFICA!$B$1:$G$306,3,FALSE)</f>
        <v>LUDOVICO</v>
      </c>
      <c r="D24" s="109" t="str">
        <f>VLOOKUP($A24,ANAGRAFICA!$B$1:$G$306,4,FALSE)</f>
        <v>758-1</v>
      </c>
      <c r="E24" s="109">
        <f>VLOOKUP($A24,ANAGRAFICA!$B$1:$G$306,5,FALSE)</f>
        <v>3272024067</v>
      </c>
      <c r="F24" s="109">
        <f>VLOOKUP($A24,ANAGRAFICA!$B$1:$G$306,6,FALSE)</f>
        <v>2024</v>
      </c>
      <c r="G24" s="212">
        <v>1.0</v>
      </c>
      <c r="H24" s="11" t="s">
        <v>1158</v>
      </c>
      <c r="I24" s="115" t="b">
        <v>0</v>
      </c>
      <c r="J24" s="66"/>
      <c r="K24" s="11" t="s">
        <v>1159</v>
      </c>
      <c r="L24" s="11" t="b">
        <v>0</v>
      </c>
      <c r="M24" s="11" t="b">
        <v>0</v>
      </c>
      <c r="N24" s="164">
        <v>45440.0</v>
      </c>
      <c r="O24" s="11" t="s">
        <v>403</v>
      </c>
      <c r="P24" s="164">
        <v>45440.0</v>
      </c>
      <c r="Q24" s="11" t="s">
        <v>403</v>
      </c>
      <c r="R24" s="66"/>
      <c r="S24" s="11"/>
      <c r="T24" s="164">
        <v>45440.0</v>
      </c>
      <c r="U24" s="11" t="s">
        <v>403</v>
      </c>
      <c r="V24" s="11" t="b">
        <v>0</v>
      </c>
      <c r="W24" s="11" t="b">
        <v>1</v>
      </c>
      <c r="X24" s="11" t="s">
        <v>1160</v>
      </c>
      <c r="Y24" s="115"/>
      <c r="Z24" s="11" t="b">
        <v>0</v>
      </c>
      <c r="AA24" s="115"/>
      <c r="AB24" s="11" t="b">
        <v>0</v>
      </c>
      <c r="AC24" s="117"/>
    </row>
    <row r="25">
      <c r="A25" s="57">
        <v>2.124011236E9</v>
      </c>
      <c r="B25" s="109" t="str">
        <f>VLOOKUP($A25,ANAGRAFICA!$B$1:$G$306,2,FALSE)</f>
        <v>BERETTA</v>
      </c>
      <c r="C25" s="109" t="str">
        <f>VLOOKUP($A25,ANAGRAFICA!$B$1:$G$306,3,FALSE)</f>
        <v>ENZO LUCIANO</v>
      </c>
      <c r="D25" s="109" t="str">
        <f>VLOOKUP($A25,ANAGRAFICA!$B$1:$G$306,4,FALSE)</f>
        <v>758-3</v>
      </c>
      <c r="E25" s="109">
        <f>VLOOKUP($A25,ANAGRAFICA!$B$1:$G$306,5,FALSE)</f>
        <v>3272024069</v>
      </c>
      <c r="F25" s="109">
        <f>VLOOKUP($A25,ANAGRAFICA!$B$1:$G$306,6,FALSE)</f>
        <v>2024</v>
      </c>
      <c r="G25" s="212">
        <v>1.0</v>
      </c>
      <c r="H25" s="11" t="s">
        <v>1158</v>
      </c>
      <c r="I25" s="115" t="b">
        <v>1</v>
      </c>
      <c r="J25" s="164">
        <v>45482.0</v>
      </c>
      <c r="K25" s="11" t="s">
        <v>1174</v>
      </c>
      <c r="L25" s="11" t="b">
        <v>0</v>
      </c>
      <c r="M25" s="11" t="b">
        <v>0</v>
      </c>
      <c r="N25" s="164">
        <v>45482.0</v>
      </c>
      <c r="O25" s="11" t="s">
        <v>1180</v>
      </c>
      <c r="P25" s="164">
        <v>45482.0</v>
      </c>
      <c r="Q25" s="11" t="s">
        <v>1180</v>
      </c>
      <c r="R25" s="66"/>
      <c r="S25" s="66"/>
      <c r="T25" s="164">
        <v>45482.0</v>
      </c>
      <c r="U25" s="11" t="s">
        <v>1180</v>
      </c>
      <c r="V25" s="11" t="b">
        <v>0</v>
      </c>
      <c r="W25" s="11" t="b">
        <v>1</v>
      </c>
      <c r="X25" s="11" t="s">
        <v>1181</v>
      </c>
      <c r="Y25" s="115"/>
      <c r="Z25" s="11" t="b">
        <v>0</v>
      </c>
      <c r="AA25" s="115"/>
      <c r="AB25" s="11" t="b">
        <v>0</v>
      </c>
      <c r="AC25" s="117"/>
    </row>
    <row r="26">
      <c r="A26" s="57">
        <v>2.124008291E9</v>
      </c>
      <c r="B26" s="109" t="str">
        <f>VLOOKUP($A26,ANAGRAFICA!$B$1:$G$306,2,FALSE)</f>
        <v>FUMAGALLI</v>
      </c>
      <c r="C26" s="109" t="str">
        <f>VLOOKUP($A26,ANAGRAFICA!$B$1:$G$306,3,FALSE)</f>
        <v>PIERO</v>
      </c>
      <c r="D26" s="109" t="str">
        <f>VLOOKUP($A26,ANAGRAFICA!$B$1:$G$306,4,FALSE)</f>
        <v/>
      </c>
      <c r="E26" s="109">
        <f>VLOOKUP($A26,ANAGRAFICA!$B$1:$G$306,5,FALSE)</f>
        <v>3272024065</v>
      </c>
      <c r="F26" s="109">
        <f>VLOOKUP($A26,ANAGRAFICA!$B$1:$G$306,6,FALSE)</f>
        <v>2024</v>
      </c>
      <c r="G26" s="212">
        <v>1.0</v>
      </c>
      <c r="H26" s="11" t="s">
        <v>1158</v>
      </c>
      <c r="I26" s="115" t="b">
        <v>0</v>
      </c>
      <c r="J26" s="66"/>
      <c r="K26" s="11" t="s">
        <v>1159</v>
      </c>
      <c r="L26" s="11" t="b">
        <v>0</v>
      </c>
      <c r="M26" s="11" t="b">
        <v>0</v>
      </c>
      <c r="N26" s="164">
        <v>45416.0</v>
      </c>
      <c r="O26" s="11" t="s">
        <v>421</v>
      </c>
      <c r="P26" s="164">
        <v>45416.0</v>
      </c>
      <c r="Q26" s="11" t="s">
        <v>421</v>
      </c>
      <c r="R26" s="66"/>
      <c r="S26" s="66"/>
      <c r="T26" s="164">
        <v>45416.0</v>
      </c>
      <c r="U26" s="11" t="s">
        <v>421</v>
      </c>
      <c r="V26" s="11" t="b">
        <v>0</v>
      </c>
      <c r="W26" s="11" t="b">
        <v>1</v>
      </c>
      <c r="X26" s="11"/>
      <c r="Y26" s="115"/>
      <c r="Z26" s="11" t="b">
        <v>0</v>
      </c>
      <c r="AA26" s="115"/>
      <c r="AB26" s="11" t="b">
        <v>0</v>
      </c>
      <c r="AC26" s="117"/>
    </row>
    <row r="27">
      <c r="A27" s="57">
        <v>2.124206072E9</v>
      </c>
      <c r="B27" s="109" t="str">
        <f>VLOOKUP($A27,ANAGRAFICA!$B$1:$G$306,2,FALSE)</f>
        <v>CONSONNI</v>
      </c>
      <c r="C27" s="109" t="str">
        <f>VLOOKUP($A27,ANAGRAFICA!$B$1:$G$306,3,FALSE)</f>
        <v>GIULIO</v>
      </c>
      <c r="D27" s="109" t="str">
        <f>VLOOKUP($A27,ANAGRAFICA!$B$1:$G$306,4,FALSE)</f>
        <v/>
      </c>
      <c r="E27" s="109">
        <f>VLOOKUP($A27,ANAGRAFICA!$B$1:$G$306,5,FALSE)</f>
        <v>3272024064</v>
      </c>
      <c r="F27" s="109">
        <f>VLOOKUP($A27,ANAGRAFICA!$B$1:$G$306,6,FALSE)</f>
        <v>2024</v>
      </c>
      <c r="G27" s="212">
        <v>1.0</v>
      </c>
      <c r="H27" s="11" t="s">
        <v>1158</v>
      </c>
      <c r="I27" s="115" t="b">
        <v>0</v>
      </c>
      <c r="J27" s="66"/>
      <c r="K27" s="11" t="s">
        <v>1159</v>
      </c>
      <c r="L27" s="11" t="b">
        <v>0</v>
      </c>
      <c r="M27" s="11" t="b">
        <v>0</v>
      </c>
      <c r="N27" s="164">
        <v>45417.0</v>
      </c>
      <c r="O27" s="11" t="s">
        <v>160</v>
      </c>
      <c r="P27" s="164">
        <v>45417.0</v>
      </c>
      <c r="Q27" s="11" t="s">
        <v>160</v>
      </c>
      <c r="R27" s="66"/>
      <c r="S27" s="66"/>
      <c r="T27" s="164">
        <v>45417.0</v>
      </c>
      <c r="U27" s="11" t="s">
        <v>160</v>
      </c>
      <c r="V27" s="11" t="b">
        <v>0</v>
      </c>
      <c r="W27" s="11" t="b">
        <v>0</v>
      </c>
      <c r="X27" s="11"/>
      <c r="Y27" s="115"/>
      <c r="Z27" s="11" t="b">
        <v>0</v>
      </c>
      <c r="AA27" s="115"/>
      <c r="AB27" s="11" t="b">
        <v>0</v>
      </c>
      <c r="AC27" s="117"/>
    </row>
    <row r="28">
      <c r="A28" s="57">
        <v>2.124007138E9</v>
      </c>
      <c r="B28" s="109" t="str">
        <f>VLOOKUP($A28,ANAGRAFICA!$B$1:$G$306,2,FALSE)</f>
        <v>TARTARELLI</v>
      </c>
      <c r="C28" s="109" t="str">
        <f>VLOOKUP($A28,ANAGRAFICA!$B$1:$G$306,3,FALSE)</f>
        <v>GIUSEPPE</v>
      </c>
      <c r="D28" s="109" t="str">
        <f>VLOOKUP($A28,ANAGRAFICA!$B$1:$G$306,4,FALSE)</f>
        <v/>
      </c>
      <c r="E28" s="109">
        <f>VLOOKUP($A28,ANAGRAFICA!$B$1:$G$306,5,FALSE)</f>
        <v>3272024063</v>
      </c>
      <c r="F28" s="109">
        <f>VLOOKUP($A28,ANAGRAFICA!$B$1:$G$306,6,FALSE)</f>
        <v>2024</v>
      </c>
      <c r="G28" s="212">
        <v>1.0</v>
      </c>
      <c r="H28" s="11" t="s">
        <v>1158</v>
      </c>
      <c r="I28" s="115" t="b">
        <v>1</v>
      </c>
      <c r="J28" s="66"/>
      <c r="K28" s="11" t="s">
        <v>1159</v>
      </c>
      <c r="L28" s="11" t="b">
        <v>0</v>
      </c>
      <c r="M28" s="11" t="b">
        <v>0</v>
      </c>
      <c r="N28" s="164">
        <v>45397.0</v>
      </c>
      <c r="O28" s="11" t="s">
        <v>453</v>
      </c>
      <c r="P28" s="66"/>
      <c r="Q28" s="66"/>
      <c r="R28" s="66"/>
      <c r="S28" s="66"/>
      <c r="T28" s="164">
        <v>45396.0</v>
      </c>
      <c r="U28" s="11" t="s">
        <v>949</v>
      </c>
      <c r="V28" s="11" t="b">
        <v>1</v>
      </c>
      <c r="W28" s="11" t="b">
        <v>1</v>
      </c>
      <c r="X28" s="11"/>
      <c r="Y28" s="115"/>
      <c r="Z28" s="11" t="b">
        <v>1</v>
      </c>
      <c r="AA28" s="11" t="s">
        <v>1166</v>
      </c>
      <c r="AB28" s="11" t="b">
        <v>1</v>
      </c>
      <c r="AC28" s="117"/>
    </row>
    <row r="29">
      <c r="A29" s="57">
        <v>2.124008603E9</v>
      </c>
      <c r="B29" s="109" t="str">
        <f>VLOOKUP($A29,ANAGRAFICA!$B$1:$G$306,2,FALSE)</f>
        <v>MARIANI</v>
      </c>
      <c r="C29" s="109" t="str">
        <f>VLOOKUP($A29,ANAGRAFICA!$B$1:$G$306,3,FALSE)</f>
        <v>MARCO</v>
      </c>
      <c r="D29" s="109" t="str">
        <f>VLOOKUP($A29,ANAGRAFICA!$B$1:$G$306,4,FALSE)</f>
        <v/>
      </c>
      <c r="E29" s="109">
        <f>VLOOKUP($A29,ANAGRAFICA!$B$1:$G$306,5,FALSE)</f>
        <v>3272024066</v>
      </c>
      <c r="F29" s="109">
        <f>VLOOKUP($A29,ANAGRAFICA!$B$1:$G$306,6,FALSE)</f>
        <v>2024</v>
      </c>
      <c r="G29" s="212">
        <v>1.0</v>
      </c>
      <c r="H29" s="11" t="s">
        <v>1158</v>
      </c>
      <c r="I29" s="115" t="b">
        <v>0</v>
      </c>
      <c r="J29" s="66"/>
      <c r="K29" s="11" t="s">
        <v>1177</v>
      </c>
      <c r="L29" s="11" t="b">
        <v>0</v>
      </c>
      <c r="M29" s="11" t="b">
        <v>0</v>
      </c>
      <c r="N29" s="164">
        <v>45483.0</v>
      </c>
      <c r="O29" s="11" t="s">
        <v>1182</v>
      </c>
      <c r="P29" s="164">
        <v>45483.0</v>
      </c>
      <c r="Q29" s="11" t="s">
        <v>1182</v>
      </c>
      <c r="R29" s="66"/>
      <c r="S29" s="66"/>
      <c r="T29" s="164">
        <v>45483.0</v>
      </c>
      <c r="U29" s="11" t="s">
        <v>1182</v>
      </c>
      <c r="V29" s="11" t="b">
        <v>0</v>
      </c>
      <c r="W29" s="11" t="b">
        <v>1</v>
      </c>
      <c r="X29" s="11" t="s">
        <v>1160</v>
      </c>
      <c r="Y29" s="115"/>
      <c r="Z29" s="11" t="b">
        <v>0</v>
      </c>
      <c r="AA29" s="115"/>
      <c r="AB29" s="11" t="b">
        <v>0</v>
      </c>
      <c r="AC29" s="117"/>
    </row>
    <row r="30">
      <c r="A30" s="57">
        <v>2.124015827E9</v>
      </c>
      <c r="B30" s="109" t="str">
        <f>VLOOKUP($A30,ANAGRAFICA!$B$1:$G$306,2,FALSE)</f>
        <v>SCHIAVON</v>
      </c>
      <c r="C30" s="109" t="str">
        <f>VLOOKUP($A30,ANAGRAFICA!$B$1:$G$306,3,FALSE)</f>
        <v>ELIO PAOLO</v>
      </c>
      <c r="D30" s="109" t="str">
        <f>VLOOKUP($A30,ANAGRAFICA!$B$1:$G$306,4,FALSE)</f>
        <v>758-11</v>
      </c>
      <c r="E30" s="109">
        <f>VLOOKUP($A30,ANAGRAFICA!$B$1:$G$306,5,FALSE)</f>
        <v>3272024077</v>
      </c>
      <c r="F30" s="109">
        <f>VLOOKUP($A30,ANAGRAFICA!$B$1:$G$306,6,FALSE)</f>
        <v>2024</v>
      </c>
      <c r="G30" s="212">
        <v>1.0</v>
      </c>
      <c r="H30" s="11" t="s">
        <v>1158</v>
      </c>
      <c r="I30" s="115" t="b">
        <v>0</v>
      </c>
      <c r="J30" s="66"/>
      <c r="K30" s="11" t="s">
        <v>1159</v>
      </c>
      <c r="L30" s="11" t="b">
        <v>0</v>
      </c>
      <c r="M30" s="11" t="b">
        <v>0</v>
      </c>
      <c r="N30" s="164">
        <v>45547.0</v>
      </c>
      <c r="O30" s="11" t="s">
        <v>87</v>
      </c>
      <c r="P30" s="164">
        <v>45547.0</v>
      </c>
      <c r="Q30" s="11" t="s">
        <v>87</v>
      </c>
      <c r="R30" s="66"/>
      <c r="S30" s="66"/>
      <c r="T30" s="164">
        <v>45547.0</v>
      </c>
      <c r="U30" s="11" t="s">
        <v>87</v>
      </c>
      <c r="V30" s="11" t="b">
        <v>0</v>
      </c>
      <c r="W30" s="11" t="b">
        <v>1</v>
      </c>
      <c r="X30" s="11"/>
      <c r="Y30" s="115"/>
      <c r="Z30" s="11" t="b">
        <v>0</v>
      </c>
      <c r="AA30" s="115"/>
      <c r="AB30" s="11" t="b">
        <v>0</v>
      </c>
      <c r="AC30" s="117"/>
    </row>
    <row r="31">
      <c r="A31" s="57">
        <v>2.12400578E9</v>
      </c>
      <c r="B31" s="109" t="str">
        <f>VLOOKUP($A31,ANAGRAFICA!$B$1:$G$306,2,FALSE)</f>
        <v>SAINCIUC</v>
      </c>
      <c r="C31" s="109" t="str">
        <f>VLOOKUP($A31,ANAGRAFICA!$B$1:$G$306,3,FALSE)</f>
        <v>AUREL</v>
      </c>
      <c r="D31" s="109" t="str">
        <f>VLOOKUP($A31,ANAGRAFICA!$B$1:$G$306,4,FALSE)</f>
        <v/>
      </c>
      <c r="E31" s="109">
        <f>VLOOKUP($A31,ANAGRAFICA!$B$1:$G$306,5,FALSE)</f>
        <v>3272024061</v>
      </c>
      <c r="F31" s="109">
        <f>VLOOKUP($A31,ANAGRAFICA!$B$1:$G$306,6,FALSE)</f>
        <v>2024</v>
      </c>
      <c r="G31" s="212">
        <v>1.0</v>
      </c>
      <c r="H31" s="11" t="s">
        <v>1158</v>
      </c>
      <c r="I31" s="115" t="b">
        <v>0</v>
      </c>
      <c r="J31" s="66"/>
      <c r="K31" s="11" t="s">
        <v>1159</v>
      </c>
      <c r="L31" s="11" t="b">
        <v>0</v>
      </c>
      <c r="M31" s="11" t="b">
        <v>0</v>
      </c>
      <c r="N31" s="164">
        <v>45378.0</v>
      </c>
      <c r="O31" s="11" t="s">
        <v>1183</v>
      </c>
      <c r="P31" s="164">
        <v>45378.0</v>
      </c>
      <c r="Q31" s="11" t="s">
        <v>1183</v>
      </c>
      <c r="R31" s="66"/>
      <c r="S31" s="66"/>
      <c r="T31" s="164">
        <v>45377.0</v>
      </c>
      <c r="U31" s="11" t="s">
        <v>1184</v>
      </c>
      <c r="V31" s="11" t="b">
        <v>1</v>
      </c>
      <c r="W31" s="11" t="b">
        <v>1</v>
      </c>
      <c r="X31" s="11"/>
      <c r="Y31" s="115"/>
      <c r="Z31" s="11" t="b">
        <v>1</v>
      </c>
      <c r="AA31" s="11" t="s">
        <v>1166</v>
      </c>
      <c r="AB31" s="11" t="b">
        <v>1</v>
      </c>
      <c r="AC31" s="117"/>
    </row>
    <row r="32">
      <c r="A32" s="57">
        <v>2.124006081E9</v>
      </c>
      <c r="B32" s="109" t="str">
        <f>VLOOKUP($A32,ANAGRAFICA!$B$1:$G$306,2,FALSE)</f>
        <v>DOSSI</v>
      </c>
      <c r="C32" s="109" t="str">
        <f>VLOOKUP($A32,ANAGRAFICA!$B$1:$G$306,3,FALSE)</f>
        <v>MAURIZIO ANTONIO</v>
      </c>
      <c r="D32" s="109" t="str">
        <f>VLOOKUP($A32,ANAGRAFICA!$B$1:$G$306,4,FALSE)</f>
        <v/>
      </c>
      <c r="E32" s="109">
        <f>VLOOKUP($A32,ANAGRAFICA!$B$1:$G$306,5,FALSE)</f>
        <v>3272024062</v>
      </c>
      <c r="F32" s="109">
        <f>VLOOKUP($A32,ANAGRAFICA!$B$1:$G$306,6,FALSE)</f>
        <v>2024</v>
      </c>
      <c r="G32" s="212">
        <v>1.0</v>
      </c>
      <c r="H32" s="11" t="s">
        <v>1158</v>
      </c>
      <c r="I32" s="115" t="b">
        <v>0</v>
      </c>
      <c r="J32" s="66"/>
      <c r="K32" s="11" t="s">
        <v>1159</v>
      </c>
      <c r="L32" s="11" t="b">
        <v>0</v>
      </c>
      <c r="M32" s="11" t="b">
        <v>0</v>
      </c>
      <c r="N32" s="164">
        <v>45424.0</v>
      </c>
      <c r="O32" s="11" t="s">
        <v>1185</v>
      </c>
      <c r="P32" s="164">
        <v>45424.0</v>
      </c>
      <c r="Q32" s="11" t="s">
        <v>1185</v>
      </c>
      <c r="R32" s="66"/>
      <c r="S32" s="66"/>
      <c r="T32" s="164">
        <v>45424.0</v>
      </c>
      <c r="U32" s="11" t="s">
        <v>1185</v>
      </c>
      <c r="V32" s="11" t="b">
        <v>0</v>
      </c>
      <c r="W32" s="11" t="b">
        <v>1</v>
      </c>
      <c r="X32" s="11" t="s">
        <v>1186</v>
      </c>
      <c r="Y32" s="115"/>
      <c r="Z32" s="11" t="b">
        <v>0</v>
      </c>
      <c r="AA32" s="115"/>
      <c r="AB32" s="11" t="b">
        <v>0</v>
      </c>
      <c r="AC32" s="117"/>
    </row>
    <row r="33">
      <c r="A33" s="57">
        <v>2.124004761E9</v>
      </c>
      <c r="B33" s="109" t="str">
        <f>VLOOKUP($A33,ANAGRAFICA!$B$1:$G$306,2,FALSE)</f>
        <v>TRAMPOLIN</v>
      </c>
      <c r="C33" s="109" t="str">
        <f>VLOOKUP($A33,ANAGRAFICA!$B$1:$G$306,3,FALSE)</f>
        <v>FABIO</v>
      </c>
      <c r="D33" s="109" t="str">
        <f>VLOOKUP($A33,ANAGRAFICA!$B$1:$G$306,4,FALSE)</f>
        <v/>
      </c>
      <c r="E33" s="109">
        <f>VLOOKUP($A33,ANAGRAFICA!$B$1:$G$306,5,FALSE)</f>
        <v>3272024060</v>
      </c>
      <c r="F33" s="109">
        <f>VLOOKUP($A33,ANAGRAFICA!$B$1:$G$306,6,FALSE)</f>
        <v>2024</v>
      </c>
      <c r="G33" s="212">
        <v>1.0</v>
      </c>
      <c r="H33" s="11" t="s">
        <v>1158</v>
      </c>
      <c r="I33" s="115" t="b">
        <v>0</v>
      </c>
      <c r="J33" s="66"/>
      <c r="K33" s="11" t="s">
        <v>1159</v>
      </c>
      <c r="L33" s="11" t="b">
        <v>0</v>
      </c>
      <c r="M33" s="11" t="b">
        <v>0</v>
      </c>
      <c r="N33" s="164">
        <v>45363.0</v>
      </c>
      <c r="O33" s="11" t="s">
        <v>456</v>
      </c>
      <c r="P33" s="164">
        <v>45363.0</v>
      </c>
      <c r="Q33" s="11" t="s">
        <v>456</v>
      </c>
      <c r="R33" s="66"/>
      <c r="S33" s="66"/>
      <c r="T33" s="164">
        <v>45363.0</v>
      </c>
      <c r="U33" s="11" t="s">
        <v>456</v>
      </c>
      <c r="V33" s="11" t="b">
        <v>0</v>
      </c>
      <c r="W33" s="11" t="b">
        <v>1</v>
      </c>
      <c r="X33" s="11" t="s">
        <v>1187</v>
      </c>
      <c r="Y33" s="11" t="s">
        <v>1188</v>
      </c>
      <c r="Z33" s="11" t="b">
        <v>0</v>
      </c>
      <c r="AA33" s="115"/>
      <c r="AB33" s="11" t="b">
        <v>0</v>
      </c>
      <c r="AC33" s="117"/>
    </row>
    <row r="34">
      <c r="A34" s="57">
        <v>2.124003924E9</v>
      </c>
      <c r="B34" s="109" t="str">
        <f>VLOOKUP($A34,ANAGRAFICA!$B$1:$G$306,2,FALSE)</f>
        <v>MUHAMMAD</v>
      </c>
      <c r="C34" s="109" t="str">
        <f>VLOOKUP($A34,ANAGRAFICA!$B$1:$G$306,3,FALSE)</f>
        <v>SHARIF</v>
      </c>
      <c r="D34" s="109" t="str">
        <f>VLOOKUP($A34,ANAGRAFICA!$B$1:$G$306,4,FALSE)</f>
        <v/>
      </c>
      <c r="E34" s="109">
        <f>VLOOKUP($A34,ANAGRAFICA!$B$1:$G$306,5,FALSE)</f>
        <v>3272024059</v>
      </c>
      <c r="F34" s="109">
        <f>VLOOKUP($A34,ANAGRAFICA!$B$1:$G$306,6,FALSE)</f>
        <v>2024</v>
      </c>
      <c r="G34" s="212">
        <v>1.0</v>
      </c>
      <c r="H34" s="11" t="s">
        <v>1158</v>
      </c>
      <c r="I34" s="115" t="b">
        <v>0</v>
      </c>
      <c r="J34" s="66"/>
      <c r="K34" s="11" t="s">
        <v>1159</v>
      </c>
      <c r="L34" s="11" t="b">
        <v>0</v>
      </c>
      <c r="M34" s="11" t="b">
        <v>0</v>
      </c>
      <c r="N34" s="164">
        <v>45350.0</v>
      </c>
      <c r="O34" s="11" t="s">
        <v>432</v>
      </c>
      <c r="P34" s="164">
        <v>45350.0</v>
      </c>
      <c r="Q34" s="11" t="s">
        <v>432</v>
      </c>
      <c r="R34" s="66"/>
      <c r="S34" s="66"/>
      <c r="T34" s="164">
        <v>45350.0</v>
      </c>
      <c r="U34" s="11" t="s">
        <v>432</v>
      </c>
      <c r="V34" s="11" t="b">
        <v>0</v>
      </c>
      <c r="W34" s="11" t="b">
        <v>1</v>
      </c>
      <c r="X34" s="11" t="s">
        <v>1187</v>
      </c>
      <c r="Y34" s="115"/>
      <c r="Z34" s="11" t="b">
        <v>0</v>
      </c>
      <c r="AA34" s="115"/>
      <c r="AB34" s="11" t="b">
        <v>0</v>
      </c>
      <c r="AC34" s="117"/>
    </row>
    <row r="35">
      <c r="A35" s="57">
        <v>2.124206072E9</v>
      </c>
      <c r="B35" s="109" t="str">
        <f>VLOOKUP($A35,ANAGRAFICA!$B$1:$G$306,2,FALSE)</f>
        <v>CONSONNI</v>
      </c>
      <c r="C35" s="109" t="str">
        <f>VLOOKUP($A35,ANAGRAFICA!$B$1:$G$306,3,FALSE)</f>
        <v>GIULIO</v>
      </c>
      <c r="D35" s="109" t="str">
        <f>VLOOKUP($A35,ANAGRAFICA!$B$1:$G$306,4,FALSE)</f>
        <v/>
      </c>
      <c r="E35" s="109">
        <f>VLOOKUP($A35,ANAGRAFICA!$B$1:$G$306,5,FALSE)</f>
        <v>3272024064</v>
      </c>
      <c r="F35" s="109">
        <f>VLOOKUP($A35,ANAGRAFICA!$B$1:$G$306,6,FALSE)</f>
        <v>2024</v>
      </c>
      <c r="G35" s="170">
        <v>1.0</v>
      </c>
      <c r="H35" s="11" t="s">
        <v>1172</v>
      </c>
      <c r="I35" s="115" t="b">
        <v>0</v>
      </c>
      <c r="J35" s="66"/>
      <c r="K35" s="11" t="s">
        <v>1159</v>
      </c>
      <c r="L35" s="11" t="b">
        <v>0</v>
      </c>
      <c r="M35" s="11" t="b">
        <v>0</v>
      </c>
      <c r="N35" s="164">
        <v>45417.0</v>
      </c>
      <c r="O35" s="11" t="s">
        <v>160</v>
      </c>
      <c r="P35" s="164">
        <v>45417.0</v>
      </c>
      <c r="Q35" s="11" t="s">
        <v>160</v>
      </c>
      <c r="R35" s="66"/>
      <c r="S35" s="66"/>
      <c r="T35" s="164">
        <v>45417.0</v>
      </c>
      <c r="U35" s="11" t="s">
        <v>160</v>
      </c>
      <c r="V35" s="11" t="b">
        <v>0</v>
      </c>
      <c r="W35" s="11" t="b">
        <v>0</v>
      </c>
      <c r="X35" s="11"/>
      <c r="Y35" s="115"/>
      <c r="Z35" s="11" t="b">
        <v>0</v>
      </c>
      <c r="AA35" s="115"/>
      <c r="AB35" s="11" t="b">
        <v>0</v>
      </c>
      <c r="AC35" s="117"/>
    </row>
    <row r="36">
      <c r="A36" s="57">
        <v>2.124206072E9</v>
      </c>
      <c r="B36" s="109" t="str">
        <f>VLOOKUP($A36,ANAGRAFICA!$B$1:$G$306,2,FALSE)</f>
        <v>CONSONNI</v>
      </c>
      <c r="C36" s="109" t="str">
        <f>VLOOKUP($A36,ANAGRAFICA!$B$1:$G$306,3,FALSE)</f>
        <v>GIULIO</v>
      </c>
      <c r="D36" s="109" t="str">
        <f>VLOOKUP($A36,ANAGRAFICA!$B$1:$G$306,4,FALSE)</f>
        <v/>
      </c>
      <c r="E36" s="109">
        <f>VLOOKUP($A36,ANAGRAFICA!$B$1:$G$306,5,FALSE)</f>
        <v>3272024064</v>
      </c>
      <c r="F36" s="109">
        <f>VLOOKUP($A36,ANAGRAFICA!$B$1:$G$306,6,FALSE)</f>
        <v>2024</v>
      </c>
      <c r="G36" s="170">
        <v>2.0</v>
      </c>
      <c r="H36" s="11" t="s">
        <v>1158</v>
      </c>
      <c r="I36" s="115" t="b">
        <v>0</v>
      </c>
      <c r="J36" s="66"/>
      <c r="K36" s="11" t="s">
        <v>1159</v>
      </c>
      <c r="L36" s="11" t="b">
        <v>0</v>
      </c>
      <c r="M36" s="11" t="b">
        <v>0</v>
      </c>
      <c r="N36" s="164">
        <v>45417.0</v>
      </c>
      <c r="O36" s="11" t="s">
        <v>160</v>
      </c>
      <c r="P36" s="164">
        <v>45417.0</v>
      </c>
      <c r="Q36" s="11" t="s">
        <v>160</v>
      </c>
      <c r="R36" s="66"/>
      <c r="S36" s="66"/>
      <c r="T36" s="164">
        <v>45417.0</v>
      </c>
      <c r="U36" s="11" t="s">
        <v>160</v>
      </c>
      <c r="V36" s="11" t="b">
        <v>0</v>
      </c>
      <c r="W36" s="11" t="b">
        <v>1</v>
      </c>
      <c r="X36" s="11" t="s">
        <v>1187</v>
      </c>
      <c r="Y36" s="115"/>
      <c r="Z36" s="11" t="b">
        <v>0</v>
      </c>
      <c r="AA36" s="115"/>
      <c r="AB36" s="11" t="b">
        <v>0</v>
      </c>
      <c r="AC36" s="117"/>
    </row>
    <row r="37">
      <c r="A37" s="57">
        <v>2.124014461E9</v>
      </c>
      <c r="B37" s="109" t="str">
        <f>VLOOKUP($A37,ANAGRAFICA!$B$1:$G$306,2,FALSE)</f>
        <v>FUMAGALLI</v>
      </c>
      <c r="C37" s="109" t="str">
        <f>VLOOKUP($A37,ANAGRAFICA!$B$1:$G$306,3,FALSE)</f>
        <v>LUCA</v>
      </c>
      <c r="D37" s="109" t="str">
        <f>VLOOKUP($A37,ANAGRAFICA!$B$1:$G$306,4,FALSE)</f>
        <v>758-10</v>
      </c>
      <c r="E37" s="109">
        <f>VLOOKUP($A37,ANAGRAFICA!$B$1:$G$306,5,FALSE)</f>
        <v>3272024076</v>
      </c>
      <c r="F37" s="109">
        <f>VLOOKUP($A37,ANAGRAFICA!$B$1:$G$306,6,FALSE)</f>
        <v>2024</v>
      </c>
      <c r="G37" s="212">
        <v>1.0</v>
      </c>
      <c r="H37" s="11" t="s">
        <v>1172</v>
      </c>
      <c r="I37" s="115" t="b">
        <v>1</v>
      </c>
      <c r="J37" s="164">
        <v>45547.0</v>
      </c>
      <c r="K37" s="11" t="s">
        <v>1170</v>
      </c>
      <c r="L37" s="11" t="b">
        <v>0</v>
      </c>
      <c r="M37" s="11" t="b">
        <v>0</v>
      </c>
      <c r="N37" s="164">
        <v>45565.0</v>
      </c>
      <c r="O37" s="11" t="s">
        <v>45</v>
      </c>
      <c r="P37" s="214">
        <v>45575.0</v>
      </c>
      <c r="Q37" s="11" t="s">
        <v>516</v>
      </c>
      <c r="R37" s="11" t="s">
        <v>1163</v>
      </c>
      <c r="S37" s="11" t="s">
        <v>1168</v>
      </c>
      <c r="T37" s="116"/>
      <c r="U37" s="11"/>
      <c r="V37" s="11" t="b">
        <v>0</v>
      </c>
      <c r="W37" s="11" t="b">
        <v>0</v>
      </c>
      <c r="X37" s="11"/>
      <c r="Y37" s="115"/>
      <c r="Z37" s="11" t="b">
        <v>0</v>
      </c>
      <c r="AA37" s="115"/>
      <c r="AB37" s="11" t="b">
        <v>0</v>
      </c>
      <c r="AC37" s="117"/>
    </row>
    <row r="38">
      <c r="A38" s="57">
        <v>2.124016781E9</v>
      </c>
      <c r="B38" s="109" t="str">
        <f>VLOOKUP($A38,ANAGRAFICA!$B$1:$G$306,2,FALSE)</f>
        <v>TURNO ARTHEMALLE</v>
      </c>
      <c r="C38" s="109" t="str">
        <f>VLOOKUP($A38,ANAGRAFICA!$B$1:$G$306,3,FALSE)</f>
        <v>ALICE</v>
      </c>
      <c r="D38" s="109" t="str">
        <f>VLOOKUP($A38,ANAGRAFICA!$B$1:$G$306,4,FALSE)</f>
        <v>758-12</v>
      </c>
      <c r="E38" s="109">
        <f>VLOOKUP($A38,ANAGRAFICA!$B$1:$G$306,5,FALSE)</f>
        <v>3272024078</v>
      </c>
      <c r="F38" s="109">
        <f>VLOOKUP($A38,ANAGRAFICA!$B$1:$G$306,6,FALSE)</f>
        <v>2024</v>
      </c>
      <c r="G38" s="212">
        <v>1.0</v>
      </c>
      <c r="H38" s="11" t="s">
        <v>1158</v>
      </c>
      <c r="I38" s="115" t="b">
        <v>0</v>
      </c>
      <c r="J38" s="66"/>
      <c r="K38" s="11" t="s">
        <v>1159</v>
      </c>
      <c r="L38" s="11" t="b">
        <v>0</v>
      </c>
      <c r="M38" s="11" t="b">
        <v>0</v>
      </c>
      <c r="N38" s="164">
        <v>45569.0</v>
      </c>
      <c r="O38" s="11" t="s">
        <v>814</v>
      </c>
      <c r="P38" s="164">
        <v>45569.0</v>
      </c>
      <c r="Q38" s="11" t="s">
        <v>456</v>
      </c>
      <c r="R38" s="11" t="s">
        <v>1163</v>
      </c>
      <c r="S38" s="66"/>
      <c r="T38" s="164">
        <v>45569.0</v>
      </c>
      <c r="U38" s="11" t="s">
        <v>456</v>
      </c>
      <c r="V38" s="11" t="b">
        <v>0</v>
      </c>
      <c r="W38" s="11" t="b">
        <v>0</v>
      </c>
      <c r="X38" s="11" t="s">
        <v>1160</v>
      </c>
      <c r="Y38" s="115"/>
      <c r="Z38" s="11" t="b">
        <v>0</v>
      </c>
      <c r="AA38" s="115"/>
      <c r="AB38" s="11" t="b">
        <v>0</v>
      </c>
      <c r="AC38" s="117"/>
    </row>
    <row r="39">
      <c r="A39" s="57">
        <v>2.124024078E9</v>
      </c>
      <c r="B39" s="109" t="str">
        <f>VLOOKUP($A39,ANAGRAFICA!$B$1:$G$306,2,FALSE)</f>
        <v>ROVARIS</v>
      </c>
      <c r="C39" s="109" t="str">
        <f>VLOOKUP($A39,ANAGRAFICA!$B$1:$G$306,3,FALSE)</f>
        <v>ANGELO FELICE</v>
      </c>
      <c r="D39" s="109" t="str">
        <f>VLOOKUP($A39,ANAGRAFICA!$B$1:$G$306,4,FALSE)</f>
        <v>758-20</v>
      </c>
      <c r="E39" s="109">
        <f>VLOOKUP($A39,ANAGRAFICA!$B$1:$G$306,5,FALSE)</f>
        <v>3272024086</v>
      </c>
      <c r="F39" s="109">
        <f>VLOOKUP($A39,ANAGRAFICA!$B$1:$G$306,6,FALSE)</f>
        <v>2024</v>
      </c>
      <c r="G39" s="212">
        <v>1.0</v>
      </c>
      <c r="H39" s="115"/>
      <c r="I39" s="115" t="b">
        <v>1</v>
      </c>
      <c r="J39" s="214">
        <v>45639.0</v>
      </c>
      <c r="K39" s="11" t="s">
        <v>1170</v>
      </c>
      <c r="L39" s="11" t="b">
        <v>1</v>
      </c>
      <c r="M39" s="11" t="b">
        <v>0</v>
      </c>
      <c r="N39" s="214">
        <v>45642.0</v>
      </c>
      <c r="O39" s="11" t="s">
        <v>324</v>
      </c>
      <c r="P39" s="214">
        <v>45650.0</v>
      </c>
      <c r="Q39" s="66"/>
      <c r="R39" s="66"/>
      <c r="S39" s="66"/>
      <c r="T39" s="116"/>
      <c r="U39" s="11"/>
      <c r="V39" s="11" t="b">
        <v>0</v>
      </c>
      <c r="W39" s="11" t="b">
        <v>0</v>
      </c>
      <c r="X39" s="11"/>
      <c r="Y39" s="115"/>
      <c r="Z39" s="11" t="b">
        <v>0</v>
      </c>
      <c r="AA39" s="115"/>
      <c r="AB39" s="11" t="b">
        <v>0</v>
      </c>
      <c r="AC39" s="3">
        <v>4.0</v>
      </c>
    </row>
    <row r="40">
      <c r="A40" s="57">
        <v>2.124025195E9</v>
      </c>
      <c r="B40" s="109" t="str">
        <f>VLOOKUP($A40,ANAGRAFICA!$B$1:$G$306,2,FALSE)</f>
        <v>FAZIO</v>
      </c>
      <c r="C40" s="109" t="str">
        <f>VLOOKUP($A40,ANAGRAFICA!$B$1:$G$306,3,FALSE)</f>
        <v>FRANCESCO ANTONIO</v>
      </c>
      <c r="D40" s="109" t="str">
        <f>VLOOKUP($A40,ANAGRAFICA!$B$1:$G$306,4,FALSE)</f>
        <v>758-21</v>
      </c>
      <c r="E40" s="109">
        <f>VLOOKUP($A40,ANAGRAFICA!$B$1:$G$306,5,FALSE)</f>
        <v>3272024087</v>
      </c>
      <c r="F40" s="109">
        <f>VLOOKUP($A40,ANAGRAFICA!$B$1:$G$306,6,FALSE)</f>
        <v>2024</v>
      </c>
      <c r="G40" s="212">
        <v>1.0</v>
      </c>
      <c r="H40" s="11" t="s">
        <v>1189</v>
      </c>
      <c r="I40" s="115" t="b">
        <v>0</v>
      </c>
      <c r="J40" s="66"/>
      <c r="K40" s="11" t="s">
        <v>1159</v>
      </c>
      <c r="L40" s="11" t="b">
        <v>0</v>
      </c>
      <c r="M40" s="11" t="b">
        <v>0</v>
      </c>
      <c r="N40" s="214">
        <v>45639.0</v>
      </c>
      <c r="O40" s="11" t="s">
        <v>59</v>
      </c>
      <c r="P40" s="214">
        <v>45639.0</v>
      </c>
      <c r="Q40" s="11" t="s">
        <v>516</v>
      </c>
      <c r="R40" s="66"/>
      <c r="S40" s="66"/>
      <c r="T40" s="164">
        <v>45639.0</v>
      </c>
      <c r="U40" s="11" t="s">
        <v>521</v>
      </c>
      <c r="V40" s="11" t="b">
        <v>0</v>
      </c>
      <c r="W40" s="11" t="b">
        <v>1</v>
      </c>
      <c r="X40" s="11"/>
      <c r="Y40" s="115"/>
      <c r="Z40" s="11" t="b">
        <v>0</v>
      </c>
      <c r="AA40" s="115"/>
      <c r="AB40" s="11" t="b">
        <v>0</v>
      </c>
      <c r="AC40" s="117"/>
    </row>
    <row r="41">
      <c r="A41" s="57">
        <v>2.124023603E9</v>
      </c>
      <c r="B41" s="109" t="str">
        <f>VLOOKUP($A41,ANAGRAFICA!$B$1:$G$306,2,FALSE)</f>
        <v>MAZZARDIS </v>
      </c>
      <c r="C41" s="109" t="str">
        <f>VLOOKUP($A41,ANAGRAFICA!$B$1:$G$306,3,FALSE)</f>
        <v>DAVIDE</v>
      </c>
      <c r="D41" s="109" t="str">
        <f>VLOOKUP($A41,ANAGRAFICA!$B$1:$G$306,4,FALSE)</f>
        <v>758-19</v>
      </c>
      <c r="E41" s="109">
        <f>VLOOKUP($A41,ANAGRAFICA!$B$1:$G$306,5,FALSE)</f>
        <v>3272024085</v>
      </c>
      <c r="F41" s="109">
        <f>VLOOKUP($A41,ANAGRAFICA!$B$1:$G$306,6,FALSE)</f>
        <v>2024</v>
      </c>
      <c r="G41" s="212">
        <v>1.0</v>
      </c>
      <c r="H41" s="115"/>
      <c r="I41" s="115" t="b">
        <v>1</v>
      </c>
      <c r="J41" s="66"/>
      <c r="K41" s="11" t="s">
        <v>1159</v>
      </c>
      <c r="L41" s="11" t="b">
        <v>0</v>
      </c>
      <c r="M41" s="11" t="b">
        <v>0</v>
      </c>
      <c r="R41" s="66"/>
      <c r="S41" s="66"/>
      <c r="T41" s="116"/>
      <c r="U41" s="11"/>
      <c r="V41" s="11" t="b">
        <v>0</v>
      </c>
      <c r="W41" s="11" t="b">
        <v>0</v>
      </c>
      <c r="X41" s="11"/>
      <c r="Y41" s="115"/>
      <c r="Z41" s="11" t="b">
        <v>0</v>
      </c>
      <c r="AA41" s="115"/>
      <c r="AB41" s="11" t="b">
        <v>0</v>
      </c>
      <c r="AC41" s="117"/>
    </row>
    <row r="42">
      <c r="A42" s="57">
        <v>2.124025878E9</v>
      </c>
      <c r="B42" s="109" t="str">
        <f>VLOOKUP($A42,ANAGRAFICA!$B$1:$G$306,2,FALSE)</f>
        <v>PEDRONI </v>
      </c>
      <c r="C42" s="109" t="str">
        <f>VLOOKUP($A42,ANAGRAFICA!$B$1:$G$306,3,FALSE)</f>
        <v>PIERANGELO</v>
      </c>
      <c r="D42" s="109" t="str">
        <f>VLOOKUP($A42,ANAGRAFICA!$B$1:$G$306,4,FALSE)</f>
        <v>758-22</v>
      </c>
      <c r="E42" s="109">
        <f>VLOOKUP($A42,ANAGRAFICA!$B$1:$G$306,5,FALSE)</f>
        <v>3272024088</v>
      </c>
      <c r="F42" s="109">
        <f>VLOOKUP($A42,ANAGRAFICA!$B$1:$G$306,6,FALSE)</f>
        <v>2024</v>
      </c>
      <c r="G42" s="212">
        <v>1.0</v>
      </c>
      <c r="H42" s="11" t="s">
        <v>1158</v>
      </c>
      <c r="I42" s="115" t="b">
        <v>0</v>
      </c>
      <c r="J42" s="66"/>
      <c r="K42" s="11" t="s">
        <v>1159</v>
      </c>
      <c r="L42" s="11" t="b">
        <v>0</v>
      </c>
      <c r="M42" s="11" t="b">
        <v>0</v>
      </c>
      <c r="N42" s="66"/>
      <c r="O42" s="66"/>
      <c r="P42" s="66"/>
      <c r="Q42" s="66"/>
      <c r="R42" s="66"/>
      <c r="S42" s="66"/>
      <c r="T42" s="116"/>
      <c r="U42" s="11"/>
      <c r="V42" s="11" t="b">
        <v>0</v>
      </c>
      <c r="W42" s="11" t="b">
        <v>0</v>
      </c>
      <c r="X42" s="11"/>
      <c r="Y42" s="115"/>
      <c r="Z42" s="11" t="b">
        <v>0</v>
      </c>
      <c r="AA42" s="115"/>
      <c r="AB42" s="11" t="b">
        <v>0</v>
      </c>
      <c r="AC42" s="117"/>
    </row>
    <row r="43">
      <c r="A43" s="57">
        <v>2.124208975E9</v>
      </c>
      <c r="B43" s="109" t="str">
        <f>VLOOKUP($A43,ANAGRAFICA!$B$1:$G$306,2,FALSE)</f>
        <v>FERRARO</v>
      </c>
      <c r="C43" s="109" t="str">
        <f>VLOOKUP($A43,ANAGRAFICA!$B$1:$G$306,3,FALSE)</f>
        <v>DANIELE</v>
      </c>
      <c r="D43" s="109" t="str">
        <f>VLOOKUP($A43,ANAGRAFICA!$B$1:$G$306,4,FALSE)</f>
        <v/>
      </c>
      <c r="E43" s="109" t="str">
        <f>VLOOKUP($A43,ANAGRAFICA!$B$1:$G$306,5,FALSE)</f>
        <v/>
      </c>
      <c r="F43" s="109">
        <f>VLOOKUP($A43,ANAGRAFICA!$B$1:$G$306,6,FALSE)</f>
        <v>2024</v>
      </c>
      <c r="G43" s="212">
        <v>1.0</v>
      </c>
      <c r="H43" s="11" t="s">
        <v>1158</v>
      </c>
      <c r="I43" s="115" t="b">
        <v>0</v>
      </c>
      <c r="J43" s="66"/>
      <c r="K43" s="11" t="s">
        <v>1159</v>
      </c>
      <c r="L43" s="11" t="b">
        <v>0</v>
      </c>
      <c r="M43" s="11" t="b">
        <v>0</v>
      </c>
      <c r="N43" s="164">
        <v>45486.0</v>
      </c>
      <c r="O43" s="11" t="s">
        <v>418</v>
      </c>
      <c r="P43" s="164">
        <v>45486.0</v>
      </c>
      <c r="Q43" s="11" t="s">
        <v>418</v>
      </c>
      <c r="R43" s="66"/>
      <c r="S43" s="66"/>
      <c r="T43" s="164">
        <v>45486.0</v>
      </c>
      <c r="U43" s="11" t="s">
        <v>418</v>
      </c>
      <c r="V43" s="11" t="b">
        <v>0</v>
      </c>
      <c r="W43" s="11" t="b">
        <v>1</v>
      </c>
      <c r="X43" s="11"/>
      <c r="Y43" s="115"/>
      <c r="Z43" s="11" t="b">
        <v>0</v>
      </c>
      <c r="AA43" s="115"/>
      <c r="AB43" s="11" t="b">
        <v>0</v>
      </c>
      <c r="AC43" s="117"/>
    </row>
    <row r="44">
      <c r="A44" s="57">
        <v>2.124018611E9</v>
      </c>
      <c r="B44" s="109" t="str">
        <f>VLOOKUP($A44,ANAGRAFICA!$B$1:$G$306,2,FALSE)</f>
        <v>CURTO</v>
      </c>
      <c r="C44" s="109" t="str">
        <f>VLOOKUP($A44,ANAGRAFICA!$B$1:$G$306,3,FALSE)</f>
        <v>ROBERTO</v>
      </c>
      <c r="D44" s="109" t="str">
        <f>VLOOKUP($A44,ANAGRAFICA!$B$1:$G$306,4,FALSE)</f>
        <v/>
      </c>
      <c r="E44" s="109" t="str">
        <f>VLOOKUP($A44,ANAGRAFICA!$B$1:$G$306,5,FALSE)</f>
        <v/>
      </c>
      <c r="F44" s="109">
        <f>VLOOKUP($A44,ANAGRAFICA!$B$1:$G$306,6,FALSE)</f>
        <v>2024</v>
      </c>
      <c r="G44" s="212">
        <v>1.0</v>
      </c>
      <c r="H44" s="11" t="s">
        <v>1158</v>
      </c>
      <c r="I44" s="115" t="b">
        <v>0</v>
      </c>
      <c r="J44" s="66"/>
      <c r="K44" s="11" t="s">
        <v>1159</v>
      </c>
      <c r="L44" s="11" t="b">
        <v>0</v>
      </c>
      <c r="M44" s="11" t="b">
        <v>0</v>
      </c>
      <c r="N44" s="214">
        <v>45586.0</v>
      </c>
      <c r="O44" s="11" t="s">
        <v>411</v>
      </c>
      <c r="P44" s="214">
        <v>45586.0</v>
      </c>
      <c r="Q44" s="11" t="s">
        <v>411</v>
      </c>
      <c r="R44" s="66"/>
      <c r="S44" s="66"/>
      <c r="T44" s="164">
        <v>45586.0</v>
      </c>
      <c r="U44" s="11" t="s">
        <v>411</v>
      </c>
      <c r="V44" s="11" t="b">
        <v>0</v>
      </c>
      <c r="W44" s="11" t="b">
        <v>0</v>
      </c>
      <c r="X44" s="11"/>
      <c r="Y44" s="115"/>
      <c r="Z44" s="11" t="b">
        <v>0</v>
      </c>
      <c r="AA44" s="115"/>
      <c r="AB44" s="11" t="b">
        <v>0</v>
      </c>
      <c r="AC44" s="117"/>
    </row>
    <row r="45">
      <c r="A45" s="57">
        <v>2.125000348E9</v>
      </c>
      <c r="B45" s="109" t="str">
        <f>VLOOKUP($A45,ANAGRAFICA!$B$1:$G$306,2,FALSE)</f>
        <v>SLAVKOVA</v>
      </c>
      <c r="C45" s="109" t="str">
        <f>VLOOKUP($A45,ANAGRAFICA!$B$1:$G$306,3,FALSE)</f>
        <v>EVELINA PLAMENOVA</v>
      </c>
      <c r="D45" s="109" t="str">
        <f>VLOOKUP($A45,ANAGRAFICA!$B$1:$G$306,4,FALSE)</f>
        <v/>
      </c>
      <c r="E45" s="109">
        <f>VLOOKUP($A45,ANAGRAFICA!$B$1:$G$306,5,FALSE)</f>
        <v>3272025051</v>
      </c>
      <c r="F45" s="109">
        <f>VLOOKUP($A45,ANAGRAFICA!$B$1:$G$306,6,FALSE)</f>
        <v>2025</v>
      </c>
      <c r="G45" s="212">
        <v>1.0</v>
      </c>
      <c r="H45" s="11" t="s">
        <v>1158</v>
      </c>
      <c r="I45" s="115" t="b">
        <v>0</v>
      </c>
      <c r="J45" s="66"/>
      <c r="K45" s="11" t="s">
        <v>1159</v>
      </c>
      <c r="L45" s="11" t="b">
        <v>0</v>
      </c>
      <c r="M45" s="11" t="b">
        <v>0</v>
      </c>
      <c r="N45" s="164">
        <v>45665.0</v>
      </c>
      <c r="O45" s="11" t="s">
        <v>1190</v>
      </c>
      <c r="P45" s="164">
        <v>45665.0</v>
      </c>
      <c r="Q45" s="11" t="s">
        <v>516</v>
      </c>
      <c r="R45" s="66"/>
      <c r="S45" s="66"/>
      <c r="T45" s="164">
        <v>45664.0</v>
      </c>
      <c r="U45" s="11" t="s">
        <v>687</v>
      </c>
      <c r="V45" s="11" t="b">
        <v>1</v>
      </c>
      <c r="W45" s="11" t="b">
        <v>0</v>
      </c>
      <c r="X45" s="11"/>
      <c r="Y45" s="115"/>
      <c r="Z45" s="11" t="b">
        <v>1</v>
      </c>
      <c r="AA45" s="11" t="s">
        <v>1166</v>
      </c>
      <c r="AB45" s="11" t="b">
        <v>1</v>
      </c>
      <c r="AC45" s="3">
        <v>5.0</v>
      </c>
    </row>
    <row r="46">
      <c r="A46" s="57">
        <v>2.125004454E9</v>
      </c>
      <c r="B46" s="109" t="str">
        <f>VLOOKUP($A46,ANAGRAFICA!$B$1:$G$306,2,FALSE)</f>
        <v>ANTIGNANO</v>
      </c>
      <c r="C46" s="109" t="str">
        <f>VLOOKUP($A46,ANAGRAFICA!$B$1:$G$306,3,FALSE)</f>
        <v>MAURO</v>
      </c>
      <c r="D46" s="109" t="str">
        <f>VLOOKUP($A46,ANAGRAFICA!$B$1:$G$306,4,FALSE)</f>
        <v>758-23</v>
      </c>
      <c r="E46" s="109">
        <f>VLOOKUP($A46,ANAGRAFICA!$B$1:$G$306,5,FALSE)</f>
        <v>3272025052</v>
      </c>
      <c r="F46" s="109">
        <f>VLOOKUP($A46,ANAGRAFICA!$B$1:$G$306,6,FALSE)</f>
        <v>2025</v>
      </c>
      <c r="G46" s="212">
        <v>1.0</v>
      </c>
      <c r="H46" s="11" t="s">
        <v>1158</v>
      </c>
      <c r="I46" s="115" t="b">
        <v>0</v>
      </c>
      <c r="J46" s="66"/>
      <c r="K46" s="11" t="s">
        <v>1159</v>
      </c>
      <c r="L46" s="11" t="b">
        <v>0</v>
      </c>
      <c r="M46" s="11" t="b">
        <v>0</v>
      </c>
      <c r="N46" s="164">
        <v>45688.0</v>
      </c>
      <c r="O46" s="11" t="s">
        <v>409</v>
      </c>
      <c r="P46" s="164">
        <v>45688.0</v>
      </c>
      <c r="Q46" s="11" t="s">
        <v>409</v>
      </c>
      <c r="R46" s="66"/>
      <c r="S46" s="66"/>
      <c r="T46" s="164">
        <v>45688.0</v>
      </c>
      <c r="U46" s="11" t="s">
        <v>397</v>
      </c>
      <c r="V46" s="11" t="b">
        <v>0</v>
      </c>
      <c r="W46" s="11" t="b">
        <v>0</v>
      </c>
      <c r="X46" s="11" t="s">
        <v>1191</v>
      </c>
      <c r="Y46" s="11" t="s">
        <v>1192</v>
      </c>
      <c r="Z46" s="11" t="b">
        <v>0</v>
      </c>
      <c r="AA46" s="115"/>
      <c r="AB46" s="11" t="b">
        <v>0</v>
      </c>
      <c r="AC46" s="117"/>
    </row>
    <row r="47">
      <c r="A47" s="57">
        <v>2.125004867E9</v>
      </c>
      <c r="B47" s="109" t="str">
        <f>VLOOKUP($A47,ANAGRAFICA!$B$1:$G$306,2,FALSE)</f>
        <v>MARCONI</v>
      </c>
      <c r="C47" s="109" t="str">
        <f>VLOOKUP($A47,ANAGRAFICA!$B$1:$G$306,3,FALSE)</f>
        <v>PIETRO VITTORIO</v>
      </c>
      <c r="D47" s="109" t="str">
        <f>VLOOKUP($A47,ANAGRAFICA!$B$1:$G$306,4,FALSE)</f>
        <v/>
      </c>
      <c r="E47" s="154" t="s">
        <v>691</v>
      </c>
      <c r="F47" s="109">
        <f>VLOOKUP($A47,ANAGRAFICA!$B$1:$G$306,6,FALSE)</f>
        <v>2025</v>
      </c>
      <c r="G47" s="212">
        <v>1.0</v>
      </c>
      <c r="H47" s="11" t="s">
        <v>1158</v>
      </c>
      <c r="I47" s="115" t="b">
        <v>0</v>
      </c>
      <c r="J47" s="66"/>
      <c r="K47" s="11" t="s">
        <v>1174</v>
      </c>
      <c r="L47" s="11" t="b">
        <v>0</v>
      </c>
      <c r="M47" s="11" t="b">
        <v>0</v>
      </c>
      <c r="N47" s="66"/>
      <c r="O47" s="66"/>
      <c r="P47" s="66"/>
      <c r="Q47" s="66"/>
      <c r="R47" s="66"/>
      <c r="S47" s="66"/>
      <c r="T47" s="164">
        <v>45692.0</v>
      </c>
      <c r="U47" s="11" t="s">
        <v>425</v>
      </c>
      <c r="V47" s="11" t="b">
        <v>0</v>
      </c>
      <c r="W47" s="11" t="b">
        <v>0</v>
      </c>
      <c r="X47" s="11"/>
      <c r="Y47" s="115"/>
      <c r="Z47" s="11" t="b">
        <v>0</v>
      </c>
      <c r="AA47" s="115"/>
      <c r="AB47" s="11" t="b">
        <v>0</v>
      </c>
      <c r="AC47" s="117"/>
    </row>
    <row r="48">
      <c r="A48" s="57">
        <v>2.025010247E9</v>
      </c>
      <c r="B48" s="109" t="str">
        <f>VLOOKUP($A48,ANAGRAFICA!$B$1:$G$306,2,FALSE)</f>
        <v>TREMOLADA</v>
      </c>
      <c r="C48" s="109" t="str">
        <f>VLOOKUP($A48,ANAGRAFICA!$B$1:$G$306,3,FALSE)</f>
        <v>MARCO</v>
      </c>
      <c r="D48" s="109" t="str">
        <f>VLOOKUP($A48,ANAGRAFICA!$B$1:$G$306,4,FALSE)</f>
        <v>758-25</v>
      </c>
      <c r="E48" s="109">
        <f>VLOOKUP($A48,ANAGRAFICA!$B$1:$G$306,5,FALSE)</f>
        <v>3272025054</v>
      </c>
      <c r="F48" s="109">
        <f>VLOOKUP($A48,ANAGRAFICA!$B$1:$G$306,6,FALSE)</f>
        <v>2025</v>
      </c>
      <c r="G48" s="212">
        <v>1.0</v>
      </c>
      <c r="H48" s="11" t="s">
        <v>1172</v>
      </c>
      <c r="I48" s="115" t="b">
        <v>0</v>
      </c>
      <c r="J48" s="66"/>
      <c r="K48" s="11" t="s">
        <v>1177</v>
      </c>
      <c r="L48" s="11" t="b">
        <v>0</v>
      </c>
      <c r="M48" s="11" t="b">
        <v>0</v>
      </c>
      <c r="N48" s="214">
        <v>45905.0</v>
      </c>
      <c r="O48" s="66"/>
      <c r="P48" s="214">
        <v>45905.0</v>
      </c>
      <c r="Q48" s="66"/>
      <c r="R48" s="66"/>
      <c r="S48" s="66"/>
      <c r="T48" s="164">
        <v>45905.0</v>
      </c>
      <c r="U48" s="11"/>
      <c r="V48" s="11" t="b">
        <v>0</v>
      </c>
      <c r="W48" s="11" t="b">
        <v>0</v>
      </c>
      <c r="X48" s="11"/>
      <c r="Y48" s="115"/>
      <c r="Z48" s="11" t="b">
        <v>0</v>
      </c>
      <c r="AA48" s="115"/>
      <c r="AB48" s="11" t="b">
        <v>0</v>
      </c>
      <c r="AC48" s="117"/>
    </row>
    <row r="49">
      <c r="A49" s="57">
        <v>2.025010247E9</v>
      </c>
      <c r="B49" s="109" t="str">
        <f>VLOOKUP($A49,ANAGRAFICA!$B$1:$G$306,2,FALSE)</f>
        <v>TREMOLADA</v>
      </c>
      <c r="C49" s="109" t="str">
        <f>VLOOKUP($A49,ANAGRAFICA!$B$1:$G$306,3,FALSE)</f>
        <v>MARCO</v>
      </c>
      <c r="D49" s="109" t="str">
        <f>VLOOKUP($A49,ANAGRAFICA!$B$1:$G$306,4,FALSE)</f>
        <v>758-25</v>
      </c>
      <c r="E49" s="109">
        <f>VLOOKUP($A49,ANAGRAFICA!$B$1:$G$306,5,FALSE)</f>
        <v>3272025054</v>
      </c>
      <c r="F49" s="109">
        <f>VLOOKUP($A49,ANAGRAFICA!$B$1:$G$306,6,FALSE)</f>
        <v>2025</v>
      </c>
      <c r="G49" s="170">
        <v>2.0</v>
      </c>
      <c r="H49" s="11" t="s">
        <v>1193</v>
      </c>
      <c r="I49" s="115" t="b">
        <v>0</v>
      </c>
      <c r="J49" s="66"/>
      <c r="K49" s="11" t="s">
        <v>1177</v>
      </c>
      <c r="L49" s="11" t="b">
        <v>1</v>
      </c>
      <c r="M49" s="11" t="b">
        <v>1</v>
      </c>
      <c r="N49" s="164">
        <v>45812.0</v>
      </c>
      <c r="O49" s="11" t="s">
        <v>292</v>
      </c>
      <c r="P49" s="164">
        <v>45812.0</v>
      </c>
      <c r="Q49" s="11" t="s">
        <v>292</v>
      </c>
      <c r="R49" s="11" t="s">
        <v>1194</v>
      </c>
      <c r="S49" s="11" t="s">
        <v>1171</v>
      </c>
      <c r="T49" s="164">
        <v>45905.0</v>
      </c>
      <c r="U49" s="11"/>
      <c r="V49" s="11" t="b">
        <v>0</v>
      </c>
      <c r="W49" s="11" t="b">
        <v>0</v>
      </c>
      <c r="X49" s="11"/>
      <c r="Y49" s="115"/>
      <c r="Z49" s="11" t="b">
        <v>0</v>
      </c>
      <c r="AA49" s="115"/>
      <c r="AB49" s="11" t="b">
        <v>0</v>
      </c>
      <c r="AC49" s="117"/>
    </row>
    <row r="50">
      <c r="A50" s="57">
        <v>2.125020858E9</v>
      </c>
      <c r="B50" s="109" t="str">
        <f>VLOOKUP($A50,ANAGRAFICA!$B$1:$G$306,2,FALSE)</f>
        <v>FALVO</v>
      </c>
      <c r="C50" s="109" t="str">
        <f>VLOOKUP($A50,ANAGRAFICA!$B$1:$G$306,3,FALSE)</f>
        <v>FRANCESCO</v>
      </c>
      <c r="D50" s="109" t="str">
        <f>VLOOKUP($A50,ANAGRAFICA!$B$1:$G$306,4,FALSE)</f>
        <v/>
      </c>
      <c r="E50" s="109">
        <f>VLOOKUP($A50,ANAGRAFICA!$B$1:$G$306,5,FALSE)</f>
        <v>3272025055</v>
      </c>
      <c r="F50" s="109">
        <f>VLOOKUP($A50,ANAGRAFICA!$B$1:$G$306,6,FALSE)</f>
        <v>2025</v>
      </c>
      <c r="G50" s="212">
        <v>1.0</v>
      </c>
      <c r="H50" s="11" t="s">
        <v>1158</v>
      </c>
      <c r="I50" s="115" t="b">
        <v>0</v>
      </c>
      <c r="J50" s="66"/>
      <c r="K50" s="11" t="s">
        <v>1174</v>
      </c>
      <c r="L50" s="11" t="b">
        <v>0</v>
      </c>
      <c r="M50" s="11" t="b">
        <v>0</v>
      </c>
      <c r="N50" s="164"/>
      <c r="O50" s="11"/>
      <c r="P50" s="164"/>
      <c r="Q50" s="11"/>
      <c r="R50" s="66"/>
      <c r="S50" s="66"/>
      <c r="T50" s="164">
        <v>45788.0</v>
      </c>
      <c r="U50" s="11" t="s">
        <v>461</v>
      </c>
      <c r="V50" s="11" t="b">
        <v>0</v>
      </c>
      <c r="W50" s="11" t="b">
        <v>0</v>
      </c>
      <c r="X50" s="11"/>
      <c r="Y50" s="115"/>
      <c r="Z50" s="11" t="b">
        <v>0</v>
      </c>
      <c r="AA50" s="115"/>
      <c r="AB50" s="11" t="b">
        <v>0</v>
      </c>
      <c r="AC50" s="117"/>
    </row>
    <row r="51">
      <c r="A51" s="57">
        <v>2.125023093E9</v>
      </c>
      <c r="B51" s="109" t="str">
        <f>VLOOKUP($A51,ANAGRAFICA!$B$1:$G$306,2,FALSE)</f>
        <v>GHEZZI</v>
      </c>
      <c r="C51" s="109" t="str">
        <f>VLOOKUP($A51,ANAGRAFICA!$B$1:$G$306,3,FALSE)</f>
        <v>FABIO</v>
      </c>
      <c r="D51" s="109" t="str">
        <f>VLOOKUP($A51,ANAGRAFICA!$B$1:$G$306,4,FALSE)</f>
        <v>758-28</v>
      </c>
      <c r="E51" s="109">
        <f>VLOOKUP($A51,ANAGRAFICA!$B$1:$G$306,5,FALSE)</f>
        <v>3272025056</v>
      </c>
      <c r="F51" s="109">
        <f>VLOOKUP($A51,ANAGRAFICA!$B$1:$G$306,6,FALSE)</f>
        <v>2025</v>
      </c>
      <c r="G51" s="212">
        <v>1.0</v>
      </c>
      <c r="H51" s="11" t="s">
        <v>1158</v>
      </c>
      <c r="I51" s="115" t="b">
        <v>0</v>
      </c>
      <c r="J51" s="66"/>
      <c r="K51" s="11" t="s">
        <v>1174</v>
      </c>
      <c r="L51" s="11" t="b">
        <v>0</v>
      </c>
      <c r="M51" s="11" t="b">
        <v>0</v>
      </c>
      <c r="N51" s="66"/>
      <c r="O51" s="66"/>
      <c r="P51" s="66"/>
      <c r="Q51" s="66"/>
      <c r="R51" s="66"/>
      <c r="S51" s="66"/>
      <c r="T51" s="164">
        <v>45802.0</v>
      </c>
      <c r="U51" s="11" t="s">
        <v>463</v>
      </c>
      <c r="V51" s="11" t="b">
        <v>0</v>
      </c>
      <c r="W51" s="11" t="b">
        <v>1</v>
      </c>
      <c r="X51" s="11"/>
      <c r="Y51" s="115"/>
      <c r="Z51" s="11" t="b">
        <v>0</v>
      </c>
      <c r="AA51" s="115"/>
      <c r="AB51" s="11" t="b">
        <v>0</v>
      </c>
      <c r="AC51" s="117"/>
    </row>
    <row r="52">
      <c r="A52" s="57">
        <v>2.125025861E9</v>
      </c>
      <c r="B52" s="109" t="str">
        <f>VLOOKUP($A52,ANAGRAFICA!$B$1:$G$306,2,FALSE)</f>
        <v>CASSANI</v>
      </c>
      <c r="C52" s="109" t="str">
        <f>VLOOKUP($A52,ANAGRAFICA!$B$1:$G$306,3,FALSE)</f>
        <v>DAVIDE VIRGILIO</v>
      </c>
      <c r="D52" s="109" t="str">
        <f>VLOOKUP($A52,ANAGRAFICA!$B$1:$G$306,4,FALSE)</f>
        <v>758-31</v>
      </c>
      <c r="E52" s="109">
        <f>VLOOKUP($A52,ANAGRAFICA!$B$1:$G$306,5,FALSE)</f>
        <v>3272025058</v>
      </c>
      <c r="F52" s="109">
        <f>VLOOKUP($A52,ANAGRAFICA!$B$1:$G$306,6,FALSE)</f>
        <v>2025</v>
      </c>
      <c r="G52" s="212">
        <v>1.0</v>
      </c>
      <c r="H52" s="11" t="s">
        <v>1158</v>
      </c>
      <c r="I52" s="115" t="b">
        <v>0</v>
      </c>
      <c r="J52" s="66"/>
      <c r="K52" s="11" t="s">
        <v>1174</v>
      </c>
      <c r="L52" s="11" t="b">
        <v>0</v>
      </c>
      <c r="M52" s="11" t="b">
        <v>0</v>
      </c>
      <c r="N52" s="66"/>
      <c r="O52" s="66"/>
      <c r="P52" s="66"/>
      <c r="Q52" s="66"/>
      <c r="R52" s="66"/>
      <c r="S52" s="66"/>
      <c r="T52" s="164">
        <v>45824.0</v>
      </c>
      <c r="U52" s="11" t="s">
        <v>279</v>
      </c>
      <c r="V52" s="11" t="b">
        <v>0</v>
      </c>
      <c r="W52" s="11" t="b">
        <v>1</v>
      </c>
      <c r="X52" s="11"/>
      <c r="Y52" s="115"/>
      <c r="Z52" s="11" t="b">
        <v>0</v>
      </c>
      <c r="AA52" s="115"/>
      <c r="AB52" s="11" t="b">
        <v>0</v>
      </c>
      <c r="AC52" s="117"/>
    </row>
    <row r="53">
      <c r="A53" s="57">
        <v>2.125026559E9</v>
      </c>
      <c r="B53" s="109" t="str">
        <f>VLOOKUP($A53,ANAGRAFICA!$B$1:$G$306,2,FALSE)</f>
        <v>VEDUTI</v>
      </c>
      <c r="C53" s="109" t="str">
        <f>VLOOKUP($A53,ANAGRAFICA!$B$1:$G$306,3,FALSE)</f>
        <v>LORENZO</v>
      </c>
      <c r="D53" s="109" t="str">
        <f>VLOOKUP($A53,ANAGRAFICA!$B$1:$G$306,4,FALSE)</f>
        <v>758-32</v>
      </c>
      <c r="E53" s="109">
        <f>VLOOKUP($A53,ANAGRAFICA!$B$1:$G$306,5,FALSE)</f>
        <v>3272025059</v>
      </c>
      <c r="F53" s="109">
        <f>VLOOKUP($A53,ANAGRAFICA!$B$1:$G$306,6,FALSE)</f>
        <v>2025</v>
      </c>
      <c r="G53" s="212">
        <v>1.0</v>
      </c>
      <c r="H53" s="11" t="s">
        <v>1158</v>
      </c>
      <c r="I53" s="115" t="b">
        <v>0</v>
      </c>
      <c r="J53" s="66"/>
      <c r="K53" s="11" t="s">
        <v>1174</v>
      </c>
      <c r="L53" s="11" t="b">
        <v>0</v>
      </c>
      <c r="M53" s="11" t="b">
        <v>0</v>
      </c>
      <c r="N53" s="66"/>
      <c r="O53" s="66"/>
      <c r="P53" s="66"/>
      <c r="Q53" s="66"/>
      <c r="R53" s="66"/>
      <c r="S53" s="66"/>
      <c r="T53" s="164">
        <v>45825.0</v>
      </c>
      <c r="U53" s="11" t="s">
        <v>471</v>
      </c>
      <c r="V53" s="11" t="b">
        <v>0</v>
      </c>
      <c r="W53" s="11" t="b">
        <v>0</v>
      </c>
      <c r="X53" s="11" t="s">
        <v>1195</v>
      </c>
      <c r="Y53" s="11" t="s">
        <v>1196</v>
      </c>
      <c r="Z53" s="11" t="b">
        <v>0</v>
      </c>
      <c r="AA53" s="115"/>
      <c r="AB53" s="11" t="b">
        <v>0</v>
      </c>
      <c r="AC53" s="117"/>
    </row>
    <row r="54">
      <c r="A54" s="57">
        <v>2.125027331E9</v>
      </c>
      <c r="B54" s="109" t="str">
        <f>VLOOKUP($A54,ANAGRAFICA!$B$1:$G$306,2,FALSE)</f>
        <v>QUARIN</v>
      </c>
      <c r="C54" s="109" t="str">
        <f>VLOOKUP($A54,ANAGRAFICA!$B$1:$G$306,3,FALSE)</f>
        <v>FRANCO</v>
      </c>
      <c r="D54" s="109" t="str">
        <f>VLOOKUP($A54,ANAGRAFICA!$B$1:$G$306,4,FALSE)</f>
        <v>758-34</v>
      </c>
      <c r="E54" s="109" t="str">
        <f>VLOOKUP($A54,ANAGRAFICA!$B$1:$G$306,5,FALSE)</f>
        <v/>
      </c>
      <c r="F54" s="109">
        <f>VLOOKUP($A54,ANAGRAFICA!$B$1:$G$306,6,FALSE)</f>
        <v>2025</v>
      </c>
      <c r="G54" s="212">
        <v>1.0</v>
      </c>
      <c r="H54" s="11" t="s">
        <v>1158</v>
      </c>
      <c r="I54" s="115" t="b">
        <v>0</v>
      </c>
      <c r="J54" s="66"/>
      <c r="K54" s="11" t="s">
        <v>1174</v>
      </c>
      <c r="L54" s="11" t="b">
        <v>0</v>
      </c>
      <c r="M54" s="11" t="b">
        <v>0</v>
      </c>
      <c r="N54" s="66"/>
      <c r="O54" s="66"/>
      <c r="P54" s="66"/>
      <c r="Q54" s="66"/>
      <c r="R54" s="66"/>
      <c r="S54" s="66"/>
      <c r="T54" s="116"/>
      <c r="U54" s="11"/>
      <c r="V54" s="11" t="b">
        <v>0</v>
      </c>
      <c r="W54" s="11" t="b">
        <v>0</v>
      </c>
      <c r="X54" s="11"/>
      <c r="Y54" s="115"/>
      <c r="Z54" s="11" t="b">
        <v>0</v>
      </c>
      <c r="AA54" s="115"/>
      <c r="AB54" s="11" t="b">
        <v>0</v>
      </c>
      <c r="AC54" s="117"/>
    </row>
    <row r="55">
      <c r="A55" s="57">
        <v>2.125029623E9</v>
      </c>
      <c r="B55" s="109" t="str">
        <f>VLOOKUP($A55,ANAGRAFICA!$B$1:$G$306,2,FALSE)</f>
        <v>IANDIORIO</v>
      </c>
      <c r="C55" s="109" t="str">
        <f>VLOOKUP($A55,ANAGRAFICA!$B$1:$G$306,3,FALSE)</f>
        <v>ALDO NATALINO</v>
      </c>
      <c r="D55" s="109" t="str">
        <f>VLOOKUP($A55,ANAGRAFICA!$B$1:$G$306,4,FALSE)</f>
        <v>758-36</v>
      </c>
      <c r="E55" s="109">
        <f>VLOOKUP($A55,ANAGRAFICA!$B$1:$G$306,5,FALSE)</f>
        <v>3272025062</v>
      </c>
      <c r="F55" s="109">
        <f>VLOOKUP($A55,ANAGRAFICA!$B$1:$G$306,6,FALSE)</f>
        <v>2025</v>
      </c>
      <c r="G55" s="212">
        <v>1.0</v>
      </c>
      <c r="H55" s="11" t="s">
        <v>1158</v>
      </c>
      <c r="I55" s="115" t="b">
        <v>0</v>
      </c>
      <c r="J55" s="66"/>
      <c r="K55" s="11" t="s">
        <v>1174</v>
      </c>
      <c r="L55" s="11" t="b">
        <v>0</v>
      </c>
      <c r="M55" s="11" t="b">
        <v>0</v>
      </c>
      <c r="N55" s="66"/>
      <c r="O55" s="66"/>
      <c r="P55" s="66"/>
      <c r="Q55" s="66"/>
      <c r="R55" s="66"/>
      <c r="S55" s="66"/>
      <c r="T55" s="164">
        <v>45855.0</v>
      </c>
      <c r="U55" s="11" t="s">
        <v>473</v>
      </c>
      <c r="V55" s="11" t="b">
        <v>0</v>
      </c>
      <c r="W55" s="11" t="b">
        <v>1</v>
      </c>
      <c r="X55" s="11"/>
      <c r="Y55" s="11" t="s">
        <v>1197</v>
      </c>
      <c r="Z55" s="11" t="b">
        <v>0</v>
      </c>
      <c r="AA55" s="115"/>
      <c r="AB55" s="11" t="b">
        <v>0</v>
      </c>
      <c r="AC55" s="117"/>
    </row>
    <row r="56">
      <c r="A56" s="57">
        <v>2.125026384E9</v>
      </c>
      <c r="B56" s="109" t="str">
        <f>VLOOKUP($A56,ANAGRAFICA!$B$1:$G$306,2,FALSE)</f>
        <v>PRINCIPATO</v>
      </c>
      <c r="C56" s="109" t="str">
        <f>VLOOKUP($A56,ANAGRAFICA!$B$1:$G$306,3,FALSE)</f>
        <v>FRANCO ANGELO</v>
      </c>
      <c r="D56" s="109" t="str">
        <f>VLOOKUP($A56,ANAGRAFICA!$B$1:$G$306,4,FALSE)</f>
        <v>758-35</v>
      </c>
      <c r="E56" s="109">
        <f>VLOOKUP($A56,ANAGRAFICA!$B$1:$G$306,5,FALSE)</f>
        <v>3272025061</v>
      </c>
      <c r="F56" s="109">
        <f>VLOOKUP($A56,ANAGRAFICA!$B$1:$G$306,6,FALSE)</f>
        <v>2025</v>
      </c>
      <c r="G56" s="212">
        <v>1.0</v>
      </c>
      <c r="H56" s="11" t="s">
        <v>1158</v>
      </c>
      <c r="I56" s="115" t="b">
        <v>0</v>
      </c>
      <c r="J56" s="66"/>
      <c r="K56" s="11" t="s">
        <v>1174</v>
      </c>
      <c r="L56" s="11" t="b">
        <v>0</v>
      </c>
      <c r="M56" s="11" t="b">
        <v>0</v>
      </c>
      <c r="N56" s="66"/>
      <c r="O56" s="66"/>
      <c r="P56" s="66"/>
      <c r="Q56" s="66"/>
      <c r="R56" s="66"/>
      <c r="S56" s="66"/>
      <c r="T56" s="164">
        <v>45838.0</v>
      </c>
      <c r="U56" s="11" t="s">
        <v>1198</v>
      </c>
      <c r="V56" s="11" t="b">
        <v>0</v>
      </c>
      <c r="W56" s="11" t="b">
        <v>0</v>
      </c>
      <c r="X56" s="11" t="s">
        <v>1199</v>
      </c>
      <c r="Y56" s="115"/>
      <c r="Z56" s="11" t="b">
        <v>0</v>
      </c>
      <c r="AA56" s="115"/>
      <c r="AB56" s="11" t="b">
        <v>0</v>
      </c>
      <c r="AC56" s="117"/>
    </row>
    <row r="57">
      <c r="A57" s="57">
        <v>2.125026869E9</v>
      </c>
      <c r="B57" s="109" t="str">
        <f>VLOOKUP($A57,ANAGRAFICA!$B$1:$G$306,2,FALSE)</f>
        <v>NACCARI</v>
      </c>
      <c r="C57" s="109" t="str">
        <f>VLOOKUP($A57,ANAGRAFICA!$B$1:$G$306,3,FALSE)</f>
        <v>ROBERTO</v>
      </c>
      <c r="D57" s="109" t="str">
        <f>VLOOKUP($A57,ANAGRAFICA!$B$1:$G$306,4,FALSE)</f>
        <v>758-33</v>
      </c>
      <c r="E57" s="109">
        <f>VLOOKUP($A57,ANAGRAFICA!$B$1:$G$306,5,FALSE)</f>
        <v>3272025060</v>
      </c>
      <c r="F57" s="109">
        <f>VLOOKUP($A57,ANAGRAFICA!$B$1:$G$306,6,FALSE)</f>
        <v>2025</v>
      </c>
      <c r="G57" s="212">
        <v>1.0</v>
      </c>
      <c r="H57" s="11" t="s">
        <v>1172</v>
      </c>
      <c r="I57" s="115" t="b">
        <v>0</v>
      </c>
      <c r="J57" s="66"/>
      <c r="K57" s="11" t="s">
        <v>1174</v>
      </c>
      <c r="L57" s="11" t="b">
        <v>1</v>
      </c>
      <c r="M57" s="11" t="b">
        <v>0</v>
      </c>
      <c r="N57" s="164">
        <v>45896.0</v>
      </c>
      <c r="O57" s="11" t="s">
        <v>104</v>
      </c>
      <c r="P57" s="164">
        <v>45896.0</v>
      </c>
      <c r="Q57" s="11" t="s">
        <v>104</v>
      </c>
      <c r="R57" s="11" t="s">
        <v>1200</v>
      </c>
      <c r="S57" s="11" t="s">
        <v>1168</v>
      </c>
      <c r="T57" s="116"/>
      <c r="U57" s="11"/>
      <c r="V57" s="11" t="b">
        <v>0</v>
      </c>
      <c r="W57" s="11" t="b">
        <v>0</v>
      </c>
      <c r="X57" s="11"/>
      <c r="Y57" s="115"/>
      <c r="Z57" s="11" t="b">
        <v>0</v>
      </c>
      <c r="AA57" s="115"/>
      <c r="AB57" s="11" t="b">
        <v>0</v>
      </c>
      <c r="AC57" s="117"/>
    </row>
    <row r="58">
      <c r="A58" s="57">
        <v>2.125026384E9</v>
      </c>
      <c r="B58" s="109" t="str">
        <f>VLOOKUP($A58,ANAGRAFICA!$B$1:$G$306,2,FALSE)</f>
        <v>PRINCIPATO</v>
      </c>
      <c r="C58" s="109" t="str">
        <f>VLOOKUP($A58,ANAGRAFICA!$B$1:$G$306,3,FALSE)</f>
        <v>FRANCO ANGELO</v>
      </c>
      <c r="D58" s="109" t="str">
        <f>VLOOKUP($A58,ANAGRAFICA!$B$1:$G$306,4,FALSE)</f>
        <v>758-35</v>
      </c>
      <c r="E58" s="109">
        <f>VLOOKUP($A58,ANAGRAFICA!$B$1:$G$306,5,FALSE)</f>
        <v>3272025061</v>
      </c>
      <c r="F58" s="109">
        <f>VLOOKUP($A58,ANAGRAFICA!$B$1:$G$306,6,FALSE)</f>
        <v>2025</v>
      </c>
      <c r="G58" s="212">
        <v>1.0</v>
      </c>
      <c r="H58" s="11" t="s">
        <v>1158</v>
      </c>
      <c r="I58" s="115" t="b">
        <v>0</v>
      </c>
      <c r="J58" s="66"/>
      <c r="K58" s="11" t="s">
        <v>1174</v>
      </c>
      <c r="L58" s="11" t="b">
        <v>0</v>
      </c>
      <c r="M58" s="11" t="b">
        <v>0</v>
      </c>
      <c r="N58" s="164"/>
      <c r="O58" s="66"/>
      <c r="P58" s="66"/>
      <c r="Q58" s="66"/>
      <c r="R58" s="66"/>
      <c r="S58" s="66"/>
      <c r="T58" s="164">
        <v>45842.0</v>
      </c>
      <c r="U58" s="11" t="s">
        <v>1198</v>
      </c>
      <c r="V58" s="11" t="b">
        <v>0</v>
      </c>
      <c r="W58" s="11" t="b">
        <v>0</v>
      </c>
      <c r="X58" s="11" t="s">
        <v>1199</v>
      </c>
      <c r="Y58" s="115"/>
      <c r="Z58" s="11" t="b">
        <v>0</v>
      </c>
      <c r="AA58" s="115"/>
      <c r="AB58" s="11" t="b">
        <v>0</v>
      </c>
      <c r="AC58" s="117"/>
    </row>
    <row r="59">
      <c r="A59" s="57">
        <v>2.125032902E9</v>
      </c>
      <c r="B59" s="109" t="str">
        <f>VLOOKUP($A59,ANAGRAFICA!$B$1:$G$306,2,FALSE)</f>
        <v>BRAIDA</v>
      </c>
      <c r="C59" s="109" t="str">
        <f>VLOOKUP($A59,ANAGRAFICA!$B$1:$G$306,3,FALSE)</f>
        <v>ILARIO</v>
      </c>
      <c r="D59" s="109" t="str">
        <f>VLOOKUP($A59,ANAGRAFICA!$B$1:$G$306,4,FALSE)</f>
        <v>758-37</v>
      </c>
      <c r="E59" s="109">
        <f>VLOOKUP($A59,ANAGRAFICA!$B$1:$G$306,5,FALSE)</f>
        <v>3272025063</v>
      </c>
      <c r="F59" s="109">
        <f>VLOOKUP($A59,ANAGRAFICA!$B$1:$G$306,6,FALSE)</f>
        <v>2025</v>
      </c>
      <c r="G59" s="212">
        <v>1.0</v>
      </c>
      <c r="H59" s="11" t="s">
        <v>1158</v>
      </c>
      <c r="I59" s="115" t="b">
        <v>0</v>
      </c>
      <c r="J59" s="66"/>
      <c r="K59" s="11" t="s">
        <v>1174</v>
      </c>
      <c r="L59" s="11" t="b">
        <v>0</v>
      </c>
      <c r="M59" s="11" t="b">
        <v>0</v>
      </c>
      <c r="N59" s="66"/>
      <c r="O59" s="66"/>
      <c r="P59" s="66"/>
      <c r="Q59" s="66"/>
      <c r="R59" s="66"/>
      <c r="S59" s="66"/>
      <c r="T59" s="164">
        <v>45872.0</v>
      </c>
      <c r="U59" s="11" t="s">
        <v>39</v>
      </c>
      <c r="V59" s="11" t="b">
        <v>1</v>
      </c>
      <c r="W59" s="11" t="b">
        <v>1</v>
      </c>
      <c r="X59" s="11"/>
      <c r="Y59" s="115"/>
      <c r="Z59" s="11" t="b">
        <v>0</v>
      </c>
      <c r="AA59" s="115"/>
      <c r="AB59" s="11" t="b">
        <v>0</v>
      </c>
      <c r="AC59" s="117"/>
    </row>
    <row r="60">
      <c r="A60" s="57">
        <v>2.125026869E9</v>
      </c>
      <c r="B60" s="109" t="str">
        <f>VLOOKUP($A60,ANAGRAFICA!$B$1:$G$306,2,FALSE)</f>
        <v>NACCARI</v>
      </c>
      <c r="C60" s="109" t="str">
        <f>VLOOKUP($A60,ANAGRAFICA!$B$1:$G$306,3,FALSE)</f>
        <v>ROBERTO</v>
      </c>
      <c r="D60" s="109" t="str">
        <f>VLOOKUP($A60,ANAGRAFICA!$B$1:$G$306,4,FALSE)</f>
        <v>758-33</v>
      </c>
      <c r="E60" s="109">
        <f>VLOOKUP($A60,ANAGRAFICA!$B$1:$G$306,5,FALSE)</f>
        <v>3272025060</v>
      </c>
      <c r="F60" s="109">
        <f>VLOOKUP($A60,ANAGRAFICA!$B$1:$G$306,6,FALSE)</f>
        <v>2025</v>
      </c>
      <c r="G60" s="212">
        <v>1.0</v>
      </c>
      <c r="H60" s="11" t="s">
        <v>1172</v>
      </c>
      <c r="I60" s="115" t="b">
        <v>0</v>
      </c>
      <c r="J60" s="66"/>
      <c r="K60" s="11" t="s">
        <v>1177</v>
      </c>
      <c r="L60" s="11" t="b">
        <v>1</v>
      </c>
      <c r="M60" s="11" t="b">
        <v>0</v>
      </c>
      <c r="N60" s="164">
        <v>45892.0</v>
      </c>
      <c r="O60" s="11" t="s">
        <v>732</v>
      </c>
      <c r="P60" s="164">
        <v>45892.0</v>
      </c>
      <c r="Q60" s="11" t="s">
        <v>732</v>
      </c>
      <c r="R60" s="11" t="s">
        <v>1200</v>
      </c>
      <c r="S60" s="11" t="s">
        <v>1168</v>
      </c>
      <c r="T60" s="116"/>
      <c r="U60" s="11"/>
      <c r="V60" s="11" t="b">
        <v>0</v>
      </c>
      <c r="W60" s="11" t="b">
        <v>0</v>
      </c>
      <c r="X60" s="11"/>
      <c r="Y60" s="115"/>
      <c r="Z60" s="11" t="b">
        <v>0</v>
      </c>
      <c r="AA60" s="115"/>
      <c r="AB60" s="11" t="b">
        <v>0</v>
      </c>
      <c r="AC60" s="3">
        <v>1.0</v>
      </c>
    </row>
    <row r="61">
      <c r="A61" s="57">
        <v>2.125032653E9</v>
      </c>
      <c r="B61" s="109" t="str">
        <f>VLOOKUP($A61,ANAGRAFICA!$B$1:$G$306,2,FALSE)</f>
        <v>BAIOCCO</v>
      </c>
      <c r="C61" s="109" t="str">
        <f>VLOOKUP($A61,ANAGRAFICA!$B$1:$G$306,3,FALSE)</f>
        <v>RICCARDO</v>
      </c>
      <c r="D61" s="109" t="str">
        <f>VLOOKUP($A61,ANAGRAFICA!$B$1:$G$306,4,FALSE)</f>
        <v/>
      </c>
      <c r="E61" s="109">
        <f>VLOOKUP($A61,ANAGRAFICA!$B$1:$G$306,5,FALSE)</f>
        <v>3272025064</v>
      </c>
      <c r="F61" s="109">
        <f>VLOOKUP($A61,ANAGRAFICA!$B$1:$G$306,6,FALSE)</f>
        <v>2025</v>
      </c>
      <c r="G61" s="212">
        <v>1.0</v>
      </c>
      <c r="H61" s="11" t="s">
        <v>1201</v>
      </c>
      <c r="I61" s="115" t="b">
        <v>0</v>
      </c>
      <c r="J61" s="66"/>
      <c r="K61" s="11" t="s">
        <v>1174</v>
      </c>
      <c r="L61" s="11" t="b">
        <v>1</v>
      </c>
      <c r="M61" s="11" t="b">
        <v>1</v>
      </c>
      <c r="N61" s="164">
        <v>45872.0</v>
      </c>
      <c r="O61" s="11" t="s">
        <v>187</v>
      </c>
      <c r="P61" s="164">
        <v>45872.0</v>
      </c>
      <c r="Q61" s="11" t="s">
        <v>187</v>
      </c>
      <c r="R61" s="11" t="s">
        <v>1194</v>
      </c>
      <c r="S61" s="11" t="s">
        <v>1171</v>
      </c>
      <c r="T61" s="116"/>
      <c r="U61" s="11"/>
      <c r="V61" s="11" t="b">
        <v>0</v>
      </c>
      <c r="W61" s="11" t="b">
        <v>0</v>
      </c>
      <c r="X61" s="11"/>
      <c r="Y61" s="115"/>
      <c r="Z61" s="11" t="b">
        <v>0</v>
      </c>
      <c r="AA61" s="115"/>
      <c r="AB61" s="11" t="b">
        <v>0</v>
      </c>
      <c r="AC61" s="117"/>
    </row>
    <row r="62">
      <c r="A62" s="57">
        <v>2.125037955E9</v>
      </c>
      <c r="B62" s="109" t="str">
        <f>VLOOKUP($A62,ANAGRAFICA!$B$1:$G$306,2,FALSE)</f>
        <v>MANNINO</v>
      </c>
      <c r="C62" s="109" t="str">
        <f>VLOOKUP($A62,ANAGRAFICA!$B$1:$G$306,3,FALSE)</f>
        <v>ANDREA</v>
      </c>
      <c r="D62" s="109" t="str">
        <f>VLOOKUP($A62,ANAGRAFICA!$B$1:$G$306,4,FALSE)</f>
        <v>758-39</v>
      </c>
      <c r="E62" s="109">
        <f>VLOOKUP($A62,ANAGRAFICA!$B$1:$G$306,5,FALSE)</f>
        <v>3272025066</v>
      </c>
      <c r="F62" s="109">
        <f>VLOOKUP($A62,ANAGRAFICA!$B$1:$G$306,6,FALSE)</f>
        <v>2025</v>
      </c>
      <c r="G62" s="212">
        <v>1.0</v>
      </c>
      <c r="H62" s="11" t="s">
        <v>1172</v>
      </c>
      <c r="I62" s="115" t="b">
        <v>0</v>
      </c>
      <c r="J62" s="66"/>
      <c r="K62" s="11" t="s">
        <v>1174</v>
      </c>
      <c r="L62" s="11" t="b">
        <v>1</v>
      </c>
      <c r="M62" s="11" t="b">
        <v>0</v>
      </c>
      <c r="N62" s="66"/>
      <c r="O62" s="66"/>
      <c r="P62" s="66"/>
      <c r="Q62" s="66"/>
      <c r="R62" s="66"/>
      <c r="S62" s="66"/>
      <c r="T62" s="116"/>
      <c r="U62" s="11"/>
      <c r="V62" s="11" t="b">
        <v>0</v>
      </c>
      <c r="W62" s="11" t="b">
        <v>0</v>
      </c>
      <c r="X62" s="11"/>
      <c r="Y62" s="115"/>
      <c r="Z62" s="11" t="b">
        <v>0</v>
      </c>
      <c r="AA62" s="115"/>
      <c r="AB62" s="11" t="b">
        <v>0</v>
      </c>
      <c r="AC62" s="117"/>
    </row>
    <row r="63">
      <c r="A63" s="57">
        <v>2.125037782E9</v>
      </c>
      <c r="B63" s="109" t="str">
        <f>VLOOKUP($A63,ANAGRAFICA!$B$1:$G$306,2,FALSE)</f>
        <v>GILARDI</v>
      </c>
      <c r="C63" s="109" t="str">
        <f>VLOOKUP($A63,ANAGRAFICA!$B$1:$G$306,3,FALSE)</f>
        <v>CARLO VIRGINIO</v>
      </c>
      <c r="D63" s="109" t="str">
        <f>VLOOKUP($A63,ANAGRAFICA!$B$1:$G$306,4,FALSE)</f>
        <v>758-38</v>
      </c>
      <c r="E63" s="109">
        <f>VLOOKUP($A63,ANAGRAFICA!$B$1:$G$306,5,FALSE)</f>
        <v>3272025065</v>
      </c>
      <c r="F63" s="109">
        <f>VLOOKUP($A63,ANAGRAFICA!$B$1:$G$306,6,FALSE)</f>
        <v>2025</v>
      </c>
      <c r="G63" s="212">
        <v>1.0</v>
      </c>
      <c r="H63" s="11" t="s">
        <v>1158</v>
      </c>
      <c r="I63" s="115" t="b">
        <v>0</v>
      </c>
      <c r="J63" s="66"/>
      <c r="K63" s="11" t="s">
        <v>1174</v>
      </c>
      <c r="L63" s="11" t="b">
        <v>0</v>
      </c>
      <c r="M63" s="11" t="b">
        <v>0</v>
      </c>
      <c r="N63" s="66"/>
      <c r="O63" s="66"/>
      <c r="P63" s="66"/>
      <c r="Q63" s="66"/>
      <c r="R63" s="66"/>
      <c r="S63" s="66"/>
      <c r="T63" s="164">
        <v>45914.0</v>
      </c>
      <c r="U63" s="11" t="s">
        <v>279</v>
      </c>
      <c r="V63" s="11" t="b">
        <v>0</v>
      </c>
      <c r="W63" s="11" t="b">
        <v>1</v>
      </c>
      <c r="X63" s="11"/>
      <c r="Y63" s="115"/>
      <c r="Z63" s="11" t="b">
        <v>0</v>
      </c>
      <c r="AA63" s="115"/>
      <c r="AB63" s="11" t="b">
        <v>0</v>
      </c>
      <c r="AC63" s="117"/>
    </row>
    <row r="64">
      <c r="A64" s="57">
        <v>2.125040106E9</v>
      </c>
      <c r="B64" s="109" t="str">
        <f>VLOOKUP($A64,ANAGRAFICA!$B$1:$G$306,2,FALSE)</f>
        <v>COLNAGHI</v>
      </c>
      <c r="C64" s="109" t="str">
        <f>VLOOKUP($A64,ANAGRAFICA!$B$1:$G$306,3,FALSE)</f>
        <v>EUGENIO PIERO</v>
      </c>
      <c r="D64" s="109" t="str">
        <f>VLOOKUP($A64,ANAGRAFICA!$B$1:$G$306,4,FALSE)</f>
        <v>758-41</v>
      </c>
      <c r="E64" s="109">
        <f>VLOOKUP($A64,ANAGRAFICA!$B$1:$G$306,5,FALSE)</f>
        <v>3272025068</v>
      </c>
      <c r="F64" s="109">
        <f>VLOOKUP($A64,ANAGRAFICA!$B$1:$G$306,6,FALSE)</f>
        <v>2025</v>
      </c>
      <c r="G64" s="212">
        <v>1.0</v>
      </c>
      <c r="H64" s="11" t="s">
        <v>1158</v>
      </c>
      <c r="I64" s="115" t="b">
        <v>0</v>
      </c>
      <c r="J64" s="66"/>
      <c r="K64" s="11" t="s">
        <v>1174</v>
      </c>
      <c r="L64" s="11" t="b">
        <v>0</v>
      </c>
      <c r="M64" s="11" t="b">
        <v>0</v>
      </c>
      <c r="N64" s="66"/>
      <c r="O64" s="66"/>
      <c r="P64" s="66"/>
      <c r="Q64" s="66"/>
      <c r="R64" s="66"/>
      <c r="S64" s="66"/>
      <c r="T64" s="11" t="s">
        <v>1202</v>
      </c>
      <c r="U64" s="11" t="s">
        <v>488</v>
      </c>
      <c r="V64" s="11" t="b">
        <v>0</v>
      </c>
      <c r="W64" s="11" t="b">
        <v>1</v>
      </c>
      <c r="X64" s="11"/>
      <c r="Y64" s="115"/>
      <c r="Z64" s="11" t="b">
        <v>0</v>
      </c>
      <c r="AA64" s="115"/>
      <c r="AB64" s="11" t="b">
        <v>0</v>
      </c>
      <c r="AC64" s="117"/>
    </row>
    <row r="65">
      <c r="A65" s="57">
        <v>2.125040052E9</v>
      </c>
      <c r="B65" s="109" t="str">
        <f>VLOOKUP($A65,ANAGRAFICA!$B$1:$G$306,2,FALSE)</f>
        <v>TODESCATO</v>
      </c>
      <c r="C65" s="109" t="str">
        <f>VLOOKUP($A65,ANAGRAFICA!$B$1:$G$306,3,FALSE)</f>
        <v>GIANLUCA</v>
      </c>
      <c r="D65" s="109" t="str">
        <f>VLOOKUP($A65,ANAGRAFICA!$B$1:$G$306,4,FALSE)</f>
        <v>758-40</v>
      </c>
      <c r="E65" s="109">
        <f>VLOOKUP($A65,ANAGRAFICA!$B$1:$G$306,5,FALSE)</f>
        <v>3272025067</v>
      </c>
      <c r="F65" s="109">
        <f>VLOOKUP($A65,ANAGRAFICA!$B$1:$G$306,6,FALSE)</f>
        <v>2025</v>
      </c>
      <c r="G65" s="212">
        <v>1.0</v>
      </c>
      <c r="H65" s="11" t="s">
        <v>1172</v>
      </c>
      <c r="I65" s="115" t="b">
        <v>1</v>
      </c>
      <c r="J65" s="214">
        <v>45944.0</v>
      </c>
      <c r="K65" s="11" t="s">
        <v>1170</v>
      </c>
      <c r="L65" s="11" t="b">
        <v>1</v>
      </c>
      <c r="M65" s="11" t="b">
        <v>0</v>
      </c>
      <c r="N65" s="214">
        <v>45954.0</v>
      </c>
      <c r="O65" s="11" t="s">
        <v>28</v>
      </c>
      <c r="P65" s="214">
        <v>45967.0</v>
      </c>
      <c r="Q65" s="66"/>
      <c r="R65" s="11" t="s">
        <v>1173</v>
      </c>
      <c r="S65" s="11" t="s">
        <v>1168</v>
      </c>
      <c r="T65" s="116"/>
      <c r="U65" s="11"/>
      <c r="V65" s="11" t="b">
        <v>0</v>
      </c>
      <c r="W65" s="11" t="b">
        <v>0</v>
      </c>
      <c r="X65" s="11"/>
      <c r="Y65" s="115"/>
      <c r="Z65" s="11" t="b">
        <v>0</v>
      </c>
      <c r="AA65" s="115"/>
      <c r="AB65" s="11" t="b">
        <v>0</v>
      </c>
      <c r="AC65" s="117"/>
    </row>
    <row r="66">
      <c r="A66" s="57">
        <v>2.125040835E9</v>
      </c>
      <c r="B66" s="109" t="str">
        <f>VLOOKUP($A66,ANAGRAFICA!$B$1:$G$306,2,FALSE)</f>
        <v>PESACANE</v>
      </c>
      <c r="C66" s="109" t="str">
        <f>VLOOKUP($A66,ANAGRAFICA!$B$1:$G$306,3,FALSE)</f>
        <v>MATTEO VALERIO</v>
      </c>
      <c r="D66" s="109" t="str">
        <f>VLOOKUP($A66,ANAGRAFICA!$B$1:$G$306,4,FALSE)</f>
        <v>758-42</v>
      </c>
      <c r="E66" s="109">
        <f>VLOOKUP($A66,ANAGRAFICA!$B$1:$G$306,5,FALSE)</f>
        <v>3272025069</v>
      </c>
      <c r="F66" s="109">
        <f>VLOOKUP($A66,ANAGRAFICA!$B$1:$G$306,6,FALSE)</f>
        <v>2025</v>
      </c>
      <c r="G66" s="212">
        <v>1.0</v>
      </c>
      <c r="H66" s="11" t="s">
        <v>1158</v>
      </c>
      <c r="I66" s="115" t="b">
        <v>0</v>
      </c>
      <c r="J66" s="66"/>
      <c r="K66" s="11" t="s">
        <v>1174</v>
      </c>
      <c r="L66" s="11" t="b">
        <v>0</v>
      </c>
      <c r="M66" s="11" t="b">
        <v>0</v>
      </c>
      <c r="N66" s="164"/>
      <c r="O66" s="11"/>
      <c r="P66" s="66"/>
      <c r="Q66" s="66"/>
      <c r="R66" s="66"/>
      <c r="S66" s="66"/>
      <c r="T66" s="164">
        <v>45934.0</v>
      </c>
      <c r="U66" s="11" t="s">
        <v>491</v>
      </c>
      <c r="V66" s="11" t="b">
        <v>1</v>
      </c>
      <c r="W66" s="11" t="b">
        <v>1</v>
      </c>
      <c r="X66" s="11"/>
      <c r="Y66" s="115"/>
      <c r="Z66" s="11" t="b">
        <v>1</v>
      </c>
      <c r="AA66" s="11" t="s">
        <v>1166</v>
      </c>
      <c r="AB66" s="11" t="b">
        <v>1</v>
      </c>
      <c r="AC66" s="3">
        <v>5.0</v>
      </c>
    </row>
    <row r="67">
      <c r="A67" s="57">
        <v>2.125042368E9</v>
      </c>
      <c r="B67" s="109" t="str">
        <f>VLOOKUP($A67,ANAGRAFICA!$B$1:$G$306,2,FALSE)</f>
        <v>MARKOVIC</v>
      </c>
      <c r="C67" s="109" t="str">
        <f>VLOOKUP($A67,ANAGRAFICA!$B$1:$G$306,3,FALSE)</f>
        <v>BRANKO</v>
      </c>
      <c r="D67" s="109" t="str">
        <f>VLOOKUP($A67,ANAGRAFICA!$B$1:$G$306,4,FALSE)</f>
        <v>758-43</v>
      </c>
      <c r="E67" s="109">
        <f>VLOOKUP($A67,ANAGRAFICA!$B$1:$G$306,5,FALSE)</f>
        <v>3272025070</v>
      </c>
      <c r="F67" s="109">
        <f>VLOOKUP($A67,ANAGRAFICA!$B$1:$G$306,6,FALSE)</f>
        <v>2025</v>
      </c>
      <c r="G67" s="212">
        <v>1.0</v>
      </c>
      <c r="H67" s="11" t="s">
        <v>1172</v>
      </c>
      <c r="I67" s="115" t="b">
        <v>1</v>
      </c>
      <c r="J67" s="214">
        <v>45951.0</v>
      </c>
      <c r="K67" s="11" t="s">
        <v>1170</v>
      </c>
      <c r="L67" s="11" t="b">
        <v>1</v>
      </c>
      <c r="M67" s="11" t="b">
        <v>0</v>
      </c>
      <c r="N67" s="214">
        <v>45953.0</v>
      </c>
      <c r="O67" s="11" t="s">
        <v>68</v>
      </c>
      <c r="P67" s="66"/>
      <c r="Q67" s="66"/>
      <c r="R67" s="11" t="s">
        <v>1167</v>
      </c>
      <c r="S67" s="66"/>
      <c r="T67" s="116"/>
      <c r="U67" s="11"/>
      <c r="V67" s="11" t="b">
        <v>0</v>
      </c>
      <c r="W67" s="11" t="b">
        <v>0</v>
      </c>
      <c r="X67" s="11"/>
      <c r="Y67" s="115"/>
      <c r="Z67" s="11" t="b">
        <v>0</v>
      </c>
      <c r="AA67" s="115"/>
      <c r="AB67" s="11" t="b">
        <v>0</v>
      </c>
      <c r="AC67" s="117"/>
    </row>
    <row r="68">
      <c r="A68" s="57">
        <v>2.125046195E9</v>
      </c>
      <c r="B68" s="109" t="str">
        <f>VLOOKUP($A68,ANAGRAFICA!$B$1:$G$306,2,FALSE)</f>
        <v>CASILLO</v>
      </c>
      <c r="C68" s="109" t="str">
        <f>VLOOKUP($A68,ANAGRAFICA!$B$1:$G$306,3,FALSE)</f>
        <v>SALVATORE</v>
      </c>
      <c r="D68" s="109" t="str">
        <f>VLOOKUP($A68,ANAGRAFICA!$B$1:$G$306,4,FALSE)</f>
        <v>758-44</v>
      </c>
      <c r="E68" s="109">
        <f>VLOOKUP($A68,ANAGRAFICA!$B$1:$G$306,5,FALSE)</f>
        <v>3272025071</v>
      </c>
      <c r="F68" s="109">
        <f>VLOOKUP($A68,ANAGRAFICA!$B$1:$G$306,6,FALSE)</f>
        <v>2025</v>
      </c>
      <c r="G68" s="212">
        <v>1.0</v>
      </c>
      <c r="H68" s="11" t="s">
        <v>1158</v>
      </c>
      <c r="I68" s="115" t="b">
        <v>0</v>
      </c>
      <c r="J68" s="66"/>
      <c r="K68" s="11" t="s">
        <v>1174</v>
      </c>
      <c r="L68" s="11" t="b">
        <v>0</v>
      </c>
      <c r="M68" s="11" t="b">
        <v>0</v>
      </c>
      <c r="N68" s="66"/>
      <c r="O68" s="66"/>
      <c r="P68" s="66"/>
      <c r="Q68" s="66"/>
      <c r="R68" s="66"/>
      <c r="S68" s="66"/>
      <c r="T68" s="164">
        <v>45966.0</v>
      </c>
      <c r="U68" s="11" t="s">
        <v>87</v>
      </c>
      <c r="V68" s="11" t="b">
        <v>1</v>
      </c>
      <c r="W68" s="11" t="b">
        <v>0</v>
      </c>
      <c r="X68" s="11"/>
      <c r="Y68" s="115"/>
      <c r="Z68" s="11" t="b">
        <v>0</v>
      </c>
      <c r="AA68" s="115"/>
      <c r="AB68" s="11" t="b">
        <v>0</v>
      </c>
      <c r="AC68" s="117"/>
    </row>
    <row r="69">
      <c r="A69" s="57">
        <v>2.125051424E9</v>
      </c>
      <c r="B69" s="109" t="str">
        <f>VLOOKUP($A69,ANAGRAFICA!$B$1:$G$306,2,FALSE)</f>
        <v>CASABURI</v>
      </c>
      <c r="C69" s="109" t="str">
        <f>VLOOKUP($A69,ANAGRAFICA!$B$1:$G$306,3,FALSE)</f>
        <v>ERRICO</v>
      </c>
      <c r="D69" s="109" t="str">
        <f>VLOOKUP($A69,ANAGRAFICA!$B$1:$G$306,4,FALSE)</f>
        <v>758-45</v>
      </c>
      <c r="E69" s="109">
        <f>VLOOKUP($A69,ANAGRAFICA!$B$1:$G$306,5,FALSE)</f>
        <v>3272025072</v>
      </c>
      <c r="F69" s="109">
        <f>VLOOKUP($A69,ANAGRAFICA!$B$1:$G$306,6,FALSE)</f>
        <v>2025</v>
      </c>
      <c r="G69" s="212">
        <v>1.0</v>
      </c>
      <c r="H69" s="11" t="s">
        <v>1172</v>
      </c>
      <c r="I69" s="115" t="b">
        <v>1</v>
      </c>
      <c r="J69" s="214">
        <v>46004.0</v>
      </c>
      <c r="K69" s="11" t="s">
        <v>1170</v>
      </c>
      <c r="L69" s="11" t="b">
        <v>1</v>
      </c>
      <c r="M69" s="11" t="b">
        <v>0</v>
      </c>
      <c r="N69" s="214">
        <v>46009.0</v>
      </c>
      <c r="O69" s="11" t="s">
        <v>446</v>
      </c>
      <c r="P69" s="66"/>
      <c r="Q69" s="66"/>
      <c r="R69" s="11" t="s">
        <v>1167</v>
      </c>
      <c r="S69" s="66"/>
      <c r="T69" s="116"/>
      <c r="U69" s="11"/>
      <c r="V69" s="11" t="b">
        <v>0</v>
      </c>
      <c r="W69" s="11" t="b">
        <v>0</v>
      </c>
      <c r="X69" s="11"/>
      <c r="Y69" s="115"/>
      <c r="Z69" s="11" t="b">
        <v>0</v>
      </c>
      <c r="AA69" s="115"/>
      <c r="AB69" s="11" t="b">
        <v>0</v>
      </c>
      <c r="AC69" s="117"/>
    </row>
    <row r="70">
      <c r="A70" s="57">
        <v>2.1250527E9</v>
      </c>
      <c r="B70" s="109" t="str">
        <f>VLOOKUP($A70,ANAGRAFICA!$B$1:$G$306,2,FALSE)</f>
        <v>GADDA</v>
      </c>
      <c r="C70" s="109" t="str">
        <f>VLOOKUP($A70,ANAGRAFICA!$B$1:$G$306,3,FALSE)</f>
        <v>LILIANA</v>
      </c>
      <c r="D70" s="109" t="str">
        <f>VLOOKUP($A70,ANAGRAFICA!$B$1:$G$306,4,FALSE)</f>
        <v>758-46</v>
      </c>
      <c r="E70" s="109">
        <f>VLOOKUP($A70,ANAGRAFICA!$B$1:$G$306,5,FALSE)</f>
        <v>3272025073</v>
      </c>
      <c r="F70" s="109">
        <f>VLOOKUP($A70,ANAGRAFICA!$B$1:$G$306,6,FALSE)</f>
        <v>2025</v>
      </c>
      <c r="G70" s="212">
        <v>1.0</v>
      </c>
      <c r="H70" s="11" t="s">
        <v>1189</v>
      </c>
      <c r="I70" s="115" t="b">
        <v>1</v>
      </c>
      <c r="J70" s="214">
        <v>46012.0</v>
      </c>
      <c r="K70" s="11" t="s">
        <v>1170</v>
      </c>
      <c r="L70" s="11" t="b">
        <v>1</v>
      </c>
      <c r="M70" s="11" t="b">
        <v>0</v>
      </c>
      <c r="N70" s="214">
        <v>46014.0</v>
      </c>
      <c r="O70" s="11" t="s">
        <v>1203</v>
      </c>
      <c r="P70" s="214">
        <v>45968.0</v>
      </c>
      <c r="Q70" s="66"/>
      <c r="R70" s="11" t="s">
        <v>1173</v>
      </c>
      <c r="S70" s="66"/>
      <c r="T70" s="116"/>
      <c r="U70" s="11"/>
      <c r="V70" s="11" t="b">
        <v>0</v>
      </c>
      <c r="W70" s="11" t="b">
        <v>0</v>
      </c>
      <c r="X70" s="11"/>
      <c r="Y70" s="115"/>
      <c r="Z70" s="11" t="b">
        <v>0</v>
      </c>
      <c r="AA70" s="115"/>
      <c r="AB70" s="11" t="b">
        <v>0</v>
      </c>
      <c r="AC70" s="117"/>
    </row>
    <row r="71">
      <c r="A71" s="57">
        <v>2.125053097E9</v>
      </c>
      <c r="B71" s="109" t="str">
        <f>VLOOKUP($A71,ANAGRAFICA!$B$1:$G$306,2,FALSE)</f>
        <v>LISSONI</v>
      </c>
      <c r="C71" s="109" t="str">
        <f>VLOOKUP($A71,ANAGRAFICA!$B$1:$G$306,3,FALSE)</f>
        <v>ALESSANDRA</v>
      </c>
      <c r="D71" s="109" t="str">
        <f>VLOOKUP($A71,ANAGRAFICA!$B$1:$G$306,4,FALSE)</f>
        <v>758-47</v>
      </c>
      <c r="E71" s="109">
        <f>VLOOKUP($A71,ANAGRAFICA!$B$1:$G$306,5,FALSE)</f>
        <v>3272025074</v>
      </c>
      <c r="F71" s="109">
        <f>VLOOKUP($A71,ANAGRAFICA!$B$1:$G$306,6,FALSE)</f>
        <v>2025</v>
      </c>
      <c r="G71" s="212">
        <v>1.0</v>
      </c>
      <c r="H71" s="11" t="s">
        <v>1172</v>
      </c>
      <c r="I71" s="115" t="b">
        <v>1</v>
      </c>
      <c r="J71" s="214">
        <v>46024.0</v>
      </c>
      <c r="K71" s="11" t="s">
        <v>1170</v>
      </c>
      <c r="L71" s="11" t="b">
        <v>1</v>
      </c>
      <c r="M71" s="11" t="b">
        <v>0</v>
      </c>
      <c r="N71" s="214">
        <v>46027.0</v>
      </c>
      <c r="O71" s="11" t="s">
        <v>203</v>
      </c>
      <c r="P71" s="66"/>
      <c r="Q71" s="66"/>
      <c r="R71" s="11" t="s">
        <v>1173</v>
      </c>
      <c r="S71" s="66"/>
      <c r="T71" s="116"/>
      <c r="U71" s="11"/>
      <c r="V71" s="11" t="b">
        <v>0</v>
      </c>
      <c r="W71" s="11" t="b">
        <v>0</v>
      </c>
      <c r="X71" s="11"/>
      <c r="Y71" s="115"/>
      <c r="Z71" s="11" t="b">
        <v>0</v>
      </c>
      <c r="AA71" s="115"/>
      <c r="AB71" s="11" t="b">
        <v>0</v>
      </c>
      <c r="AC71" s="117"/>
    </row>
    <row r="72">
      <c r="A72" s="57">
        <v>2.126005799E9</v>
      </c>
      <c r="B72" s="109" t="str">
        <f>VLOOKUP($A72,ANAGRAFICA!$B$1:$G$306,2,FALSE)</f>
        <v>MAIORANO</v>
      </c>
      <c r="C72" s="109" t="str">
        <f>VLOOKUP($A72,ANAGRAFICA!$B$1:$G$306,3,FALSE)</f>
        <v>IOLANDA MARIA</v>
      </c>
      <c r="D72" s="109" t="str">
        <f>VLOOKUP($A72,ANAGRAFICA!$B$1:$G$306,4,FALSE)</f>
        <v>758-56</v>
      </c>
      <c r="E72" s="109" t="str">
        <f>VLOOKUP($A72,ANAGRAFICA!$B$1:$G$306,5,FALSE)</f>
        <v/>
      </c>
      <c r="F72" s="109">
        <f>VLOOKUP($A72,ANAGRAFICA!$B$1:$G$306,6,FALSE)</f>
        <v>2026</v>
      </c>
      <c r="G72" s="212">
        <v>1.0</v>
      </c>
      <c r="H72" s="11" t="s">
        <v>1172</v>
      </c>
      <c r="I72" s="115" t="b">
        <v>0</v>
      </c>
      <c r="J72" s="11" t="s">
        <v>1204</v>
      </c>
      <c r="K72" s="11" t="s">
        <v>1174</v>
      </c>
      <c r="L72" s="11" t="b">
        <v>1</v>
      </c>
      <c r="M72" s="11" t="b">
        <v>0</v>
      </c>
      <c r="N72" s="11" t="s">
        <v>1205</v>
      </c>
      <c r="O72" s="66"/>
      <c r="P72" s="66"/>
      <c r="Q72" s="66"/>
      <c r="R72" s="11" t="s">
        <v>1163</v>
      </c>
      <c r="S72" s="66"/>
      <c r="T72" s="116"/>
      <c r="U72" s="11"/>
      <c r="V72" s="11" t="b">
        <v>0</v>
      </c>
      <c r="W72" s="11" t="b">
        <v>0</v>
      </c>
      <c r="X72" s="11"/>
      <c r="Y72" s="115"/>
      <c r="Z72" s="11" t="b">
        <v>0</v>
      </c>
      <c r="AA72" s="115"/>
      <c r="AB72" s="11" t="b">
        <v>0</v>
      </c>
      <c r="AC72" s="117"/>
    </row>
    <row r="73">
      <c r="A73" s="57">
        <v>2.126002771E9</v>
      </c>
      <c r="B73" s="109" t="str">
        <f>VLOOKUP($A73,ANAGRAFICA!$B$1:$G$306,2,FALSE)</f>
        <v>LONGOBARDI</v>
      </c>
      <c r="C73" s="109" t="str">
        <f>VLOOKUP($A73,ANAGRAFICA!$B$1:$G$306,3,FALSE)</f>
        <v>FRANCESCO</v>
      </c>
      <c r="D73" s="109" t="str">
        <f>VLOOKUP($A73,ANAGRAFICA!$B$1:$G$306,4,FALSE)</f>
        <v>758-52</v>
      </c>
      <c r="E73" s="109" t="str">
        <f>VLOOKUP($A73,ANAGRAFICA!$B$1:$G$306,5,FALSE)</f>
        <v/>
      </c>
      <c r="F73" s="109">
        <f>VLOOKUP($A73,ANAGRAFICA!$B$1:$G$306,6,FALSE)</f>
        <v>2026</v>
      </c>
      <c r="G73" s="212">
        <v>1.0</v>
      </c>
      <c r="H73" s="11" t="s">
        <v>1158</v>
      </c>
      <c r="I73" s="115" t="b">
        <v>0</v>
      </c>
      <c r="J73" s="66"/>
      <c r="K73" s="11" t="s">
        <v>1159</v>
      </c>
      <c r="L73" s="11" t="b">
        <v>0</v>
      </c>
      <c r="M73" s="11" t="b">
        <v>0</v>
      </c>
      <c r="N73" s="164">
        <v>46049.0</v>
      </c>
      <c r="O73" s="11" t="s">
        <v>29</v>
      </c>
      <c r="P73" s="66"/>
      <c r="Q73" s="66"/>
      <c r="R73" s="66"/>
      <c r="S73" s="66"/>
      <c r="T73" s="164">
        <v>46049.0</v>
      </c>
      <c r="U73" s="11" t="s">
        <v>29</v>
      </c>
      <c r="V73" s="11" t="b">
        <v>1</v>
      </c>
      <c r="W73" s="11" t="b">
        <v>0</v>
      </c>
      <c r="X73" s="11"/>
      <c r="Y73" s="115"/>
      <c r="Z73" s="11" t="b">
        <v>1</v>
      </c>
      <c r="AA73" s="11" t="s">
        <v>1166</v>
      </c>
      <c r="AB73" s="11" t="b">
        <v>1</v>
      </c>
      <c r="AC73" s="117"/>
    </row>
    <row r="74">
      <c r="A74" s="57">
        <v>2.126001104E9</v>
      </c>
      <c r="B74" s="109" t="str">
        <f>VLOOKUP($A74,ANAGRAFICA!$B$1:$G$306,2,FALSE)</f>
        <v>LOREGGIA</v>
      </c>
      <c r="C74" s="109" t="str">
        <f>VLOOKUP($A74,ANAGRAFICA!$B$1:$G$306,3,FALSE)</f>
        <v>GIAN MARCO</v>
      </c>
      <c r="D74" s="109" t="str">
        <f>VLOOKUP($A74,ANAGRAFICA!$B$1:$G$306,4,FALSE)</f>
        <v>758-51</v>
      </c>
      <c r="E74" s="109" t="str">
        <f>VLOOKUP($A74,ANAGRAFICA!$B$1:$G$306,5,FALSE)</f>
        <v/>
      </c>
      <c r="F74" s="109">
        <f>VLOOKUP($A74,ANAGRAFICA!$B$1:$G$306,6,FALSE)</f>
        <v>2026</v>
      </c>
      <c r="G74" s="212">
        <v>1.0</v>
      </c>
      <c r="H74" s="11" t="s">
        <v>1158</v>
      </c>
      <c r="I74" s="115" t="b">
        <v>0</v>
      </c>
      <c r="J74" s="66"/>
      <c r="K74" s="11" t="s">
        <v>1174</v>
      </c>
      <c r="L74" s="11" t="b">
        <v>0</v>
      </c>
      <c r="M74" s="11" t="b">
        <v>0</v>
      </c>
      <c r="N74" s="66"/>
      <c r="O74" s="66"/>
      <c r="P74" s="66"/>
      <c r="Q74" s="66"/>
      <c r="R74" s="66"/>
      <c r="S74" s="66"/>
      <c r="T74" s="164">
        <v>46035.0</v>
      </c>
      <c r="U74" s="11" t="s">
        <v>1206</v>
      </c>
      <c r="V74" s="11" t="b">
        <v>0</v>
      </c>
      <c r="W74" s="11" t="b">
        <v>0</v>
      </c>
      <c r="X74" s="11"/>
      <c r="Y74" s="115"/>
      <c r="Z74" s="11" t="b">
        <v>0</v>
      </c>
      <c r="AA74" s="115"/>
      <c r="AB74" s="11" t="b">
        <v>0</v>
      </c>
      <c r="AC74" s="3">
        <v>5.0</v>
      </c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212">
        <v>1.0</v>
      </c>
      <c r="H75" s="115"/>
      <c r="I75" s="115" t="b">
        <v>0</v>
      </c>
      <c r="J75" s="66"/>
      <c r="K75" s="11" t="s">
        <v>1174</v>
      </c>
      <c r="L75" s="11" t="b">
        <v>0</v>
      </c>
      <c r="M75" s="11" t="b">
        <v>0</v>
      </c>
      <c r="N75" s="66"/>
      <c r="O75" s="66"/>
      <c r="P75" s="66"/>
      <c r="Q75" s="66"/>
      <c r="R75" s="66"/>
      <c r="S75" s="66"/>
      <c r="T75" s="116"/>
      <c r="U75" s="11"/>
      <c r="V75" s="11" t="b">
        <v>0</v>
      </c>
      <c r="W75" s="11" t="b">
        <v>0</v>
      </c>
      <c r="X75" s="11"/>
      <c r="Y75" s="115"/>
      <c r="Z75" s="11" t="b">
        <v>0</v>
      </c>
      <c r="AA75" s="115"/>
      <c r="AB75" s="11" t="b">
        <v>0</v>
      </c>
      <c r="AC75" s="117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212">
        <v>1.0</v>
      </c>
      <c r="H76" s="115"/>
      <c r="I76" s="115" t="b">
        <v>0</v>
      </c>
      <c r="J76" s="66"/>
      <c r="K76" s="11" t="s">
        <v>1174</v>
      </c>
      <c r="L76" s="11" t="b">
        <v>0</v>
      </c>
      <c r="M76" s="11" t="b">
        <v>0</v>
      </c>
      <c r="N76" s="66"/>
      <c r="O76" s="66"/>
      <c r="P76" s="66"/>
      <c r="Q76" s="66"/>
      <c r="R76" s="66"/>
      <c r="S76" s="66"/>
      <c r="T76" s="116"/>
      <c r="U76" s="11"/>
      <c r="V76" s="11" t="b">
        <v>0</v>
      </c>
      <c r="W76" s="11" t="b">
        <v>0</v>
      </c>
      <c r="X76" s="11"/>
      <c r="Y76" s="115"/>
      <c r="Z76" s="11" t="b">
        <v>0</v>
      </c>
      <c r="AA76" s="115"/>
      <c r="AB76" s="11" t="b">
        <v>0</v>
      </c>
      <c r="AC76" s="117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212">
        <v>1.0</v>
      </c>
      <c r="H77" s="115"/>
      <c r="I77" s="115" t="b">
        <v>0</v>
      </c>
      <c r="J77" s="66"/>
      <c r="K77" s="11" t="s">
        <v>1174</v>
      </c>
      <c r="L77" s="11" t="b">
        <v>0</v>
      </c>
      <c r="M77" s="11" t="b">
        <v>0</v>
      </c>
      <c r="N77" s="66"/>
      <c r="O77" s="66"/>
      <c r="P77" s="66"/>
      <c r="Q77" s="66"/>
      <c r="R77" s="66"/>
      <c r="S77" s="66"/>
      <c r="T77" s="116"/>
      <c r="U77" s="11"/>
      <c r="V77" s="11" t="b">
        <v>0</v>
      </c>
      <c r="W77" s="11" t="b">
        <v>0</v>
      </c>
      <c r="X77" s="11"/>
      <c r="Y77" s="115"/>
      <c r="Z77" s="11" t="b">
        <v>0</v>
      </c>
      <c r="AA77" s="115"/>
      <c r="AB77" s="11" t="b">
        <v>0</v>
      </c>
      <c r="AC77" s="117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212">
        <v>1.0</v>
      </c>
      <c r="H78" s="115"/>
      <c r="I78" s="115" t="b">
        <v>0</v>
      </c>
      <c r="J78" s="66"/>
      <c r="K78" s="11" t="s">
        <v>1174</v>
      </c>
      <c r="L78" s="11" t="b">
        <v>0</v>
      </c>
      <c r="M78" s="11" t="b">
        <v>0</v>
      </c>
      <c r="N78" s="66"/>
      <c r="O78" s="66"/>
      <c r="P78" s="66"/>
      <c r="Q78" s="66"/>
      <c r="R78" s="66"/>
      <c r="S78" s="66"/>
      <c r="T78" s="116"/>
      <c r="U78" s="11"/>
      <c r="V78" s="11" t="b">
        <v>0</v>
      </c>
      <c r="W78" s="11" t="b">
        <v>0</v>
      </c>
      <c r="X78" s="11"/>
      <c r="Y78" s="115"/>
      <c r="Z78" s="11" t="b">
        <v>0</v>
      </c>
      <c r="AA78" s="115"/>
      <c r="AB78" s="11" t="b">
        <v>0</v>
      </c>
      <c r="AC78" s="117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212">
        <v>1.0</v>
      </c>
      <c r="H79" s="115"/>
      <c r="I79" s="115" t="b">
        <v>0</v>
      </c>
      <c r="J79" s="66"/>
      <c r="K79" s="11" t="s">
        <v>1174</v>
      </c>
      <c r="L79" s="11" t="b">
        <v>0</v>
      </c>
      <c r="M79" s="11" t="b">
        <v>0</v>
      </c>
      <c r="N79" s="66"/>
      <c r="O79" s="66"/>
      <c r="P79" s="66"/>
      <c r="Q79" s="66"/>
      <c r="R79" s="66"/>
      <c r="S79" s="66"/>
      <c r="T79" s="116"/>
      <c r="U79" s="11"/>
      <c r="V79" s="11" t="b">
        <v>0</v>
      </c>
      <c r="W79" s="11" t="b">
        <v>0</v>
      </c>
      <c r="X79" s="11"/>
      <c r="Y79" s="115"/>
      <c r="Z79" s="11" t="b">
        <v>0</v>
      </c>
      <c r="AA79" s="115"/>
      <c r="AB79" s="11" t="b">
        <v>0</v>
      </c>
      <c r="AC79" s="117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212">
        <v>1.0</v>
      </c>
      <c r="H80" s="115"/>
      <c r="I80" s="115" t="b">
        <v>0</v>
      </c>
      <c r="J80" s="66"/>
      <c r="K80" s="11" t="s">
        <v>1174</v>
      </c>
      <c r="L80" s="11" t="b">
        <v>0</v>
      </c>
      <c r="M80" s="11" t="b">
        <v>0</v>
      </c>
      <c r="N80" s="66"/>
      <c r="O80" s="66"/>
      <c r="P80" s="66"/>
      <c r="Q80" s="66"/>
      <c r="R80" s="66"/>
      <c r="S80" s="66"/>
      <c r="T80" s="116"/>
      <c r="U80" s="11"/>
      <c r="V80" s="11" t="b">
        <v>0</v>
      </c>
      <c r="W80" s="11" t="b">
        <v>0</v>
      </c>
      <c r="X80" s="11"/>
      <c r="Y80" s="115"/>
      <c r="Z80" s="11" t="b">
        <v>0</v>
      </c>
      <c r="AA80" s="115"/>
      <c r="AB80" s="11" t="b">
        <v>0</v>
      </c>
      <c r="AC80" s="117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212">
        <v>1.0</v>
      </c>
      <c r="H81" s="115"/>
      <c r="I81" s="115" t="b">
        <v>0</v>
      </c>
      <c r="J81" s="66"/>
      <c r="K81" s="11" t="s">
        <v>1174</v>
      </c>
      <c r="L81" s="11" t="b">
        <v>0</v>
      </c>
      <c r="M81" s="11" t="b">
        <v>0</v>
      </c>
      <c r="N81" s="66"/>
      <c r="O81" s="66"/>
      <c r="P81" s="66"/>
      <c r="Q81" s="66"/>
      <c r="R81" s="66"/>
      <c r="S81" s="66"/>
      <c r="T81" s="116"/>
      <c r="U81" s="11"/>
      <c r="V81" s="11" t="b">
        <v>0</v>
      </c>
      <c r="W81" s="11" t="b">
        <v>0</v>
      </c>
      <c r="X81" s="11"/>
      <c r="Y81" s="115"/>
      <c r="Z81" s="11" t="b">
        <v>0</v>
      </c>
      <c r="AA81" s="115"/>
      <c r="AB81" s="11" t="b">
        <v>0</v>
      </c>
      <c r="AC81" s="117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212">
        <v>1.0</v>
      </c>
      <c r="H82" s="115"/>
      <c r="I82" s="115" t="b">
        <v>0</v>
      </c>
      <c r="J82" s="66"/>
      <c r="K82" s="11" t="s">
        <v>1174</v>
      </c>
      <c r="L82" s="11" t="b">
        <v>0</v>
      </c>
      <c r="M82" s="11" t="b">
        <v>0</v>
      </c>
      <c r="N82" s="66"/>
      <c r="O82" s="66"/>
      <c r="P82" s="66"/>
      <c r="Q82" s="66"/>
      <c r="R82" s="66"/>
      <c r="S82" s="66"/>
      <c r="T82" s="116"/>
      <c r="U82" s="11"/>
      <c r="V82" s="11" t="b">
        <v>0</v>
      </c>
      <c r="W82" s="11" t="b">
        <v>0</v>
      </c>
      <c r="X82" s="11"/>
      <c r="Y82" s="115"/>
      <c r="Z82" s="11" t="b">
        <v>0</v>
      </c>
      <c r="AA82" s="115"/>
      <c r="AB82" s="11" t="b">
        <v>0</v>
      </c>
      <c r="AC82" s="117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212">
        <v>1.0</v>
      </c>
      <c r="H83" s="115"/>
      <c r="I83" s="115" t="b">
        <v>0</v>
      </c>
      <c r="J83" s="66"/>
      <c r="K83" s="11" t="s">
        <v>1174</v>
      </c>
      <c r="L83" s="11" t="b">
        <v>0</v>
      </c>
      <c r="M83" s="11" t="b">
        <v>0</v>
      </c>
      <c r="N83" s="66"/>
      <c r="O83" s="66"/>
      <c r="P83" s="66"/>
      <c r="Q83" s="66"/>
      <c r="R83" s="66"/>
      <c r="S83" s="66"/>
      <c r="T83" s="116"/>
      <c r="U83" s="11"/>
      <c r="V83" s="11" t="b">
        <v>0</v>
      </c>
      <c r="W83" s="11" t="b">
        <v>0</v>
      </c>
      <c r="X83" s="11"/>
      <c r="Y83" s="115"/>
      <c r="Z83" s="11" t="b">
        <v>0</v>
      </c>
      <c r="AA83" s="115"/>
      <c r="AB83" s="11" t="b">
        <v>0</v>
      </c>
      <c r="AC83" s="117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212">
        <v>1.0</v>
      </c>
      <c r="H84" s="115"/>
      <c r="I84" s="115" t="b">
        <v>0</v>
      </c>
      <c r="J84" s="66"/>
      <c r="K84" s="11" t="s">
        <v>1174</v>
      </c>
      <c r="L84" s="11" t="b">
        <v>0</v>
      </c>
      <c r="M84" s="11" t="b">
        <v>0</v>
      </c>
      <c r="N84" s="66"/>
      <c r="O84" s="66"/>
      <c r="P84" s="66"/>
      <c r="Q84" s="66"/>
      <c r="R84" s="66"/>
      <c r="S84" s="66"/>
      <c r="T84" s="116"/>
      <c r="U84" s="11"/>
      <c r="V84" s="11" t="b">
        <v>0</v>
      </c>
      <c r="W84" s="11" t="b">
        <v>0</v>
      </c>
      <c r="X84" s="11"/>
      <c r="Y84" s="115"/>
      <c r="Z84" s="11" t="b">
        <v>0</v>
      </c>
      <c r="AA84" s="115"/>
      <c r="AB84" s="11" t="b">
        <v>0</v>
      </c>
      <c r="AC84" s="117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212">
        <v>1.0</v>
      </c>
      <c r="H85" s="115"/>
      <c r="I85" s="115" t="b">
        <v>0</v>
      </c>
      <c r="J85" s="66"/>
      <c r="K85" s="11" t="s">
        <v>1174</v>
      </c>
      <c r="L85" s="11" t="b">
        <v>0</v>
      </c>
      <c r="M85" s="11" t="b">
        <v>0</v>
      </c>
      <c r="N85" s="66"/>
      <c r="O85" s="66"/>
      <c r="P85" s="66"/>
      <c r="Q85" s="66"/>
      <c r="R85" s="66"/>
      <c r="S85" s="66"/>
      <c r="T85" s="116"/>
      <c r="U85" s="11"/>
      <c r="V85" s="11" t="b">
        <v>0</v>
      </c>
      <c r="W85" s="11" t="b">
        <v>0</v>
      </c>
      <c r="X85" s="11"/>
      <c r="Y85" s="115"/>
      <c r="Z85" s="11" t="b">
        <v>0</v>
      </c>
      <c r="AA85" s="115"/>
      <c r="AB85" s="11" t="b">
        <v>0</v>
      </c>
      <c r="AC85" s="117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212">
        <v>1.0</v>
      </c>
      <c r="H86" s="115"/>
      <c r="I86" s="115" t="b">
        <v>0</v>
      </c>
      <c r="J86" s="66"/>
      <c r="K86" s="11" t="s">
        <v>1174</v>
      </c>
      <c r="L86" s="11" t="b">
        <v>0</v>
      </c>
      <c r="M86" s="11" t="b">
        <v>0</v>
      </c>
      <c r="N86" s="66"/>
      <c r="O86" s="66"/>
      <c r="P86" s="66"/>
      <c r="Q86" s="66"/>
      <c r="R86" s="66"/>
      <c r="S86" s="66"/>
      <c r="T86" s="116"/>
      <c r="U86" s="11"/>
      <c r="V86" s="11" t="b">
        <v>0</v>
      </c>
      <c r="W86" s="11" t="b">
        <v>0</v>
      </c>
      <c r="X86" s="11"/>
      <c r="Y86" s="115"/>
      <c r="Z86" s="11" t="b">
        <v>0</v>
      </c>
      <c r="AA86" s="115"/>
      <c r="AB86" s="11" t="b">
        <v>0</v>
      </c>
      <c r="AC86" s="117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212">
        <v>1.0</v>
      </c>
      <c r="H87" s="115"/>
      <c r="I87" s="115" t="b">
        <v>0</v>
      </c>
      <c r="J87" s="66"/>
      <c r="K87" s="11" t="s">
        <v>1174</v>
      </c>
      <c r="L87" s="11" t="b">
        <v>0</v>
      </c>
      <c r="M87" s="11" t="b">
        <v>0</v>
      </c>
      <c r="N87" s="66"/>
      <c r="O87" s="66"/>
      <c r="P87" s="66"/>
      <c r="Q87" s="66"/>
      <c r="R87" s="66"/>
      <c r="S87" s="66"/>
      <c r="T87" s="116"/>
      <c r="U87" s="11"/>
      <c r="V87" s="11" t="b">
        <v>0</v>
      </c>
      <c r="W87" s="11" t="b">
        <v>0</v>
      </c>
      <c r="X87" s="11"/>
      <c r="Y87" s="115"/>
      <c r="Z87" s="11" t="b">
        <v>0</v>
      </c>
      <c r="AA87" s="115"/>
      <c r="AB87" s="11" t="b">
        <v>0</v>
      </c>
      <c r="AC87" s="117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212">
        <v>1.0</v>
      </c>
      <c r="H88" s="115"/>
      <c r="I88" s="115" t="b">
        <v>0</v>
      </c>
      <c r="J88" s="66"/>
      <c r="K88" s="11" t="s">
        <v>1174</v>
      </c>
      <c r="L88" s="11" t="b">
        <v>0</v>
      </c>
      <c r="M88" s="11" t="b">
        <v>0</v>
      </c>
      <c r="N88" s="66"/>
      <c r="O88" s="66"/>
      <c r="P88" s="66"/>
      <c r="Q88" s="66"/>
      <c r="R88" s="66"/>
      <c r="S88" s="66"/>
      <c r="T88" s="116"/>
      <c r="U88" s="11"/>
      <c r="V88" s="11" t="b">
        <v>0</v>
      </c>
      <c r="W88" s="11" t="b">
        <v>0</v>
      </c>
      <c r="X88" s="11"/>
      <c r="Y88" s="115"/>
      <c r="Z88" s="11" t="b">
        <v>0</v>
      </c>
      <c r="AA88" s="115"/>
      <c r="AB88" s="11" t="b">
        <v>0</v>
      </c>
      <c r="AC88" s="117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212">
        <v>1.0</v>
      </c>
      <c r="H89" s="115"/>
      <c r="I89" s="115" t="b">
        <v>0</v>
      </c>
      <c r="J89" s="66"/>
      <c r="K89" s="11" t="s">
        <v>1174</v>
      </c>
      <c r="L89" s="11" t="b">
        <v>0</v>
      </c>
      <c r="M89" s="11" t="b">
        <v>0</v>
      </c>
      <c r="N89" s="66"/>
      <c r="O89" s="66"/>
      <c r="P89" s="66"/>
      <c r="Q89" s="66"/>
      <c r="R89" s="66"/>
      <c r="S89" s="66"/>
      <c r="T89" s="116"/>
      <c r="U89" s="11"/>
      <c r="V89" s="11" t="b">
        <v>0</v>
      </c>
      <c r="W89" s="11" t="b">
        <v>0</v>
      </c>
      <c r="X89" s="11"/>
      <c r="Y89" s="115"/>
      <c r="Z89" s="11" t="b">
        <v>0</v>
      </c>
      <c r="AA89" s="115"/>
      <c r="AB89" s="11" t="b">
        <v>0</v>
      </c>
      <c r="AC89" s="117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212">
        <v>1.0</v>
      </c>
      <c r="H90" s="115"/>
      <c r="I90" s="115" t="b">
        <v>0</v>
      </c>
      <c r="J90" s="66"/>
      <c r="K90" s="11" t="s">
        <v>1174</v>
      </c>
      <c r="L90" s="11" t="b">
        <v>0</v>
      </c>
      <c r="M90" s="11" t="b">
        <v>0</v>
      </c>
      <c r="N90" s="66"/>
      <c r="O90" s="66"/>
      <c r="P90" s="66"/>
      <c r="Q90" s="66"/>
      <c r="R90" s="66"/>
      <c r="S90" s="66"/>
      <c r="T90" s="116"/>
      <c r="U90" s="11"/>
      <c r="V90" s="11" t="b">
        <v>0</v>
      </c>
      <c r="W90" s="11" t="b">
        <v>0</v>
      </c>
      <c r="X90" s="11"/>
      <c r="Y90" s="115"/>
      <c r="Z90" s="11" t="b">
        <v>0</v>
      </c>
      <c r="AA90" s="115"/>
      <c r="AB90" s="11" t="b">
        <v>0</v>
      </c>
      <c r="AC90" s="117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212">
        <v>1.0</v>
      </c>
      <c r="H91" s="115"/>
      <c r="I91" s="115" t="b">
        <v>0</v>
      </c>
      <c r="J91" s="66"/>
      <c r="K91" s="11" t="s">
        <v>1174</v>
      </c>
      <c r="L91" s="11" t="b">
        <v>0</v>
      </c>
      <c r="M91" s="11" t="b">
        <v>0</v>
      </c>
      <c r="N91" s="66"/>
      <c r="O91" s="66"/>
      <c r="P91" s="66"/>
      <c r="Q91" s="66"/>
      <c r="R91" s="66"/>
      <c r="S91" s="66"/>
      <c r="T91" s="116"/>
      <c r="U91" s="11"/>
      <c r="V91" s="11" t="b">
        <v>0</v>
      </c>
      <c r="W91" s="11" t="b">
        <v>0</v>
      </c>
      <c r="X91" s="11"/>
      <c r="Y91" s="115"/>
      <c r="Z91" s="11" t="b">
        <v>0</v>
      </c>
      <c r="AA91" s="115"/>
      <c r="AB91" s="11" t="b">
        <v>0</v>
      </c>
      <c r="AC91" s="117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212">
        <v>1.0</v>
      </c>
      <c r="H92" s="115"/>
      <c r="I92" s="115" t="b">
        <v>0</v>
      </c>
      <c r="J92" s="66"/>
      <c r="K92" s="11" t="s">
        <v>1174</v>
      </c>
      <c r="L92" s="11" t="b">
        <v>0</v>
      </c>
      <c r="M92" s="11" t="b">
        <v>0</v>
      </c>
      <c r="N92" s="66"/>
      <c r="O92" s="66"/>
      <c r="P92" s="66"/>
      <c r="Q92" s="66"/>
      <c r="R92" s="66"/>
      <c r="S92" s="66"/>
      <c r="T92" s="116"/>
      <c r="U92" s="11"/>
      <c r="V92" s="11" t="b">
        <v>0</v>
      </c>
      <c r="W92" s="11" t="b">
        <v>0</v>
      </c>
      <c r="X92" s="11"/>
      <c r="Y92" s="115"/>
      <c r="Z92" s="11" t="b">
        <v>0</v>
      </c>
      <c r="AA92" s="115"/>
      <c r="AB92" s="11" t="b">
        <v>0</v>
      </c>
      <c r="AC92" s="117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212">
        <v>1.0</v>
      </c>
      <c r="H93" s="115"/>
      <c r="I93" s="115" t="b">
        <v>0</v>
      </c>
      <c r="J93" s="66"/>
      <c r="K93" s="11" t="s">
        <v>1174</v>
      </c>
      <c r="L93" s="11" t="b">
        <v>0</v>
      </c>
      <c r="M93" s="11" t="b">
        <v>0</v>
      </c>
      <c r="N93" s="66"/>
      <c r="O93" s="66"/>
      <c r="P93" s="66"/>
      <c r="Q93" s="66"/>
      <c r="R93" s="66"/>
      <c r="S93" s="66"/>
      <c r="T93" s="116"/>
      <c r="U93" s="11"/>
      <c r="V93" s="11" t="b">
        <v>0</v>
      </c>
      <c r="W93" s="11" t="b">
        <v>0</v>
      </c>
      <c r="X93" s="11"/>
      <c r="Y93" s="115"/>
      <c r="Z93" s="11" t="b">
        <v>0</v>
      </c>
      <c r="AA93" s="115"/>
      <c r="AB93" s="11" t="b">
        <v>0</v>
      </c>
      <c r="AC93" s="117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212">
        <v>1.0</v>
      </c>
      <c r="H94" s="115"/>
      <c r="I94" s="115" t="b">
        <v>0</v>
      </c>
      <c r="J94" s="66"/>
      <c r="K94" s="11" t="s">
        <v>1174</v>
      </c>
      <c r="L94" s="11" t="b">
        <v>0</v>
      </c>
      <c r="M94" s="11" t="b">
        <v>0</v>
      </c>
      <c r="N94" s="66"/>
      <c r="O94" s="66"/>
      <c r="P94" s="66"/>
      <c r="Q94" s="66"/>
      <c r="R94" s="66"/>
      <c r="S94" s="66"/>
      <c r="T94" s="116"/>
      <c r="U94" s="11"/>
      <c r="V94" s="11" t="b">
        <v>0</v>
      </c>
      <c r="W94" s="11" t="b">
        <v>0</v>
      </c>
      <c r="X94" s="11"/>
      <c r="Y94" s="115"/>
      <c r="Z94" s="11" t="b">
        <v>0</v>
      </c>
      <c r="AA94" s="115"/>
      <c r="AB94" s="11" t="b">
        <v>0</v>
      </c>
      <c r="AC94" s="117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212">
        <v>1.0</v>
      </c>
      <c r="H95" s="115"/>
      <c r="I95" s="115" t="b">
        <v>0</v>
      </c>
      <c r="J95" s="66"/>
      <c r="K95" s="11" t="s">
        <v>1174</v>
      </c>
      <c r="L95" s="11" t="b">
        <v>0</v>
      </c>
      <c r="M95" s="11" t="b">
        <v>0</v>
      </c>
      <c r="N95" s="66"/>
      <c r="O95" s="66"/>
      <c r="P95" s="66"/>
      <c r="Q95" s="66"/>
      <c r="R95" s="66"/>
      <c r="S95" s="66"/>
      <c r="T95" s="116"/>
      <c r="U95" s="11"/>
      <c r="V95" s="11" t="b">
        <v>0</v>
      </c>
      <c r="W95" s="11" t="b">
        <v>0</v>
      </c>
      <c r="X95" s="11"/>
      <c r="Y95" s="115"/>
      <c r="Z95" s="11" t="b">
        <v>0</v>
      </c>
      <c r="AA95" s="115"/>
      <c r="AB95" s="11" t="b">
        <v>0</v>
      </c>
      <c r="AC95" s="117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212">
        <v>1.0</v>
      </c>
      <c r="H96" s="115"/>
      <c r="I96" s="115" t="b">
        <v>0</v>
      </c>
      <c r="J96" s="66"/>
      <c r="K96" s="11" t="s">
        <v>1174</v>
      </c>
      <c r="L96" s="11" t="b">
        <v>0</v>
      </c>
      <c r="M96" s="11" t="b">
        <v>0</v>
      </c>
      <c r="N96" s="66"/>
      <c r="O96" s="66"/>
      <c r="P96" s="66"/>
      <c r="Q96" s="66"/>
      <c r="R96" s="66"/>
      <c r="S96" s="66"/>
      <c r="T96" s="116"/>
      <c r="U96" s="11"/>
      <c r="V96" s="11" t="b">
        <v>0</v>
      </c>
      <c r="W96" s="11" t="b">
        <v>0</v>
      </c>
      <c r="X96" s="11"/>
      <c r="Y96" s="115"/>
      <c r="Z96" s="11" t="b">
        <v>0</v>
      </c>
      <c r="AA96" s="115"/>
      <c r="AB96" s="11" t="b">
        <v>0</v>
      </c>
      <c r="AC96" s="117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212">
        <v>1.0</v>
      </c>
      <c r="H97" s="115"/>
      <c r="I97" s="115" t="b">
        <v>0</v>
      </c>
      <c r="J97" s="66"/>
      <c r="K97" s="11" t="s">
        <v>1174</v>
      </c>
      <c r="L97" s="11" t="b">
        <v>0</v>
      </c>
      <c r="M97" s="11" t="b">
        <v>0</v>
      </c>
      <c r="N97" s="66"/>
      <c r="O97" s="66"/>
      <c r="P97" s="66"/>
      <c r="Q97" s="66"/>
      <c r="R97" s="66"/>
      <c r="S97" s="66"/>
      <c r="T97" s="116"/>
      <c r="U97" s="11"/>
      <c r="V97" s="11" t="b">
        <v>0</v>
      </c>
      <c r="W97" s="11" t="b">
        <v>0</v>
      </c>
      <c r="X97" s="11"/>
      <c r="Y97" s="115"/>
      <c r="Z97" s="11" t="b">
        <v>0</v>
      </c>
      <c r="AA97" s="115"/>
      <c r="AB97" s="11" t="b">
        <v>0</v>
      </c>
      <c r="AC97" s="117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212">
        <v>1.0</v>
      </c>
      <c r="H98" s="115"/>
      <c r="I98" s="115" t="b">
        <v>0</v>
      </c>
      <c r="J98" s="66"/>
      <c r="K98" s="11" t="s">
        <v>1174</v>
      </c>
      <c r="L98" s="11" t="b">
        <v>0</v>
      </c>
      <c r="M98" s="11" t="b">
        <v>0</v>
      </c>
      <c r="N98" s="66"/>
      <c r="O98" s="66"/>
      <c r="P98" s="66"/>
      <c r="Q98" s="66"/>
      <c r="R98" s="66"/>
      <c r="S98" s="66"/>
      <c r="T98" s="116"/>
      <c r="U98" s="11"/>
      <c r="V98" s="11" t="b">
        <v>0</v>
      </c>
      <c r="W98" s="11" t="b">
        <v>0</v>
      </c>
      <c r="X98" s="11"/>
      <c r="Y98" s="115"/>
      <c r="Z98" s="11" t="b">
        <v>0</v>
      </c>
      <c r="AA98" s="115"/>
      <c r="AB98" s="11" t="b">
        <v>0</v>
      </c>
      <c r="AC98" s="117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212">
        <v>1.0</v>
      </c>
      <c r="H99" s="115"/>
      <c r="I99" s="115" t="b">
        <v>0</v>
      </c>
      <c r="J99" s="66"/>
      <c r="K99" s="11" t="s">
        <v>1174</v>
      </c>
      <c r="L99" s="11" t="b">
        <v>0</v>
      </c>
      <c r="M99" s="11" t="b">
        <v>0</v>
      </c>
      <c r="N99" s="66"/>
      <c r="O99" s="66"/>
      <c r="P99" s="66"/>
      <c r="Q99" s="66"/>
      <c r="R99" s="66"/>
      <c r="S99" s="66"/>
      <c r="T99" s="116"/>
      <c r="U99" s="11"/>
      <c r="V99" s="11" t="b">
        <v>0</v>
      </c>
      <c r="W99" s="11" t="b">
        <v>0</v>
      </c>
      <c r="X99" s="11"/>
      <c r="Y99" s="115"/>
      <c r="Z99" s="11" t="b">
        <v>0</v>
      </c>
      <c r="AA99" s="115"/>
      <c r="AB99" s="11" t="b">
        <v>0</v>
      </c>
      <c r="AC99" s="117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212">
        <v>1.0</v>
      </c>
      <c r="H100" s="115"/>
      <c r="I100" s="115" t="b">
        <v>0</v>
      </c>
      <c r="J100" s="66"/>
      <c r="K100" s="11" t="s">
        <v>1174</v>
      </c>
      <c r="L100" s="11" t="b">
        <v>0</v>
      </c>
      <c r="M100" s="11" t="b">
        <v>0</v>
      </c>
      <c r="N100" s="66"/>
      <c r="O100" s="66"/>
      <c r="P100" s="66"/>
      <c r="Q100" s="66"/>
      <c r="R100" s="66"/>
      <c r="S100" s="66"/>
      <c r="T100" s="116"/>
      <c r="U100" s="11"/>
      <c r="V100" s="11" t="b">
        <v>0</v>
      </c>
      <c r="W100" s="11" t="b">
        <v>0</v>
      </c>
      <c r="X100" s="11"/>
      <c r="Y100" s="115"/>
      <c r="Z100" s="11" t="b">
        <v>0</v>
      </c>
      <c r="AA100" s="115"/>
      <c r="AB100" s="11" t="b">
        <v>0</v>
      </c>
      <c r="AC100" s="117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212">
        <v>1.0</v>
      </c>
      <c r="H101" s="115"/>
      <c r="I101" s="115" t="b">
        <v>0</v>
      </c>
      <c r="J101" s="66"/>
      <c r="K101" s="11" t="s">
        <v>1174</v>
      </c>
      <c r="L101" s="11" t="b">
        <v>0</v>
      </c>
      <c r="M101" s="11" t="b">
        <v>0</v>
      </c>
      <c r="N101" s="66"/>
      <c r="O101" s="66"/>
      <c r="P101" s="66"/>
      <c r="Q101" s="66"/>
      <c r="R101" s="66"/>
      <c r="S101" s="66"/>
      <c r="T101" s="116"/>
      <c r="U101" s="11"/>
      <c r="V101" s="11" t="b">
        <v>0</v>
      </c>
      <c r="W101" s="11" t="b">
        <v>0</v>
      </c>
      <c r="X101" s="11"/>
      <c r="Y101" s="115"/>
      <c r="Z101" s="11" t="b">
        <v>0</v>
      </c>
      <c r="AA101" s="115"/>
      <c r="AB101" s="11" t="b">
        <v>0</v>
      </c>
      <c r="AC101" s="117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212">
        <v>1.0</v>
      </c>
      <c r="H102" s="115"/>
      <c r="I102" s="115" t="b">
        <v>0</v>
      </c>
      <c r="J102" s="66"/>
      <c r="K102" s="11" t="s">
        <v>1174</v>
      </c>
      <c r="L102" s="11" t="b">
        <v>0</v>
      </c>
      <c r="M102" s="11" t="b">
        <v>0</v>
      </c>
      <c r="N102" s="66"/>
      <c r="O102" s="66"/>
      <c r="P102" s="66"/>
      <c r="Q102" s="66"/>
      <c r="R102" s="66"/>
      <c r="S102" s="66"/>
      <c r="T102" s="116"/>
      <c r="U102" s="11"/>
      <c r="V102" s="11" t="b">
        <v>0</v>
      </c>
      <c r="W102" s="11" t="b">
        <v>0</v>
      </c>
      <c r="X102" s="11"/>
      <c r="Y102" s="115"/>
      <c r="Z102" s="11" t="b">
        <v>0</v>
      </c>
      <c r="AA102" s="115"/>
      <c r="AB102" s="11" t="b">
        <v>0</v>
      </c>
      <c r="AC102" s="117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212">
        <v>1.0</v>
      </c>
      <c r="H103" s="115"/>
      <c r="I103" s="115" t="b">
        <v>0</v>
      </c>
      <c r="J103" s="66"/>
      <c r="K103" s="11" t="s">
        <v>1174</v>
      </c>
      <c r="L103" s="11" t="b">
        <v>0</v>
      </c>
      <c r="M103" s="11" t="b">
        <v>0</v>
      </c>
      <c r="N103" s="66"/>
      <c r="O103" s="66"/>
      <c r="P103" s="66"/>
      <c r="Q103" s="66"/>
      <c r="R103" s="66"/>
      <c r="S103" s="66"/>
      <c r="T103" s="116"/>
      <c r="U103" s="11"/>
      <c r="V103" s="11" t="b">
        <v>0</v>
      </c>
      <c r="W103" s="11" t="b">
        <v>0</v>
      </c>
      <c r="X103" s="11"/>
      <c r="Y103" s="115"/>
      <c r="Z103" s="11" t="b">
        <v>0</v>
      </c>
      <c r="AA103" s="115"/>
      <c r="AB103" s="11" t="b">
        <v>0</v>
      </c>
      <c r="AC103" s="117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212">
        <v>1.0</v>
      </c>
      <c r="H104" s="115"/>
      <c r="I104" s="115" t="b">
        <v>0</v>
      </c>
      <c r="J104" s="66"/>
      <c r="K104" s="11" t="s">
        <v>1174</v>
      </c>
      <c r="L104" s="11" t="b">
        <v>0</v>
      </c>
      <c r="M104" s="11" t="b">
        <v>0</v>
      </c>
      <c r="N104" s="66"/>
      <c r="O104" s="66"/>
      <c r="P104" s="66"/>
      <c r="Q104" s="66"/>
      <c r="R104" s="66"/>
      <c r="S104" s="66"/>
      <c r="T104" s="116"/>
      <c r="U104" s="11"/>
      <c r="V104" s="11" t="b">
        <v>0</v>
      </c>
      <c r="W104" s="11" t="b">
        <v>0</v>
      </c>
      <c r="X104" s="11"/>
      <c r="Y104" s="115"/>
      <c r="Z104" s="11" t="b">
        <v>0</v>
      </c>
      <c r="AA104" s="115"/>
      <c r="AB104" s="11" t="b">
        <v>0</v>
      </c>
      <c r="AC104" s="117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212">
        <v>1.0</v>
      </c>
      <c r="H105" s="115"/>
      <c r="I105" s="115" t="b">
        <v>0</v>
      </c>
      <c r="J105" s="66"/>
      <c r="K105" s="11" t="s">
        <v>1174</v>
      </c>
      <c r="L105" s="11" t="b">
        <v>0</v>
      </c>
      <c r="M105" s="11" t="b">
        <v>0</v>
      </c>
      <c r="N105" s="66"/>
      <c r="O105" s="66"/>
      <c r="P105" s="66"/>
      <c r="Q105" s="66"/>
      <c r="R105" s="66"/>
      <c r="S105" s="66"/>
      <c r="T105" s="116"/>
      <c r="U105" s="11"/>
      <c r="V105" s="11" t="b">
        <v>0</v>
      </c>
      <c r="W105" s="11" t="b">
        <v>0</v>
      </c>
      <c r="X105" s="11"/>
      <c r="Y105" s="115"/>
      <c r="Z105" s="11" t="b">
        <v>0</v>
      </c>
      <c r="AA105" s="115"/>
      <c r="AB105" s="11" t="b">
        <v>0</v>
      </c>
      <c r="AC105" s="117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212">
        <v>1.0</v>
      </c>
      <c r="H106" s="115"/>
      <c r="I106" s="115" t="b">
        <v>0</v>
      </c>
      <c r="J106" s="66"/>
      <c r="K106" s="11" t="s">
        <v>1174</v>
      </c>
      <c r="L106" s="11" t="b">
        <v>0</v>
      </c>
      <c r="M106" s="11" t="b">
        <v>0</v>
      </c>
      <c r="N106" s="66"/>
      <c r="O106" s="66"/>
      <c r="P106" s="66"/>
      <c r="Q106" s="66"/>
      <c r="R106" s="66"/>
      <c r="S106" s="66"/>
      <c r="T106" s="116"/>
      <c r="U106" s="11"/>
      <c r="V106" s="11" t="b">
        <v>0</v>
      </c>
      <c r="W106" s="11" t="b">
        <v>0</v>
      </c>
      <c r="X106" s="11"/>
      <c r="Y106" s="115"/>
      <c r="Z106" s="11" t="b">
        <v>0</v>
      </c>
      <c r="AA106" s="115"/>
      <c r="AB106" s="11" t="b">
        <v>0</v>
      </c>
      <c r="AC106" s="117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212">
        <v>1.0</v>
      </c>
      <c r="H107" s="115"/>
      <c r="I107" s="115" t="b">
        <v>0</v>
      </c>
      <c r="J107" s="66"/>
      <c r="K107" s="11" t="s">
        <v>1174</v>
      </c>
      <c r="L107" s="11" t="b">
        <v>0</v>
      </c>
      <c r="M107" s="11" t="b">
        <v>0</v>
      </c>
      <c r="N107" s="66"/>
      <c r="O107" s="66"/>
      <c r="P107" s="66"/>
      <c r="Q107" s="66"/>
      <c r="R107" s="66"/>
      <c r="S107" s="66"/>
      <c r="T107" s="116"/>
      <c r="U107" s="11"/>
      <c r="V107" s="11" t="b">
        <v>0</v>
      </c>
      <c r="W107" s="11" t="b">
        <v>0</v>
      </c>
      <c r="X107" s="11"/>
      <c r="Y107" s="115"/>
      <c r="Z107" s="11" t="b">
        <v>0</v>
      </c>
      <c r="AA107" s="115"/>
      <c r="AB107" s="11" t="b">
        <v>0</v>
      </c>
      <c r="AC107" s="117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212">
        <v>1.0</v>
      </c>
      <c r="H108" s="115"/>
      <c r="I108" s="115" t="b">
        <v>0</v>
      </c>
      <c r="J108" s="66"/>
      <c r="K108" s="11" t="s">
        <v>1174</v>
      </c>
      <c r="L108" s="11" t="b">
        <v>0</v>
      </c>
      <c r="M108" s="11" t="b">
        <v>0</v>
      </c>
      <c r="N108" s="66"/>
      <c r="O108" s="66"/>
      <c r="P108" s="66"/>
      <c r="Q108" s="66"/>
      <c r="R108" s="66"/>
      <c r="S108" s="66"/>
      <c r="T108" s="116"/>
      <c r="U108" s="11"/>
      <c r="V108" s="11" t="b">
        <v>0</v>
      </c>
      <c r="W108" s="11" t="b">
        <v>0</v>
      </c>
      <c r="X108" s="11"/>
      <c r="Y108" s="115"/>
      <c r="Z108" s="11" t="b">
        <v>0</v>
      </c>
      <c r="AA108" s="115"/>
      <c r="AB108" s="11" t="b">
        <v>0</v>
      </c>
      <c r="AC108" s="117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212">
        <v>1.0</v>
      </c>
      <c r="H109" s="115"/>
      <c r="I109" s="115" t="b">
        <v>0</v>
      </c>
      <c r="J109" s="66"/>
      <c r="K109" s="11" t="s">
        <v>1174</v>
      </c>
      <c r="L109" s="11" t="b">
        <v>0</v>
      </c>
      <c r="M109" s="11" t="b">
        <v>0</v>
      </c>
      <c r="N109" s="66"/>
      <c r="O109" s="66"/>
      <c r="P109" s="66"/>
      <c r="Q109" s="66"/>
      <c r="R109" s="66"/>
      <c r="S109" s="66"/>
      <c r="T109" s="116"/>
      <c r="U109" s="11"/>
      <c r="V109" s="11" t="b">
        <v>0</v>
      </c>
      <c r="W109" s="11" t="b">
        <v>0</v>
      </c>
      <c r="X109" s="11"/>
      <c r="Y109" s="115"/>
      <c r="Z109" s="11" t="b">
        <v>0</v>
      </c>
      <c r="AA109" s="115"/>
      <c r="AB109" s="11" t="b">
        <v>0</v>
      </c>
      <c r="AC109" s="117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212">
        <v>1.0</v>
      </c>
      <c r="H110" s="115"/>
      <c r="I110" s="115" t="b">
        <v>0</v>
      </c>
      <c r="J110" s="66"/>
      <c r="K110" s="11" t="s">
        <v>1174</v>
      </c>
      <c r="L110" s="11" t="b">
        <v>0</v>
      </c>
      <c r="M110" s="11" t="b">
        <v>0</v>
      </c>
      <c r="N110" s="66"/>
      <c r="O110" s="66"/>
      <c r="P110" s="66"/>
      <c r="Q110" s="66"/>
      <c r="R110" s="66"/>
      <c r="S110" s="66"/>
      <c r="T110" s="116"/>
      <c r="U110" s="11"/>
      <c r="V110" s="11" t="b">
        <v>0</v>
      </c>
      <c r="W110" s="11" t="b">
        <v>0</v>
      </c>
      <c r="X110" s="11"/>
      <c r="Y110" s="115"/>
      <c r="Z110" s="11" t="b">
        <v>0</v>
      </c>
      <c r="AA110" s="115"/>
      <c r="AB110" s="11" t="b">
        <v>0</v>
      </c>
      <c r="AC110" s="117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212">
        <v>1.0</v>
      </c>
      <c r="H111" s="115"/>
      <c r="I111" s="115" t="b">
        <v>0</v>
      </c>
      <c r="J111" s="66"/>
      <c r="K111" s="11" t="s">
        <v>1174</v>
      </c>
      <c r="L111" s="11" t="b">
        <v>0</v>
      </c>
      <c r="M111" s="11" t="b">
        <v>0</v>
      </c>
      <c r="N111" s="66"/>
      <c r="O111" s="66"/>
      <c r="P111" s="66"/>
      <c r="Q111" s="66"/>
      <c r="R111" s="66"/>
      <c r="S111" s="66"/>
      <c r="T111" s="116"/>
      <c r="U111" s="11"/>
      <c r="V111" s="11" t="b">
        <v>0</v>
      </c>
      <c r="W111" s="11" t="b">
        <v>0</v>
      </c>
      <c r="X111" s="11"/>
      <c r="Y111" s="115"/>
      <c r="Z111" s="11" t="b">
        <v>0</v>
      </c>
      <c r="AA111" s="115"/>
      <c r="AB111" s="11" t="b">
        <v>0</v>
      </c>
      <c r="AC111" s="117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212">
        <v>1.0</v>
      </c>
      <c r="H112" s="115"/>
      <c r="I112" s="115" t="b">
        <v>0</v>
      </c>
      <c r="J112" s="66"/>
      <c r="K112" s="11" t="s">
        <v>1174</v>
      </c>
      <c r="L112" s="11" t="b">
        <v>0</v>
      </c>
      <c r="M112" s="11" t="b">
        <v>0</v>
      </c>
      <c r="N112" s="66"/>
      <c r="O112" s="66"/>
      <c r="P112" s="66"/>
      <c r="Q112" s="66"/>
      <c r="R112" s="66"/>
      <c r="S112" s="66"/>
      <c r="T112" s="116"/>
      <c r="U112" s="11"/>
      <c r="V112" s="11" t="b">
        <v>0</v>
      </c>
      <c r="W112" s="11" t="b">
        <v>0</v>
      </c>
      <c r="X112" s="11"/>
      <c r="Y112" s="115"/>
      <c r="Z112" s="11" t="b">
        <v>0</v>
      </c>
      <c r="AA112" s="115"/>
      <c r="AB112" s="11" t="b">
        <v>0</v>
      </c>
      <c r="AC112" s="117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212">
        <v>1.0</v>
      </c>
      <c r="H113" s="115"/>
      <c r="I113" s="115" t="b">
        <v>0</v>
      </c>
      <c r="J113" s="66"/>
      <c r="K113" s="11" t="s">
        <v>1174</v>
      </c>
      <c r="L113" s="11" t="b">
        <v>0</v>
      </c>
      <c r="M113" s="11" t="b">
        <v>0</v>
      </c>
      <c r="N113" s="66"/>
      <c r="O113" s="66"/>
      <c r="P113" s="66"/>
      <c r="Q113" s="66"/>
      <c r="R113" s="66"/>
      <c r="S113" s="66"/>
      <c r="T113" s="116"/>
      <c r="U113" s="11"/>
      <c r="V113" s="11" t="b">
        <v>0</v>
      </c>
      <c r="W113" s="11" t="b">
        <v>0</v>
      </c>
      <c r="X113" s="11"/>
      <c r="Y113" s="115"/>
      <c r="Z113" s="11" t="b">
        <v>0</v>
      </c>
      <c r="AA113" s="115"/>
      <c r="AB113" s="11" t="b">
        <v>0</v>
      </c>
      <c r="AC113" s="117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212">
        <v>1.0</v>
      </c>
      <c r="H114" s="115"/>
      <c r="I114" s="115" t="b">
        <v>0</v>
      </c>
      <c r="J114" s="66"/>
      <c r="K114" s="11" t="s">
        <v>1174</v>
      </c>
      <c r="L114" s="11" t="b">
        <v>0</v>
      </c>
      <c r="M114" s="11" t="b">
        <v>0</v>
      </c>
      <c r="N114" s="66"/>
      <c r="O114" s="66"/>
      <c r="P114" s="66"/>
      <c r="Q114" s="66"/>
      <c r="R114" s="66"/>
      <c r="S114" s="66"/>
      <c r="T114" s="116"/>
      <c r="U114" s="11"/>
      <c r="V114" s="11" t="b">
        <v>0</v>
      </c>
      <c r="W114" s="11" t="b">
        <v>0</v>
      </c>
      <c r="X114" s="11"/>
      <c r="Y114" s="115"/>
      <c r="Z114" s="11" t="b">
        <v>0</v>
      </c>
      <c r="AA114" s="115"/>
      <c r="AB114" s="11" t="b">
        <v>0</v>
      </c>
      <c r="AC114" s="117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212">
        <v>1.0</v>
      </c>
      <c r="H115" s="115"/>
      <c r="I115" s="115" t="b">
        <v>0</v>
      </c>
      <c r="J115" s="66"/>
      <c r="K115" s="11" t="s">
        <v>1174</v>
      </c>
      <c r="L115" s="11" t="b">
        <v>0</v>
      </c>
      <c r="M115" s="11" t="b">
        <v>0</v>
      </c>
      <c r="N115" s="66"/>
      <c r="O115" s="66"/>
      <c r="P115" s="66"/>
      <c r="Q115" s="66"/>
      <c r="R115" s="66"/>
      <c r="S115" s="66"/>
      <c r="T115" s="116"/>
      <c r="U115" s="11"/>
      <c r="V115" s="11" t="b">
        <v>0</v>
      </c>
      <c r="W115" s="11" t="b">
        <v>0</v>
      </c>
      <c r="X115" s="11"/>
      <c r="Y115" s="115"/>
      <c r="Z115" s="11" t="b">
        <v>0</v>
      </c>
      <c r="AA115" s="115"/>
      <c r="AB115" s="11" t="b">
        <v>0</v>
      </c>
      <c r="AC115" s="117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212">
        <v>1.0</v>
      </c>
      <c r="H116" s="115"/>
      <c r="I116" s="115" t="b">
        <v>0</v>
      </c>
      <c r="J116" s="66"/>
      <c r="K116" s="11" t="s">
        <v>1174</v>
      </c>
      <c r="L116" s="11" t="b">
        <v>0</v>
      </c>
      <c r="M116" s="11" t="b">
        <v>0</v>
      </c>
      <c r="N116" s="66"/>
      <c r="O116" s="66"/>
      <c r="P116" s="66"/>
      <c r="Q116" s="66"/>
      <c r="R116" s="66"/>
      <c r="S116" s="66"/>
      <c r="T116" s="116"/>
      <c r="U116" s="11"/>
      <c r="V116" s="11" t="b">
        <v>0</v>
      </c>
      <c r="W116" s="11" t="b">
        <v>0</v>
      </c>
      <c r="X116" s="11"/>
      <c r="Y116" s="115"/>
      <c r="Z116" s="11" t="b">
        <v>0</v>
      </c>
      <c r="AA116" s="115"/>
      <c r="AB116" s="11" t="b">
        <v>0</v>
      </c>
      <c r="AC116" s="117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212">
        <v>1.0</v>
      </c>
      <c r="H117" s="115"/>
      <c r="I117" s="115" t="b">
        <v>0</v>
      </c>
      <c r="J117" s="66"/>
      <c r="K117" s="11" t="s">
        <v>1174</v>
      </c>
      <c r="L117" s="11" t="b">
        <v>0</v>
      </c>
      <c r="M117" s="11" t="b">
        <v>0</v>
      </c>
      <c r="N117" s="66"/>
      <c r="O117" s="66"/>
      <c r="P117" s="66"/>
      <c r="Q117" s="66"/>
      <c r="R117" s="66"/>
      <c r="S117" s="66"/>
      <c r="T117" s="116"/>
      <c r="U117" s="11"/>
      <c r="V117" s="11" t="b">
        <v>0</v>
      </c>
      <c r="W117" s="11" t="b">
        <v>0</v>
      </c>
      <c r="X117" s="11"/>
      <c r="Y117" s="115"/>
      <c r="Z117" s="11" t="b">
        <v>0</v>
      </c>
      <c r="AA117" s="115"/>
      <c r="AB117" s="11" t="b">
        <v>0</v>
      </c>
      <c r="AC117" s="117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212">
        <v>1.0</v>
      </c>
      <c r="H118" s="115"/>
      <c r="I118" s="115" t="b">
        <v>0</v>
      </c>
      <c r="J118" s="66"/>
      <c r="K118" s="11" t="s">
        <v>1174</v>
      </c>
      <c r="L118" s="11" t="b">
        <v>0</v>
      </c>
      <c r="M118" s="11" t="b">
        <v>0</v>
      </c>
      <c r="N118" s="66"/>
      <c r="O118" s="66"/>
      <c r="P118" s="66"/>
      <c r="Q118" s="66"/>
      <c r="R118" s="66"/>
      <c r="S118" s="66"/>
      <c r="T118" s="116"/>
      <c r="U118" s="11"/>
      <c r="V118" s="11" t="b">
        <v>0</v>
      </c>
      <c r="W118" s="11" t="b">
        <v>0</v>
      </c>
      <c r="X118" s="11"/>
      <c r="Y118" s="115"/>
      <c r="Z118" s="11" t="b">
        <v>0</v>
      </c>
      <c r="AA118" s="115"/>
      <c r="AB118" s="11" t="b">
        <v>0</v>
      </c>
      <c r="AC118" s="117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212">
        <v>1.0</v>
      </c>
      <c r="H119" s="115"/>
      <c r="I119" s="115" t="b">
        <v>0</v>
      </c>
      <c r="J119" s="66"/>
      <c r="K119" s="11" t="s">
        <v>1174</v>
      </c>
      <c r="L119" s="11" t="b">
        <v>0</v>
      </c>
      <c r="M119" s="11" t="b">
        <v>0</v>
      </c>
      <c r="N119" s="66"/>
      <c r="O119" s="66"/>
      <c r="P119" s="66"/>
      <c r="Q119" s="66"/>
      <c r="R119" s="66"/>
      <c r="S119" s="66"/>
      <c r="T119" s="116"/>
      <c r="U119" s="11"/>
      <c r="V119" s="11" t="b">
        <v>0</v>
      </c>
      <c r="W119" s="11" t="b">
        <v>0</v>
      </c>
      <c r="X119" s="11"/>
      <c r="Y119" s="115"/>
      <c r="Z119" s="11" t="b">
        <v>0</v>
      </c>
      <c r="AA119" s="115"/>
      <c r="AB119" s="11" t="b">
        <v>0</v>
      </c>
      <c r="AC119" s="117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212">
        <v>1.0</v>
      </c>
      <c r="H120" s="115"/>
      <c r="I120" s="115" t="b">
        <v>0</v>
      </c>
      <c r="J120" s="66"/>
      <c r="K120" s="11" t="s">
        <v>1174</v>
      </c>
      <c r="L120" s="11" t="b">
        <v>0</v>
      </c>
      <c r="M120" s="11" t="b">
        <v>0</v>
      </c>
      <c r="N120" s="66"/>
      <c r="O120" s="66"/>
      <c r="P120" s="66"/>
      <c r="Q120" s="66"/>
      <c r="R120" s="66"/>
      <c r="S120" s="66"/>
      <c r="T120" s="116"/>
      <c r="U120" s="11"/>
      <c r="V120" s="11" t="b">
        <v>0</v>
      </c>
      <c r="W120" s="11" t="b">
        <v>0</v>
      </c>
      <c r="X120" s="11"/>
      <c r="Y120" s="115"/>
      <c r="Z120" s="11" t="b">
        <v>0</v>
      </c>
      <c r="AA120" s="115"/>
      <c r="AB120" s="11" t="b">
        <v>0</v>
      </c>
      <c r="AC120" s="117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212">
        <v>1.0</v>
      </c>
      <c r="H121" s="115"/>
      <c r="I121" s="115" t="b">
        <v>0</v>
      </c>
      <c r="J121" s="66"/>
      <c r="K121" s="11" t="s">
        <v>1174</v>
      </c>
      <c r="L121" s="11" t="b">
        <v>0</v>
      </c>
      <c r="M121" s="11" t="b">
        <v>0</v>
      </c>
      <c r="N121" s="66"/>
      <c r="O121" s="66"/>
      <c r="P121" s="66"/>
      <c r="Q121" s="66"/>
      <c r="R121" s="66"/>
      <c r="S121" s="66"/>
      <c r="T121" s="116"/>
      <c r="U121" s="11"/>
      <c r="V121" s="11" t="b">
        <v>0</v>
      </c>
      <c r="W121" s="11" t="b">
        <v>0</v>
      </c>
      <c r="X121" s="11"/>
      <c r="Y121" s="115"/>
      <c r="Z121" s="11" t="b">
        <v>0</v>
      </c>
      <c r="AA121" s="115"/>
      <c r="AB121" s="11" t="b">
        <v>0</v>
      </c>
      <c r="AC121" s="117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212">
        <v>1.0</v>
      </c>
      <c r="H122" s="115"/>
      <c r="I122" s="115" t="b">
        <v>0</v>
      </c>
      <c r="J122" s="66"/>
      <c r="K122" s="11" t="s">
        <v>1174</v>
      </c>
      <c r="L122" s="11" t="b">
        <v>0</v>
      </c>
      <c r="M122" s="11" t="b">
        <v>0</v>
      </c>
      <c r="N122" s="66"/>
      <c r="O122" s="66"/>
      <c r="P122" s="66"/>
      <c r="Q122" s="66"/>
      <c r="R122" s="66"/>
      <c r="S122" s="66"/>
      <c r="T122" s="116"/>
      <c r="U122" s="11"/>
      <c r="V122" s="11" t="b">
        <v>0</v>
      </c>
      <c r="W122" s="11" t="b">
        <v>0</v>
      </c>
      <c r="X122" s="11"/>
      <c r="Y122" s="115"/>
      <c r="Z122" s="11" t="b">
        <v>0</v>
      </c>
      <c r="AA122" s="115"/>
      <c r="AB122" s="11" t="b">
        <v>0</v>
      </c>
      <c r="AC122" s="117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212">
        <v>1.0</v>
      </c>
      <c r="H123" s="115"/>
      <c r="I123" s="115" t="b">
        <v>0</v>
      </c>
      <c r="J123" s="66"/>
      <c r="K123" s="11" t="s">
        <v>1174</v>
      </c>
      <c r="L123" s="11" t="b">
        <v>0</v>
      </c>
      <c r="M123" s="11" t="b">
        <v>0</v>
      </c>
      <c r="N123" s="66"/>
      <c r="O123" s="66"/>
      <c r="P123" s="66"/>
      <c r="Q123" s="66"/>
      <c r="R123" s="66"/>
      <c r="S123" s="66"/>
      <c r="T123" s="116"/>
      <c r="U123" s="11"/>
      <c r="V123" s="11" t="b">
        <v>0</v>
      </c>
      <c r="W123" s="11" t="b">
        <v>0</v>
      </c>
      <c r="X123" s="11"/>
      <c r="Y123" s="115"/>
      <c r="Z123" s="11" t="b">
        <v>0</v>
      </c>
      <c r="AA123" s="115"/>
      <c r="AB123" s="11" t="b">
        <v>0</v>
      </c>
      <c r="AC123" s="117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212">
        <v>1.0</v>
      </c>
      <c r="H124" s="115"/>
      <c r="I124" s="115" t="b">
        <v>0</v>
      </c>
      <c r="J124" s="66"/>
      <c r="K124" s="11" t="s">
        <v>1174</v>
      </c>
      <c r="L124" s="11" t="b">
        <v>0</v>
      </c>
      <c r="M124" s="11" t="b">
        <v>0</v>
      </c>
      <c r="N124" s="66"/>
      <c r="O124" s="66"/>
      <c r="P124" s="66"/>
      <c r="Q124" s="66"/>
      <c r="R124" s="66"/>
      <c r="S124" s="66"/>
      <c r="T124" s="116"/>
      <c r="U124" s="11"/>
      <c r="V124" s="11" t="b">
        <v>0</v>
      </c>
      <c r="W124" s="11" t="b">
        <v>0</v>
      </c>
      <c r="X124" s="11"/>
      <c r="Y124" s="115"/>
      <c r="Z124" s="11" t="b">
        <v>0</v>
      </c>
      <c r="AA124" s="115"/>
      <c r="AB124" s="11" t="b">
        <v>0</v>
      </c>
      <c r="AC124" s="117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212">
        <v>1.0</v>
      </c>
      <c r="H125" s="115"/>
      <c r="I125" s="115" t="b">
        <v>0</v>
      </c>
      <c r="J125" s="66"/>
      <c r="K125" s="11" t="s">
        <v>1174</v>
      </c>
      <c r="L125" s="11" t="b">
        <v>0</v>
      </c>
      <c r="M125" s="11" t="b">
        <v>0</v>
      </c>
      <c r="N125" s="66"/>
      <c r="O125" s="66"/>
      <c r="P125" s="66"/>
      <c r="Q125" s="66"/>
      <c r="R125" s="66"/>
      <c r="S125" s="66"/>
      <c r="T125" s="116"/>
      <c r="U125" s="11"/>
      <c r="V125" s="11" t="b">
        <v>0</v>
      </c>
      <c r="W125" s="11" t="b">
        <v>0</v>
      </c>
      <c r="X125" s="11"/>
      <c r="Y125" s="115"/>
      <c r="Z125" s="11" t="b">
        <v>0</v>
      </c>
      <c r="AA125" s="115"/>
      <c r="AB125" s="11" t="b">
        <v>0</v>
      </c>
      <c r="AC125" s="117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212">
        <v>1.0</v>
      </c>
      <c r="H126" s="115"/>
      <c r="I126" s="115" t="b">
        <v>0</v>
      </c>
      <c r="J126" s="66"/>
      <c r="K126" s="11" t="s">
        <v>1174</v>
      </c>
      <c r="L126" s="11" t="b">
        <v>0</v>
      </c>
      <c r="M126" s="11" t="b">
        <v>0</v>
      </c>
      <c r="N126" s="66"/>
      <c r="O126" s="66"/>
      <c r="P126" s="66"/>
      <c r="Q126" s="66"/>
      <c r="R126" s="66"/>
      <c r="S126" s="66"/>
      <c r="T126" s="116"/>
      <c r="U126" s="11"/>
      <c r="V126" s="11" t="b">
        <v>0</v>
      </c>
      <c r="W126" s="11" t="b">
        <v>0</v>
      </c>
      <c r="X126" s="11"/>
      <c r="Y126" s="115"/>
      <c r="Z126" s="11" t="b">
        <v>0</v>
      </c>
      <c r="AA126" s="115"/>
      <c r="AB126" s="11" t="b">
        <v>0</v>
      </c>
      <c r="AC126" s="117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212">
        <v>1.0</v>
      </c>
      <c r="H127" s="115"/>
      <c r="I127" s="115" t="b">
        <v>0</v>
      </c>
      <c r="J127" s="66"/>
      <c r="K127" s="11" t="s">
        <v>1174</v>
      </c>
      <c r="L127" s="11" t="b">
        <v>0</v>
      </c>
      <c r="M127" s="11" t="b">
        <v>0</v>
      </c>
      <c r="N127" s="66"/>
      <c r="O127" s="66"/>
      <c r="P127" s="66"/>
      <c r="Q127" s="66"/>
      <c r="R127" s="66"/>
      <c r="S127" s="66"/>
      <c r="T127" s="116"/>
      <c r="U127" s="11"/>
      <c r="V127" s="11" t="b">
        <v>0</v>
      </c>
      <c r="W127" s="11" t="b">
        <v>0</v>
      </c>
      <c r="X127" s="11"/>
      <c r="Y127" s="115"/>
      <c r="Z127" s="11" t="b">
        <v>0</v>
      </c>
      <c r="AA127" s="115"/>
      <c r="AB127" s="11" t="b">
        <v>0</v>
      </c>
      <c r="AC127" s="117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212">
        <v>1.0</v>
      </c>
      <c r="H128" s="115"/>
      <c r="I128" s="115" t="b">
        <v>0</v>
      </c>
      <c r="J128" s="66"/>
      <c r="K128" s="11" t="s">
        <v>1174</v>
      </c>
      <c r="L128" s="11" t="b">
        <v>0</v>
      </c>
      <c r="M128" s="11" t="b">
        <v>0</v>
      </c>
      <c r="N128" s="66"/>
      <c r="O128" s="66"/>
      <c r="P128" s="66"/>
      <c r="Q128" s="66"/>
      <c r="R128" s="66"/>
      <c r="S128" s="66"/>
      <c r="T128" s="116"/>
      <c r="U128" s="11"/>
      <c r="V128" s="11" t="b">
        <v>0</v>
      </c>
      <c r="W128" s="11" t="b">
        <v>0</v>
      </c>
      <c r="X128" s="11"/>
      <c r="Y128" s="115"/>
      <c r="Z128" s="11" t="b">
        <v>0</v>
      </c>
      <c r="AA128" s="115"/>
      <c r="AB128" s="11" t="b">
        <v>0</v>
      </c>
      <c r="AC128" s="117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212">
        <v>1.0</v>
      </c>
      <c r="H129" s="115"/>
      <c r="I129" s="115" t="b">
        <v>0</v>
      </c>
      <c r="J129" s="66"/>
      <c r="K129" s="11" t="s">
        <v>1174</v>
      </c>
      <c r="L129" s="11" t="b">
        <v>0</v>
      </c>
      <c r="M129" s="11" t="b">
        <v>0</v>
      </c>
      <c r="N129" s="66"/>
      <c r="O129" s="66"/>
      <c r="P129" s="66"/>
      <c r="Q129" s="66"/>
      <c r="R129" s="66"/>
      <c r="S129" s="66"/>
      <c r="T129" s="116"/>
      <c r="U129" s="11"/>
      <c r="V129" s="11" t="b">
        <v>0</v>
      </c>
      <c r="W129" s="11" t="b">
        <v>0</v>
      </c>
      <c r="X129" s="11"/>
      <c r="Y129" s="115"/>
      <c r="Z129" s="11" t="b">
        <v>0</v>
      </c>
      <c r="AA129" s="115"/>
      <c r="AB129" s="11" t="b">
        <v>0</v>
      </c>
      <c r="AC129" s="117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212">
        <v>1.0</v>
      </c>
      <c r="H130" s="115"/>
      <c r="I130" s="115" t="b">
        <v>0</v>
      </c>
      <c r="J130" s="66"/>
      <c r="K130" s="11" t="s">
        <v>1174</v>
      </c>
      <c r="L130" s="11" t="b">
        <v>0</v>
      </c>
      <c r="M130" s="11" t="b">
        <v>0</v>
      </c>
      <c r="N130" s="66"/>
      <c r="O130" s="66"/>
      <c r="P130" s="66"/>
      <c r="Q130" s="66"/>
      <c r="R130" s="66"/>
      <c r="S130" s="66"/>
      <c r="T130" s="116"/>
      <c r="U130" s="11"/>
      <c r="V130" s="11" t="b">
        <v>0</v>
      </c>
      <c r="W130" s="11" t="b">
        <v>0</v>
      </c>
      <c r="X130" s="11"/>
      <c r="Y130" s="115"/>
      <c r="Z130" s="11" t="b">
        <v>0</v>
      </c>
      <c r="AA130" s="115"/>
      <c r="AB130" s="11" t="b">
        <v>0</v>
      </c>
      <c r="AC130" s="117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212">
        <v>1.0</v>
      </c>
      <c r="H131" s="115"/>
      <c r="I131" s="115" t="b">
        <v>0</v>
      </c>
      <c r="J131" s="66"/>
      <c r="K131" s="11" t="s">
        <v>1174</v>
      </c>
      <c r="L131" s="11" t="b">
        <v>0</v>
      </c>
      <c r="M131" s="11" t="b">
        <v>0</v>
      </c>
      <c r="N131" s="66"/>
      <c r="O131" s="66"/>
      <c r="P131" s="66"/>
      <c r="Q131" s="66"/>
      <c r="R131" s="66"/>
      <c r="S131" s="66"/>
      <c r="T131" s="116"/>
      <c r="U131" s="11"/>
      <c r="V131" s="11" t="b">
        <v>0</v>
      </c>
      <c r="W131" s="11" t="b">
        <v>0</v>
      </c>
      <c r="X131" s="11"/>
      <c r="Y131" s="115"/>
      <c r="Z131" s="11" t="b">
        <v>0</v>
      </c>
      <c r="AA131" s="115"/>
      <c r="AB131" s="11" t="b">
        <v>0</v>
      </c>
      <c r="AC131" s="117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212">
        <v>1.0</v>
      </c>
      <c r="H132" s="115"/>
      <c r="I132" s="115" t="b">
        <v>0</v>
      </c>
      <c r="J132" s="66"/>
      <c r="K132" s="11" t="s">
        <v>1174</v>
      </c>
      <c r="L132" s="11" t="b">
        <v>0</v>
      </c>
      <c r="M132" s="11" t="b">
        <v>0</v>
      </c>
      <c r="N132" s="66"/>
      <c r="O132" s="66"/>
      <c r="P132" s="66"/>
      <c r="Q132" s="66"/>
      <c r="R132" s="66"/>
      <c r="S132" s="66"/>
      <c r="T132" s="116"/>
      <c r="U132" s="11"/>
      <c r="V132" s="11" t="b">
        <v>0</v>
      </c>
      <c r="W132" s="11" t="b">
        <v>0</v>
      </c>
      <c r="X132" s="11"/>
      <c r="Y132" s="115"/>
      <c r="Z132" s="11" t="b">
        <v>0</v>
      </c>
      <c r="AA132" s="115"/>
      <c r="AB132" s="11" t="b">
        <v>0</v>
      </c>
      <c r="AC132" s="117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212">
        <v>1.0</v>
      </c>
      <c r="H133" s="115"/>
      <c r="I133" s="115" t="b">
        <v>0</v>
      </c>
      <c r="J133" s="66"/>
      <c r="K133" s="11" t="s">
        <v>1174</v>
      </c>
      <c r="L133" s="11" t="b">
        <v>0</v>
      </c>
      <c r="M133" s="11" t="b">
        <v>0</v>
      </c>
      <c r="N133" s="66"/>
      <c r="O133" s="66"/>
      <c r="P133" s="66"/>
      <c r="Q133" s="66"/>
      <c r="R133" s="66"/>
      <c r="S133" s="66"/>
      <c r="T133" s="116"/>
      <c r="U133" s="11"/>
      <c r="V133" s="11" t="b">
        <v>0</v>
      </c>
      <c r="W133" s="11" t="b">
        <v>0</v>
      </c>
      <c r="X133" s="11"/>
      <c r="Y133" s="115"/>
      <c r="Z133" s="11" t="b">
        <v>0</v>
      </c>
      <c r="AA133" s="115"/>
      <c r="AB133" s="11" t="b">
        <v>0</v>
      </c>
      <c r="AC133" s="117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212">
        <v>1.0</v>
      </c>
      <c r="H134" s="115"/>
      <c r="I134" s="115" t="b">
        <v>0</v>
      </c>
      <c r="J134" s="66"/>
      <c r="K134" s="11" t="s">
        <v>1174</v>
      </c>
      <c r="L134" s="11" t="b">
        <v>0</v>
      </c>
      <c r="M134" s="11" t="b">
        <v>0</v>
      </c>
      <c r="N134" s="66"/>
      <c r="O134" s="66"/>
      <c r="P134" s="66"/>
      <c r="Q134" s="66"/>
      <c r="R134" s="66"/>
      <c r="S134" s="66"/>
      <c r="T134" s="116"/>
      <c r="U134" s="11"/>
      <c r="V134" s="11" t="b">
        <v>0</v>
      </c>
      <c r="W134" s="11" t="b">
        <v>0</v>
      </c>
      <c r="X134" s="11"/>
      <c r="Y134" s="115"/>
      <c r="Z134" s="11" t="b">
        <v>0</v>
      </c>
      <c r="AA134" s="115"/>
      <c r="AB134" s="11" t="b">
        <v>0</v>
      </c>
      <c r="AC134" s="117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212">
        <v>1.0</v>
      </c>
      <c r="H135" s="115"/>
      <c r="I135" s="115" t="b">
        <v>0</v>
      </c>
      <c r="J135" s="66"/>
      <c r="K135" s="11" t="s">
        <v>1174</v>
      </c>
      <c r="L135" s="11" t="b">
        <v>0</v>
      </c>
      <c r="M135" s="11" t="b">
        <v>0</v>
      </c>
      <c r="N135" s="66"/>
      <c r="O135" s="66"/>
      <c r="P135" s="66"/>
      <c r="Q135" s="66"/>
      <c r="R135" s="66"/>
      <c r="S135" s="66"/>
      <c r="T135" s="116"/>
      <c r="U135" s="11"/>
      <c r="V135" s="11" t="b">
        <v>0</v>
      </c>
      <c r="W135" s="11" t="b">
        <v>0</v>
      </c>
      <c r="X135" s="11"/>
      <c r="Y135" s="115"/>
      <c r="Z135" s="11" t="b">
        <v>0</v>
      </c>
      <c r="AA135" s="115"/>
      <c r="AB135" s="11" t="b">
        <v>0</v>
      </c>
      <c r="AC135" s="117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212">
        <v>1.0</v>
      </c>
      <c r="H136" s="115"/>
      <c r="I136" s="115" t="b">
        <v>0</v>
      </c>
      <c r="J136" s="66"/>
      <c r="K136" s="11" t="s">
        <v>1174</v>
      </c>
      <c r="L136" s="11" t="b">
        <v>0</v>
      </c>
      <c r="M136" s="11" t="b">
        <v>0</v>
      </c>
      <c r="N136" s="66"/>
      <c r="O136" s="66"/>
      <c r="P136" s="66"/>
      <c r="Q136" s="66"/>
      <c r="R136" s="66"/>
      <c r="S136" s="66"/>
      <c r="T136" s="116"/>
      <c r="U136" s="11"/>
      <c r="V136" s="11" t="b">
        <v>0</v>
      </c>
      <c r="W136" s="11" t="b">
        <v>0</v>
      </c>
      <c r="X136" s="11"/>
      <c r="Y136" s="115"/>
      <c r="Z136" s="11" t="b">
        <v>0</v>
      </c>
      <c r="AA136" s="115"/>
      <c r="AB136" s="11" t="b">
        <v>0</v>
      </c>
      <c r="AC136" s="117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212">
        <v>1.0</v>
      </c>
      <c r="H137" s="115"/>
      <c r="I137" s="115" t="b">
        <v>0</v>
      </c>
      <c r="J137" s="66"/>
      <c r="K137" s="11" t="s">
        <v>1174</v>
      </c>
      <c r="L137" s="11" t="b">
        <v>0</v>
      </c>
      <c r="M137" s="11" t="b">
        <v>0</v>
      </c>
      <c r="N137" s="66"/>
      <c r="O137" s="66"/>
      <c r="P137" s="66"/>
      <c r="Q137" s="66"/>
      <c r="R137" s="66"/>
      <c r="S137" s="66"/>
      <c r="T137" s="116"/>
      <c r="U137" s="11"/>
      <c r="V137" s="11" t="b">
        <v>0</v>
      </c>
      <c r="W137" s="11" t="b">
        <v>0</v>
      </c>
      <c r="X137" s="11"/>
      <c r="Y137" s="115"/>
      <c r="Z137" s="11" t="b">
        <v>0</v>
      </c>
      <c r="AA137" s="115"/>
      <c r="AB137" s="11" t="b">
        <v>0</v>
      </c>
      <c r="AC137" s="117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212">
        <v>1.0</v>
      </c>
      <c r="H138" s="115"/>
      <c r="I138" s="115" t="b">
        <v>0</v>
      </c>
      <c r="J138" s="66"/>
      <c r="K138" s="11" t="s">
        <v>1174</v>
      </c>
      <c r="L138" s="11" t="b">
        <v>0</v>
      </c>
      <c r="M138" s="11" t="b">
        <v>0</v>
      </c>
      <c r="N138" s="66"/>
      <c r="O138" s="66"/>
      <c r="P138" s="66"/>
      <c r="Q138" s="66"/>
      <c r="R138" s="66"/>
      <c r="S138" s="66"/>
      <c r="T138" s="116"/>
      <c r="U138" s="11"/>
      <c r="V138" s="11" t="b">
        <v>0</v>
      </c>
      <c r="W138" s="11" t="b">
        <v>0</v>
      </c>
      <c r="X138" s="11"/>
      <c r="Y138" s="115"/>
      <c r="Z138" s="11" t="b">
        <v>0</v>
      </c>
      <c r="AA138" s="115"/>
      <c r="AB138" s="11" t="b">
        <v>0</v>
      </c>
      <c r="AC138" s="117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212">
        <v>1.0</v>
      </c>
      <c r="H139" s="115"/>
      <c r="I139" s="115" t="b">
        <v>0</v>
      </c>
      <c r="J139" s="66"/>
      <c r="K139" s="11" t="s">
        <v>1174</v>
      </c>
      <c r="L139" s="11" t="b">
        <v>0</v>
      </c>
      <c r="M139" s="11" t="b">
        <v>0</v>
      </c>
      <c r="N139" s="66"/>
      <c r="O139" s="66"/>
      <c r="P139" s="66"/>
      <c r="Q139" s="66"/>
      <c r="R139" s="66"/>
      <c r="S139" s="66"/>
      <c r="T139" s="116"/>
      <c r="U139" s="11"/>
      <c r="V139" s="11" t="b">
        <v>0</v>
      </c>
      <c r="W139" s="11" t="b">
        <v>0</v>
      </c>
      <c r="X139" s="11"/>
      <c r="Y139" s="115"/>
      <c r="Z139" s="11" t="b">
        <v>0</v>
      </c>
      <c r="AA139" s="115"/>
      <c r="AB139" s="11" t="b">
        <v>0</v>
      </c>
      <c r="AC139" s="117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212">
        <v>1.0</v>
      </c>
      <c r="H140" s="115"/>
      <c r="I140" s="115" t="b">
        <v>0</v>
      </c>
      <c r="J140" s="66"/>
      <c r="K140" s="11" t="s">
        <v>1174</v>
      </c>
      <c r="L140" s="11" t="b">
        <v>0</v>
      </c>
      <c r="M140" s="11" t="b">
        <v>0</v>
      </c>
      <c r="N140" s="66"/>
      <c r="O140" s="66"/>
      <c r="P140" s="66"/>
      <c r="Q140" s="66"/>
      <c r="R140" s="66"/>
      <c r="S140" s="66"/>
      <c r="T140" s="116"/>
      <c r="U140" s="11"/>
      <c r="V140" s="11" t="b">
        <v>0</v>
      </c>
      <c r="W140" s="11" t="b">
        <v>0</v>
      </c>
      <c r="X140" s="11"/>
      <c r="Y140" s="115"/>
      <c r="Z140" s="11" t="b">
        <v>0</v>
      </c>
      <c r="AA140" s="115"/>
      <c r="AB140" s="11" t="b">
        <v>0</v>
      </c>
      <c r="AC140" s="117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212">
        <v>1.0</v>
      </c>
      <c r="H141" s="115"/>
      <c r="I141" s="115" t="b">
        <v>0</v>
      </c>
      <c r="J141" s="66"/>
      <c r="K141" s="11" t="s">
        <v>1174</v>
      </c>
      <c r="L141" s="11" t="b">
        <v>0</v>
      </c>
      <c r="M141" s="11" t="b">
        <v>0</v>
      </c>
      <c r="N141" s="66"/>
      <c r="O141" s="66"/>
      <c r="P141" s="66"/>
      <c r="Q141" s="66"/>
      <c r="R141" s="66"/>
      <c r="S141" s="66"/>
      <c r="T141" s="116"/>
      <c r="U141" s="11"/>
      <c r="V141" s="11" t="b">
        <v>0</v>
      </c>
      <c r="W141" s="11" t="b">
        <v>0</v>
      </c>
      <c r="X141" s="11"/>
      <c r="Y141" s="115"/>
      <c r="Z141" s="11" t="b">
        <v>0</v>
      </c>
      <c r="AA141" s="115"/>
      <c r="AB141" s="11" t="b">
        <v>0</v>
      </c>
      <c r="AC141" s="117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212">
        <v>1.0</v>
      </c>
      <c r="H142" s="115"/>
      <c r="I142" s="115" t="b">
        <v>0</v>
      </c>
      <c r="J142" s="66"/>
      <c r="K142" s="11" t="s">
        <v>1174</v>
      </c>
      <c r="L142" s="11" t="b">
        <v>0</v>
      </c>
      <c r="M142" s="11" t="b">
        <v>0</v>
      </c>
      <c r="N142" s="66"/>
      <c r="O142" s="66"/>
      <c r="P142" s="66"/>
      <c r="Q142" s="66"/>
      <c r="R142" s="66"/>
      <c r="S142" s="66"/>
      <c r="T142" s="116"/>
      <c r="U142" s="11"/>
      <c r="V142" s="11" t="b">
        <v>0</v>
      </c>
      <c r="W142" s="11" t="b">
        <v>0</v>
      </c>
      <c r="X142" s="11"/>
      <c r="Y142" s="115"/>
      <c r="Z142" s="11" t="b">
        <v>0</v>
      </c>
      <c r="AA142" s="115"/>
      <c r="AB142" s="11" t="b">
        <v>0</v>
      </c>
      <c r="AC142" s="117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212">
        <v>1.0</v>
      </c>
      <c r="H143" s="115"/>
      <c r="I143" s="115" t="b">
        <v>0</v>
      </c>
      <c r="J143" s="66"/>
      <c r="K143" s="11" t="s">
        <v>1174</v>
      </c>
      <c r="L143" s="11" t="b">
        <v>0</v>
      </c>
      <c r="M143" s="11" t="b">
        <v>0</v>
      </c>
      <c r="N143" s="66"/>
      <c r="O143" s="66"/>
      <c r="P143" s="66"/>
      <c r="Q143" s="66"/>
      <c r="R143" s="66"/>
      <c r="S143" s="66"/>
      <c r="T143" s="116"/>
      <c r="U143" s="11"/>
      <c r="V143" s="11" t="b">
        <v>0</v>
      </c>
      <c r="W143" s="11" t="b">
        <v>0</v>
      </c>
      <c r="X143" s="11"/>
      <c r="Y143" s="115"/>
      <c r="Z143" s="11" t="b">
        <v>0</v>
      </c>
      <c r="AA143" s="115"/>
      <c r="AB143" s="11" t="b">
        <v>0</v>
      </c>
      <c r="AC143" s="117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212">
        <v>1.0</v>
      </c>
      <c r="H144" s="115"/>
      <c r="I144" s="115" t="b">
        <v>0</v>
      </c>
      <c r="J144" s="66"/>
      <c r="K144" s="11" t="s">
        <v>1174</v>
      </c>
      <c r="L144" s="11" t="b">
        <v>0</v>
      </c>
      <c r="M144" s="11" t="b">
        <v>0</v>
      </c>
      <c r="N144" s="66"/>
      <c r="O144" s="66"/>
      <c r="P144" s="66"/>
      <c r="Q144" s="66"/>
      <c r="R144" s="66"/>
      <c r="S144" s="66"/>
      <c r="T144" s="116"/>
      <c r="U144" s="11"/>
      <c r="V144" s="11" t="b">
        <v>0</v>
      </c>
      <c r="W144" s="11" t="b">
        <v>0</v>
      </c>
      <c r="X144" s="11"/>
      <c r="Y144" s="115"/>
      <c r="Z144" s="11" t="b">
        <v>0</v>
      </c>
      <c r="AA144" s="115"/>
      <c r="AB144" s="11" t="b">
        <v>0</v>
      </c>
      <c r="AC144" s="117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212">
        <v>1.0</v>
      </c>
      <c r="H145" s="115"/>
      <c r="I145" s="115" t="b">
        <v>0</v>
      </c>
      <c r="J145" s="66"/>
      <c r="K145" s="11" t="s">
        <v>1174</v>
      </c>
      <c r="L145" s="11" t="b">
        <v>0</v>
      </c>
      <c r="M145" s="11" t="b">
        <v>0</v>
      </c>
      <c r="N145" s="66"/>
      <c r="O145" s="66"/>
      <c r="P145" s="66"/>
      <c r="Q145" s="66"/>
      <c r="R145" s="66"/>
      <c r="S145" s="66"/>
      <c r="T145" s="116"/>
      <c r="U145" s="11"/>
      <c r="V145" s="11" t="b">
        <v>0</v>
      </c>
      <c r="W145" s="11" t="b">
        <v>0</v>
      </c>
      <c r="X145" s="11"/>
      <c r="Y145" s="115"/>
      <c r="Z145" s="11" t="b">
        <v>0</v>
      </c>
      <c r="AA145" s="115"/>
      <c r="AB145" s="11" t="b">
        <v>0</v>
      </c>
      <c r="AC145" s="117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212">
        <v>1.0</v>
      </c>
      <c r="H146" s="115"/>
      <c r="I146" s="115" t="b">
        <v>0</v>
      </c>
      <c r="J146" s="66"/>
      <c r="K146" s="11" t="s">
        <v>1174</v>
      </c>
      <c r="L146" s="11" t="b">
        <v>0</v>
      </c>
      <c r="M146" s="11" t="b">
        <v>0</v>
      </c>
      <c r="N146" s="66"/>
      <c r="O146" s="66"/>
      <c r="P146" s="66"/>
      <c r="Q146" s="66"/>
      <c r="R146" s="66"/>
      <c r="S146" s="66"/>
      <c r="T146" s="116"/>
      <c r="U146" s="11"/>
      <c r="V146" s="11" t="b">
        <v>0</v>
      </c>
      <c r="W146" s="11" t="b">
        <v>0</v>
      </c>
      <c r="X146" s="11"/>
      <c r="Y146" s="115"/>
      <c r="Z146" s="11" t="b">
        <v>0</v>
      </c>
      <c r="AA146" s="115"/>
      <c r="AB146" s="11" t="b">
        <v>0</v>
      </c>
      <c r="AC146" s="117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212">
        <v>1.0</v>
      </c>
      <c r="H147" s="115"/>
      <c r="I147" s="115" t="b">
        <v>0</v>
      </c>
      <c r="J147" s="66"/>
      <c r="K147" s="11" t="s">
        <v>1174</v>
      </c>
      <c r="L147" s="11" t="b">
        <v>0</v>
      </c>
      <c r="M147" s="11" t="b">
        <v>0</v>
      </c>
      <c r="N147" s="66"/>
      <c r="O147" s="66"/>
      <c r="P147" s="66"/>
      <c r="Q147" s="66"/>
      <c r="R147" s="66"/>
      <c r="S147" s="66"/>
      <c r="T147" s="116"/>
      <c r="U147" s="11"/>
      <c r="V147" s="11" t="b">
        <v>0</v>
      </c>
      <c r="W147" s="11" t="b">
        <v>0</v>
      </c>
      <c r="X147" s="11"/>
      <c r="Y147" s="115"/>
      <c r="Z147" s="11" t="b">
        <v>0</v>
      </c>
      <c r="AA147" s="115"/>
      <c r="AB147" s="11" t="b">
        <v>0</v>
      </c>
      <c r="AC147" s="117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212">
        <v>1.0</v>
      </c>
      <c r="H148" s="115"/>
      <c r="I148" s="115" t="b">
        <v>0</v>
      </c>
      <c r="J148" s="66"/>
      <c r="K148" s="11" t="s">
        <v>1174</v>
      </c>
      <c r="L148" s="11" t="b">
        <v>0</v>
      </c>
      <c r="M148" s="11" t="b">
        <v>0</v>
      </c>
      <c r="N148" s="66"/>
      <c r="O148" s="66"/>
      <c r="P148" s="66"/>
      <c r="Q148" s="66"/>
      <c r="R148" s="66"/>
      <c r="S148" s="66"/>
      <c r="T148" s="116"/>
      <c r="U148" s="11"/>
      <c r="V148" s="11" t="b">
        <v>0</v>
      </c>
      <c r="W148" s="11" t="b">
        <v>0</v>
      </c>
      <c r="X148" s="11"/>
      <c r="Y148" s="115"/>
      <c r="Z148" s="11" t="b">
        <v>0</v>
      </c>
      <c r="AA148" s="115"/>
      <c r="AB148" s="11" t="b">
        <v>0</v>
      </c>
      <c r="AC148" s="117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212">
        <v>1.0</v>
      </c>
      <c r="H149" s="115"/>
      <c r="I149" s="115" t="b">
        <v>0</v>
      </c>
      <c r="J149" s="66"/>
      <c r="K149" s="11" t="s">
        <v>1174</v>
      </c>
      <c r="L149" s="11" t="b">
        <v>0</v>
      </c>
      <c r="M149" s="11" t="b">
        <v>0</v>
      </c>
      <c r="N149" s="66"/>
      <c r="O149" s="66"/>
      <c r="P149" s="66"/>
      <c r="Q149" s="66"/>
      <c r="R149" s="66"/>
      <c r="S149" s="66"/>
      <c r="T149" s="116"/>
      <c r="U149" s="11"/>
      <c r="V149" s="11" t="b">
        <v>0</v>
      </c>
      <c r="W149" s="11" t="b">
        <v>0</v>
      </c>
      <c r="X149" s="11"/>
      <c r="Y149" s="115"/>
      <c r="Z149" s="11" t="b">
        <v>0</v>
      </c>
      <c r="AA149" s="115"/>
      <c r="AB149" s="11" t="b">
        <v>0</v>
      </c>
      <c r="AC149" s="117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212">
        <v>1.0</v>
      </c>
      <c r="H150" s="115"/>
      <c r="I150" s="115" t="b">
        <v>0</v>
      </c>
      <c r="J150" s="66"/>
      <c r="K150" s="11" t="s">
        <v>1174</v>
      </c>
      <c r="L150" s="11" t="b">
        <v>0</v>
      </c>
      <c r="M150" s="11" t="b">
        <v>0</v>
      </c>
      <c r="N150" s="66"/>
      <c r="O150" s="66"/>
      <c r="P150" s="66"/>
      <c r="Q150" s="66"/>
      <c r="R150" s="66"/>
      <c r="S150" s="66"/>
      <c r="T150" s="116"/>
      <c r="U150" s="11"/>
      <c r="V150" s="11" t="b">
        <v>0</v>
      </c>
      <c r="W150" s="11" t="b">
        <v>0</v>
      </c>
      <c r="X150" s="11"/>
      <c r="Y150" s="115"/>
      <c r="Z150" s="11" t="b">
        <v>0</v>
      </c>
      <c r="AA150" s="115"/>
      <c r="AB150" s="11" t="b">
        <v>0</v>
      </c>
      <c r="AC150" s="117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212">
        <v>1.0</v>
      </c>
      <c r="H151" s="115"/>
      <c r="I151" s="115" t="b">
        <v>0</v>
      </c>
      <c r="J151" s="66"/>
      <c r="K151" s="11" t="s">
        <v>1174</v>
      </c>
      <c r="L151" s="11" t="b">
        <v>0</v>
      </c>
      <c r="M151" s="11" t="b">
        <v>0</v>
      </c>
      <c r="N151" s="66"/>
      <c r="O151" s="66"/>
      <c r="P151" s="66"/>
      <c r="Q151" s="66"/>
      <c r="R151" s="66"/>
      <c r="S151" s="66"/>
      <c r="T151" s="116"/>
      <c r="U151" s="11"/>
      <c r="V151" s="11" t="b">
        <v>0</v>
      </c>
      <c r="W151" s="11" t="b">
        <v>0</v>
      </c>
      <c r="X151" s="11"/>
      <c r="Y151" s="115"/>
      <c r="Z151" s="11" t="b">
        <v>0</v>
      </c>
      <c r="AA151" s="115"/>
      <c r="AB151" s="11" t="b">
        <v>0</v>
      </c>
      <c r="AC151" s="117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212">
        <v>1.0</v>
      </c>
      <c r="H152" s="115"/>
      <c r="I152" s="115" t="b">
        <v>0</v>
      </c>
      <c r="J152" s="66"/>
      <c r="K152" s="11" t="s">
        <v>1174</v>
      </c>
      <c r="L152" s="11" t="b">
        <v>0</v>
      </c>
      <c r="M152" s="11" t="b">
        <v>0</v>
      </c>
      <c r="N152" s="66"/>
      <c r="O152" s="66"/>
      <c r="P152" s="66"/>
      <c r="Q152" s="66"/>
      <c r="R152" s="66"/>
      <c r="S152" s="66"/>
      <c r="T152" s="116"/>
      <c r="U152" s="11"/>
      <c r="V152" s="11" t="b">
        <v>0</v>
      </c>
      <c r="W152" s="11" t="b">
        <v>0</v>
      </c>
      <c r="X152" s="11"/>
      <c r="Y152" s="115"/>
      <c r="Z152" s="11" t="b">
        <v>0</v>
      </c>
      <c r="AA152" s="115"/>
      <c r="AB152" s="11" t="b">
        <v>0</v>
      </c>
      <c r="AC152" s="117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212">
        <v>1.0</v>
      </c>
      <c r="H153" s="115"/>
      <c r="I153" s="115" t="b">
        <v>0</v>
      </c>
      <c r="J153" s="66"/>
      <c r="K153" s="11" t="s">
        <v>1174</v>
      </c>
      <c r="L153" s="11" t="b">
        <v>0</v>
      </c>
      <c r="M153" s="11" t="b">
        <v>0</v>
      </c>
      <c r="N153" s="66"/>
      <c r="O153" s="66"/>
      <c r="P153" s="66"/>
      <c r="Q153" s="66"/>
      <c r="R153" s="66"/>
      <c r="S153" s="66"/>
      <c r="T153" s="116"/>
      <c r="U153" s="11"/>
      <c r="V153" s="11" t="b">
        <v>0</v>
      </c>
      <c r="W153" s="11" t="b">
        <v>0</v>
      </c>
      <c r="X153" s="11"/>
      <c r="Y153" s="115"/>
      <c r="Z153" s="11" t="b">
        <v>0</v>
      </c>
      <c r="AA153" s="115"/>
      <c r="AB153" s="11" t="b">
        <v>0</v>
      </c>
      <c r="AC153" s="117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212">
        <v>1.0</v>
      </c>
      <c r="H154" s="115"/>
      <c r="I154" s="115" t="b">
        <v>0</v>
      </c>
      <c r="J154" s="66"/>
      <c r="K154" s="11" t="s">
        <v>1174</v>
      </c>
      <c r="L154" s="11" t="b">
        <v>0</v>
      </c>
      <c r="M154" s="11" t="b">
        <v>0</v>
      </c>
      <c r="N154" s="66"/>
      <c r="O154" s="66"/>
      <c r="P154" s="66"/>
      <c r="Q154" s="66"/>
      <c r="R154" s="66"/>
      <c r="S154" s="66"/>
      <c r="T154" s="116"/>
      <c r="U154" s="11"/>
      <c r="V154" s="11" t="b">
        <v>0</v>
      </c>
      <c r="W154" s="11" t="b">
        <v>0</v>
      </c>
      <c r="X154" s="11"/>
      <c r="Y154" s="115"/>
      <c r="Z154" s="11" t="b">
        <v>0</v>
      </c>
      <c r="AA154" s="115"/>
      <c r="AB154" s="11" t="b">
        <v>0</v>
      </c>
      <c r="AC154" s="117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212">
        <v>1.0</v>
      </c>
      <c r="H155" s="115"/>
      <c r="I155" s="115" t="b">
        <v>0</v>
      </c>
      <c r="J155" s="66"/>
      <c r="K155" s="11" t="s">
        <v>1174</v>
      </c>
      <c r="L155" s="11" t="b">
        <v>0</v>
      </c>
      <c r="M155" s="11" t="b">
        <v>0</v>
      </c>
      <c r="N155" s="66"/>
      <c r="O155" s="66"/>
      <c r="P155" s="66"/>
      <c r="Q155" s="66"/>
      <c r="R155" s="66"/>
      <c r="S155" s="66"/>
      <c r="T155" s="116"/>
      <c r="U155" s="11"/>
      <c r="V155" s="11" t="b">
        <v>0</v>
      </c>
      <c r="W155" s="11" t="b">
        <v>0</v>
      </c>
      <c r="X155" s="11"/>
      <c r="Y155" s="115"/>
      <c r="Z155" s="11" t="b">
        <v>0</v>
      </c>
      <c r="AA155" s="115"/>
      <c r="AB155" s="11" t="b">
        <v>0</v>
      </c>
      <c r="AC155" s="117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212">
        <v>1.0</v>
      </c>
      <c r="H156" s="115"/>
      <c r="I156" s="115" t="b">
        <v>0</v>
      </c>
      <c r="J156" s="66"/>
      <c r="K156" s="11" t="s">
        <v>1174</v>
      </c>
      <c r="L156" s="11" t="b">
        <v>0</v>
      </c>
      <c r="M156" s="11" t="b">
        <v>0</v>
      </c>
      <c r="N156" s="66"/>
      <c r="O156" s="66"/>
      <c r="P156" s="66"/>
      <c r="Q156" s="66"/>
      <c r="R156" s="66"/>
      <c r="S156" s="66"/>
      <c r="T156" s="116"/>
      <c r="U156" s="11"/>
      <c r="V156" s="11" t="b">
        <v>0</v>
      </c>
      <c r="W156" s="11" t="b">
        <v>0</v>
      </c>
      <c r="X156" s="11"/>
      <c r="Y156" s="115"/>
      <c r="Z156" s="11" t="b">
        <v>0</v>
      </c>
      <c r="AA156" s="115"/>
      <c r="AB156" s="11" t="b">
        <v>0</v>
      </c>
      <c r="AC156" s="117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212">
        <v>1.0</v>
      </c>
      <c r="H157" s="115"/>
      <c r="I157" s="115" t="b">
        <v>0</v>
      </c>
      <c r="J157" s="66"/>
      <c r="K157" s="11" t="s">
        <v>1174</v>
      </c>
      <c r="L157" s="11" t="b">
        <v>0</v>
      </c>
      <c r="M157" s="11" t="b">
        <v>0</v>
      </c>
      <c r="N157" s="66"/>
      <c r="O157" s="66"/>
      <c r="P157" s="66"/>
      <c r="Q157" s="66"/>
      <c r="R157" s="66"/>
      <c r="S157" s="66"/>
      <c r="T157" s="116"/>
      <c r="U157" s="11"/>
      <c r="V157" s="11" t="b">
        <v>0</v>
      </c>
      <c r="W157" s="11" t="b">
        <v>0</v>
      </c>
      <c r="X157" s="11"/>
      <c r="Y157" s="115"/>
      <c r="Z157" s="11" t="b">
        <v>0</v>
      </c>
      <c r="AA157" s="115"/>
      <c r="AB157" s="11" t="b">
        <v>0</v>
      </c>
      <c r="AC157" s="117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212">
        <v>1.0</v>
      </c>
      <c r="H158" s="115"/>
      <c r="I158" s="115" t="b">
        <v>0</v>
      </c>
      <c r="J158" s="66"/>
      <c r="K158" s="11" t="s">
        <v>1174</v>
      </c>
      <c r="L158" s="11" t="b">
        <v>0</v>
      </c>
      <c r="M158" s="11" t="b">
        <v>0</v>
      </c>
      <c r="N158" s="66"/>
      <c r="O158" s="66"/>
      <c r="P158" s="66"/>
      <c r="Q158" s="66"/>
      <c r="R158" s="66"/>
      <c r="S158" s="66"/>
      <c r="T158" s="116"/>
      <c r="U158" s="11"/>
      <c r="V158" s="11" t="b">
        <v>0</v>
      </c>
      <c r="W158" s="11" t="b">
        <v>0</v>
      </c>
      <c r="X158" s="11"/>
      <c r="Y158" s="115"/>
      <c r="Z158" s="11" t="b">
        <v>0</v>
      </c>
      <c r="AA158" s="115"/>
      <c r="AB158" s="11" t="b">
        <v>0</v>
      </c>
      <c r="AC158" s="117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212">
        <v>1.0</v>
      </c>
      <c r="H159" s="115"/>
      <c r="I159" s="115" t="b">
        <v>0</v>
      </c>
      <c r="J159" s="66"/>
      <c r="K159" s="11" t="s">
        <v>1174</v>
      </c>
      <c r="L159" s="11" t="b">
        <v>0</v>
      </c>
      <c r="M159" s="11" t="b">
        <v>0</v>
      </c>
      <c r="N159" s="66"/>
      <c r="O159" s="66"/>
      <c r="P159" s="66"/>
      <c r="Q159" s="66"/>
      <c r="R159" s="66"/>
      <c r="S159" s="66"/>
      <c r="T159" s="116"/>
      <c r="U159" s="11"/>
      <c r="V159" s="11" t="b">
        <v>0</v>
      </c>
      <c r="W159" s="11" t="b">
        <v>0</v>
      </c>
      <c r="X159" s="11"/>
      <c r="Y159" s="115"/>
      <c r="Z159" s="11" t="b">
        <v>0</v>
      </c>
      <c r="AA159" s="115"/>
      <c r="AB159" s="11" t="b">
        <v>0</v>
      </c>
      <c r="AC159" s="117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212">
        <v>1.0</v>
      </c>
      <c r="H160" s="115"/>
      <c r="I160" s="115" t="b">
        <v>0</v>
      </c>
      <c r="J160" s="66"/>
      <c r="K160" s="11" t="s">
        <v>1174</v>
      </c>
      <c r="L160" s="11" t="b">
        <v>0</v>
      </c>
      <c r="M160" s="11" t="b">
        <v>0</v>
      </c>
      <c r="N160" s="66"/>
      <c r="O160" s="66"/>
      <c r="P160" s="66"/>
      <c r="Q160" s="66"/>
      <c r="R160" s="66"/>
      <c r="S160" s="66"/>
      <c r="T160" s="116"/>
      <c r="U160" s="11"/>
      <c r="V160" s="11" t="b">
        <v>0</v>
      </c>
      <c r="W160" s="11" t="b">
        <v>0</v>
      </c>
      <c r="X160" s="11"/>
      <c r="Y160" s="115"/>
      <c r="Z160" s="11" t="b">
        <v>0</v>
      </c>
      <c r="AA160" s="115"/>
      <c r="AB160" s="11" t="b">
        <v>0</v>
      </c>
      <c r="AC160" s="117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212">
        <v>1.0</v>
      </c>
      <c r="H161" s="115"/>
      <c r="I161" s="115" t="b">
        <v>0</v>
      </c>
      <c r="J161" s="66"/>
      <c r="K161" s="11" t="s">
        <v>1174</v>
      </c>
      <c r="L161" s="11" t="b">
        <v>0</v>
      </c>
      <c r="M161" s="11" t="b">
        <v>0</v>
      </c>
      <c r="N161" s="66"/>
      <c r="O161" s="66"/>
      <c r="P161" s="66"/>
      <c r="Q161" s="66"/>
      <c r="R161" s="66"/>
      <c r="S161" s="66"/>
      <c r="T161" s="116"/>
      <c r="U161" s="11"/>
      <c r="V161" s="11" t="b">
        <v>0</v>
      </c>
      <c r="W161" s="11" t="b">
        <v>0</v>
      </c>
      <c r="X161" s="11"/>
      <c r="Y161" s="115"/>
      <c r="Z161" s="11" t="b">
        <v>0</v>
      </c>
      <c r="AA161" s="115"/>
      <c r="AB161" s="11" t="b">
        <v>0</v>
      </c>
      <c r="AC161" s="117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212">
        <v>1.0</v>
      </c>
      <c r="H162" s="115"/>
      <c r="I162" s="115" t="b">
        <v>0</v>
      </c>
      <c r="J162" s="66"/>
      <c r="K162" s="11" t="s">
        <v>1174</v>
      </c>
      <c r="L162" s="11" t="b">
        <v>0</v>
      </c>
      <c r="M162" s="11" t="b">
        <v>0</v>
      </c>
      <c r="N162" s="66"/>
      <c r="O162" s="66"/>
      <c r="P162" s="66"/>
      <c r="Q162" s="66"/>
      <c r="R162" s="66"/>
      <c r="S162" s="66"/>
      <c r="T162" s="116"/>
      <c r="U162" s="11"/>
      <c r="V162" s="11" t="b">
        <v>0</v>
      </c>
      <c r="W162" s="11" t="b">
        <v>0</v>
      </c>
      <c r="X162" s="11"/>
      <c r="Y162" s="115"/>
      <c r="Z162" s="11" t="b">
        <v>0</v>
      </c>
      <c r="AA162" s="115"/>
      <c r="AB162" s="11" t="b">
        <v>0</v>
      </c>
      <c r="AC162" s="117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212">
        <v>1.0</v>
      </c>
      <c r="H163" s="115"/>
      <c r="I163" s="115" t="b">
        <v>0</v>
      </c>
      <c r="J163" s="66"/>
      <c r="K163" s="11" t="s">
        <v>1174</v>
      </c>
      <c r="L163" s="11" t="b">
        <v>0</v>
      </c>
      <c r="M163" s="11" t="b">
        <v>0</v>
      </c>
      <c r="N163" s="66"/>
      <c r="O163" s="66"/>
      <c r="P163" s="66"/>
      <c r="Q163" s="66"/>
      <c r="R163" s="66"/>
      <c r="S163" s="66"/>
      <c r="T163" s="116"/>
      <c r="U163" s="11"/>
      <c r="V163" s="11" t="b">
        <v>0</v>
      </c>
      <c r="W163" s="11" t="b">
        <v>0</v>
      </c>
      <c r="X163" s="11"/>
      <c r="Y163" s="115"/>
      <c r="Z163" s="11" t="b">
        <v>0</v>
      </c>
      <c r="AA163" s="115"/>
      <c r="AB163" s="11" t="b">
        <v>0</v>
      </c>
      <c r="AC163" s="117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212">
        <v>1.0</v>
      </c>
      <c r="H164" s="115"/>
      <c r="I164" s="115" t="b">
        <v>0</v>
      </c>
      <c r="J164" s="66"/>
      <c r="K164" s="11" t="s">
        <v>1174</v>
      </c>
      <c r="L164" s="11" t="b">
        <v>0</v>
      </c>
      <c r="M164" s="11" t="b">
        <v>0</v>
      </c>
      <c r="N164" s="66"/>
      <c r="O164" s="66"/>
      <c r="P164" s="66"/>
      <c r="Q164" s="66"/>
      <c r="R164" s="66"/>
      <c r="S164" s="66"/>
      <c r="T164" s="116"/>
      <c r="U164" s="11"/>
      <c r="V164" s="11" t="b">
        <v>0</v>
      </c>
      <c r="W164" s="11" t="b">
        <v>0</v>
      </c>
      <c r="X164" s="11"/>
      <c r="Y164" s="115"/>
      <c r="Z164" s="11" t="b">
        <v>0</v>
      </c>
      <c r="AA164" s="115"/>
      <c r="AB164" s="11" t="b">
        <v>0</v>
      </c>
      <c r="AC164" s="117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212">
        <v>1.0</v>
      </c>
      <c r="H165" s="115"/>
      <c r="I165" s="115" t="b">
        <v>0</v>
      </c>
      <c r="J165" s="66"/>
      <c r="K165" s="11" t="s">
        <v>1174</v>
      </c>
      <c r="L165" s="11" t="b">
        <v>0</v>
      </c>
      <c r="M165" s="11" t="b">
        <v>0</v>
      </c>
      <c r="N165" s="66"/>
      <c r="O165" s="66"/>
      <c r="P165" s="66"/>
      <c r="Q165" s="66"/>
      <c r="R165" s="66"/>
      <c r="S165" s="66"/>
      <c r="T165" s="116"/>
      <c r="U165" s="11"/>
      <c r="V165" s="11" t="b">
        <v>0</v>
      </c>
      <c r="W165" s="11" t="b">
        <v>0</v>
      </c>
      <c r="X165" s="11"/>
      <c r="Y165" s="115"/>
      <c r="Z165" s="11" t="b">
        <v>0</v>
      </c>
      <c r="AA165" s="115"/>
      <c r="AB165" s="11" t="b">
        <v>0</v>
      </c>
      <c r="AC165" s="117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212">
        <v>1.0</v>
      </c>
      <c r="H166" s="115"/>
      <c r="I166" s="115" t="b">
        <v>0</v>
      </c>
      <c r="J166" s="66"/>
      <c r="K166" s="11" t="s">
        <v>1174</v>
      </c>
      <c r="L166" s="11" t="b">
        <v>0</v>
      </c>
      <c r="M166" s="11" t="b">
        <v>0</v>
      </c>
      <c r="N166" s="66"/>
      <c r="O166" s="66"/>
      <c r="P166" s="66"/>
      <c r="Q166" s="66"/>
      <c r="R166" s="66"/>
      <c r="S166" s="66"/>
      <c r="T166" s="116"/>
      <c r="U166" s="11"/>
      <c r="V166" s="11" t="b">
        <v>0</v>
      </c>
      <c r="W166" s="11" t="b">
        <v>0</v>
      </c>
      <c r="X166" s="11"/>
      <c r="Y166" s="115"/>
      <c r="Z166" s="11" t="b">
        <v>0</v>
      </c>
      <c r="AA166" s="115"/>
      <c r="AB166" s="11" t="b">
        <v>0</v>
      </c>
      <c r="AC166" s="117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212">
        <v>1.0</v>
      </c>
      <c r="H167" s="115"/>
      <c r="I167" s="115" t="b">
        <v>0</v>
      </c>
      <c r="J167" s="66"/>
      <c r="K167" s="11" t="s">
        <v>1174</v>
      </c>
      <c r="L167" s="11" t="b">
        <v>0</v>
      </c>
      <c r="M167" s="11" t="b">
        <v>0</v>
      </c>
      <c r="N167" s="66"/>
      <c r="O167" s="66"/>
      <c r="P167" s="66"/>
      <c r="Q167" s="66"/>
      <c r="R167" s="66"/>
      <c r="S167" s="66"/>
      <c r="T167" s="116"/>
      <c r="U167" s="11"/>
      <c r="V167" s="11" t="b">
        <v>0</v>
      </c>
      <c r="W167" s="11" t="b">
        <v>0</v>
      </c>
      <c r="X167" s="11"/>
      <c r="Y167" s="115"/>
      <c r="Z167" s="11" t="b">
        <v>0</v>
      </c>
      <c r="AA167" s="115"/>
      <c r="AB167" s="11" t="b">
        <v>0</v>
      </c>
      <c r="AC167" s="117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212">
        <v>1.0</v>
      </c>
      <c r="H168" s="115"/>
      <c r="I168" s="115" t="b">
        <v>0</v>
      </c>
      <c r="J168" s="66"/>
      <c r="K168" s="11" t="s">
        <v>1174</v>
      </c>
      <c r="L168" s="11" t="b">
        <v>0</v>
      </c>
      <c r="M168" s="11" t="b">
        <v>0</v>
      </c>
      <c r="N168" s="66"/>
      <c r="O168" s="66"/>
      <c r="P168" s="66"/>
      <c r="Q168" s="66"/>
      <c r="R168" s="66"/>
      <c r="S168" s="66"/>
      <c r="T168" s="116"/>
      <c r="U168" s="11"/>
      <c r="V168" s="11" t="b">
        <v>0</v>
      </c>
      <c r="W168" s="11" t="b">
        <v>0</v>
      </c>
      <c r="X168" s="11"/>
      <c r="Y168" s="115"/>
      <c r="Z168" s="11" t="b">
        <v>0</v>
      </c>
      <c r="AA168" s="115"/>
      <c r="AB168" s="11" t="b">
        <v>0</v>
      </c>
      <c r="AC168" s="117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212">
        <v>1.0</v>
      </c>
      <c r="H169" s="115"/>
      <c r="I169" s="115" t="b">
        <v>0</v>
      </c>
      <c r="J169" s="66"/>
      <c r="K169" s="11" t="s">
        <v>1174</v>
      </c>
      <c r="L169" s="11" t="b">
        <v>0</v>
      </c>
      <c r="M169" s="11" t="b">
        <v>0</v>
      </c>
      <c r="N169" s="66"/>
      <c r="O169" s="66"/>
      <c r="P169" s="66"/>
      <c r="Q169" s="66"/>
      <c r="R169" s="66"/>
      <c r="S169" s="66"/>
      <c r="T169" s="116"/>
      <c r="U169" s="11"/>
      <c r="V169" s="11" t="b">
        <v>0</v>
      </c>
      <c r="W169" s="11" t="b">
        <v>0</v>
      </c>
      <c r="X169" s="11"/>
      <c r="Y169" s="115"/>
      <c r="Z169" s="11" t="b">
        <v>0</v>
      </c>
      <c r="AA169" s="115"/>
      <c r="AB169" s="11" t="b">
        <v>0</v>
      </c>
      <c r="AC169" s="117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212">
        <v>1.0</v>
      </c>
      <c r="H170" s="115"/>
      <c r="I170" s="115" t="b">
        <v>0</v>
      </c>
      <c r="J170" s="66"/>
      <c r="K170" s="11" t="s">
        <v>1174</v>
      </c>
      <c r="L170" s="11" t="b">
        <v>0</v>
      </c>
      <c r="M170" s="11" t="b">
        <v>0</v>
      </c>
      <c r="N170" s="66"/>
      <c r="O170" s="66"/>
      <c r="P170" s="66"/>
      <c r="Q170" s="66"/>
      <c r="R170" s="66"/>
      <c r="S170" s="66"/>
      <c r="T170" s="116"/>
      <c r="U170" s="11"/>
      <c r="V170" s="11" t="b">
        <v>0</v>
      </c>
      <c r="W170" s="11" t="b">
        <v>0</v>
      </c>
      <c r="X170" s="11"/>
      <c r="Y170" s="115"/>
      <c r="Z170" s="11" t="b">
        <v>0</v>
      </c>
      <c r="AA170" s="115"/>
      <c r="AB170" s="11" t="b">
        <v>0</v>
      </c>
      <c r="AC170" s="117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212">
        <v>1.0</v>
      </c>
      <c r="H171" s="115"/>
      <c r="I171" s="115" t="b">
        <v>0</v>
      </c>
      <c r="J171" s="66"/>
      <c r="K171" s="11" t="s">
        <v>1174</v>
      </c>
      <c r="L171" s="11" t="b">
        <v>0</v>
      </c>
      <c r="M171" s="11" t="b">
        <v>0</v>
      </c>
      <c r="N171" s="66"/>
      <c r="O171" s="66"/>
      <c r="P171" s="66"/>
      <c r="Q171" s="66"/>
      <c r="R171" s="66"/>
      <c r="S171" s="66"/>
      <c r="T171" s="116"/>
      <c r="U171" s="11"/>
      <c r="V171" s="11" t="b">
        <v>0</v>
      </c>
      <c r="W171" s="11" t="b">
        <v>0</v>
      </c>
      <c r="X171" s="11"/>
      <c r="Y171" s="115"/>
      <c r="Z171" s="11" t="b">
        <v>0</v>
      </c>
      <c r="AA171" s="115"/>
      <c r="AB171" s="11" t="b">
        <v>0</v>
      </c>
      <c r="AC171" s="117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212">
        <v>1.0</v>
      </c>
      <c r="H172" s="115"/>
      <c r="I172" s="115" t="b">
        <v>0</v>
      </c>
      <c r="J172" s="66"/>
      <c r="K172" s="11" t="s">
        <v>1174</v>
      </c>
      <c r="L172" s="11" t="b">
        <v>0</v>
      </c>
      <c r="M172" s="11" t="b">
        <v>0</v>
      </c>
      <c r="N172" s="66"/>
      <c r="O172" s="66"/>
      <c r="P172" s="66"/>
      <c r="Q172" s="66"/>
      <c r="R172" s="66"/>
      <c r="S172" s="66"/>
      <c r="T172" s="116"/>
      <c r="U172" s="11"/>
      <c r="V172" s="11" t="b">
        <v>0</v>
      </c>
      <c r="W172" s="11" t="b">
        <v>0</v>
      </c>
      <c r="X172" s="11"/>
      <c r="Y172" s="115"/>
      <c r="Z172" s="11" t="b">
        <v>0</v>
      </c>
      <c r="AA172" s="115"/>
      <c r="AB172" s="11" t="b">
        <v>0</v>
      </c>
      <c r="AC172" s="117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212">
        <v>1.0</v>
      </c>
      <c r="H173" s="115"/>
      <c r="I173" s="115" t="b">
        <v>0</v>
      </c>
      <c r="J173" s="66"/>
      <c r="K173" s="11" t="s">
        <v>1174</v>
      </c>
      <c r="L173" s="11" t="b">
        <v>0</v>
      </c>
      <c r="M173" s="11" t="b">
        <v>0</v>
      </c>
      <c r="N173" s="66"/>
      <c r="O173" s="66"/>
      <c r="P173" s="66"/>
      <c r="Q173" s="66"/>
      <c r="R173" s="66"/>
      <c r="S173" s="66"/>
      <c r="T173" s="116"/>
      <c r="U173" s="11"/>
      <c r="V173" s="11" t="b">
        <v>0</v>
      </c>
      <c r="W173" s="11" t="b">
        <v>0</v>
      </c>
      <c r="X173" s="11"/>
      <c r="Y173" s="115"/>
      <c r="Z173" s="11" t="b">
        <v>0</v>
      </c>
      <c r="AA173" s="115"/>
      <c r="AB173" s="11" t="b">
        <v>0</v>
      </c>
      <c r="AC173" s="117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212">
        <v>1.0</v>
      </c>
      <c r="H174" s="115"/>
      <c r="I174" s="115" t="b">
        <v>0</v>
      </c>
      <c r="J174" s="66"/>
      <c r="K174" s="11" t="s">
        <v>1174</v>
      </c>
      <c r="L174" s="11" t="b">
        <v>0</v>
      </c>
      <c r="M174" s="11" t="b">
        <v>0</v>
      </c>
      <c r="N174" s="66"/>
      <c r="O174" s="66"/>
      <c r="P174" s="66"/>
      <c r="Q174" s="66"/>
      <c r="R174" s="66"/>
      <c r="S174" s="66"/>
      <c r="T174" s="116"/>
      <c r="U174" s="11"/>
      <c r="V174" s="11" t="b">
        <v>0</v>
      </c>
      <c r="W174" s="11" t="b">
        <v>0</v>
      </c>
      <c r="X174" s="11"/>
      <c r="Y174" s="115"/>
      <c r="Z174" s="11" t="b">
        <v>0</v>
      </c>
      <c r="AA174" s="115"/>
      <c r="AB174" s="11" t="b">
        <v>0</v>
      </c>
      <c r="AC174" s="117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212">
        <v>1.0</v>
      </c>
      <c r="H175" s="115"/>
      <c r="I175" s="115" t="b">
        <v>0</v>
      </c>
      <c r="J175" s="66"/>
      <c r="K175" s="11" t="s">
        <v>1174</v>
      </c>
      <c r="L175" s="11" t="b">
        <v>0</v>
      </c>
      <c r="M175" s="11" t="b">
        <v>0</v>
      </c>
      <c r="N175" s="66"/>
      <c r="O175" s="66"/>
      <c r="P175" s="66"/>
      <c r="Q175" s="66"/>
      <c r="R175" s="66"/>
      <c r="S175" s="66"/>
      <c r="T175" s="116"/>
      <c r="U175" s="11"/>
      <c r="V175" s="11" t="b">
        <v>0</v>
      </c>
      <c r="W175" s="11" t="b">
        <v>0</v>
      </c>
      <c r="X175" s="11"/>
      <c r="Y175" s="115"/>
      <c r="Z175" s="11" t="b">
        <v>0</v>
      </c>
      <c r="AA175" s="115"/>
      <c r="AB175" s="11" t="b">
        <v>0</v>
      </c>
      <c r="AC175" s="117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212">
        <v>1.0</v>
      </c>
      <c r="H176" s="115"/>
      <c r="I176" s="115" t="b">
        <v>0</v>
      </c>
      <c r="J176" s="66"/>
      <c r="K176" s="11" t="s">
        <v>1174</v>
      </c>
      <c r="L176" s="11" t="b">
        <v>0</v>
      </c>
      <c r="M176" s="11" t="b">
        <v>0</v>
      </c>
      <c r="N176" s="66"/>
      <c r="O176" s="66"/>
      <c r="P176" s="66"/>
      <c r="Q176" s="66"/>
      <c r="R176" s="66"/>
      <c r="S176" s="66"/>
      <c r="T176" s="116"/>
      <c r="U176" s="11"/>
      <c r="V176" s="11" t="b">
        <v>0</v>
      </c>
      <c r="W176" s="11" t="b">
        <v>0</v>
      </c>
      <c r="X176" s="11"/>
      <c r="Y176" s="115"/>
      <c r="Z176" s="11" t="b">
        <v>0</v>
      </c>
      <c r="AA176" s="115"/>
      <c r="AB176" s="11" t="b">
        <v>0</v>
      </c>
      <c r="AC176" s="117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212">
        <v>1.0</v>
      </c>
      <c r="H177" s="115"/>
      <c r="I177" s="115" t="b">
        <v>0</v>
      </c>
      <c r="J177" s="66"/>
      <c r="K177" s="11" t="s">
        <v>1174</v>
      </c>
      <c r="L177" s="11" t="b">
        <v>0</v>
      </c>
      <c r="M177" s="11" t="b">
        <v>0</v>
      </c>
      <c r="N177" s="66"/>
      <c r="O177" s="66"/>
      <c r="P177" s="66"/>
      <c r="Q177" s="66"/>
      <c r="R177" s="66"/>
      <c r="S177" s="66"/>
      <c r="T177" s="116"/>
      <c r="U177" s="11"/>
      <c r="V177" s="11" t="b">
        <v>0</v>
      </c>
      <c r="W177" s="11" t="b">
        <v>0</v>
      </c>
      <c r="X177" s="11"/>
      <c r="Y177" s="115"/>
      <c r="Z177" s="11" t="b">
        <v>0</v>
      </c>
      <c r="AA177" s="115"/>
      <c r="AB177" s="11" t="b">
        <v>0</v>
      </c>
      <c r="AC177" s="117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212">
        <v>1.0</v>
      </c>
      <c r="H178" s="115"/>
      <c r="I178" s="115" t="b">
        <v>0</v>
      </c>
      <c r="J178" s="66"/>
      <c r="K178" s="11" t="s">
        <v>1174</v>
      </c>
      <c r="L178" s="11" t="b">
        <v>0</v>
      </c>
      <c r="M178" s="11" t="b">
        <v>0</v>
      </c>
      <c r="N178" s="66"/>
      <c r="O178" s="66"/>
      <c r="P178" s="66"/>
      <c r="Q178" s="66"/>
      <c r="R178" s="66"/>
      <c r="S178" s="66"/>
      <c r="T178" s="116"/>
      <c r="U178" s="11"/>
      <c r="V178" s="11" t="b">
        <v>0</v>
      </c>
      <c r="W178" s="11" t="b">
        <v>0</v>
      </c>
      <c r="X178" s="11"/>
      <c r="Y178" s="115"/>
      <c r="Z178" s="11" t="b">
        <v>0</v>
      </c>
      <c r="AA178" s="115"/>
      <c r="AB178" s="11" t="b">
        <v>0</v>
      </c>
      <c r="AC178" s="117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212">
        <v>1.0</v>
      </c>
      <c r="H179" s="115"/>
      <c r="I179" s="115" t="b">
        <v>0</v>
      </c>
      <c r="J179" s="66"/>
      <c r="K179" s="11" t="s">
        <v>1174</v>
      </c>
      <c r="L179" s="11" t="b">
        <v>0</v>
      </c>
      <c r="M179" s="11" t="b">
        <v>0</v>
      </c>
      <c r="N179" s="66"/>
      <c r="O179" s="66"/>
      <c r="P179" s="66"/>
      <c r="Q179" s="66"/>
      <c r="R179" s="66"/>
      <c r="S179" s="66"/>
      <c r="T179" s="116"/>
      <c r="U179" s="11"/>
      <c r="V179" s="11" t="b">
        <v>0</v>
      </c>
      <c r="W179" s="11" t="b">
        <v>0</v>
      </c>
      <c r="X179" s="11"/>
      <c r="Y179" s="115"/>
      <c r="Z179" s="11" t="b">
        <v>0</v>
      </c>
      <c r="AA179" s="115"/>
      <c r="AB179" s="11" t="b">
        <v>0</v>
      </c>
      <c r="AC179" s="117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212">
        <v>1.0</v>
      </c>
      <c r="H180" s="115"/>
      <c r="I180" s="115" t="b">
        <v>0</v>
      </c>
      <c r="J180" s="66"/>
      <c r="K180" s="11" t="s">
        <v>1174</v>
      </c>
      <c r="L180" s="11" t="b">
        <v>0</v>
      </c>
      <c r="M180" s="11" t="b">
        <v>0</v>
      </c>
      <c r="N180" s="66"/>
      <c r="O180" s="66"/>
      <c r="P180" s="66"/>
      <c r="Q180" s="66"/>
      <c r="R180" s="66"/>
      <c r="S180" s="66"/>
      <c r="T180" s="116"/>
      <c r="U180" s="11"/>
      <c r="V180" s="11" t="b">
        <v>0</v>
      </c>
      <c r="W180" s="11" t="b">
        <v>0</v>
      </c>
      <c r="X180" s="11"/>
      <c r="Y180" s="115"/>
      <c r="Z180" s="11" t="b">
        <v>0</v>
      </c>
      <c r="AA180" s="115"/>
      <c r="AB180" s="11" t="b">
        <v>0</v>
      </c>
      <c r="AC180" s="117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212">
        <v>1.0</v>
      </c>
      <c r="H181" s="115"/>
      <c r="I181" s="115" t="b">
        <v>0</v>
      </c>
      <c r="J181" s="66"/>
      <c r="K181" s="11" t="s">
        <v>1174</v>
      </c>
      <c r="L181" s="11" t="b">
        <v>0</v>
      </c>
      <c r="M181" s="11" t="b">
        <v>0</v>
      </c>
      <c r="N181" s="66"/>
      <c r="O181" s="66"/>
      <c r="P181" s="66"/>
      <c r="Q181" s="66"/>
      <c r="R181" s="66"/>
      <c r="S181" s="66"/>
      <c r="T181" s="116"/>
      <c r="U181" s="11"/>
      <c r="V181" s="11" t="b">
        <v>0</v>
      </c>
      <c r="W181" s="11" t="b">
        <v>0</v>
      </c>
      <c r="X181" s="11"/>
      <c r="Y181" s="115"/>
      <c r="Z181" s="11" t="b">
        <v>0</v>
      </c>
      <c r="AA181" s="115"/>
      <c r="AB181" s="11" t="b">
        <v>0</v>
      </c>
      <c r="AC181" s="117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212">
        <v>1.0</v>
      </c>
      <c r="H182" s="115"/>
      <c r="I182" s="115" t="b">
        <v>0</v>
      </c>
      <c r="J182" s="66"/>
      <c r="K182" s="11" t="s">
        <v>1174</v>
      </c>
      <c r="L182" s="11" t="b">
        <v>0</v>
      </c>
      <c r="M182" s="11" t="b">
        <v>0</v>
      </c>
      <c r="N182" s="66"/>
      <c r="O182" s="66"/>
      <c r="P182" s="66"/>
      <c r="Q182" s="66"/>
      <c r="R182" s="66"/>
      <c r="S182" s="66"/>
      <c r="T182" s="116"/>
      <c r="U182" s="11"/>
      <c r="V182" s="11" t="b">
        <v>0</v>
      </c>
      <c r="W182" s="11" t="b">
        <v>0</v>
      </c>
      <c r="X182" s="11"/>
      <c r="Y182" s="115"/>
      <c r="Z182" s="11" t="b">
        <v>0</v>
      </c>
      <c r="AA182" s="115"/>
      <c r="AB182" s="11" t="b">
        <v>0</v>
      </c>
      <c r="AC182" s="117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212">
        <v>1.0</v>
      </c>
      <c r="H183" s="115"/>
      <c r="I183" s="115" t="b">
        <v>0</v>
      </c>
      <c r="J183" s="66"/>
      <c r="K183" s="11" t="s">
        <v>1174</v>
      </c>
      <c r="L183" s="11" t="b">
        <v>0</v>
      </c>
      <c r="M183" s="11" t="b">
        <v>0</v>
      </c>
      <c r="N183" s="66"/>
      <c r="O183" s="66"/>
      <c r="P183" s="66"/>
      <c r="Q183" s="66"/>
      <c r="R183" s="66"/>
      <c r="S183" s="66"/>
      <c r="T183" s="116"/>
      <c r="U183" s="11"/>
      <c r="V183" s="11" t="b">
        <v>0</v>
      </c>
      <c r="W183" s="11" t="b">
        <v>0</v>
      </c>
      <c r="X183" s="11"/>
      <c r="Y183" s="115"/>
      <c r="Z183" s="11" t="b">
        <v>0</v>
      </c>
      <c r="AA183" s="115"/>
      <c r="AB183" s="11" t="b">
        <v>0</v>
      </c>
      <c r="AC183" s="117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212">
        <v>1.0</v>
      </c>
      <c r="H184" s="115"/>
      <c r="I184" s="115" t="b">
        <v>0</v>
      </c>
      <c r="J184" s="66"/>
      <c r="K184" s="11" t="s">
        <v>1174</v>
      </c>
      <c r="L184" s="11" t="b">
        <v>0</v>
      </c>
      <c r="M184" s="11" t="b">
        <v>0</v>
      </c>
      <c r="N184" s="66"/>
      <c r="O184" s="66"/>
      <c r="P184" s="66"/>
      <c r="Q184" s="66"/>
      <c r="R184" s="66"/>
      <c r="S184" s="66"/>
      <c r="T184" s="116"/>
      <c r="U184" s="11"/>
      <c r="V184" s="11" t="b">
        <v>0</v>
      </c>
      <c r="W184" s="11" t="b">
        <v>0</v>
      </c>
      <c r="X184" s="11"/>
      <c r="Y184" s="115"/>
      <c r="Z184" s="11" t="b">
        <v>0</v>
      </c>
      <c r="AA184" s="115"/>
      <c r="AB184" s="11" t="b">
        <v>0</v>
      </c>
      <c r="AC184" s="117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212">
        <v>1.0</v>
      </c>
      <c r="H185" s="115"/>
      <c r="I185" s="115" t="b">
        <v>0</v>
      </c>
      <c r="J185" s="66"/>
      <c r="K185" s="11" t="s">
        <v>1174</v>
      </c>
      <c r="L185" s="11" t="b">
        <v>0</v>
      </c>
      <c r="M185" s="11" t="b">
        <v>0</v>
      </c>
      <c r="N185" s="66"/>
      <c r="O185" s="66"/>
      <c r="P185" s="66"/>
      <c r="Q185" s="66"/>
      <c r="R185" s="66"/>
      <c r="S185" s="66"/>
      <c r="T185" s="116"/>
      <c r="U185" s="11"/>
      <c r="V185" s="11" t="b">
        <v>0</v>
      </c>
      <c r="W185" s="11" t="b">
        <v>0</v>
      </c>
      <c r="X185" s="11"/>
      <c r="Y185" s="115"/>
      <c r="Z185" s="11" t="b">
        <v>0</v>
      </c>
      <c r="AA185" s="115"/>
      <c r="AB185" s="11" t="b">
        <v>0</v>
      </c>
      <c r="AC185" s="117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212">
        <v>1.0</v>
      </c>
      <c r="H186" s="115"/>
      <c r="I186" s="115" t="b">
        <v>0</v>
      </c>
      <c r="J186" s="66"/>
      <c r="K186" s="11" t="s">
        <v>1174</v>
      </c>
      <c r="L186" s="11" t="b">
        <v>0</v>
      </c>
      <c r="M186" s="11" t="b">
        <v>0</v>
      </c>
      <c r="N186" s="66"/>
      <c r="O186" s="66"/>
      <c r="P186" s="66"/>
      <c r="Q186" s="66"/>
      <c r="R186" s="66"/>
      <c r="S186" s="66"/>
      <c r="T186" s="116"/>
      <c r="U186" s="11"/>
      <c r="V186" s="11" t="b">
        <v>0</v>
      </c>
      <c r="W186" s="11" t="b">
        <v>0</v>
      </c>
      <c r="X186" s="11"/>
      <c r="Y186" s="115"/>
      <c r="Z186" s="11" t="b">
        <v>0</v>
      </c>
      <c r="AA186" s="115"/>
      <c r="AB186" s="11" t="b">
        <v>0</v>
      </c>
      <c r="AC186" s="117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212">
        <v>1.0</v>
      </c>
      <c r="H187" s="115"/>
      <c r="I187" s="115" t="b">
        <v>0</v>
      </c>
      <c r="J187" s="66"/>
      <c r="K187" s="11" t="s">
        <v>1174</v>
      </c>
      <c r="L187" s="11" t="b">
        <v>0</v>
      </c>
      <c r="M187" s="11" t="b">
        <v>0</v>
      </c>
      <c r="N187" s="66"/>
      <c r="O187" s="66"/>
      <c r="P187" s="66"/>
      <c r="Q187" s="66"/>
      <c r="R187" s="66"/>
      <c r="S187" s="66"/>
      <c r="T187" s="116"/>
      <c r="U187" s="11"/>
      <c r="V187" s="11" t="b">
        <v>0</v>
      </c>
      <c r="W187" s="11" t="b">
        <v>0</v>
      </c>
      <c r="X187" s="11"/>
      <c r="Y187" s="115"/>
      <c r="Z187" s="11" t="b">
        <v>0</v>
      </c>
      <c r="AA187" s="115"/>
      <c r="AB187" s="11" t="b">
        <v>0</v>
      </c>
      <c r="AC187" s="117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212">
        <v>1.0</v>
      </c>
      <c r="H188" s="115"/>
      <c r="I188" s="115" t="b">
        <v>0</v>
      </c>
      <c r="J188" s="66"/>
      <c r="K188" s="11" t="s">
        <v>1174</v>
      </c>
      <c r="L188" s="11" t="b">
        <v>0</v>
      </c>
      <c r="M188" s="11" t="b">
        <v>0</v>
      </c>
      <c r="N188" s="66"/>
      <c r="O188" s="66"/>
      <c r="P188" s="66"/>
      <c r="Q188" s="66"/>
      <c r="R188" s="66"/>
      <c r="S188" s="66"/>
      <c r="T188" s="116"/>
      <c r="U188" s="11"/>
      <c r="V188" s="11" t="b">
        <v>0</v>
      </c>
      <c r="W188" s="11" t="b">
        <v>0</v>
      </c>
      <c r="X188" s="11"/>
      <c r="Y188" s="115"/>
      <c r="Z188" s="11" t="b">
        <v>0</v>
      </c>
      <c r="AA188" s="115"/>
      <c r="AB188" s="11" t="b">
        <v>0</v>
      </c>
      <c r="AC188" s="117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212">
        <v>1.0</v>
      </c>
      <c r="H189" s="115"/>
      <c r="I189" s="115" t="b">
        <v>0</v>
      </c>
      <c r="J189" s="66"/>
      <c r="K189" s="11" t="s">
        <v>1174</v>
      </c>
      <c r="L189" s="11" t="b">
        <v>0</v>
      </c>
      <c r="M189" s="11" t="b">
        <v>0</v>
      </c>
      <c r="N189" s="66"/>
      <c r="O189" s="66"/>
      <c r="P189" s="66"/>
      <c r="Q189" s="66"/>
      <c r="R189" s="66"/>
      <c r="S189" s="66"/>
      <c r="T189" s="116"/>
      <c r="U189" s="11"/>
      <c r="V189" s="11" t="b">
        <v>0</v>
      </c>
      <c r="W189" s="11" t="b">
        <v>0</v>
      </c>
      <c r="X189" s="11"/>
      <c r="Y189" s="115"/>
      <c r="Z189" s="11" t="b">
        <v>0</v>
      </c>
      <c r="AA189" s="115"/>
      <c r="AB189" s="11" t="b">
        <v>0</v>
      </c>
      <c r="AC189" s="117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212">
        <v>1.0</v>
      </c>
      <c r="H190" s="115"/>
      <c r="I190" s="115" t="b">
        <v>0</v>
      </c>
      <c r="J190" s="66"/>
      <c r="K190" s="11" t="s">
        <v>1174</v>
      </c>
      <c r="L190" s="11" t="b">
        <v>0</v>
      </c>
      <c r="M190" s="11" t="b">
        <v>0</v>
      </c>
      <c r="N190" s="66"/>
      <c r="O190" s="66"/>
      <c r="P190" s="66"/>
      <c r="Q190" s="66"/>
      <c r="R190" s="66"/>
      <c r="S190" s="66"/>
      <c r="T190" s="116"/>
      <c r="U190" s="11"/>
      <c r="V190" s="11" t="b">
        <v>0</v>
      </c>
      <c r="W190" s="11" t="b">
        <v>0</v>
      </c>
      <c r="X190" s="11"/>
      <c r="Y190" s="115"/>
      <c r="Z190" s="11" t="b">
        <v>0</v>
      </c>
      <c r="AA190" s="115"/>
      <c r="AB190" s="11" t="b">
        <v>0</v>
      </c>
      <c r="AC190" s="117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212">
        <v>1.0</v>
      </c>
      <c r="H191" s="115"/>
      <c r="I191" s="115" t="b">
        <v>0</v>
      </c>
      <c r="J191" s="66"/>
      <c r="K191" s="11" t="s">
        <v>1174</v>
      </c>
      <c r="L191" s="11" t="b">
        <v>0</v>
      </c>
      <c r="M191" s="11" t="b">
        <v>0</v>
      </c>
      <c r="N191" s="66"/>
      <c r="O191" s="66"/>
      <c r="P191" s="66"/>
      <c r="Q191" s="66"/>
      <c r="R191" s="66"/>
      <c r="S191" s="66"/>
      <c r="T191" s="116"/>
      <c r="U191" s="11"/>
      <c r="V191" s="11" t="b">
        <v>0</v>
      </c>
      <c r="W191" s="11" t="b">
        <v>0</v>
      </c>
      <c r="X191" s="11"/>
      <c r="Y191" s="115"/>
      <c r="Z191" s="11" t="b">
        <v>0</v>
      </c>
      <c r="AA191" s="115"/>
      <c r="AB191" s="11" t="b">
        <v>0</v>
      </c>
      <c r="AC191" s="117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212">
        <v>1.0</v>
      </c>
      <c r="H192" s="115"/>
      <c r="I192" s="115" t="b">
        <v>0</v>
      </c>
      <c r="J192" s="66"/>
      <c r="K192" s="11" t="s">
        <v>1174</v>
      </c>
      <c r="L192" s="11" t="b">
        <v>0</v>
      </c>
      <c r="M192" s="11" t="b">
        <v>0</v>
      </c>
      <c r="N192" s="66"/>
      <c r="O192" s="66"/>
      <c r="P192" s="66"/>
      <c r="Q192" s="66"/>
      <c r="R192" s="66"/>
      <c r="S192" s="66"/>
      <c r="T192" s="116"/>
      <c r="U192" s="11"/>
      <c r="V192" s="11" t="b">
        <v>0</v>
      </c>
      <c r="W192" s="11" t="b">
        <v>0</v>
      </c>
      <c r="X192" s="11"/>
      <c r="Y192" s="115"/>
      <c r="Z192" s="11" t="b">
        <v>0</v>
      </c>
      <c r="AA192" s="115"/>
      <c r="AB192" s="11" t="b">
        <v>0</v>
      </c>
      <c r="AC192" s="117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212">
        <v>1.0</v>
      </c>
      <c r="H193" s="115"/>
      <c r="I193" s="115" t="b">
        <v>0</v>
      </c>
      <c r="J193" s="66"/>
      <c r="K193" s="11" t="s">
        <v>1174</v>
      </c>
      <c r="L193" s="11" t="b">
        <v>0</v>
      </c>
      <c r="M193" s="11" t="b">
        <v>0</v>
      </c>
      <c r="N193" s="66"/>
      <c r="O193" s="66"/>
      <c r="P193" s="66"/>
      <c r="Q193" s="66"/>
      <c r="R193" s="66"/>
      <c r="S193" s="66"/>
      <c r="T193" s="116"/>
      <c r="U193" s="11"/>
      <c r="V193" s="11" t="b">
        <v>0</v>
      </c>
      <c r="W193" s="11" t="b">
        <v>0</v>
      </c>
      <c r="X193" s="11"/>
      <c r="Y193" s="115"/>
      <c r="Z193" s="11" t="b">
        <v>0</v>
      </c>
      <c r="AA193" s="115"/>
      <c r="AB193" s="11" t="b">
        <v>0</v>
      </c>
      <c r="AC193" s="117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212">
        <v>1.0</v>
      </c>
      <c r="H194" s="115"/>
      <c r="I194" s="115" t="b">
        <v>0</v>
      </c>
      <c r="J194" s="66"/>
      <c r="K194" s="11" t="s">
        <v>1174</v>
      </c>
      <c r="L194" s="11" t="b">
        <v>0</v>
      </c>
      <c r="M194" s="11" t="b">
        <v>0</v>
      </c>
      <c r="N194" s="66"/>
      <c r="O194" s="66"/>
      <c r="P194" s="66"/>
      <c r="Q194" s="66"/>
      <c r="R194" s="66"/>
      <c r="S194" s="66"/>
      <c r="T194" s="116"/>
      <c r="U194" s="11"/>
      <c r="V194" s="11" t="b">
        <v>0</v>
      </c>
      <c r="W194" s="11" t="b">
        <v>0</v>
      </c>
      <c r="X194" s="11"/>
      <c r="Y194" s="115"/>
      <c r="Z194" s="11" t="b">
        <v>0</v>
      </c>
      <c r="AA194" s="115"/>
      <c r="AB194" s="11" t="b">
        <v>0</v>
      </c>
      <c r="AC194" s="117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212">
        <v>1.0</v>
      </c>
      <c r="H195" s="115"/>
      <c r="I195" s="115" t="b">
        <v>0</v>
      </c>
      <c r="J195" s="66"/>
      <c r="K195" s="11" t="s">
        <v>1174</v>
      </c>
      <c r="L195" s="11" t="b">
        <v>0</v>
      </c>
      <c r="M195" s="11" t="b">
        <v>0</v>
      </c>
      <c r="N195" s="66"/>
      <c r="O195" s="66"/>
      <c r="P195" s="66"/>
      <c r="Q195" s="66"/>
      <c r="R195" s="66"/>
      <c r="S195" s="66"/>
      <c r="T195" s="116"/>
      <c r="U195" s="11"/>
      <c r="V195" s="11" t="b">
        <v>0</v>
      </c>
      <c r="W195" s="11" t="b">
        <v>0</v>
      </c>
      <c r="X195" s="11"/>
      <c r="Y195" s="115"/>
      <c r="Z195" s="11" t="b">
        <v>0</v>
      </c>
      <c r="AA195" s="115"/>
      <c r="AB195" s="11" t="b">
        <v>0</v>
      </c>
      <c r="AC195" s="117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212">
        <v>1.0</v>
      </c>
      <c r="H196" s="115"/>
      <c r="I196" s="115" t="b">
        <v>0</v>
      </c>
      <c r="J196" s="66"/>
      <c r="K196" s="11" t="s">
        <v>1174</v>
      </c>
      <c r="L196" s="11" t="b">
        <v>0</v>
      </c>
      <c r="M196" s="11" t="b">
        <v>0</v>
      </c>
      <c r="N196" s="66"/>
      <c r="O196" s="66"/>
      <c r="P196" s="66"/>
      <c r="Q196" s="66"/>
      <c r="R196" s="66"/>
      <c r="S196" s="66"/>
      <c r="T196" s="116"/>
      <c r="U196" s="11"/>
      <c r="V196" s="11" t="b">
        <v>0</v>
      </c>
      <c r="W196" s="11" t="b">
        <v>0</v>
      </c>
      <c r="X196" s="11"/>
      <c r="Y196" s="115"/>
      <c r="Z196" s="11" t="b">
        <v>0</v>
      </c>
      <c r="AA196" s="115"/>
      <c r="AB196" s="11" t="b">
        <v>0</v>
      </c>
      <c r="AC196" s="117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212">
        <v>1.0</v>
      </c>
      <c r="H197" s="115"/>
      <c r="I197" s="115" t="b">
        <v>0</v>
      </c>
      <c r="J197" s="66"/>
      <c r="K197" s="11" t="s">
        <v>1174</v>
      </c>
      <c r="L197" s="11" t="b">
        <v>0</v>
      </c>
      <c r="M197" s="11" t="b">
        <v>0</v>
      </c>
      <c r="N197" s="66"/>
      <c r="O197" s="66"/>
      <c r="P197" s="66"/>
      <c r="Q197" s="66"/>
      <c r="R197" s="66"/>
      <c r="S197" s="66"/>
      <c r="T197" s="116"/>
      <c r="U197" s="11"/>
      <c r="V197" s="11" t="b">
        <v>0</v>
      </c>
      <c r="W197" s="11" t="b">
        <v>0</v>
      </c>
      <c r="X197" s="11"/>
      <c r="Y197" s="115"/>
      <c r="Z197" s="11" t="b">
        <v>0</v>
      </c>
      <c r="AA197" s="115"/>
      <c r="AB197" s="11" t="b">
        <v>0</v>
      </c>
      <c r="AC197" s="117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212">
        <v>1.0</v>
      </c>
      <c r="H198" s="115"/>
      <c r="I198" s="115" t="b">
        <v>0</v>
      </c>
      <c r="J198" s="66"/>
      <c r="K198" s="11" t="s">
        <v>1174</v>
      </c>
      <c r="L198" s="11" t="b">
        <v>0</v>
      </c>
      <c r="M198" s="11" t="b">
        <v>0</v>
      </c>
      <c r="N198" s="66"/>
      <c r="O198" s="66"/>
      <c r="P198" s="66"/>
      <c r="Q198" s="66"/>
      <c r="R198" s="66"/>
      <c r="S198" s="66"/>
      <c r="T198" s="116"/>
      <c r="U198" s="11"/>
      <c r="V198" s="11" t="b">
        <v>0</v>
      </c>
      <c r="W198" s="11" t="b">
        <v>0</v>
      </c>
      <c r="X198" s="11"/>
      <c r="Y198" s="115"/>
      <c r="Z198" s="11" t="b">
        <v>0</v>
      </c>
      <c r="AA198" s="115"/>
      <c r="AB198" s="11" t="b">
        <v>0</v>
      </c>
      <c r="AC198" s="117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212">
        <v>1.0</v>
      </c>
      <c r="H199" s="115"/>
      <c r="I199" s="115" t="b">
        <v>0</v>
      </c>
      <c r="J199" s="66"/>
      <c r="K199" s="11" t="s">
        <v>1174</v>
      </c>
      <c r="L199" s="11" t="b">
        <v>0</v>
      </c>
      <c r="M199" s="11" t="b">
        <v>0</v>
      </c>
      <c r="N199" s="66"/>
      <c r="O199" s="66"/>
      <c r="P199" s="66"/>
      <c r="Q199" s="66"/>
      <c r="R199" s="66"/>
      <c r="S199" s="66"/>
      <c r="T199" s="116"/>
      <c r="U199" s="11"/>
      <c r="V199" s="11" t="b">
        <v>0</v>
      </c>
      <c r="W199" s="11" t="b">
        <v>0</v>
      </c>
      <c r="X199" s="11"/>
      <c r="Y199" s="115"/>
      <c r="Z199" s="11" t="b">
        <v>0</v>
      </c>
      <c r="AA199" s="115"/>
      <c r="AB199" s="11" t="b">
        <v>0</v>
      </c>
      <c r="AC199" s="117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212">
        <v>1.0</v>
      </c>
      <c r="H200" s="115"/>
      <c r="I200" s="115" t="b">
        <v>0</v>
      </c>
      <c r="J200" s="66"/>
      <c r="K200" s="11" t="s">
        <v>1174</v>
      </c>
      <c r="L200" s="11" t="b">
        <v>0</v>
      </c>
      <c r="M200" s="11" t="b">
        <v>0</v>
      </c>
      <c r="N200" s="66"/>
      <c r="O200" s="66"/>
      <c r="P200" s="66"/>
      <c r="Q200" s="66"/>
      <c r="R200" s="66"/>
      <c r="S200" s="66"/>
      <c r="T200" s="116"/>
      <c r="U200" s="11"/>
      <c r="V200" s="11" t="b">
        <v>0</v>
      </c>
      <c r="W200" s="11" t="b">
        <v>0</v>
      </c>
      <c r="X200" s="11"/>
      <c r="Y200" s="115"/>
      <c r="Z200" s="11" t="b">
        <v>0</v>
      </c>
      <c r="AA200" s="115"/>
      <c r="AB200" s="11" t="b">
        <v>0</v>
      </c>
      <c r="AC200" s="117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212">
        <v>1.0</v>
      </c>
      <c r="H201" s="115"/>
      <c r="I201" s="115" t="b">
        <v>0</v>
      </c>
      <c r="J201" s="66"/>
      <c r="K201" s="11" t="s">
        <v>1174</v>
      </c>
      <c r="L201" s="11" t="b">
        <v>0</v>
      </c>
      <c r="M201" s="11" t="b">
        <v>0</v>
      </c>
      <c r="N201" s="66"/>
      <c r="O201" s="66"/>
      <c r="P201" s="66"/>
      <c r="Q201" s="66"/>
      <c r="R201" s="66"/>
      <c r="S201" s="66"/>
      <c r="T201" s="116"/>
      <c r="U201" s="11"/>
      <c r="V201" s="11" t="b">
        <v>0</v>
      </c>
      <c r="W201" s="11" t="b">
        <v>0</v>
      </c>
      <c r="X201" s="11"/>
      <c r="Y201" s="115"/>
      <c r="Z201" s="11" t="b">
        <v>0</v>
      </c>
      <c r="AA201" s="115"/>
      <c r="AB201" s="11" t="b">
        <v>0</v>
      </c>
      <c r="AC201" s="117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212">
        <v>1.0</v>
      </c>
      <c r="H202" s="115"/>
      <c r="I202" s="115" t="b">
        <v>0</v>
      </c>
      <c r="J202" s="66"/>
      <c r="K202" s="11" t="s">
        <v>1174</v>
      </c>
      <c r="L202" s="11" t="b">
        <v>0</v>
      </c>
      <c r="M202" s="11" t="b">
        <v>0</v>
      </c>
      <c r="N202" s="66"/>
      <c r="O202" s="66"/>
      <c r="P202" s="66"/>
      <c r="Q202" s="66"/>
      <c r="R202" s="66"/>
      <c r="S202" s="66"/>
      <c r="T202" s="116"/>
      <c r="U202" s="11"/>
      <c r="V202" s="11" t="b">
        <v>0</v>
      </c>
      <c r="W202" s="11" t="b">
        <v>0</v>
      </c>
      <c r="X202" s="11"/>
      <c r="Y202" s="115"/>
      <c r="Z202" s="11" t="b">
        <v>0</v>
      </c>
      <c r="AA202" s="115"/>
      <c r="AB202" s="11" t="b">
        <v>0</v>
      </c>
      <c r="AC202" s="117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212">
        <v>1.0</v>
      </c>
      <c r="H203" s="115"/>
      <c r="I203" s="115" t="b">
        <v>0</v>
      </c>
      <c r="J203" s="66"/>
      <c r="K203" s="11" t="s">
        <v>1174</v>
      </c>
      <c r="L203" s="11" t="b">
        <v>0</v>
      </c>
      <c r="M203" s="11" t="b">
        <v>0</v>
      </c>
      <c r="N203" s="66"/>
      <c r="O203" s="66"/>
      <c r="P203" s="66"/>
      <c r="Q203" s="66"/>
      <c r="R203" s="66"/>
      <c r="S203" s="66"/>
      <c r="T203" s="116"/>
      <c r="U203" s="11"/>
      <c r="V203" s="11" t="b">
        <v>0</v>
      </c>
      <c r="W203" s="11" t="b">
        <v>0</v>
      </c>
      <c r="X203" s="11"/>
      <c r="Y203" s="115"/>
      <c r="Z203" s="11" t="b">
        <v>0</v>
      </c>
      <c r="AA203" s="115"/>
      <c r="AB203" s="11" t="b">
        <v>0</v>
      </c>
      <c r="AC203" s="117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212">
        <v>1.0</v>
      </c>
      <c r="H204" s="115"/>
      <c r="I204" s="115" t="b">
        <v>0</v>
      </c>
      <c r="J204" s="66"/>
      <c r="K204" s="11" t="s">
        <v>1174</v>
      </c>
      <c r="L204" s="11" t="b">
        <v>0</v>
      </c>
      <c r="M204" s="11" t="b">
        <v>0</v>
      </c>
      <c r="N204" s="66"/>
      <c r="O204" s="66"/>
      <c r="P204" s="66"/>
      <c r="Q204" s="66"/>
      <c r="R204" s="66"/>
      <c r="S204" s="66"/>
      <c r="T204" s="116"/>
      <c r="U204" s="11"/>
      <c r="V204" s="11" t="b">
        <v>0</v>
      </c>
      <c r="W204" s="11" t="b">
        <v>0</v>
      </c>
      <c r="X204" s="11"/>
      <c r="Y204" s="115"/>
      <c r="Z204" s="11" t="b">
        <v>0</v>
      </c>
      <c r="AA204" s="115"/>
      <c r="AB204" s="11" t="b">
        <v>0</v>
      </c>
      <c r="AC204" s="117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212">
        <v>1.0</v>
      </c>
      <c r="H205" s="115"/>
      <c r="I205" s="115" t="b">
        <v>0</v>
      </c>
      <c r="J205" s="66"/>
      <c r="K205" s="11" t="s">
        <v>1174</v>
      </c>
      <c r="L205" s="11" t="b">
        <v>0</v>
      </c>
      <c r="M205" s="11" t="b">
        <v>0</v>
      </c>
      <c r="N205" s="66"/>
      <c r="O205" s="66"/>
      <c r="P205" s="66"/>
      <c r="Q205" s="66"/>
      <c r="R205" s="66"/>
      <c r="S205" s="66"/>
      <c r="T205" s="116"/>
      <c r="U205" s="11"/>
      <c r="V205" s="11" t="b">
        <v>0</v>
      </c>
      <c r="W205" s="11" t="b">
        <v>0</v>
      </c>
      <c r="X205" s="11"/>
      <c r="Y205" s="115"/>
      <c r="Z205" s="11" t="b">
        <v>0</v>
      </c>
      <c r="AA205" s="115"/>
      <c r="AB205" s="11" t="b">
        <v>0</v>
      </c>
      <c r="AC205" s="117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212">
        <v>1.0</v>
      </c>
      <c r="H206" s="115"/>
      <c r="I206" s="115" t="b">
        <v>0</v>
      </c>
      <c r="J206" s="66"/>
      <c r="K206" s="11" t="s">
        <v>1174</v>
      </c>
      <c r="L206" s="11" t="b">
        <v>0</v>
      </c>
      <c r="M206" s="11" t="b">
        <v>0</v>
      </c>
      <c r="N206" s="66"/>
      <c r="O206" s="66"/>
      <c r="P206" s="66"/>
      <c r="Q206" s="66"/>
      <c r="R206" s="66"/>
      <c r="S206" s="66"/>
      <c r="T206" s="116"/>
      <c r="U206" s="11"/>
      <c r="V206" s="11" t="b">
        <v>0</v>
      </c>
      <c r="W206" s="11" t="b">
        <v>0</v>
      </c>
      <c r="X206" s="11"/>
      <c r="Y206" s="115"/>
      <c r="Z206" s="11" t="b">
        <v>0</v>
      </c>
      <c r="AA206" s="115"/>
      <c r="AB206" s="11" t="b">
        <v>0</v>
      </c>
      <c r="AC206" s="117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212">
        <v>1.0</v>
      </c>
      <c r="H207" s="115"/>
      <c r="I207" s="115" t="b">
        <v>0</v>
      </c>
      <c r="J207" s="66"/>
      <c r="K207" s="11" t="s">
        <v>1174</v>
      </c>
      <c r="L207" s="11" t="b">
        <v>0</v>
      </c>
      <c r="M207" s="11" t="b">
        <v>0</v>
      </c>
      <c r="N207" s="66"/>
      <c r="O207" s="66"/>
      <c r="P207" s="66"/>
      <c r="Q207" s="66"/>
      <c r="R207" s="66"/>
      <c r="S207" s="66"/>
      <c r="T207" s="116"/>
      <c r="U207" s="11"/>
      <c r="V207" s="11" t="b">
        <v>0</v>
      </c>
      <c r="W207" s="11" t="b">
        <v>0</v>
      </c>
      <c r="X207" s="11"/>
      <c r="Y207" s="115"/>
      <c r="Z207" s="11" t="b">
        <v>0</v>
      </c>
      <c r="AA207" s="115"/>
      <c r="AB207" s="11" t="b">
        <v>0</v>
      </c>
      <c r="AC207" s="117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212">
        <v>1.0</v>
      </c>
      <c r="H208" s="115"/>
      <c r="I208" s="115" t="b">
        <v>0</v>
      </c>
      <c r="J208" s="66"/>
      <c r="K208" s="11" t="s">
        <v>1174</v>
      </c>
      <c r="L208" s="11" t="b">
        <v>0</v>
      </c>
      <c r="M208" s="11" t="b">
        <v>0</v>
      </c>
      <c r="N208" s="66"/>
      <c r="O208" s="66"/>
      <c r="P208" s="66"/>
      <c r="Q208" s="66"/>
      <c r="R208" s="66"/>
      <c r="S208" s="66"/>
      <c r="T208" s="116"/>
      <c r="U208" s="11"/>
      <c r="V208" s="11" t="b">
        <v>0</v>
      </c>
      <c r="W208" s="11" t="b">
        <v>0</v>
      </c>
      <c r="X208" s="11"/>
      <c r="Y208" s="115"/>
      <c r="Z208" s="11" t="b">
        <v>0</v>
      </c>
      <c r="AA208" s="115"/>
      <c r="AB208" s="11" t="b">
        <v>0</v>
      </c>
      <c r="AC208" s="117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212">
        <v>1.0</v>
      </c>
      <c r="H209" s="115"/>
      <c r="I209" s="115" t="b">
        <v>0</v>
      </c>
      <c r="J209" s="66"/>
      <c r="K209" s="11" t="s">
        <v>1174</v>
      </c>
      <c r="L209" s="11" t="b">
        <v>0</v>
      </c>
      <c r="M209" s="11" t="b">
        <v>0</v>
      </c>
      <c r="N209" s="66"/>
      <c r="O209" s="66"/>
      <c r="P209" s="66"/>
      <c r="Q209" s="66"/>
      <c r="R209" s="66"/>
      <c r="S209" s="66"/>
      <c r="T209" s="116"/>
      <c r="U209" s="11"/>
      <c r="V209" s="11" t="b">
        <v>0</v>
      </c>
      <c r="W209" s="11" t="b">
        <v>0</v>
      </c>
      <c r="X209" s="11"/>
      <c r="Y209" s="115"/>
      <c r="Z209" s="11" t="b">
        <v>0</v>
      </c>
      <c r="AA209" s="115"/>
      <c r="AB209" s="11" t="b">
        <v>0</v>
      </c>
      <c r="AC209" s="117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212">
        <v>1.0</v>
      </c>
      <c r="H210" s="115"/>
      <c r="I210" s="115" t="b">
        <v>0</v>
      </c>
      <c r="J210" s="66"/>
      <c r="K210" s="11" t="s">
        <v>1174</v>
      </c>
      <c r="L210" s="11" t="b">
        <v>0</v>
      </c>
      <c r="M210" s="11" t="b">
        <v>0</v>
      </c>
      <c r="N210" s="66"/>
      <c r="O210" s="66"/>
      <c r="P210" s="66"/>
      <c r="Q210" s="66"/>
      <c r="R210" s="66"/>
      <c r="S210" s="66"/>
      <c r="T210" s="116"/>
      <c r="U210" s="11"/>
      <c r="V210" s="11" t="b">
        <v>0</v>
      </c>
      <c r="W210" s="11" t="b">
        <v>0</v>
      </c>
      <c r="X210" s="11"/>
      <c r="Y210" s="115"/>
      <c r="Z210" s="11" t="b">
        <v>0</v>
      </c>
      <c r="AA210" s="115"/>
      <c r="AB210" s="11" t="b">
        <v>0</v>
      </c>
      <c r="AC210" s="117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212">
        <v>1.0</v>
      </c>
      <c r="H211" s="115"/>
      <c r="I211" s="115" t="b">
        <v>0</v>
      </c>
      <c r="J211" s="66"/>
      <c r="K211" s="11" t="s">
        <v>1174</v>
      </c>
      <c r="L211" s="11" t="b">
        <v>0</v>
      </c>
      <c r="M211" s="11" t="b">
        <v>0</v>
      </c>
      <c r="N211" s="66"/>
      <c r="O211" s="66"/>
      <c r="P211" s="66"/>
      <c r="Q211" s="66"/>
      <c r="R211" s="66"/>
      <c r="S211" s="66"/>
      <c r="T211" s="116"/>
      <c r="U211" s="11"/>
      <c r="V211" s="11" t="b">
        <v>0</v>
      </c>
      <c r="W211" s="11" t="b">
        <v>0</v>
      </c>
      <c r="X211" s="11"/>
      <c r="Y211" s="115"/>
      <c r="Z211" s="11" t="b">
        <v>0</v>
      </c>
      <c r="AA211" s="115"/>
      <c r="AB211" s="11" t="b">
        <v>0</v>
      </c>
      <c r="AC211" s="117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212">
        <v>1.0</v>
      </c>
      <c r="H212" s="115"/>
      <c r="I212" s="115" t="b">
        <v>0</v>
      </c>
      <c r="J212" s="66"/>
      <c r="K212" s="11" t="s">
        <v>1174</v>
      </c>
      <c r="L212" s="11" t="b">
        <v>0</v>
      </c>
      <c r="M212" s="11" t="b">
        <v>0</v>
      </c>
      <c r="N212" s="66"/>
      <c r="O212" s="66"/>
      <c r="P212" s="66"/>
      <c r="Q212" s="66"/>
      <c r="R212" s="66"/>
      <c r="S212" s="66"/>
      <c r="T212" s="116"/>
      <c r="U212" s="11"/>
      <c r="V212" s="11" t="b">
        <v>0</v>
      </c>
      <c r="W212" s="11" t="b">
        <v>0</v>
      </c>
      <c r="X212" s="11"/>
      <c r="Y212" s="115"/>
      <c r="Z212" s="11" t="b">
        <v>0</v>
      </c>
      <c r="AA212" s="115"/>
      <c r="AB212" s="11" t="b">
        <v>0</v>
      </c>
      <c r="AC212" s="117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212">
        <v>1.0</v>
      </c>
      <c r="H213" s="115"/>
      <c r="I213" s="115" t="b">
        <v>0</v>
      </c>
      <c r="J213" s="66"/>
      <c r="K213" s="11" t="s">
        <v>1174</v>
      </c>
      <c r="L213" s="11" t="b">
        <v>0</v>
      </c>
      <c r="M213" s="11" t="b">
        <v>0</v>
      </c>
      <c r="N213" s="66"/>
      <c r="O213" s="66"/>
      <c r="P213" s="66"/>
      <c r="Q213" s="66"/>
      <c r="R213" s="66"/>
      <c r="S213" s="66"/>
      <c r="T213" s="116"/>
      <c r="U213" s="11"/>
      <c r="V213" s="11" t="b">
        <v>0</v>
      </c>
      <c r="W213" s="11" t="b">
        <v>0</v>
      </c>
      <c r="X213" s="11"/>
      <c r="Y213" s="115"/>
      <c r="Z213" s="11" t="b">
        <v>0</v>
      </c>
      <c r="AA213" s="115"/>
      <c r="AB213" s="11" t="b">
        <v>0</v>
      </c>
      <c r="AC213" s="117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212">
        <v>1.0</v>
      </c>
      <c r="H214" s="115"/>
      <c r="I214" s="115" t="b">
        <v>0</v>
      </c>
      <c r="J214" s="66"/>
      <c r="K214" s="11" t="s">
        <v>1174</v>
      </c>
      <c r="L214" s="11" t="b">
        <v>0</v>
      </c>
      <c r="M214" s="11" t="b">
        <v>0</v>
      </c>
      <c r="N214" s="66"/>
      <c r="O214" s="66"/>
      <c r="P214" s="66"/>
      <c r="Q214" s="66"/>
      <c r="R214" s="66"/>
      <c r="S214" s="66"/>
      <c r="T214" s="116"/>
      <c r="U214" s="11"/>
      <c r="V214" s="11" t="b">
        <v>0</v>
      </c>
      <c r="W214" s="11" t="b">
        <v>0</v>
      </c>
      <c r="X214" s="11"/>
      <c r="Y214" s="115"/>
      <c r="Z214" s="11" t="b">
        <v>0</v>
      </c>
      <c r="AA214" s="115"/>
      <c r="AB214" s="11" t="b">
        <v>0</v>
      </c>
      <c r="AC214" s="117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212">
        <v>1.0</v>
      </c>
      <c r="H215" s="115"/>
      <c r="I215" s="115" t="b">
        <v>0</v>
      </c>
      <c r="J215" s="66"/>
      <c r="K215" s="11" t="s">
        <v>1174</v>
      </c>
      <c r="L215" s="11" t="b">
        <v>0</v>
      </c>
      <c r="M215" s="11" t="b">
        <v>0</v>
      </c>
      <c r="N215" s="66"/>
      <c r="O215" s="66"/>
      <c r="P215" s="66"/>
      <c r="Q215" s="66"/>
      <c r="R215" s="66"/>
      <c r="S215" s="66"/>
      <c r="T215" s="116"/>
      <c r="U215" s="11"/>
      <c r="V215" s="11" t="b">
        <v>0</v>
      </c>
      <c r="W215" s="11" t="b">
        <v>0</v>
      </c>
      <c r="X215" s="11"/>
      <c r="Y215" s="115"/>
      <c r="Z215" s="11" t="b">
        <v>0</v>
      </c>
      <c r="AA215" s="115"/>
      <c r="AB215" s="11" t="b">
        <v>0</v>
      </c>
      <c r="AC215" s="117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212">
        <v>1.0</v>
      </c>
      <c r="H216" s="115"/>
      <c r="I216" s="115" t="b">
        <v>0</v>
      </c>
      <c r="J216" s="66"/>
      <c r="K216" s="11" t="s">
        <v>1174</v>
      </c>
      <c r="L216" s="11" t="b">
        <v>0</v>
      </c>
      <c r="M216" s="11" t="b">
        <v>0</v>
      </c>
      <c r="N216" s="66"/>
      <c r="O216" s="66"/>
      <c r="P216" s="66"/>
      <c r="Q216" s="66"/>
      <c r="R216" s="66"/>
      <c r="S216" s="66"/>
      <c r="T216" s="116"/>
      <c r="U216" s="11"/>
      <c r="V216" s="11" t="b">
        <v>0</v>
      </c>
      <c r="W216" s="11" t="b">
        <v>0</v>
      </c>
      <c r="X216" s="11"/>
      <c r="Y216" s="115"/>
      <c r="Z216" s="11" t="b">
        <v>0</v>
      </c>
      <c r="AA216" s="115"/>
      <c r="AB216" s="11" t="b">
        <v>0</v>
      </c>
      <c r="AC216" s="117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212">
        <v>1.0</v>
      </c>
      <c r="H217" s="115"/>
      <c r="I217" s="115" t="b">
        <v>0</v>
      </c>
      <c r="J217" s="66"/>
      <c r="K217" s="11" t="s">
        <v>1174</v>
      </c>
      <c r="L217" s="11" t="b">
        <v>0</v>
      </c>
      <c r="M217" s="11" t="b">
        <v>0</v>
      </c>
      <c r="N217" s="66"/>
      <c r="O217" s="66"/>
      <c r="P217" s="66"/>
      <c r="Q217" s="66"/>
      <c r="R217" s="66"/>
      <c r="S217" s="66"/>
      <c r="T217" s="116"/>
      <c r="U217" s="11"/>
      <c r="V217" s="11" t="b">
        <v>0</v>
      </c>
      <c r="W217" s="11" t="b">
        <v>0</v>
      </c>
      <c r="X217" s="11"/>
      <c r="Y217" s="115"/>
      <c r="Z217" s="11" t="b">
        <v>0</v>
      </c>
      <c r="AA217" s="115"/>
      <c r="AB217" s="11" t="b">
        <v>0</v>
      </c>
      <c r="AC217" s="117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212">
        <v>1.0</v>
      </c>
      <c r="H218" s="115"/>
      <c r="I218" s="115" t="b">
        <v>0</v>
      </c>
      <c r="J218" s="66"/>
      <c r="K218" s="11" t="s">
        <v>1174</v>
      </c>
      <c r="L218" s="11" t="b">
        <v>0</v>
      </c>
      <c r="M218" s="11" t="b">
        <v>0</v>
      </c>
      <c r="N218" s="66"/>
      <c r="O218" s="66"/>
      <c r="P218" s="66"/>
      <c r="Q218" s="66"/>
      <c r="R218" s="66"/>
      <c r="S218" s="66"/>
      <c r="T218" s="116"/>
      <c r="U218" s="11"/>
      <c r="V218" s="11" t="b">
        <v>0</v>
      </c>
      <c r="W218" s="11" t="b">
        <v>0</v>
      </c>
      <c r="X218" s="11"/>
      <c r="Y218" s="115"/>
      <c r="Z218" s="11" t="b">
        <v>0</v>
      </c>
      <c r="AA218" s="115"/>
      <c r="AB218" s="11" t="b">
        <v>0</v>
      </c>
      <c r="AC218" s="117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212">
        <v>1.0</v>
      </c>
      <c r="H219" s="115"/>
      <c r="I219" s="115" t="b">
        <v>0</v>
      </c>
      <c r="J219" s="66"/>
      <c r="K219" s="11" t="s">
        <v>1174</v>
      </c>
      <c r="L219" s="11" t="b">
        <v>0</v>
      </c>
      <c r="M219" s="11" t="b">
        <v>0</v>
      </c>
      <c r="N219" s="66"/>
      <c r="O219" s="66"/>
      <c r="P219" s="66"/>
      <c r="Q219" s="66"/>
      <c r="R219" s="66"/>
      <c r="S219" s="66"/>
      <c r="T219" s="116"/>
      <c r="U219" s="11"/>
      <c r="V219" s="11" t="b">
        <v>0</v>
      </c>
      <c r="W219" s="11" t="b">
        <v>0</v>
      </c>
      <c r="X219" s="11"/>
      <c r="Y219" s="115"/>
      <c r="Z219" s="11" t="b">
        <v>0</v>
      </c>
      <c r="AA219" s="115"/>
      <c r="AB219" s="11" t="b">
        <v>0</v>
      </c>
      <c r="AC219" s="117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212">
        <v>1.0</v>
      </c>
      <c r="H220" s="115"/>
      <c r="I220" s="115" t="b">
        <v>0</v>
      </c>
      <c r="J220" s="66"/>
      <c r="K220" s="11" t="s">
        <v>1174</v>
      </c>
      <c r="L220" s="11" t="b">
        <v>0</v>
      </c>
      <c r="M220" s="11" t="b">
        <v>0</v>
      </c>
      <c r="N220" s="66"/>
      <c r="O220" s="66"/>
      <c r="P220" s="66"/>
      <c r="Q220" s="66"/>
      <c r="R220" s="66"/>
      <c r="S220" s="66"/>
      <c r="T220" s="116"/>
      <c r="U220" s="11"/>
      <c r="V220" s="11" t="b">
        <v>0</v>
      </c>
      <c r="W220" s="11" t="b">
        <v>0</v>
      </c>
      <c r="X220" s="11"/>
      <c r="Y220" s="115"/>
      <c r="Z220" s="11" t="b">
        <v>0</v>
      </c>
      <c r="AA220" s="115"/>
      <c r="AB220" s="11" t="b">
        <v>0</v>
      </c>
      <c r="AC220" s="117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212">
        <v>1.0</v>
      </c>
      <c r="H221" s="115"/>
      <c r="I221" s="115" t="b">
        <v>0</v>
      </c>
      <c r="J221" s="66"/>
      <c r="K221" s="11" t="s">
        <v>1174</v>
      </c>
      <c r="L221" s="11" t="b">
        <v>0</v>
      </c>
      <c r="M221" s="11" t="b">
        <v>0</v>
      </c>
      <c r="N221" s="66"/>
      <c r="O221" s="66"/>
      <c r="P221" s="66"/>
      <c r="Q221" s="66"/>
      <c r="R221" s="66"/>
      <c r="S221" s="66"/>
      <c r="T221" s="116"/>
      <c r="U221" s="11"/>
      <c r="V221" s="11" t="b">
        <v>0</v>
      </c>
      <c r="W221" s="11" t="b">
        <v>0</v>
      </c>
      <c r="X221" s="11"/>
      <c r="Y221" s="115"/>
      <c r="Z221" s="11" t="b">
        <v>0</v>
      </c>
      <c r="AA221" s="115"/>
      <c r="AB221" s="11" t="b">
        <v>0</v>
      </c>
      <c r="AC221" s="117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212">
        <v>1.0</v>
      </c>
      <c r="H222" s="115"/>
      <c r="I222" s="115" t="b">
        <v>0</v>
      </c>
      <c r="J222" s="66"/>
      <c r="K222" s="11" t="s">
        <v>1174</v>
      </c>
      <c r="L222" s="11" t="b">
        <v>0</v>
      </c>
      <c r="M222" s="11" t="b">
        <v>0</v>
      </c>
      <c r="N222" s="66"/>
      <c r="O222" s="66"/>
      <c r="P222" s="66"/>
      <c r="Q222" s="66"/>
      <c r="R222" s="66"/>
      <c r="S222" s="66"/>
      <c r="T222" s="116"/>
      <c r="U222" s="11"/>
      <c r="V222" s="11" t="b">
        <v>0</v>
      </c>
      <c r="W222" s="11" t="b">
        <v>0</v>
      </c>
      <c r="X222" s="11"/>
      <c r="Y222" s="115"/>
      <c r="Z222" s="11" t="b">
        <v>0</v>
      </c>
      <c r="AA222" s="115"/>
      <c r="AB222" s="11" t="b">
        <v>0</v>
      </c>
      <c r="AC222" s="117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212">
        <v>1.0</v>
      </c>
      <c r="H223" s="115"/>
      <c r="I223" s="115" t="b">
        <v>0</v>
      </c>
      <c r="J223" s="66"/>
      <c r="K223" s="11" t="s">
        <v>1174</v>
      </c>
      <c r="L223" s="11" t="b">
        <v>0</v>
      </c>
      <c r="M223" s="11" t="b">
        <v>0</v>
      </c>
      <c r="N223" s="66"/>
      <c r="O223" s="66"/>
      <c r="P223" s="66"/>
      <c r="Q223" s="66"/>
      <c r="R223" s="66"/>
      <c r="S223" s="66"/>
      <c r="T223" s="116"/>
      <c r="U223" s="11"/>
      <c r="V223" s="11" t="b">
        <v>0</v>
      </c>
      <c r="W223" s="11" t="b">
        <v>0</v>
      </c>
      <c r="X223" s="11"/>
      <c r="Y223" s="115"/>
      <c r="Z223" s="11" t="b">
        <v>0</v>
      </c>
      <c r="AA223" s="115"/>
      <c r="AB223" s="11" t="b">
        <v>0</v>
      </c>
      <c r="AC223" s="117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212">
        <v>1.0</v>
      </c>
      <c r="H224" s="115"/>
      <c r="I224" s="115" t="b">
        <v>0</v>
      </c>
      <c r="J224" s="66"/>
      <c r="K224" s="11" t="s">
        <v>1174</v>
      </c>
      <c r="L224" s="11" t="b">
        <v>0</v>
      </c>
      <c r="M224" s="11" t="b">
        <v>0</v>
      </c>
      <c r="N224" s="66"/>
      <c r="O224" s="66"/>
      <c r="P224" s="66"/>
      <c r="Q224" s="66"/>
      <c r="R224" s="66"/>
      <c r="S224" s="66"/>
      <c r="T224" s="116"/>
      <c r="U224" s="11"/>
      <c r="V224" s="11" t="b">
        <v>0</v>
      </c>
      <c r="W224" s="11" t="b">
        <v>0</v>
      </c>
      <c r="X224" s="11"/>
      <c r="Y224" s="115"/>
      <c r="Z224" s="11" t="b">
        <v>0</v>
      </c>
      <c r="AA224" s="115"/>
      <c r="AB224" s="11" t="b">
        <v>0</v>
      </c>
      <c r="AC224" s="117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212">
        <v>1.0</v>
      </c>
      <c r="H225" s="115"/>
      <c r="I225" s="115" t="b">
        <v>0</v>
      </c>
      <c r="J225" s="66"/>
      <c r="K225" s="11" t="s">
        <v>1174</v>
      </c>
      <c r="L225" s="11" t="b">
        <v>0</v>
      </c>
      <c r="M225" s="11" t="b">
        <v>0</v>
      </c>
      <c r="N225" s="66"/>
      <c r="O225" s="66"/>
      <c r="P225" s="66"/>
      <c r="Q225" s="66"/>
      <c r="R225" s="66"/>
      <c r="S225" s="66"/>
      <c r="T225" s="116"/>
      <c r="U225" s="11"/>
      <c r="V225" s="11" t="b">
        <v>0</v>
      </c>
      <c r="W225" s="11" t="b">
        <v>0</v>
      </c>
      <c r="X225" s="11"/>
      <c r="Y225" s="115"/>
      <c r="Z225" s="11" t="b">
        <v>0</v>
      </c>
      <c r="AA225" s="115"/>
      <c r="AB225" s="11" t="b">
        <v>0</v>
      </c>
      <c r="AC225" s="117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212">
        <v>1.0</v>
      </c>
      <c r="H226" s="115"/>
      <c r="I226" s="115" t="b">
        <v>0</v>
      </c>
      <c r="J226" s="66"/>
      <c r="K226" s="11" t="s">
        <v>1174</v>
      </c>
      <c r="L226" s="11" t="b">
        <v>0</v>
      </c>
      <c r="M226" s="11" t="b">
        <v>0</v>
      </c>
      <c r="N226" s="66"/>
      <c r="O226" s="66"/>
      <c r="P226" s="66"/>
      <c r="Q226" s="66"/>
      <c r="R226" s="66"/>
      <c r="S226" s="66"/>
      <c r="T226" s="116"/>
      <c r="U226" s="11"/>
      <c r="V226" s="11" t="b">
        <v>0</v>
      </c>
      <c r="W226" s="11" t="b">
        <v>0</v>
      </c>
      <c r="X226" s="11"/>
      <c r="Y226" s="115"/>
      <c r="Z226" s="11" t="b">
        <v>0</v>
      </c>
      <c r="AA226" s="115"/>
      <c r="AB226" s="11" t="b">
        <v>0</v>
      </c>
      <c r="AC226" s="117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212">
        <v>1.0</v>
      </c>
      <c r="H227" s="115"/>
      <c r="I227" s="115" t="b">
        <v>0</v>
      </c>
      <c r="J227" s="66"/>
      <c r="K227" s="11" t="s">
        <v>1174</v>
      </c>
      <c r="L227" s="11" t="b">
        <v>0</v>
      </c>
      <c r="M227" s="11" t="b">
        <v>0</v>
      </c>
      <c r="N227" s="66"/>
      <c r="O227" s="66"/>
      <c r="P227" s="66"/>
      <c r="Q227" s="66"/>
      <c r="R227" s="66"/>
      <c r="S227" s="66"/>
      <c r="T227" s="116"/>
      <c r="U227" s="11"/>
      <c r="V227" s="11" t="b">
        <v>0</v>
      </c>
      <c r="W227" s="11" t="b">
        <v>0</v>
      </c>
      <c r="X227" s="11"/>
      <c r="Y227" s="115"/>
      <c r="Z227" s="11" t="b">
        <v>0</v>
      </c>
      <c r="AA227" s="115"/>
      <c r="AB227" s="11" t="b">
        <v>0</v>
      </c>
      <c r="AC227" s="117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212">
        <v>1.0</v>
      </c>
      <c r="H228" s="115"/>
      <c r="I228" s="115" t="b">
        <v>0</v>
      </c>
      <c r="J228" s="66"/>
      <c r="K228" s="11" t="s">
        <v>1174</v>
      </c>
      <c r="L228" s="11" t="b">
        <v>0</v>
      </c>
      <c r="M228" s="11" t="b">
        <v>0</v>
      </c>
      <c r="N228" s="66"/>
      <c r="O228" s="66"/>
      <c r="P228" s="66"/>
      <c r="Q228" s="66"/>
      <c r="R228" s="66"/>
      <c r="S228" s="66"/>
      <c r="T228" s="116"/>
      <c r="U228" s="11"/>
      <c r="V228" s="11" t="b">
        <v>0</v>
      </c>
      <c r="W228" s="11" t="b">
        <v>0</v>
      </c>
      <c r="X228" s="11"/>
      <c r="Y228" s="115"/>
      <c r="Z228" s="11" t="b">
        <v>0</v>
      </c>
      <c r="AA228" s="115"/>
      <c r="AB228" s="11" t="b">
        <v>0</v>
      </c>
      <c r="AC228" s="117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212">
        <v>1.0</v>
      </c>
      <c r="H229" s="115"/>
      <c r="I229" s="115" t="b">
        <v>0</v>
      </c>
      <c r="J229" s="66"/>
      <c r="K229" s="11" t="s">
        <v>1174</v>
      </c>
      <c r="L229" s="11" t="b">
        <v>0</v>
      </c>
      <c r="M229" s="11" t="b">
        <v>0</v>
      </c>
      <c r="N229" s="66"/>
      <c r="O229" s="66"/>
      <c r="P229" s="66"/>
      <c r="Q229" s="66"/>
      <c r="R229" s="66"/>
      <c r="S229" s="66"/>
      <c r="T229" s="116"/>
      <c r="U229" s="11"/>
      <c r="V229" s="11" t="b">
        <v>0</v>
      </c>
      <c r="W229" s="11" t="b">
        <v>0</v>
      </c>
      <c r="X229" s="11"/>
      <c r="Y229" s="115"/>
      <c r="Z229" s="11" t="b">
        <v>0</v>
      </c>
      <c r="AA229" s="115"/>
      <c r="AB229" s="11" t="b">
        <v>0</v>
      </c>
      <c r="AC229" s="117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212">
        <v>1.0</v>
      </c>
      <c r="H230" s="115"/>
      <c r="I230" s="115" t="b">
        <v>0</v>
      </c>
      <c r="J230" s="66"/>
      <c r="K230" s="11" t="s">
        <v>1174</v>
      </c>
      <c r="L230" s="11" t="b">
        <v>0</v>
      </c>
      <c r="M230" s="11" t="b">
        <v>0</v>
      </c>
      <c r="N230" s="66"/>
      <c r="O230" s="66"/>
      <c r="P230" s="66"/>
      <c r="Q230" s="66"/>
      <c r="R230" s="66"/>
      <c r="S230" s="66"/>
      <c r="T230" s="116"/>
      <c r="U230" s="11"/>
      <c r="V230" s="11" t="b">
        <v>0</v>
      </c>
      <c r="W230" s="11" t="b">
        <v>0</v>
      </c>
      <c r="X230" s="11"/>
      <c r="Y230" s="115"/>
      <c r="Z230" s="11" t="b">
        <v>0</v>
      </c>
      <c r="AA230" s="115"/>
      <c r="AB230" s="11" t="b">
        <v>0</v>
      </c>
      <c r="AC230" s="117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212">
        <v>1.0</v>
      </c>
      <c r="H231" s="115"/>
      <c r="I231" s="115" t="b">
        <v>0</v>
      </c>
      <c r="J231" s="66"/>
      <c r="K231" s="11" t="s">
        <v>1174</v>
      </c>
      <c r="L231" s="11" t="b">
        <v>0</v>
      </c>
      <c r="M231" s="11" t="b">
        <v>0</v>
      </c>
      <c r="N231" s="66"/>
      <c r="O231" s="66"/>
      <c r="P231" s="66"/>
      <c r="Q231" s="66"/>
      <c r="R231" s="66"/>
      <c r="S231" s="66"/>
      <c r="T231" s="116"/>
      <c r="U231" s="11"/>
      <c r="V231" s="11" t="b">
        <v>0</v>
      </c>
      <c r="W231" s="11" t="b">
        <v>0</v>
      </c>
      <c r="X231" s="11"/>
      <c r="Y231" s="115"/>
      <c r="Z231" s="11" t="b">
        <v>0</v>
      </c>
      <c r="AA231" s="115"/>
      <c r="AB231" s="11" t="b">
        <v>0</v>
      </c>
      <c r="AC231" s="117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212">
        <v>1.0</v>
      </c>
      <c r="H232" s="115"/>
      <c r="I232" s="115" t="b">
        <v>0</v>
      </c>
      <c r="J232" s="66"/>
      <c r="K232" s="11" t="s">
        <v>1174</v>
      </c>
      <c r="L232" s="11" t="b">
        <v>0</v>
      </c>
      <c r="M232" s="11" t="b">
        <v>0</v>
      </c>
      <c r="N232" s="66"/>
      <c r="O232" s="66"/>
      <c r="P232" s="66"/>
      <c r="Q232" s="66"/>
      <c r="R232" s="66"/>
      <c r="S232" s="66"/>
      <c r="T232" s="116"/>
      <c r="U232" s="11"/>
      <c r="V232" s="11" t="b">
        <v>0</v>
      </c>
      <c r="W232" s="11" t="b">
        <v>0</v>
      </c>
      <c r="X232" s="11"/>
      <c r="Y232" s="115"/>
      <c r="Z232" s="11" t="b">
        <v>0</v>
      </c>
      <c r="AA232" s="115"/>
      <c r="AB232" s="11" t="b">
        <v>0</v>
      </c>
      <c r="AC232" s="117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212">
        <v>1.0</v>
      </c>
      <c r="H233" s="115"/>
      <c r="I233" s="115" t="b">
        <v>0</v>
      </c>
      <c r="J233" s="66"/>
      <c r="K233" s="11" t="s">
        <v>1174</v>
      </c>
      <c r="L233" s="11" t="b">
        <v>0</v>
      </c>
      <c r="M233" s="11" t="b">
        <v>0</v>
      </c>
      <c r="N233" s="66"/>
      <c r="O233" s="66"/>
      <c r="P233" s="66"/>
      <c r="Q233" s="66"/>
      <c r="R233" s="66"/>
      <c r="S233" s="66"/>
      <c r="T233" s="116"/>
      <c r="U233" s="11"/>
      <c r="V233" s="11" t="b">
        <v>0</v>
      </c>
      <c r="W233" s="11" t="b">
        <v>0</v>
      </c>
      <c r="X233" s="11"/>
      <c r="Y233" s="115"/>
      <c r="Z233" s="11" t="b">
        <v>0</v>
      </c>
      <c r="AA233" s="115"/>
      <c r="AB233" s="11" t="b">
        <v>0</v>
      </c>
      <c r="AC233" s="117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212">
        <v>1.0</v>
      </c>
      <c r="H234" s="115"/>
      <c r="I234" s="115" t="b">
        <v>0</v>
      </c>
      <c r="J234" s="66"/>
      <c r="K234" s="11" t="s">
        <v>1174</v>
      </c>
      <c r="L234" s="11" t="b">
        <v>0</v>
      </c>
      <c r="M234" s="11" t="b">
        <v>0</v>
      </c>
      <c r="N234" s="66"/>
      <c r="O234" s="66"/>
      <c r="P234" s="66"/>
      <c r="Q234" s="66"/>
      <c r="R234" s="66"/>
      <c r="S234" s="66"/>
      <c r="T234" s="116"/>
      <c r="U234" s="11"/>
      <c r="V234" s="11" t="b">
        <v>0</v>
      </c>
      <c r="W234" s="11" t="b">
        <v>0</v>
      </c>
      <c r="X234" s="11"/>
      <c r="Y234" s="115"/>
      <c r="Z234" s="11" t="b">
        <v>0</v>
      </c>
      <c r="AA234" s="115"/>
      <c r="AB234" s="11" t="b">
        <v>0</v>
      </c>
      <c r="AC234" s="117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212">
        <v>1.0</v>
      </c>
      <c r="H235" s="115"/>
      <c r="I235" s="115" t="b">
        <v>0</v>
      </c>
      <c r="J235" s="66"/>
      <c r="K235" s="11" t="s">
        <v>1174</v>
      </c>
      <c r="L235" s="11" t="b">
        <v>0</v>
      </c>
      <c r="M235" s="11" t="b">
        <v>0</v>
      </c>
      <c r="N235" s="66"/>
      <c r="O235" s="66"/>
      <c r="P235" s="66"/>
      <c r="Q235" s="66"/>
      <c r="R235" s="66"/>
      <c r="S235" s="66"/>
      <c r="T235" s="116"/>
      <c r="U235" s="11"/>
      <c r="V235" s="11" t="b">
        <v>0</v>
      </c>
      <c r="W235" s="11" t="b">
        <v>0</v>
      </c>
      <c r="X235" s="11"/>
      <c r="Y235" s="115"/>
      <c r="Z235" s="11" t="b">
        <v>0</v>
      </c>
      <c r="AA235" s="115"/>
      <c r="AB235" s="11" t="b">
        <v>0</v>
      </c>
      <c r="AC235" s="117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212">
        <v>1.0</v>
      </c>
      <c r="H236" s="115"/>
      <c r="I236" s="115" t="b">
        <v>0</v>
      </c>
      <c r="J236" s="66"/>
      <c r="K236" s="11" t="s">
        <v>1174</v>
      </c>
      <c r="L236" s="11" t="b">
        <v>0</v>
      </c>
      <c r="M236" s="11" t="b">
        <v>0</v>
      </c>
      <c r="N236" s="66"/>
      <c r="O236" s="66"/>
      <c r="P236" s="66"/>
      <c r="Q236" s="66"/>
      <c r="R236" s="66"/>
      <c r="S236" s="66"/>
      <c r="T236" s="116"/>
      <c r="U236" s="11"/>
      <c r="V236" s="11" t="b">
        <v>0</v>
      </c>
      <c r="W236" s="11" t="b">
        <v>0</v>
      </c>
      <c r="X236" s="11"/>
      <c r="Y236" s="115"/>
      <c r="Z236" s="11" t="b">
        <v>0</v>
      </c>
      <c r="AA236" s="115"/>
      <c r="AB236" s="11" t="b">
        <v>0</v>
      </c>
      <c r="AC236" s="117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212">
        <v>1.0</v>
      </c>
      <c r="H237" s="115"/>
      <c r="I237" s="115" t="b">
        <v>0</v>
      </c>
      <c r="J237" s="66"/>
      <c r="K237" s="11" t="s">
        <v>1174</v>
      </c>
      <c r="L237" s="11" t="b">
        <v>0</v>
      </c>
      <c r="M237" s="11" t="b">
        <v>0</v>
      </c>
      <c r="N237" s="66"/>
      <c r="O237" s="66"/>
      <c r="P237" s="66"/>
      <c r="Q237" s="66"/>
      <c r="R237" s="66"/>
      <c r="S237" s="66"/>
      <c r="T237" s="116"/>
      <c r="U237" s="11"/>
      <c r="V237" s="11" t="b">
        <v>0</v>
      </c>
      <c r="W237" s="11" t="b">
        <v>0</v>
      </c>
      <c r="X237" s="11"/>
      <c r="Y237" s="115"/>
      <c r="Z237" s="11" t="b">
        <v>0</v>
      </c>
      <c r="AA237" s="115"/>
      <c r="AB237" s="11" t="b">
        <v>0</v>
      </c>
      <c r="AC237" s="117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212">
        <v>1.0</v>
      </c>
      <c r="H238" s="115"/>
      <c r="I238" s="115" t="b">
        <v>0</v>
      </c>
      <c r="J238" s="66"/>
      <c r="K238" s="11" t="s">
        <v>1174</v>
      </c>
      <c r="L238" s="11" t="b">
        <v>0</v>
      </c>
      <c r="M238" s="11" t="b">
        <v>0</v>
      </c>
      <c r="N238" s="66"/>
      <c r="O238" s="66"/>
      <c r="P238" s="66"/>
      <c r="Q238" s="66"/>
      <c r="R238" s="66"/>
      <c r="S238" s="66"/>
      <c r="T238" s="116"/>
      <c r="U238" s="11"/>
      <c r="V238" s="11" t="b">
        <v>0</v>
      </c>
      <c r="W238" s="11" t="b">
        <v>0</v>
      </c>
      <c r="X238" s="11"/>
      <c r="Y238" s="115"/>
      <c r="Z238" s="11" t="b">
        <v>0</v>
      </c>
      <c r="AA238" s="115"/>
      <c r="AB238" s="11" t="b">
        <v>0</v>
      </c>
      <c r="AC238" s="117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212">
        <v>1.0</v>
      </c>
      <c r="H239" s="115"/>
      <c r="I239" s="115" t="b">
        <v>0</v>
      </c>
      <c r="J239" s="66"/>
      <c r="K239" s="11" t="s">
        <v>1174</v>
      </c>
      <c r="L239" s="11" t="b">
        <v>0</v>
      </c>
      <c r="M239" s="11" t="b">
        <v>0</v>
      </c>
      <c r="N239" s="66"/>
      <c r="O239" s="66"/>
      <c r="P239" s="66"/>
      <c r="Q239" s="66"/>
      <c r="R239" s="66"/>
      <c r="S239" s="66"/>
      <c r="T239" s="116"/>
      <c r="U239" s="11"/>
      <c r="V239" s="11" t="b">
        <v>0</v>
      </c>
      <c r="W239" s="11" t="b">
        <v>0</v>
      </c>
      <c r="X239" s="11"/>
      <c r="Y239" s="115"/>
      <c r="Z239" s="11" t="b">
        <v>0</v>
      </c>
      <c r="AA239" s="115"/>
      <c r="AB239" s="11" t="b">
        <v>0</v>
      </c>
      <c r="AC239" s="117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212">
        <v>1.0</v>
      </c>
      <c r="H240" s="115"/>
      <c r="I240" s="115" t="b">
        <v>0</v>
      </c>
      <c r="J240" s="66"/>
      <c r="K240" s="11" t="s">
        <v>1174</v>
      </c>
      <c r="L240" s="11" t="b">
        <v>0</v>
      </c>
      <c r="M240" s="11" t="b">
        <v>0</v>
      </c>
      <c r="N240" s="66"/>
      <c r="O240" s="66"/>
      <c r="P240" s="66"/>
      <c r="Q240" s="66"/>
      <c r="R240" s="66"/>
      <c r="S240" s="66"/>
      <c r="T240" s="116"/>
      <c r="U240" s="11"/>
      <c r="V240" s="11" t="b">
        <v>0</v>
      </c>
      <c r="W240" s="11" t="b">
        <v>0</v>
      </c>
      <c r="X240" s="11"/>
      <c r="Y240" s="115"/>
      <c r="Z240" s="11" t="b">
        <v>0</v>
      </c>
      <c r="AA240" s="115"/>
      <c r="AB240" s="11" t="b">
        <v>0</v>
      </c>
      <c r="AC240" s="117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212">
        <v>1.0</v>
      </c>
      <c r="H241" s="115"/>
      <c r="I241" s="115" t="b">
        <v>0</v>
      </c>
      <c r="J241" s="66"/>
      <c r="K241" s="11" t="s">
        <v>1174</v>
      </c>
      <c r="L241" s="11" t="b">
        <v>0</v>
      </c>
      <c r="M241" s="11" t="b">
        <v>0</v>
      </c>
      <c r="N241" s="66"/>
      <c r="O241" s="66"/>
      <c r="P241" s="66"/>
      <c r="Q241" s="66"/>
      <c r="R241" s="66"/>
      <c r="S241" s="66"/>
      <c r="T241" s="116"/>
      <c r="U241" s="11"/>
      <c r="V241" s="11" t="b">
        <v>0</v>
      </c>
      <c r="W241" s="11" t="b">
        <v>0</v>
      </c>
      <c r="X241" s="11"/>
      <c r="Y241" s="115"/>
      <c r="Z241" s="11" t="b">
        <v>0</v>
      </c>
      <c r="AA241" s="115"/>
      <c r="AB241" s="11" t="b">
        <v>0</v>
      </c>
      <c r="AC241" s="117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212">
        <v>1.0</v>
      </c>
      <c r="H242" s="115"/>
      <c r="I242" s="115" t="b">
        <v>0</v>
      </c>
      <c r="J242" s="66"/>
      <c r="K242" s="11" t="s">
        <v>1174</v>
      </c>
      <c r="L242" s="11" t="b">
        <v>0</v>
      </c>
      <c r="M242" s="11" t="b">
        <v>0</v>
      </c>
      <c r="N242" s="66"/>
      <c r="O242" s="66"/>
      <c r="P242" s="66"/>
      <c r="Q242" s="66"/>
      <c r="R242" s="66"/>
      <c r="S242" s="66"/>
      <c r="T242" s="116"/>
      <c r="U242" s="11"/>
      <c r="V242" s="11" t="b">
        <v>0</v>
      </c>
      <c r="W242" s="11" t="b">
        <v>0</v>
      </c>
      <c r="X242" s="11"/>
      <c r="Y242" s="115"/>
      <c r="Z242" s="11" t="b">
        <v>0</v>
      </c>
      <c r="AA242" s="115"/>
      <c r="AB242" s="11" t="b">
        <v>0</v>
      </c>
      <c r="AC242" s="117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212">
        <v>1.0</v>
      </c>
      <c r="H243" s="115"/>
      <c r="I243" s="115" t="b">
        <v>0</v>
      </c>
      <c r="J243" s="66"/>
      <c r="K243" s="11" t="s">
        <v>1174</v>
      </c>
      <c r="L243" s="11" t="b">
        <v>0</v>
      </c>
      <c r="M243" s="11" t="b">
        <v>0</v>
      </c>
      <c r="N243" s="66"/>
      <c r="O243" s="66"/>
      <c r="P243" s="66"/>
      <c r="Q243" s="66"/>
      <c r="R243" s="66"/>
      <c r="S243" s="66"/>
      <c r="T243" s="116"/>
      <c r="U243" s="11"/>
      <c r="V243" s="11" t="b">
        <v>0</v>
      </c>
      <c r="W243" s="11" t="b">
        <v>0</v>
      </c>
      <c r="X243" s="11"/>
      <c r="Y243" s="115"/>
      <c r="Z243" s="11" t="b">
        <v>0</v>
      </c>
      <c r="AA243" s="115"/>
      <c r="AB243" s="11" t="b">
        <v>0</v>
      </c>
      <c r="AC243" s="117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212">
        <v>1.0</v>
      </c>
      <c r="H244" s="115"/>
      <c r="I244" s="115" t="b">
        <v>0</v>
      </c>
      <c r="J244" s="66"/>
      <c r="K244" s="11" t="s">
        <v>1174</v>
      </c>
      <c r="L244" s="11" t="b">
        <v>0</v>
      </c>
      <c r="M244" s="11" t="b">
        <v>0</v>
      </c>
      <c r="N244" s="66"/>
      <c r="O244" s="66"/>
      <c r="P244" s="66"/>
      <c r="Q244" s="66"/>
      <c r="R244" s="66"/>
      <c r="S244" s="66"/>
      <c r="T244" s="116"/>
      <c r="U244" s="11"/>
      <c r="V244" s="11" t="b">
        <v>0</v>
      </c>
      <c r="W244" s="11" t="b">
        <v>0</v>
      </c>
      <c r="X244" s="11"/>
      <c r="Y244" s="115"/>
      <c r="Z244" s="11" t="b">
        <v>0</v>
      </c>
      <c r="AA244" s="115"/>
      <c r="AB244" s="11" t="b">
        <v>0</v>
      </c>
      <c r="AC244" s="117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212">
        <v>1.0</v>
      </c>
      <c r="H245" s="115"/>
      <c r="I245" s="115" t="b">
        <v>0</v>
      </c>
      <c r="J245" s="66"/>
      <c r="K245" s="11" t="s">
        <v>1174</v>
      </c>
      <c r="L245" s="11" t="b">
        <v>0</v>
      </c>
      <c r="M245" s="11" t="b">
        <v>0</v>
      </c>
      <c r="N245" s="66"/>
      <c r="O245" s="66"/>
      <c r="P245" s="66"/>
      <c r="Q245" s="66"/>
      <c r="R245" s="66"/>
      <c r="S245" s="66"/>
      <c r="T245" s="116"/>
      <c r="U245" s="11"/>
      <c r="V245" s="11" t="b">
        <v>0</v>
      </c>
      <c r="W245" s="11" t="b">
        <v>0</v>
      </c>
      <c r="X245" s="11"/>
      <c r="Y245" s="115"/>
      <c r="Z245" s="11" t="b">
        <v>0</v>
      </c>
      <c r="AA245" s="115"/>
      <c r="AB245" s="11" t="b">
        <v>0</v>
      </c>
      <c r="AC245" s="117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212">
        <v>1.0</v>
      </c>
      <c r="H246" s="115"/>
      <c r="I246" s="115" t="b">
        <v>0</v>
      </c>
      <c r="J246" s="66"/>
      <c r="K246" s="11" t="s">
        <v>1174</v>
      </c>
      <c r="L246" s="11" t="b">
        <v>0</v>
      </c>
      <c r="M246" s="11" t="b">
        <v>0</v>
      </c>
      <c r="N246" s="66"/>
      <c r="O246" s="66"/>
      <c r="P246" s="66"/>
      <c r="Q246" s="66"/>
      <c r="R246" s="66"/>
      <c r="S246" s="66"/>
      <c r="T246" s="116"/>
      <c r="U246" s="11"/>
      <c r="V246" s="11" t="b">
        <v>0</v>
      </c>
      <c r="W246" s="11" t="b">
        <v>0</v>
      </c>
      <c r="X246" s="11"/>
      <c r="Y246" s="115"/>
      <c r="Z246" s="11" t="b">
        <v>0</v>
      </c>
      <c r="AA246" s="115"/>
      <c r="AB246" s="11" t="b">
        <v>0</v>
      </c>
      <c r="AC246" s="117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212">
        <v>1.0</v>
      </c>
      <c r="H247" s="115"/>
      <c r="I247" s="115" t="b">
        <v>0</v>
      </c>
      <c r="J247" s="66"/>
      <c r="K247" s="11" t="s">
        <v>1174</v>
      </c>
      <c r="L247" s="11" t="b">
        <v>0</v>
      </c>
      <c r="M247" s="11" t="b">
        <v>0</v>
      </c>
      <c r="N247" s="66"/>
      <c r="O247" s="66"/>
      <c r="P247" s="66"/>
      <c r="Q247" s="66"/>
      <c r="R247" s="66"/>
      <c r="S247" s="66"/>
      <c r="T247" s="116"/>
      <c r="U247" s="11"/>
      <c r="V247" s="11" t="b">
        <v>0</v>
      </c>
      <c r="W247" s="11" t="b">
        <v>0</v>
      </c>
      <c r="X247" s="11"/>
      <c r="Y247" s="115"/>
      <c r="Z247" s="11" t="b">
        <v>0</v>
      </c>
      <c r="AA247" s="115"/>
      <c r="AB247" s="11" t="b">
        <v>0</v>
      </c>
      <c r="AC247" s="117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212">
        <v>1.0</v>
      </c>
      <c r="H248" s="115"/>
      <c r="I248" s="115" t="b">
        <v>0</v>
      </c>
      <c r="J248" s="66"/>
      <c r="K248" s="11" t="s">
        <v>1174</v>
      </c>
      <c r="L248" s="11" t="b">
        <v>0</v>
      </c>
      <c r="M248" s="11" t="b">
        <v>0</v>
      </c>
      <c r="N248" s="66"/>
      <c r="O248" s="66"/>
      <c r="P248" s="66"/>
      <c r="Q248" s="66"/>
      <c r="R248" s="66"/>
      <c r="S248" s="66"/>
      <c r="T248" s="116"/>
      <c r="U248" s="11"/>
      <c r="V248" s="11" t="b">
        <v>0</v>
      </c>
      <c r="W248" s="11" t="b">
        <v>0</v>
      </c>
      <c r="X248" s="11"/>
      <c r="Y248" s="115"/>
      <c r="Z248" s="11" t="b">
        <v>0</v>
      </c>
      <c r="AA248" s="115"/>
      <c r="AB248" s="11" t="b">
        <v>0</v>
      </c>
      <c r="AC248" s="117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212">
        <v>1.0</v>
      </c>
      <c r="H249" s="115"/>
      <c r="I249" s="115" t="b">
        <v>0</v>
      </c>
      <c r="J249" s="66"/>
      <c r="K249" s="11" t="s">
        <v>1174</v>
      </c>
      <c r="L249" s="11" t="b">
        <v>0</v>
      </c>
      <c r="M249" s="11" t="b">
        <v>0</v>
      </c>
      <c r="N249" s="66"/>
      <c r="O249" s="66"/>
      <c r="P249" s="66"/>
      <c r="Q249" s="66"/>
      <c r="R249" s="66"/>
      <c r="S249" s="66"/>
      <c r="T249" s="116"/>
      <c r="U249" s="11"/>
      <c r="V249" s="11" t="b">
        <v>0</v>
      </c>
      <c r="W249" s="11" t="b">
        <v>0</v>
      </c>
      <c r="X249" s="11"/>
      <c r="Y249" s="115"/>
      <c r="Z249" s="11" t="b">
        <v>0</v>
      </c>
      <c r="AA249" s="115"/>
      <c r="AB249" s="11" t="b">
        <v>0</v>
      </c>
      <c r="AC249" s="117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212">
        <v>1.0</v>
      </c>
      <c r="H250" s="115"/>
      <c r="I250" s="115" t="b">
        <v>0</v>
      </c>
      <c r="J250" s="66"/>
      <c r="K250" s="11" t="s">
        <v>1174</v>
      </c>
      <c r="L250" s="11" t="b">
        <v>0</v>
      </c>
      <c r="M250" s="11" t="b">
        <v>0</v>
      </c>
      <c r="N250" s="66"/>
      <c r="O250" s="66"/>
      <c r="P250" s="66"/>
      <c r="Q250" s="66"/>
      <c r="R250" s="66"/>
      <c r="S250" s="66"/>
      <c r="T250" s="116"/>
      <c r="U250" s="11"/>
      <c r="V250" s="11" t="b">
        <v>0</v>
      </c>
      <c r="W250" s="11" t="b">
        <v>0</v>
      </c>
      <c r="X250" s="11"/>
      <c r="Y250" s="115"/>
      <c r="Z250" s="11" t="b">
        <v>0</v>
      </c>
      <c r="AA250" s="115"/>
      <c r="AB250" s="11" t="b">
        <v>0</v>
      </c>
      <c r="AC250" s="117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212">
        <v>1.0</v>
      </c>
      <c r="H251" s="115"/>
      <c r="I251" s="115" t="b">
        <v>0</v>
      </c>
      <c r="J251" s="66"/>
      <c r="K251" s="11" t="s">
        <v>1174</v>
      </c>
      <c r="L251" s="11" t="b">
        <v>0</v>
      </c>
      <c r="M251" s="11" t="b">
        <v>0</v>
      </c>
      <c r="N251" s="66"/>
      <c r="O251" s="66"/>
      <c r="P251" s="66"/>
      <c r="Q251" s="66"/>
      <c r="R251" s="66"/>
      <c r="S251" s="66"/>
      <c r="T251" s="116"/>
      <c r="U251" s="11"/>
      <c r="V251" s="11" t="b">
        <v>0</v>
      </c>
      <c r="W251" s="11" t="b">
        <v>0</v>
      </c>
      <c r="X251" s="11"/>
      <c r="Y251" s="115"/>
      <c r="Z251" s="11" t="b">
        <v>0</v>
      </c>
      <c r="AA251" s="115"/>
      <c r="AB251" s="11" t="b">
        <v>0</v>
      </c>
      <c r="AC251" s="117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212">
        <v>1.0</v>
      </c>
      <c r="H252" s="115"/>
      <c r="I252" s="115" t="b">
        <v>0</v>
      </c>
      <c r="J252" s="66"/>
      <c r="K252" s="11" t="s">
        <v>1174</v>
      </c>
      <c r="L252" s="11" t="b">
        <v>0</v>
      </c>
      <c r="M252" s="11" t="b">
        <v>0</v>
      </c>
      <c r="N252" s="66"/>
      <c r="O252" s="66"/>
      <c r="P252" s="66"/>
      <c r="Q252" s="66"/>
      <c r="R252" s="66"/>
      <c r="S252" s="66"/>
      <c r="T252" s="116"/>
      <c r="U252" s="11"/>
      <c r="V252" s="11" t="b">
        <v>0</v>
      </c>
      <c r="W252" s="11" t="b">
        <v>0</v>
      </c>
      <c r="X252" s="11"/>
      <c r="Y252" s="115"/>
      <c r="Z252" s="11" t="b">
        <v>0</v>
      </c>
      <c r="AA252" s="115"/>
      <c r="AB252" s="11" t="b">
        <v>0</v>
      </c>
      <c r="AC252" s="117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212">
        <v>1.0</v>
      </c>
      <c r="H253" s="115"/>
      <c r="I253" s="115" t="b">
        <v>0</v>
      </c>
      <c r="J253" s="66"/>
      <c r="K253" s="11" t="s">
        <v>1174</v>
      </c>
      <c r="L253" s="11" t="b">
        <v>0</v>
      </c>
      <c r="M253" s="11" t="b">
        <v>0</v>
      </c>
      <c r="N253" s="66"/>
      <c r="O253" s="66"/>
      <c r="P253" s="66"/>
      <c r="Q253" s="66"/>
      <c r="R253" s="66"/>
      <c r="S253" s="66"/>
      <c r="T253" s="116"/>
      <c r="U253" s="11"/>
      <c r="V253" s="11" t="b">
        <v>0</v>
      </c>
      <c r="W253" s="11" t="b">
        <v>0</v>
      </c>
      <c r="X253" s="11"/>
      <c r="Y253" s="115"/>
      <c r="Z253" s="11" t="b">
        <v>0</v>
      </c>
      <c r="AA253" s="115"/>
      <c r="AB253" s="11" t="b">
        <v>0</v>
      </c>
      <c r="AC253" s="117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212">
        <v>1.0</v>
      </c>
      <c r="H254" s="115"/>
      <c r="I254" s="115" t="b">
        <v>0</v>
      </c>
      <c r="J254" s="66"/>
      <c r="K254" s="11" t="s">
        <v>1174</v>
      </c>
      <c r="L254" s="11" t="b">
        <v>0</v>
      </c>
      <c r="M254" s="11" t="b">
        <v>0</v>
      </c>
      <c r="N254" s="66"/>
      <c r="O254" s="66"/>
      <c r="P254" s="66"/>
      <c r="Q254" s="66"/>
      <c r="R254" s="66"/>
      <c r="S254" s="66"/>
      <c r="T254" s="116"/>
      <c r="U254" s="11"/>
      <c r="V254" s="11" t="b">
        <v>0</v>
      </c>
      <c r="W254" s="11" t="b">
        <v>0</v>
      </c>
      <c r="X254" s="11"/>
      <c r="Y254" s="115"/>
      <c r="Z254" s="11" t="b">
        <v>0</v>
      </c>
      <c r="AA254" s="115"/>
      <c r="AB254" s="11" t="b">
        <v>0</v>
      </c>
      <c r="AC254" s="117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212">
        <v>1.0</v>
      </c>
      <c r="H255" s="115"/>
      <c r="I255" s="115" t="b">
        <v>0</v>
      </c>
      <c r="J255" s="66"/>
      <c r="K255" s="11" t="s">
        <v>1174</v>
      </c>
      <c r="L255" s="11" t="b">
        <v>0</v>
      </c>
      <c r="M255" s="11" t="b">
        <v>0</v>
      </c>
      <c r="N255" s="66"/>
      <c r="O255" s="66"/>
      <c r="P255" s="66"/>
      <c r="Q255" s="66"/>
      <c r="R255" s="66"/>
      <c r="S255" s="66"/>
      <c r="T255" s="116"/>
      <c r="U255" s="11"/>
      <c r="V255" s="11" t="b">
        <v>0</v>
      </c>
      <c r="W255" s="11" t="b">
        <v>0</v>
      </c>
      <c r="X255" s="11"/>
      <c r="Y255" s="115"/>
      <c r="Z255" s="11" t="b">
        <v>0</v>
      </c>
      <c r="AA255" s="115"/>
      <c r="AB255" s="11" t="b">
        <v>0</v>
      </c>
      <c r="AC255" s="117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212">
        <v>1.0</v>
      </c>
      <c r="H256" s="115"/>
      <c r="I256" s="115" t="b">
        <v>0</v>
      </c>
      <c r="J256" s="66"/>
      <c r="K256" s="11" t="s">
        <v>1174</v>
      </c>
      <c r="L256" s="11" t="b">
        <v>0</v>
      </c>
      <c r="M256" s="11" t="b">
        <v>0</v>
      </c>
      <c r="N256" s="66"/>
      <c r="O256" s="66"/>
      <c r="P256" s="66"/>
      <c r="Q256" s="66"/>
      <c r="R256" s="66"/>
      <c r="S256" s="66"/>
      <c r="T256" s="116"/>
      <c r="U256" s="11"/>
      <c r="V256" s="11" t="b">
        <v>0</v>
      </c>
      <c r="W256" s="11" t="b">
        <v>0</v>
      </c>
      <c r="X256" s="11"/>
      <c r="Y256" s="115"/>
      <c r="Z256" s="11" t="b">
        <v>0</v>
      </c>
      <c r="AA256" s="115"/>
      <c r="AB256" s="11" t="b">
        <v>0</v>
      </c>
      <c r="AC256" s="117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212">
        <v>1.0</v>
      </c>
      <c r="H257" s="115"/>
      <c r="I257" s="115" t="b">
        <v>0</v>
      </c>
      <c r="J257" s="66"/>
      <c r="K257" s="11" t="s">
        <v>1174</v>
      </c>
      <c r="L257" s="11" t="b">
        <v>0</v>
      </c>
      <c r="M257" s="11" t="b">
        <v>0</v>
      </c>
      <c r="N257" s="66"/>
      <c r="O257" s="66"/>
      <c r="P257" s="66"/>
      <c r="Q257" s="66"/>
      <c r="R257" s="66"/>
      <c r="S257" s="66"/>
      <c r="T257" s="116"/>
      <c r="U257" s="11"/>
      <c r="V257" s="11" t="b">
        <v>0</v>
      </c>
      <c r="W257" s="11" t="b">
        <v>0</v>
      </c>
      <c r="X257" s="11"/>
      <c r="Y257" s="115"/>
      <c r="Z257" s="11" t="b">
        <v>0</v>
      </c>
      <c r="AA257" s="115"/>
      <c r="AB257" s="11" t="b">
        <v>0</v>
      </c>
      <c r="AC257" s="117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212">
        <v>1.0</v>
      </c>
      <c r="H258" s="115"/>
      <c r="I258" s="115" t="b">
        <v>0</v>
      </c>
      <c r="J258" s="66"/>
      <c r="K258" s="11" t="s">
        <v>1174</v>
      </c>
      <c r="L258" s="11" t="b">
        <v>0</v>
      </c>
      <c r="M258" s="11" t="b">
        <v>0</v>
      </c>
      <c r="N258" s="66"/>
      <c r="O258" s="66"/>
      <c r="P258" s="66"/>
      <c r="Q258" s="66"/>
      <c r="R258" s="66"/>
      <c r="S258" s="66"/>
      <c r="T258" s="116"/>
      <c r="U258" s="11"/>
      <c r="V258" s="11" t="b">
        <v>0</v>
      </c>
      <c r="W258" s="11" t="b">
        <v>0</v>
      </c>
      <c r="X258" s="11"/>
      <c r="Y258" s="115"/>
      <c r="Z258" s="11" t="b">
        <v>0</v>
      </c>
      <c r="AA258" s="115"/>
      <c r="AB258" s="11" t="b">
        <v>0</v>
      </c>
      <c r="AC258" s="117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212">
        <v>1.0</v>
      </c>
      <c r="H259" s="115"/>
      <c r="I259" s="115" t="b">
        <v>0</v>
      </c>
      <c r="J259" s="66"/>
      <c r="K259" s="11" t="s">
        <v>1174</v>
      </c>
      <c r="L259" s="11" t="b">
        <v>0</v>
      </c>
      <c r="M259" s="11" t="b">
        <v>0</v>
      </c>
      <c r="N259" s="66"/>
      <c r="O259" s="66"/>
      <c r="P259" s="66"/>
      <c r="Q259" s="66"/>
      <c r="R259" s="66"/>
      <c r="S259" s="66"/>
      <c r="T259" s="116"/>
      <c r="U259" s="11"/>
      <c r="V259" s="11" t="b">
        <v>0</v>
      </c>
      <c r="W259" s="11" t="b">
        <v>0</v>
      </c>
      <c r="X259" s="11"/>
      <c r="Y259" s="115"/>
      <c r="Z259" s="11" t="b">
        <v>0</v>
      </c>
      <c r="AA259" s="115"/>
      <c r="AB259" s="11" t="b">
        <v>0</v>
      </c>
      <c r="AC259" s="117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212">
        <v>1.0</v>
      </c>
      <c r="H260" s="115"/>
      <c r="I260" s="115" t="b">
        <v>0</v>
      </c>
      <c r="J260" s="66"/>
      <c r="K260" s="11" t="s">
        <v>1174</v>
      </c>
      <c r="L260" s="11" t="b">
        <v>0</v>
      </c>
      <c r="M260" s="11" t="b">
        <v>0</v>
      </c>
      <c r="N260" s="66"/>
      <c r="O260" s="66"/>
      <c r="P260" s="66"/>
      <c r="Q260" s="66"/>
      <c r="R260" s="66"/>
      <c r="S260" s="66"/>
      <c r="T260" s="116"/>
      <c r="U260" s="11"/>
      <c r="V260" s="11" t="b">
        <v>0</v>
      </c>
      <c r="W260" s="11" t="b">
        <v>0</v>
      </c>
      <c r="X260" s="11"/>
      <c r="Y260" s="115"/>
      <c r="Z260" s="11" t="b">
        <v>0</v>
      </c>
      <c r="AA260" s="115"/>
      <c r="AB260" s="11" t="b">
        <v>0</v>
      </c>
      <c r="AC260" s="117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212">
        <v>1.0</v>
      </c>
      <c r="H261" s="115"/>
      <c r="I261" s="115" t="b">
        <v>0</v>
      </c>
      <c r="J261" s="66"/>
      <c r="K261" s="11" t="s">
        <v>1174</v>
      </c>
      <c r="L261" s="11" t="b">
        <v>0</v>
      </c>
      <c r="M261" s="11" t="b">
        <v>0</v>
      </c>
      <c r="N261" s="66"/>
      <c r="O261" s="66"/>
      <c r="P261" s="66"/>
      <c r="Q261" s="66"/>
      <c r="R261" s="66"/>
      <c r="S261" s="66"/>
      <c r="T261" s="116"/>
      <c r="U261" s="11"/>
      <c r="V261" s="11" t="b">
        <v>0</v>
      </c>
      <c r="W261" s="11" t="b">
        <v>0</v>
      </c>
      <c r="X261" s="11"/>
      <c r="Y261" s="115"/>
      <c r="Z261" s="11" t="b">
        <v>0</v>
      </c>
      <c r="AA261" s="115"/>
      <c r="AB261" s="11" t="b">
        <v>0</v>
      </c>
      <c r="AC261" s="117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212">
        <v>1.0</v>
      </c>
      <c r="H262" s="115"/>
      <c r="I262" s="115" t="b">
        <v>0</v>
      </c>
      <c r="J262" s="66"/>
      <c r="K262" s="11" t="s">
        <v>1174</v>
      </c>
      <c r="L262" s="11" t="b">
        <v>0</v>
      </c>
      <c r="M262" s="11" t="b">
        <v>0</v>
      </c>
      <c r="N262" s="66"/>
      <c r="O262" s="66"/>
      <c r="P262" s="66"/>
      <c r="Q262" s="66"/>
      <c r="R262" s="66"/>
      <c r="S262" s="66"/>
      <c r="T262" s="116"/>
      <c r="U262" s="11"/>
      <c r="V262" s="11" t="b">
        <v>0</v>
      </c>
      <c r="W262" s="11" t="b">
        <v>0</v>
      </c>
      <c r="X262" s="11"/>
      <c r="Y262" s="115"/>
      <c r="Z262" s="11" t="b">
        <v>0</v>
      </c>
      <c r="AA262" s="115"/>
      <c r="AB262" s="11" t="b">
        <v>0</v>
      </c>
      <c r="AC262" s="117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212">
        <v>1.0</v>
      </c>
      <c r="H263" s="115"/>
      <c r="I263" s="115" t="b">
        <v>0</v>
      </c>
      <c r="J263" s="66"/>
      <c r="K263" s="11" t="s">
        <v>1174</v>
      </c>
      <c r="L263" s="11" t="b">
        <v>0</v>
      </c>
      <c r="M263" s="11" t="b">
        <v>0</v>
      </c>
      <c r="N263" s="66"/>
      <c r="O263" s="66"/>
      <c r="P263" s="66"/>
      <c r="Q263" s="66"/>
      <c r="R263" s="66"/>
      <c r="S263" s="66"/>
      <c r="T263" s="116"/>
      <c r="U263" s="11"/>
      <c r="V263" s="11" t="b">
        <v>0</v>
      </c>
      <c r="W263" s="11" t="b">
        <v>0</v>
      </c>
      <c r="X263" s="11"/>
      <c r="Y263" s="115"/>
      <c r="Z263" s="11" t="b">
        <v>0</v>
      </c>
      <c r="AA263" s="115"/>
      <c r="AB263" s="11" t="b">
        <v>0</v>
      </c>
      <c r="AC263" s="117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212">
        <v>1.0</v>
      </c>
      <c r="H264" s="115"/>
      <c r="I264" s="115" t="b">
        <v>0</v>
      </c>
      <c r="J264" s="66"/>
      <c r="K264" s="11" t="s">
        <v>1174</v>
      </c>
      <c r="L264" s="11" t="b">
        <v>0</v>
      </c>
      <c r="M264" s="11" t="b">
        <v>0</v>
      </c>
      <c r="N264" s="66"/>
      <c r="O264" s="66"/>
      <c r="P264" s="66"/>
      <c r="Q264" s="66"/>
      <c r="R264" s="66"/>
      <c r="S264" s="66"/>
      <c r="T264" s="116"/>
      <c r="U264" s="11"/>
      <c r="V264" s="11" t="b">
        <v>0</v>
      </c>
      <c r="W264" s="11" t="b">
        <v>0</v>
      </c>
      <c r="X264" s="11"/>
      <c r="Y264" s="115"/>
      <c r="Z264" s="11" t="b">
        <v>0</v>
      </c>
      <c r="AA264" s="115"/>
      <c r="AB264" s="11" t="b">
        <v>0</v>
      </c>
      <c r="AC264" s="117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212">
        <v>1.0</v>
      </c>
      <c r="H265" s="115"/>
      <c r="I265" s="115" t="b">
        <v>0</v>
      </c>
      <c r="J265" s="66"/>
      <c r="K265" s="11" t="s">
        <v>1174</v>
      </c>
      <c r="L265" s="11" t="b">
        <v>0</v>
      </c>
      <c r="M265" s="11" t="b">
        <v>0</v>
      </c>
      <c r="N265" s="66"/>
      <c r="O265" s="66"/>
      <c r="P265" s="66"/>
      <c r="Q265" s="66"/>
      <c r="R265" s="66"/>
      <c r="S265" s="66"/>
      <c r="T265" s="116"/>
      <c r="U265" s="11"/>
      <c r="V265" s="11" t="b">
        <v>0</v>
      </c>
      <c r="W265" s="11" t="b">
        <v>0</v>
      </c>
      <c r="X265" s="11"/>
      <c r="Y265" s="115"/>
      <c r="Z265" s="11" t="b">
        <v>0</v>
      </c>
      <c r="AA265" s="115"/>
      <c r="AB265" s="11" t="b">
        <v>0</v>
      </c>
      <c r="AC265" s="117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212">
        <v>1.0</v>
      </c>
      <c r="H266" s="115"/>
      <c r="I266" s="115" t="b">
        <v>0</v>
      </c>
      <c r="J266" s="66"/>
      <c r="K266" s="11" t="s">
        <v>1174</v>
      </c>
      <c r="L266" s="11" t="b">
        <v>0</v>
      </c>
      <c r="M266" s="11" t="b">
        <v>0</v>
      </c>
      <c r="N266" s="66"/>
      <c r="O266" s="66"/>
      <c r="P266" s="66"/>
      <c r="Q266" s="66"/>
      <c r="R266" s="66"/>
      <c r="S266" s="66"/>
      <c r="T266" s="116"/>
      <c r="U266" s="11"/>
      <c r="V266" s="11" t="b">
        <v>0</v>
      </c>
      <c r="W266" s="11" t="b">
        <v>0</v>
      </c>
      <c r="X266" s="11"/>
      <c r="Y266" s="115"/>
      <c r="Z266" s="11" t="b">
        <v>0</v>
      </c>
      <c r="AA266" s="115"/>
      <c r="AB266" s="11" t="b">
        <v>0</v>
      </c>
      <c r="AC266" s="117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212">
        <v>1.0</v>
      </c>
      <c r="H267" s="115"/>
      <c r="I267" s="115" t="b">
        <v>0</v>
      </c>
      <c r="J267" s="66"/>
      <c r="K267" s="11" t="s">
        <v>1174</v>
      </c>
      <c r="L267" s="11" t="b">
        <v>0</v>
      </c>
      <c r="M267" s="11" t="b">
        <v>0</v>
      </c>
      <c r="N267" s="66"/>
      <c r="O267" s="66"/>
      <c r="P267" s="66"/>
      <c r="Q267" s="66"/>
      <c r="R267" s="66"/>
      <c r="S267" s="66"/>
      <c r="T267" s="116"/>
      <c r="U267" s="11"/>
      <c r="V267" s="11" t="b">
        <v>0</v>
      </c>
      <c r="W267" s="11" t="b">
        <v>0</v>
      </c>
      <c r="X267" s="11"/>
      <c r="Y267" s="115"/>
      <c r="Z267" s="11" t="b">
        <v>0</v>
      </c>
      <c r="AA267" s="115"/>
      <c r="AB267" s="11" t="b">
        <v>0</v>
      </c>
      <c r="AC267" s="117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212">
        <v>1.0</v>
      </c>
      <c r="H268" s="115"/>
      <c r="I268" s="115" t="b">
        <v>0</v>
      </c>
      <c r="J268" s="66"/>
      <c r="K268" s="11" t="s">
        <v>1174</v>
      </c>
      <c r="L268" s="11" t="b">
        <v>0</v>
      </c>
      <c r="M268" s="11" t="b">
        <v>0</v>
      </c>
      <c r="N268" s="66"/>
      <c r="O268" s="66"/>
      <c r="P268" s="66"/>
      <c r="Q268" s="66"/>
      <c r="R268" s="66"/>
      <c r="S268" s="66"/>
      <c r="T268" s="116"/>
      <c r="U268" s="11"/>
      <c r="V268" s="11" t="b">
        <v>0</v>
      </c>
      <c r="W268" s="11" t="b">
        <v>0</v>
      </c>
      <c r="X268" s="11"/>
      <c r="Y268" s="115"/>
      <c r="Z268" s="11" t="b">
        <v>0</v>
      </c>
      <c r="AA268" s="115"/>
      <c r="AB268" s="11" t="b">
        <v>0</v>
      </c>
      <c r="AC268" s="117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212">
        <v>1.0</v>
      </c>
      <c r="H269" s="115"/>
      <c r="I269" s="115" t="b">
        <v>0</v>
      </c>
      <c r="J269" s="66"/>
      <c r="K269" s="11" t="s">
        <v>1174</v>
      </c>
      <c r="L269" s="11" t="b">
        <v>0</v>
      </c>
      <c r="M269" s="11" t="b">
        <v>0</v>
      </c>
      <c r="N269" s="66"/>
      <c r="O269" s="66"/>
      <c r="P269" s="66"/>
      <c r="Q269" s="66"/>
      <c r="R269" s="66"/>
      <c r="S269" s="66"/>
      <c r="T269" s="116"/>
      <c r="U269" s="11"/>
      <c r="V269" s="11" t="b">
        <v>0</v>
      </c>
      <c r="W269" s="11" t="b">
        <v>0</v>
      </c>
      <c r="X269" s="11"/>
      <c r="Y269" s="115"/>
      <c r="Z269" s="11" t="b">
        <v>0</v>
      </c>
      <c r="AA269" s="115"/>
      <c r="AB269" s="11" t="b">
        <v>0</v>
      </c>
      <c r="AC269" s="117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212">
        <v>1.0</v>
      </c>
      <c r="H270" s="115"/>
      <c r="I270" s="115" t="b">
        <v>0</v>
      </c>
      <c r="J270" s="66"/>
      <c r="K270" s="11" t="s">
        <v>1174</v>
      </c>
      <c r="L270" s="11" t="b">
        <v>0</v>
      </c>
      <c r="M270" s="11" t="b">
        <v>0</v>
      </c>
      <c r="N270" s="66"/>
      <c r="O270" s="66"/>
      <c r="P270" s="66"/>
      <c r="Q270" s="66"/>
      <c r="R270" s="66"/>
      <c r="S270" s="66"/>
      <c r="T270" s="116"/>
      <c r="U270" s="11"/>
      <c r="V270" s="11" t="b">
        <v>0</v>
      </c>
      <c r="W270" s="11" t="b">
        <v>0</v>
      </c>
      <c r="X270" s="11"/>
      <c r="Y270" s="115"/>
      <c r="Z270" s="11" t="b">
        <v>0</v>
      </c>
      <c r="AA270" s="115"/>
      <c r="AB270" s="11" t="b">
        <v>0</v>
      </c>
      <c r="AC270" s="117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212">
        <v>1.0</v>
      </c>
      <c r="H271" s="115"/>
      <c r="I271" s="115" t="b">
        <v>0</v>
      </c>
      <c r="J271" s="66"/>
      <c r="K271" s="11" t="s">
        <v>1174</v>
      </c>
      <c r="L271" s="11" t="b">
        <v>0</v>
      </c>
      <c r="M271" s="11" t="b">
        <v>0</v>
      </c>
      <c r="N271" s="66"/>
      <c r="O271" s="66"/>
      <c r="P271" s="66"/>
      <c r="Q271" s="66"/>
      <c r="R271" s="66"/>
      <c r="S271" s="66"/>
      <c r="T271" s="116"/>
      <c r="U271" s="11"/>
      <c r="V271" s="11" t="b">
        <v>0</v>
      </c>
      <c r="W271" s="11" t="b">
        <v>0</v>
      </c>
      <c r="X271" s="11"/>
      <c r="Y271" s="115"/>
      <c r="Z271" s="11" t="b">
        <v>0</v>
      </c>
      <c r="AA271" s="115"/>
      <c r="AB271" s="11" t="b">
        <v>0</v>
      </c>
      <c r="AC271" s="117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212">
        <v>1.0</v>
      </c>
      <c r="H272" s="115"/>
      <c r="I272" s="115" t="b">
        <v>0</v>
      </c>
      <c r="J272" s="66"/>
      <c r="K272" s="11" t="s">
        <v>1174</v>
      </c>
      <c r="L272" s="11" t="b">
        <v>0</v>
      </c>
      <c r="M272" s="11" t="b">
        <v>0</v>
      </c>
      <c r="N272" s="66"/>
      <c r="O272" s="66"/>
      <c r="P272" s="66"/>
      <c r="Q272" s="66"/>
      <c r="R272" s="66"/>
      <c r="S272" s="66"/>
      <c r="T272" s="116"/>
      <c r="U272" s="11"/>
      <c r="V272" s="11" t="b">
        <v>0</v>
      </c>
      <c r="W272" s="11" t="b">
        <v>0</v>
      </c>
      <c r="X272" s="11"/>
      <c r="Y272" s="115"/>
      <c r="Z272" s="11" t="b">
        <v>0</v>
      </c>
      <c r="AA272" s="115"/>
      <c r="AB272" s="11" t="b">
        <v>0</v>
      </c>
      <c r="AC272" s="117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212">
        <v>1.0</v>
      </c>
      <c r="H273" s="115"/>
      <c r="I273" s="115" t="b">
        <v>0</v>
      </c>
      <c r="J273" s="66"/>
      <c r="K273" s="11" t="s">
        <v>1174</v>
      </c>
      <c r="L273" s="11" t="b">
        <v>0</v>
      </c>
      <c r="M273" s="11" t="b">
        <v>0</v>
      </c>
      <c r="N273" s="66"/>
      <c r="O273" s="66"/>
      <c r="P273" s="66"/>
      <c r="Q273" s="66"/>
      <c r="R273" s="66"/>
      <c r="S273" s="66"/>
      <c r="T273" s="116"/>
      <c r="U273" s="11"/>
      <c r="V273" s="11" t="b">
        <v>0</v>
      </c>
      <c r="W273" s="11" t="b">
        <v>0</v>
      </c>
      <c r="X273" s="11"/>
      <c r="Y273" s="115"/>
      <c r="Z273" s="11" t="b">
        <v>0</v>
      </c>
      <c r="AA273" s="115"/>
      <c r="AB273" s="11" t="b">
        <v>0</v>
      </c>
      <c r="AC273" s="117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212">
        <v>1.0</v>
      </c>
      <c r="H274" s="115"/>
      <c r="I274" s="115" t="b">
        <v>0</v>
      </c>
      <c r="J274" s="66"/>
      <c r="K274" s="11" t="s">
        <v>1174</v>
      </c>
      <c r="L274" s="11" t="b">
        <v>0</v>
      </c>
      <c r="M274" s="11" t="b">
        <v>0</v>
      </c>
      <c r="N274" s="66"/>
      <c r="O274" s="66"/>
      <c r="P274" s="66"/>
      <c r="Q274" s="66"/>
      <c r="R274" s="66"/>
      <c r="S274" s="66"/>
      <c r="T274" s="116"/>
      <c r="U274" s="11"/>
      <c r="V274" s="11" t="b">
        <v>0</v>
      </c>
      <c r="W274" s="11" t="b">
        <v>0</v>
      </c>
      <c r="X274" s="11"/>
      <c r="Y274" s="115"/>
      <c r="Z274" s="11" t="b">
        <v>0</v>
      </c>
      <c r="AA274" s="115"/>
      <c r="AB274" s="11" t="b">
        <v>0</v>
      </c>
      <c r="AC274" s="117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212">
        <v>1.0</v>
      </c>
      <c r="H275" s="115"/>
      <c r="I275" s="115" t="b">
        <v>0</v>
      </c>
      <c r="J275" s="66"/>
      <c r="K275" s="11" t="s">
        <v>1174</v>
      </c>
      <c r="L275" s="11" t="b">
        <v>0</v>
      </c>
      <c r="M275" s="11" t="b">
        <v>0</v>
      </c>
      <c r="N275" s="66"/>
      <c r="O275" s="66"/>
      <c r="P275" s="66"/>
      <c r="Q275" s="66"/>
      <c r="R275" s="66"/>
      <c r="S275" s="66"/>
      <c r="T275" s="116"/>
      <c r="U275" s="11"/>
      <c r="V275" s="11" t="b">
        <v>0</v>
      </c>
      <c r="W275" s="11" t="b">
        <v>0</v>
      </c>
      <c r="X275" s="11"/>
      <c r="Y275" s="115"/>
      <c r="Z275" s="11" t="b">
        <v>0</v>
      </c>
      <c r="AA275" s="115"/>
      <c r="AB275" s="11" t="b">
        <v>0</v>
      </c>
      <c r="AC275" s="117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212">
        <v>1.0</v>
      </c>
      <c r="H276" s="115"/>
      <c r="I276" s="115" t="b">
        <v>0</v>
      </c>
      <c r="J276" s="66"/>
      <c r="K276" s="11" t="s">
        <v>1174</v>
      </c>
      <c r="L276" s="11" t="b">
        <v>0</v>
      </c>
      <c r="M276" s="11" t="b">
        <v>0</v>
      </c>
      <c r="N276" s="66"/>
      <c r="O276" s="66"/>
      <c r="P276" s="66"/>
      <c r="Q276" s="66"/>
      <c r="R276" s="66"/>
      <c r="S276" s="66"/>
      <c r="T276" s="116"/>
      <c r="U276" s="11"/>
      <c r="V276" s="11" t="b">
        <v>0</v>
      </c>
      <c r="W276" s="11" t="b">
        <v>0</v>
      </c>
      <c r="X276" s="11"/>
      <c r="Y276" s="115"/>
      <c r="Z276" s="11" t="b">
        <v>0</v>
      </c>
      <c r="AA276" s="115"/>
      <c r="AB276" s="11" t="b">
        <v>0</v>
      </c>
      <c r="AC276" s="117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212">
        <v>1.0</v>
      </c>
      <c r="H277" s="115"/>
      <c r="I277" s="115" t="b">
        <v>0</v>
      </c>
      <c r="J277" s="66"/>
      <c r="K277" s="11" t="s">
        <v>1174</v>
      </c>
      <c r="L277" s="11" t="b">
        <v>0</v>
      </c>
      <c r="M277" s="11" t="b">
        <v>0</v>
      </c>
      <c r="N277" s="66"/>
      <c r="O277" s="66"/>
      <c r="P277" s="66"/>
      <c r="Q277" s="66"/>
      <c r="R277" s="66"/>
      <c r="S277" s="66"/>
      <c r="T277" s="116"/>
      <c r="U277" s="11"/>
      <c r="V277" s="11" t="b">
        <v>0</v>
      </c>
      <c r="W277" s="11" t="b">
        <v>0</v>
      </c>
      <c r="X277" s="11"/>
      <c r="Y277" s="115"/>
      <c r="Z277" s="11" t="b">
        <v>0</v>
      </c>
      <c r="AA277" s="115"/>
      <c r="AB277" s="11" t="b">
        <v>0</v>
      </c>
      <c r="AC277" s="117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212">
        <v>1.0</v>
      </c>
      <c r="H278" s="115"/>
      <c r="I278" s="115" t="b">
        <v>0</v>
      </c>
      <c r="J278" s="66"/>
      <c r="K278" s="11" t="s">
        <v>1174</v>
      </c>
      <c r="L278" s="11" t="b">
        <v>0</v>
      </c>
      <c r="M278" s="11" t="b">
        <v>0</v>
      </c>
      <c r="N278" s="66"/>
      <c r="O278" s="66"/>
      <c r="P278" s="66"/>
      <c r="Q278" s="66"/>
      <c r="R278" s="66"/>
      <c r="S278" s="66"/>
      <c r="T278" s="116"/>
      <c r="U278" s="11"/>
      <c r="V278" s="11" t="b">
        <v>0</v>
      </c>
      <c r="W278" s="11" t="b">
        <v>0</v>
      </c>
      <c r="X278" s="11"/>
      <c r="Y278" s="115"/>
      <c r="Z278" s="11" t="b">
        <v>0</v>
      </c>
      <c r="AA278" s="115"/>
      <c r="AB278" s="11" t="b">
        <v>0</v>
      </c>
      <c r="AC278" s="117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212">
        <v>1.0</v>
      </c>
      <c r="H279" s="115"/>
      <c r="I279" s="115" t="b">
        <v>0</v>
      </c>
      <c r="J279" s="66"/>
      <c r="K279" s="11" t="s">
        <v>1174</v>
      </c>
      <c r="L279" s="11" t="b">
        <v>0</v>
      </c>
      <c r="M279" s="11" t="b">
        <v>0</v>
      </c>
      <c r="N279" s="66"/>
      <c r="O279" s="66"/>
      <c r="P279" s="66"/>
      <c r="Q279" s="66"/>
      <c r="R279" s="66"/>
      <c r="S279" s="66"/>
      <c r="T279" s="116"/>
      <c r="U279" s="11"/>
      <c r="V279" s="11" t="b">
        <v>0</v>
      </c>
      <c r="W279" s="11" t="b">
        <v>0</v>
      </c>
      <c r="X279" s="11"/>
      <c r="Y279" s="115"/>
      <c r="Z279" s="11" t="b">
        <v>0</v>
      </c>
      <c r="AA279" s="115"/>
      <c r="AB279" s="11" t="b">
        <v>0</v>
      </c>
      <c r="AC279" s="117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212">
        <v>1.0</v>
      </c>
      <c r="H280" s="115"/>
      <c r="I280" s="115" t="b">
        <v>0</v>
      </c>
      <c r="J280" s="66"/>
      <c r="K280" s="11" t="s">
        <v>1174</v>
      </c>
      <c r="L280" s="11" t="b">
        <v>0</v>
      </c>
      <c r="M280" s="11" t="b">
        <v>0</v>
      </c>
      <c r="N280" s="66"/>
      <c r="O280" s="66"/>
      <c r="P280" s="66"/>
      <c r="Q280" s="66"/>
      <c r="R280" s="66"/>
      <c r="S280" s="66"/>
      <c r="T280" s="116"/>
      <c r="U280" s="11"/>
      <c r="V280" s="11" t="b">
        <v>0</v>
      </c>
      <c r="W280" s="11" t="b">
        <v>0</v>
      </c>
      <c r="X280" s="11"/>
      <c r="Y280" s="115"/>
      <c r="Z280" s="11" t="b">
        <v>0</v>
      </c>
      <c r="AA280" s="115"/>
      <c r="AB280" s="11" t="b">
        <v>0</v>
      </c>
      <c r="AC280" s="117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212">
        <v>1.0</v>
      </c>
      <c r="H281" s="115"/>
      <c r="I281" s="115" t="b">
        <v>0</v>
      </c>
      <c r="J281" s="66"/>
      <c r="K281" s="11" t="s">
        <v>1174</v>
      </c>
      <c r="L281" s="11" t="b">
        <v>0</v>
      </c>
      <c r="M281" s="11" t="b">
        <v>0</v>
      </c>
      <c r="N281" s="66"/>
      <c r="O281" s="66"/>
      <c r="P281" s="66"/>
      <c r="Q281" s="66"/>
      <c r="R281" s="66"/>
      <c r="S281" s="66"/>
      <c r="T281" s="116"/>
      <c r="U281" s="11"/>
      <c r="V281" s="11" t="b">
        <v>0</v>
      </c>
      <c r="W281" s="11" t="b">
        <v>0</v>
      </c>
      <c r="X281" s="11"/>
      <c r="Y281" s="115"/>
      <c r="Z281" s="11" t="b">
        <v>0</v>
      </c>
      <c r="AA281" s="115"/>
      <c r="AB281" s="11" t="b">
        <v>0</v>
      </c>
      <c r="AC281" s="117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212">
        <v>1.0</v>
      </c>
      <c r="H282" s="115"/>
      <c r="I282" s="115" t="b">
        <v>0</v>
      </c>
      <c r="J282" s="66"/>
      <c r="K282" s="11" t="s">
        <v>1174</v>
      </c>
      <c r="L282" s="11" t="b">
        <v>0</v>
      </c>
      <c r="M282" s="11" t="b">
        <v>0</v>
      </c>
      <c r="N282" s="66"/>
      <c r="O282" s="66"/>
      <c r="P282" s="66"/>
      <c r="Q282" s="66"/>
      <c r="R282" s="66"/>
      <c r="S282" s="66"/>
      <c r="T282" s="116"/>
      <c r="U282" s="11"/>
      <c r="V282" s="11" t="b">
        <v>0</v>
      </c>
      <c r="W282" s="11" t="b">
        <v>0</v>
      </c>
      <c r="X282" s="11"/>
      <c r="Y282" s="115"/>
      <c r="Z282" s="11" t="b">
        <v>0</v>
      </c>
      <c r="AA282" s="115"/>
      <c r="AB282" s="11" t="b">
        <v>0</v>
      </c>
      <c r="AC282" s="117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212">
        <v>1.0</v>
      </c>
      <c r="H283" s="115"/>
      <c r="I283" s="115" t="b">
        <v>0</v>
      </c>
      <c r="J283" s="66"/>
      <c r="K283" s="11" t="s">
        <v>1174</v>
      </c>
      <c r="L283" s="11" t="b">
        <v>0</v>
      </c>
      <c r="M283" s="11" t="b">
        <v>0</v>
      </c>
      <c r="N283" s="66"/>
      <c r="O283" s="66"/>
      <c r="P283" s="66"/>
      <c r="Q283" s="66"/>
      <c r="R283" s="66"/>
      <c r="S283" s="66"/>
      <c r="T283" s="116"/>
      <c r="U283" s="11"/>
      <c r="V283" s="11" t="b">
        <v>0</v>
      </c>
      <c r="W283" s="11" t="b">
        <v>0</v>
      </c>
      <c r="X283" s="11"/>
      <c r="Y283" s="115"/>
      <c r="Z283" s="11" t="b">
        <v>0</v>
      </c>
      <c r="AA283" s="115"/>
      <c r="AB283" s="11" t="b">
        <v>0</v>
      </c>
      <c r="AC283" s="117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212">
        <v>1.0</v>
      </c>
      <c r="H284" s="115"/>
      <c r="I284" s="115" t="b">
        <v>0</v>
      </c>
      <c r="J284" s="66"/>
      <c r="K284" s="11" t="s">
        <v>1174</v>
      </c>
      <c r="L284" s="11" t="b">
        <v>0</v>
      </c>
      <c r="M284" s="11" t="b">
        <v>0</v>
      </c>
      <c r="N284" s="66"/>
      <c r="O284" s="66"/>
      <c r="P284" s="66"/>
      <c r="Q284" s="66"/>
      <c r="R284" s="66"/>
      <c r="S284" s="66"/>
      <c r="T284" s="116"/>
      <c r="U284" s="11"/>
      <c r="V284" s="11" t="b">
        <v>0</v>
      </c>
      <c r="W284" s="11" t="b">
        <v>0</v>
      </c>
      <c r="X284" s="11"/>
      <c r="Y284" s="115"/>
      <c r="Z284" s="11" t="b">
        <v>0</v>
      </c>
      <c r="AA284" s="115"/>
      <c r="AB284" s="11" t="b">
        <v>0</v>
      </c>
      <c r="AC284" s="117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212">
        <v>1.0</v>
      </c>
      <c r="H285" s="115"/>
      <c r="I285" s="115" t="b">
        <v>0</v>
      </c>
      <c r="J285" s="66"/>
      <c r="K285" s="11" t="s">
        <v>1174</v>
      </c>
      <c r="L285" s="11" t="b">
        <v>0</v>
      </c>
      <c r="M285" s="11" t="b">
        <v>0</v>
      </c>
      <c r="N285" s="66"/>
      <c r="O285" s="66"/>
      <c r="P285" s="66"/>
      <c r="Q285" s="66"/>
      <c r="R285" s="66"/>
      <c r="S285" s="66"/>
      <c r="T285" s="116"/>
      <c r="U285" s="11"/>
      <c r="V285" s="11" t="b">
        <v>0</v>
      </c>
      <c r="W285" s="11" t="b">
        <v>0</v>
      </c>
      <c r="X285" s="11"/>
      <c r="Y285" s="115"/>
      <c r="Z285" s="11" t="b">
        <v>0</v>
      </c>
      <c r="AA285" s="115"/>
      <c r="AB285" s="11" t="b">
        <v>0</v>
      </c>
      <c r="AC285" s="117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212">
        <v>1.0</v>
      </c>
      <c r="H286" s="115"/>
      <c r="I286" s="115" t="b">
        <v>0</v>
      </c>
      <c r="J286" s="66"/>
      <c r="K286" s="11" t="s">
        <v>1174</v>
      </c>
      <c r="L286" s="11" t="b">
        <v>0</v>
      </c>
      <c r="M286" s="11" t="b">
        <v>0</v>
      </c>
      <c r="N286" s="66"/>
      <c r="O286" s="66"/>
      <c r="P286" s="66"/>
      <c r="Q286" s="66"/>
      <c r="R286" s="66"/>
      <c r="S286" s="66"/>
      <c r="T286" s="116"/>
      <c r="U286" s="11"/>
      <c r="V286" s="11" t="b">
        <v>0</v>
      </c>
      <c r="W286" s="11" t="b">
        <v>0</v>
      </c>
      <c r="X286" s="11"/>
      <c r="Y286" s="115"/>
      <c r="Z286" s="11" t="b">
        <v>0</v>
      </c>
      <c r="AA286" s="115"/>
      <c r="AB286" s="11" t="b">
        <v>0</v>
      </c>
      <c r="AC286" s="117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212">
        <v>1.0</v>
      </c>
      <c r="H287" s="115"/>
      <c r="I287" s="115" t="b">
        <v>0</v>
      </c>
      <c r="J287" s="66"/>
      <c r="K287" s="11" t="s">
        <v>1174</v>
      </c>
      <c r="L287" s="11" t="b">
        <v>0</v>
      </c>
      <c r="M287" s="11" t="b">
        <v>0</v>
      </c>
      <c r="N287" s="66"/>
      <c r="O287" s="66"/>
      <c r="P287" s="66"/>
      <c r="Q287" s="66"/>
      <c r="R287" s="66"/>
      <c r="S287" s="66"/>
      <c r="T287" s="116"/>
      <c r="U287" s="11"/>
      <c r="V287" s="11" t="b">
        <v>0</v>
      </c>
      <c r="W287" s="11" t="b">
        <v>0</v>
      </c>
      <c r="X287" s="11"/>
      <c r="Y287" s="115"/>
      <c r="Z287" s="11" t="b">
        <v>0</v>
      </c>
      <c r="AA287" s="115"/>
      <c r="AB287" s="11" t="b">
        <v>0</v>
      </c>
      <c r="AC287" s="117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212">
        <v>1.0</v>
      </c>
      <c r="H288" s="115"/>
      <c r="I288" s="115" t="b">
        <v>0</v>
      </c>
      <c r="J288" s="66"/>
      <c r="K288" s="11" t="s">
        <v>1174</v>
      </c>
      <c r="L288" s="11" t="b">
        <v>0</v>
      </c>
      <c r="M288" s="11" t="b">
        <v>0</v>
      </c>
      <c r="N288" s="66"/>
      <c r="O288" s="66"/>
      <c r="P288" s="66"/>
      <c r="Q288" s="66"/>
      <c r="R288" s="66"/>
      <c r="S288" s="66"/>
      <c r="T288" s="116"/>
      <c r="U288" s="11"/>
      <c r="V288" s="11" t="b">
        <v>0</v>
      </c>
      <c r="W288" s="11" t="b">
        <v>0</v>
      </c>
      <c r="X288" s="11"/>
      <c r="Y288" s="115"/>
      <c r="Z288" s="11" t="b">
        <v>0</v>
      </c>
      <c r="AA288" s="115"/>
      <c r="AB288" s="11" t="b">
        <v>0</v>
      </c>
      <c r="AC288" s="117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212">
        <v>1.0</v>
      </c>
      <c r="H289" s="115"/>
      <c r="I289" s="115" t="b">
        <v>0</v>
      </c>
      <c r="J289" s="66"/>
      <c r="K289" s="11" t="s">
        <v>1174</v>
      </c>
      <c r="L289" s="11" t="b">
        <v>0</v>
      </c>
      <c r="M289" s="11" t="b">
        <v>0</v>
      </c>
      <c r="N289" s="66"/>
      <c r="O289" s="66"/>
      <c r="P289" s="66"/>
      <c r="Q289" s="66"/>
      <c r="R289" s="66"/>
      <c r="S289" s="66"/>
      <c r="T289" s="116"/>
      <c r="U289" s="11"/>
      <c r="V289" s="11" t="b">
        <v>0</v>
      </c>
      <c r="W289" s="11" t="b">
        <v>0</v>
      </c>
      <c r="X289" s="11"/>
      <c r="Y289" s="115"/>
      <c r="Z289" s="11" t="b">
        <v>0</v>
      </c>
      <c r="AA289" s="115"/>
      <c r="AB289" s="11" t="b">
        <v>0</v>
      </c>
      <c r="AC289" s="117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212">
        <v>1.0</v>
      </c>
      <c r="H290" s="115"/>
      <c r="I290" s="115" t="b">
        <v>0</v>
      </c>
      <c r="J290" s="66"/>
      <c r="K290" s="11" t="s">
        <v>1174</v>
      </c>
      <c r="L290" s="11" t="b">
        <v>0</v>
      </c>
      <c r="M290" s="11" t="b">
        <v>0</v>
      </c>
      <c r="N290" s="66"/>
      <c r="O290" s="66"/>
      <c r="P290" s="66"/>
      <c r="Q290" s="66"/>
      <c r="R290" s="66"/>
      <c r="S290" s="66"/>
      <c r="T290" s="116"/>
      <c r="U290" s="11"/>
      <c r="V290" s="11" t="b">
        <v>0</v>
      </c>
      <c r="W290" s="11" t="b">
        <v>0</v>
      </c>
      <c r="X290" s="11"/>
      <c r="Y290" s="115"/>
      <c r="Z290" s="11" t="b">
        <v>0</v>
      </c>
      <c r="AA290" s="115"/>
      <c r="AB290" s="11" t="b">
        <v>0</v>
      </c>
      <c r="AC290" s="117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212">
        <v>1.0</v>
      </c>
      <c r="H291" s="115"/>
      <c r="I291" s="115" t="b">
        <v>0</v>
      </c>
      <c r="J291" s="66"/>
      <c r="K291" s="11" t="s">
        <v>1174</v>
      </c>
      <c r="L291" s="11" t="b">
        <v>0</v>
      </c>
      <c r="M291" s="11" t="b">
        <v>0</v>
      </c>
      <c r="N291" s="66"/>
      <c r="O291" s="66"/>
      <c r="P291" s="66"/>
      <c r="Q291" s="66"/>
      <c r="R291" s="66"/>
      <c r="S291" s="66"/>
      <c r="T291" s="116"/>
      <c r="U291" s="11"/>
      <c r="V291" s="11" t="b">
        <v>0</v>
      </c>
      <c r="W291" s="11" t="b">
        <v>0</v>
      </c>
      <c r="X291" s="11"/>
      <c r="Y291" s="115"/>
      <c r="Z291" s="11" t="b">
        <v>0</v>
      </c>
      <c r="AA291" s="115"/>
      <c r="AB291" s="11" t="b">
        <v>0</v>
      </c>
      <c r="AC291" s="117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212">
        <v>1.0</v>
      </c>
      <c r="H292" s="115"/>
      <c r="I292" s="115" t="b">
        <v>0</v>
      </c>
      <c r="J292" s="66"/>
      <c r="K292" s="11" t="s">
        <v>1174</v>
      </c>
      <c r="L292" s="11" t="b">
        <v>0</v>
      </c>
      <c r="M292" s="11" t="b">
        <v>0</v>
      </c>
      <c r="N292" s="66"/>
      <c r="O292" s="66"/>
      <c r="P292" s="66"/>
      <c r="Q292" s="66"/>
      <c r="R292" s="66"/>
      <c r="S292" s="66"/>
      <c r="T292" s="116"/>
      <c r="U292" s="11"/>
      <c r="V292" s="11" t="b">
        <v>0</v>
      </c>
      <c r="W292" s="11" t="b">
        <v>0</v>
      </c>
      <c r="X292" s="11"/>
      <c r="Y292" s="115"/>
      <c r="Z292" s="11" t="b">
        <v>0</v>
      </c>
      <c r="AA292" s="115"/>
      <c r="AB292" s="11" t="b">
        <v>0</v>
      </c>
      <c r="AC292" s="117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212">
        <v>1.0</v>
      </c>
      <c r="H293" s="115"/>
      <c r="I293" s="115" t="b">
        <v>0</v>
      </c>
      <c r="J293" s="66"/>
      <c r="K293" s="11" t="s">
        <v>1174</v>
      </c>
      <c r="L293" s="11" t="b">
        <v>0</v>
      </c>
      <c r="M293" s="11" t="b">
        <v>0</v>
      </c>
      <c r="N293" s="66"/>
      <c r="O293" s="66"/>
      <c r="P293" s="66"/>
      <c r="Q293" s="66"/>
      <c r="R293" s="66"/>
      <c r="S293" s="66"/>
      <c r="T293" s="116"/>
      <c r="U293" s="11"/>
      <c r="V293" s="11" t="b">
        <v>0</v>
      </c>
      <c r="W293" s="11" t="b">
        <v>0</v>
      </c>
      <c r="X293" s="11"/>
      <c r="Y293" s="115"/>
      <c r="Z293" s="11" t="b">
        <v>0</v>
      </c>
      <c r="AA293" s="115"/>
      <c r="AB293" s="11" t="b">
        <v>0</v>
      </c>
      <c r="AC293" s="117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212">
        <v>1.0</v>
      </c>
      <c r="H294" s="115"/>
      <c r="I294" s="115" t="b">
        <v>0</v>
      </c>
      <c r="J294" s="66"/>
      <c r="K294" s="11" t="s">
        <v>1174</v>
      </c>
      <c r="L294" s="11" t="b">
        <v>0</v>
      </c>
      <c r="M294" s="11" t="b">
        <v>0</v>
      </c>
      <c r="N294" s="66"/>
      <c r="O294" s="66"/>
      <c r="P294" s="66"/>
      <c r="Q294" s="66"/>
      <c r="R294" s="66"/>
      <c r="S294" s="66"/>
      <c r="T294" s="116"/>
      <c r="U294" s="11"/>
      <c r="V294" s="11" t="b">
        <v>0</v>
      </c>
      <c r="W294" s="11" t="b">
        <v>0</v>
      </c>
      <c r="X294" s="11"/>
      <c r="Y294" s="115"/>
      <c r="Z294" s="11" t="b">
        <v>0</v>
      </c>
      <c r="AA294" s="115"/>
      <c r="AB294" s="11" t="b">
        <v>0</v>
      </c>
      <c r="AC294" s="117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212">
        <v>1.0</v>
      </c>
      <c r="H295" s="115"/>
      <c r="I295" s="115" t="b">
        <v>0</v>
      </c>
      <c r="J295" s="66"/>
      <c r="K295" s="11" t="s">
        <v>1174</v>
      </c>
      <c r="L295" s="11" t="b">
        <v>0</v>
      </c>
      <c r="M295" s="11" t="b">
        <v>0</v>
      </c>
      <c r="N295" s="66"/>
      <c r="O295" s="66"/>
      <c r="P295" s="66"/>
      <c r="Q295" s="66"/>
      <c r="R295" s="66"/>
      <c r="S295" s="66"/>
      <c r="T295" s="116"/>
      <c r="U295" s="11"/>
      <c r="V295" s="11" t="b">
        <v>0</v>
      </c>
      <c r="W295" s="11" t="b">
        <v>0</v>
      </c>
      <c r="X295" s="11"/>
      <c r="Y295" s="115"/>
      <c r="Z295" s="11" t="b">
        <v>0</v>
      </c>
      <c r="AA295" s="115"/>
      <c r="AB295" s="11" t="b">
        <v>0</v>
      </c>
      <c r="AC295" s="117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212">
        <v>1.0</v>
      </c>
      <c r="H296" s="115"/>
      <c r="I296" s="115" t="b">
        <v>0</v>
      </c>
      <c r="J296" s="66"/>
      <c r="K296" s="11" t="s">
        <v>1174</v>
      </c>
      <c r="L296" s="11" t="b">
        <v>0</v>
      </c>
      <c r="M296" s="11" t="b">
        <v>0</v>
      </c>
      <c r="N296" s="66"/>
      <c r="O296" s="66"/>
      <c r="P296" s="66"/>
      <c r="Q296" s="66"/>
      <c r="R296" s="66"/>
      <c r="S296" s="66"/>
      <c r="T296" s="116"/>
      <c r="U296" s="11"/>
      <c r="V296" s="11" t="b">
        <v>0</v>
      </c>
      <c r="W296" s="11" t="b">
        <v>0</v>
      </c>
      <c r="X296" s="11"/>
      <c r="Y296" s="115"/>
      <c r="Z296" s="11" t="b">
        <v>0</v>
      </c>
      <c r="AA296" s="115"/>
      <c r="AB296" s="11" t="b">
        <v>0</v>
      </c>
      <c r="AC296" s="117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212">
        <v>1.0</v>
      </c>
      <c r="H297" s="115"/>
      <c r="I297" s="115" t="b">
        <v>0</v>
      </c>
      <c r="J297" s="66"/>
      <c r="K297" s="11" t="s">
        <v>1174</v>
      </c>
      <c r="L297" s="11" t="b">
        <v>0</v>
      </c>
      <c r="M297" s="11" t="b">
        <v>0</v>
      </c>
      <c r="N297" s="66"/>
      <c r="O297" s="66"/>
      <c r="P297" s="66"/>
      <c r="Q297" s="66"/>
      <c r="R297" s="66"/>
      <c r="S297" s="66"/>
      <c r="T297" s="116"/>
      <c r="U297" s="11"/>
      <c r="V297" s="11" t="b">
        <v>0</v>
      </c>
      <c r="W297" s="11" t="b">
        <v>0</v>
      </c>
      <c r="X297" s="11"/>
      <c r="Y297" s="115"/>
      <c r="Z297" s="11" t="b">
        <v>0</v>
      </c>
      <c r="AA297" s="115"/>
      <c r="AB297" s="11" t="b">
        <v>0</v>
      </c>
      <c r="AC297" s="117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212">
        <v>1.0</v>
      </c>
      <c r="H298" s="115"/>
      <c r="I298" s="115" t="b">
        <v>0</v>
      </c>
      <c r="J298" s="66"/>
      <c r="K298" s="11" t="s">
        <v>1174</v>
      </c>
      <c r="L298" s="11" t="b">
        <v>0</v>
      </c>
      <c r="M298" s="11" t="b">
        <v>0</v>
      </c>
      <c r="N298" s="66"/>
      <c r="O298" s="66"/>
      <c r="P298" s="66"/>
      <c r="Q298" s="66"/>
      <c r="R298" s="66"/>
      <c r="S298" s="66"/>
      <c r="T298" s="116"/>
      <c r="U298" s="11"/>
      <c r="V298" s="11" t="b">
        <v>0</v>
      </c>
      <c r="W298" s="11" t="b">
        <v>0</v>
      </c>
      <c r="X298" s="11"/>
      <c r="Y298" s="115"/>
      <c r="Z298" s="11" t="b">
        <v>0</v>
      </c>
      <c r="AA298" s="115"/>
      <c r="AB298" s="11" t="b">
        <v>0</v>
      </c>
      <c r="AC298" s="117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212">
        <v>1.0</v>
      </c>
      <c r="H299" s="115"/>
      <c r="I299" s="115" t="b">
        <v>0</v>
      </c>
      <c r="J299" s="66"/>
      <c r="K299" s="11" t="s">
        <v>1174</v>
      </c>
      <c r="L299" s="11" t="b">
        <v>0</v>
      </c>
      <c r="M299" s="11" t="b">
        <v>0</v>
      </c>
      <c r="N299" s="66"/>
      <c r="O299" s="66"/>
      <c r="P299" s="66"/>
      <c r="Q299" s="66"/>
      <c r="R299" s="66"/>
      <c r="S299" s="66"/>
      <c r="T299" s="116"/>
      <c r="U299" s="11"/>
      <c r="V299" s="11" t="b">
        <v>0</v>
      </c>
      <c r="W299" s="11" t="b">
        <v>0</v>
      </c>
      <c r="X299" s="11"/>
      <c r="Y299" s="115"/>
      <c r="Z299" s="11" t="b">
        <v>0</v>
      </c>
      <c r="AA299" s="115"/>
      <c r="AB299" s="11" t="b">
        <v>0</v>
      </c>
      <c r="AC299" s="117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212">
        <v>1.0</v>
      </c>
      <c r="H300" s="115"/>
      <c r="I300" s="115" t="b">
        <v>0</v>
      </c>
      <c r="J300" s="66"/>
      <c r="K300" s="11" t="s">
        <v>1174</v>
      </c>
      <c r="L300" s="11" t="b">
        <v>0</v>
      </c>
      <c r="M300" s="11" t="b">
        <v>0</v>
      </c>
      <c r="N300" s="66"/>
      <c r="O300" s="66"/>
      <c r="P300" s="66"/>
      <c r="Q300" s="66"/>
      <c r="R300" s="66"/>
      <c r="S300" s="66"/>
      <c r="T300" s="116"/>
      <c r="U300" s="11"/>
      <c r="V300" s="11" t="b">
        <v>0</v>
      </c>
      <c r="W300" s="11" t="b">
        <v>0</v>
      </c>
      <c r="X300" s="11"/>
      <c r="Y300" s="115"/>
      <c r="Z300" s="11" t="b">
        <v>0</v>
      </c>
      <c r="AA300" s="115"/>
      <c r="AB300" s="11" t="b">
        <v>0</v>
      </c>
      <c r="AC300" s="117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212">
        <v>1.0</v>
      </c>
      <c r="H301" s="115"/>
      <c r="I301" s="115" t="b">
        <v>0</v>
      </c>
      <c r="J301" s="66"/>
      <c r="K301" s="11" t="s">
        <v>1174</v>
      </c>
      <c r="L301" s="11" t="b">
        <v>0</v>
      </c>
      <c r="M301" s="11" t="b">
        <v>0</v>
      </c>
      <c r="N301" s="66"/>
      <c r="O301" s="66"/>
      <c r="P301" s="66"/>
      <c r="Q301" s="66"/>
      <c r="R301" s="66"/>
      <c r="S301" s="66"/>
      <c r="T301" s="116"/>
      <c r="U301" s="11"/>
      <c r="V301" s="11" t="b">
        <v>0</v>
      </c>
      <c r="W301" s="11" t="b">
        <v>0</v>
      </c>
      <c r="X301" s="11"/>
      <c r="Y301" s="115"/>
      <c r="Z301" s="11" t="b">
        <v>0</v>
      </c>
      <c r="AA301" s="115"/>
      <c r="AB301" s="11" t="b">
        <v>0</v>
      </c>
      <c r="AC301" s="117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</row>
    <row r="307">
      <c r="A307" s="94"/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</row>
    <row r="308">
      <c r="A308" s="94"/>
      <c r="B308" s="109" t="str">
        <f>VLOOKUP($A308,ANAGRAFICA!$B$1:$G$306,2,FALSE)</f>
        <v>#N/A</v>
      </c>
      <c r="C308" s="109" t="str">
        <f>VLOOKUP($A308,ANAGRAFICA!$B$1:$G$306,3,FALSE)</f>
        <v>#N/A</v>
      </c>
      <c r="D308" s="109" t="str">
        <f>VLOOKUP($A308,ANAGRAFICA!$B$1:$G$306,4,FALSE)</f>
        <v>#N/A</v>
      </c>
      <c r="E308" s="109" t="str">
        <f>VLOOKUP($A308,ANAGRAFICA!$B$1:$G$306,5,FALSE)</f>
        <v>#N/A</v>
      </c>
      <c r="F308" s="109" t="str">
        <f>VLOOKUP($A308,ANAGRAFICA!$B$1:$G$306,6,FALSE)</f>
        <v>#N/A</v>
      </c>
    </row>
  </sheetData>
  <autoFilter ref="$A$1:$AC$308"/>
  <dataValidations>
    <dataValidation type="list" allowBlank="1" showErrorMessage="1" sqref="AA2:AA301">
      <formula1>"DBD,cDCD,uDCD"</formula1>
    </dataValidation>
    <dataValidation type="list" allowBlank="1" showErrorMessage="1" sqref="H2:H301">
      <formula1>'TENDINE SLIM'!$J$2:$J$12</formula1>
    </dataValidation>
    <dataValidation type="list" allowBlank="1" showErrorMessage="1" sqref="S2:S301">
      <formula1>"HOME,LONG TERM CARE,REHAB,HOSPICE,OTHER HOSPITAL,OTHER"</formula1>
    </dataValidation>
    <dataValidation type="list" allowBlank="1" showErrorMessage="1" sqref="R2:R301">
      <formula1>"UCC,SICCH,ALTRA TI HSG,ALTRA SUB HSG,REPARTO HSG,ALTRO OSPEDALE TI,RIABILITAIZONE,ALTRO"</formula1>
    </dataValidation>
    <dataValidation type="list" allowBlank="1" showErrorMessage="1" sqref="K2:K301">
      <formula1>"ESTUBATO &gt; 48 ORE,NO: TRASFERITO ESTUBATO,NO: TRACHEOSTOMIA,NO: INTUBATO AL DECESSO,NO: ALTRO"</formula1>
    </dataValidation>
    <dataValidation type="list" allowBlank="1" showErrorMessage="1" sqref="A2:A285">
      <formula1>ANAGRAFICA!$B$2:$B$506</formula1>
    </dataValidation>
    <dataValidation type="list" allowBlank="1" showErrorMessage="1" sqref="AC2:AC301">
      <formula1>"1,2,3,4,5"</formula1>
    </dataValidation>
  </dataValidations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8" max="8" width="31.0"/>
    <col customWidth="1" min="9" max="9" width="34.63"/>
    <col customWidth="1" min="16" max="16" width="17.25"/>
  </cols>
  <sheetData>
    <row r="1">
      <c r="A1" s="188" t="s">
        <v>1</v>
      </c>
      <c r="B1" s="189" t="s">
        <v>2</v>
      </c>
      <c r="C1" s="188" t="s">
        <v>3</v>
      </c>
      <c r="D1" s="188" t="s">
        <v>4</v>
      </c>
      <c r="E1" s="188" t="s">
        <v>385</v>
      </c>
      <c r="F1" s="190" t="s">
        <v>6</v>
      </c>
      <c r="G1" s="215" t="s">
        <v>386</v>
      </c>
      <c r="H1" s="115" t="s">
        <v>1207</v>
      </c>
      <c r="I1" s="115"/>
      <c r="J1" s="115" t="s">
        <v>1208</v>
      </c>
      <c r="K1" s="115" t="s">
        <v>1209</v>
      </c>
      <c r="L1" s="115" t="s">
        <v>1210</v>
      </c>
      <c r="M1" s="115" t="s">
        <v>1211</v>
      </c>
      <c r="N1" s="115" t="s">
        <v>1212</v>
      </c>
      <c r="O1" s="115" t="s">
        <v>1213</v>
      </c>
      <c r="P1" s="115" t="s">
        <v>1214</v>
      </c>
    </row>
    <row r="2">
      <c r="A2" s="57">
        <v>2.124000149E9</v>
      </c>
      <c r="B2" s="109" t="str">
        <f>VLOOKUP($A2,ANAGRAFICA!$B$1:$G$306,2,FALSE)</f>
        <v>MOTTA</v>
      </c>
      <c r="C2" s="109" t="str">
        <f>VLOOKUP($A2,ANAGRAFICA!$B$1:$G$306,3,FALSE)</f>
        <v>FABIO</v>
      </c>
      <c r="D2" s="109" t="str">
        <f>VLOOKUP($A2,ANAGRAFICA!$B$1:$G$306,4,FALSE)</f>
        <v/>
      </c>
      <c r="E2" s="109">
        <f>VLOOKUP($A2,ANAGRAFICA!$B$1:$G$306,5,FALSE)</f>
        <v>3272024051</v>
      </c>
      <c r="F2" s="109">
        <f>VLOOKUP($A2,ANAGRAFICA!$B$1:$G$306,6,FALSE)</f>
        <v>2024</v>
      </c>
      <c r="G2" s="11">
        <v>1.0</v>
      </c>
      <c r="H2" s="11" t="s">
        <v>1215</v>
      </c>
      <c r="I2" s="164"/>
      <c r="J2" s="164">
        <v>45295.0</v>
      </c>
      <c r="K2" s="11" t="s">
        <v>693</v>
      </c>
      <c r="L2" s="115" t="b">
        <v>1</v>
      </c>
      <c r="M2" s="11">
        <v>1.0</v>
      </c>
      <c r="N2" s="11">
        <v>138.0</v>
      </c>
      <c r="O2" s="11">
        <v>274.0</v>
      </c>
      <c r="P2" s="115" t="b">
        <v>1</v>
      </c>
    </row>
    <row r="3">
      <c r="A3" s="57">
        <v>2.124000149E9</v>
      </c>
      <c r="B3" s="109" t="str">
        <f>VLOOKUP($A3,ANAGRAFICA!$B$1:$G$306,2,FALSE)</f>
        <v>MOTTA</v>
      </c>
      <c r="C3" s="109" t="str">
        <f>VLOOKUP($A3,ANAGRAFICA!$B$1:$G$306,3,FALSE)</f>
        <v>FABIO</v>
      </c>
      <c r="D3" s="109" t="str">
        <f>VLOOKUP($A3,ANAGRAFICA!$B$1:$G$306,4,FALSE)</f>
        <v/>
      </c>
      <c r="E3" s="109">
        <f>VLOOKUP($A3,ANAGRAFICA!$B$1:$G$306,5,FALSE)</f>
        <v>3272024051</v>
      </c>
      <c r="F3" s="109">
        <f>VLOOKUP($A3,ANAGRAFICA!$B$1:$G$306,6,FALSE)</f>
        <v>2024</v>
      </c>
      <c r="G3" s="3">
        <v>1.0</v>
      </c>
      <c r="H3" s="66"/>
      <c r="I3" s="11" t="s">
        <v>1216</v>
      </c>
      <c r="J3" s="164">
        <v>45296.0</v>
      </c>
      <c r="K3" s="11" t="s">
        <v>171</v>
      </c>
      <c r="L3" s="66" t="b">
        <v>0</v>
      </c>
      <c r="M3" s="66"/>
      <c r="N3" s="66"/>
      <c r="O3" s="66"/>
      <c r="P3" s="115" t="b">
        <v>1</v>
      </c>
    </row>
    <row r="4">
      <c r="A4" s="57">
        <v>2.124000149E9</v>
      </c>
      <c r="B4" s="109" t="str">
        <f>VLOOKUP($A4,ANAGRAFICA!$B$1:$G$306,2,FALSE)</f>
        <v>MOTTA</v>
      </c>
      <c r="C4" s="109" t="str">
        <f>VLOOKUP($A4,ANAGRAFICA!$B$1:$G$306,3,FALSE)</f>
        <v>FABIO</v>
      </c>
      <c r="D4" s="109" t="str">
        <f>VLOOKUP($A4,ANAGRAFICA!$B$1:$G$306,4,FALSE)</f>
        <v/>
      </c>
      <c r="E4" s="109">
        <f>VLOOKUP($A4,ANAGRAFICA!$B$1:$G$306,5,FALSE)</f>
        <v>3272024051</v>
      </c>
      <c r="F4" s="109">
        <f>VLOOKUP($A4,ANAGRAFICA!$B$1:$G$306,6,FALSE)</f>
        <v>2024</v>
      </c>
      <c r="G4" s="3">
        <v>1.0</v>
      </c>
      <c r="H4" s="66"/>
      <c r="I4" s="11" t="s">
        <v>1217</v>
      </c>
      <c r="J4" s="164">
        <v>45299.0</v>
      </c>
      <c r="K4" s="11" t="s">
        <v>621</v>
      </c>
      <c r="L4" s="66" t="b">
        <v>0</v>
      </c>
      <c r="M4" s="66"/>
      <c r="N4" s="66"/>
      <c r="O4" s="66"/>
      <c r="P4" s="66" t="b">
        <v>0</v>
      </c>
    </row>
    <row r="5">
      <c r="A5" s="57">
        <v>2.124202869E9</v>
      </c>
      <c r="B5" s="109" t="str">
        <f>VLOOKUP($A5,ANAGRAFICA!$B$1:$G$306,2,FALSE)</f>
        <v>VALSECCHI</v>
      </c>
      <c r="C5" s="109" t="str">
        <f>VLOOKUP($A5,ANAGRAFICA!$B$1:$G$306,3,FALSE)</f>
        <v>ANDREA</v>
      </c>
      <c r="D5" s="109" t="str">
        <f>VLOOKUP($A5,ANAGRAFICA!$B$1:$G$306,4,FALSE)</f>
        <v/>
      </c>
      <c r="E5" s="109">
        <f>VLOOKUP($A5,ANAGRAFICA!$B$1:$G$306,5,FALSE)</f>
        <v>3272024056</v>
      </c>
      <c r="F5" s="109">
        <f>VLOOKUP($A5,ANAGRAFICA!$B$1:$G$306,6,FALSE)</f>
        <v>2024</v>
      </c>
      <c r="G5" s="3">
        <v>1.0</v>
      </c>
      <c r="H5" s="11" t="s">
        <v>1218</v>
      </c>
      <c r="I5" s="66"/>
      <c r="J5" s="164">
        <v>45326.0</v>
      </c>
      <c r="K5" s="11" t="s">
        <v>503</v>
      </c>
      <c r="L5" s="115" t="b">
        <v>1</v>
      </c>
      <c r="M5" s="11">
        <v>1.0</v>
      </c>
      <c r="N5" s="11" t="s">
        <v>516</v>
      </c>
      <c r="O5" s="11" t="s">
        <v>516</v>
      </c>
      <c r="P5" s="66" t="b">
        <v>0</v>
      </c>
    </row>
    <row r="6">
      <c r="A6" s="57">
        <v>2.124203781E9</v>
      </c>
      <c r="B6" s="109" t="str">
        <f>VLOOKUP($A6,ANAGRAFICA!$B$1:$G$306,2,FALSE)</f>
        <v>CONCA</v>
      </c>
      <c r="C6" s="109" t="str">
        <f>VLOOKUP($A6,ANAGRAFICA!$B$1:$G$306,3,FALSE)</f>
        <v>CAMILLA</v>
      </c>
      <c r="D6" s="109" t="str">
        <f>VLOOKUP($A6,ANAGRAFICA!$B$1:$G$306,4,FALSE)</f>
        <v/>
      </c>
      <c r="E6" s="109">
        <f>VLOOKUP($A6,ANAGRAFICA!$B$1:$G$306,5,FALSE)</f>
        <v>3272024058</v>
      </c>
      <c r="F6" s="109">
        <f>VLOOKUP($A6,ANAGRAFICA!$B$1:$G$306,6,FALSE)</f>
        <v>2024</v>
      </c>
      <c r="G6" s="3">
        <v>1.0</v>
      </c>
      <c r="H6" s="11" t="s">
        <v>1215</v>
      </c>
      <c r="I6" s="11" t="s">
        <v>1219</v>
      </c>
      <c r="J6" s="164">
        <v>45348.0</v>
      </c>
      <c r="K6" s="11" t="s">
        <v>68</v>
      </c>
      <c r="L6" s="115" t="b">
        <v>1</v>
      </c>
      <c r="M6" s="11">
        <v>1.0</v>
      </c>
      <c r="N6" s="11">
        <v>155.0</v>
      </c>
      <c r="O6" s="11">
        <v>233.0</v>
      </c>
      <c r="P6" s="66" t="b">
        <v>0</v>
      </c>
    </row>
    <row r="7">
      <c r="A7" s="57">
        <v>2.124019184E9</v>
      </c>
      <c r="B7" s="109" t="str">
        <f>VLOOKUP($A7,ANAGRAFICA!$B$1:$G$306,2,FALSE)</f>
        <v>SERVIDIO</v>
      </c>
      <c r="C7" s="109" t="str">
        <f>VLOOKUP($A7,ANAGRAFICA!$B$1:$G$306,3,FALSE)</f>
        <v>GIOVANNI</v>
      </c>
      <c r="D7" s="109" t="str">
        <f>VLOOKUP($A7,ANAGRAFICA!$B$1:$G$306,4,FALSE)</f>
        <v>758-17</v>
      </c>
      <c r="E7" s="109">
        <f>VLOOKUP($A7,ANAGRAFICA!$B$1:$G$306,5,FALSE)</f>
        <v>3272024083</v>
      </c>
      <c r="F7" s="109">
        <f>VLOOKUP($A7,ANAGRAFICA!$B$1:$G$306,6,FALSE)</f>
        <v>2024</v>
      </c>
      <c r="G7" s="3">
        <v>1.0</v>
      </c>
      <c r="H7" s="11" t="s">
        <v>1218</v>
      </c>
      <c r="I7" s="11" t="s">
        <v>1220</v>
      </c>
      <c r="J7" s="214">
        <v>45595.0</v>
      </c>
      <c r="K7" s="11" t="s">
        <v>68</v>
      </c>
      <c r="L7" s="66" t="b">
        <v>0</v>
      </c>
      <c r="M7" s="66"/>
      <c r="N7" s="66"/>
      <c r="O7" s="66"/>
      <c r="P7" s="115" t="b">
        <v>0</v>
      </c>
    </row>
    <row r="8">
      <c r="A8" s="57">
        <v>2.124017757E9</v>
      </c>
      <c r="B8" s="109" t="str">
        <f>VLOOKUP($A8,ANAGRAFICA!$B$1:$G$306,2,FALSE)</f>
        <v>SALA</v>
      </c>
      <c r="C8" s="109" t="str">
        <f>VLOOKUP($A8,ANAGRAFICA!$B$1:$G$306,3,FALSE)</f>
        <v>FELICE</v>
      </c>
      <c r="D8" s="109" t="str">
        <f>VLOOKUP($A8,ANAGRAFICA!$B$1:$G$306,4,FALSE)</f>
        <v>758-14</v>
      </c>
      <c r="E8" s="109">
        <f>VLOOKUP($A8,ANAGRAFICA!$B$1:$G$306,5,FALSE)</f>
        <v>3272024080</v>
      </c>
      <c r="F8" s="109">
        <f>VLOOKUP($A8,ANAGRAFICA!$B$1:$G$306,6,FALSE)</f>
        <v>2024</v>
      </c>
      <c r="G8" s="3">
        <v>1.0</v>
      </c>
      <c r="H8" s="11" t="s">
        <v>1221</v>
      </c>
      <c r="I8" s="66"/>
      <c r="J8" s="214">
        <v>45572.0</v>
      </c>
      <c r="K8" s="11" t="s">
        <v>616</v>
      </c>
      <c r="L8" s="115" t="b">
        <v>1</v>
      </c>
      <c r="M8" s="11">
        <v>1.0</v>
      </c>
      <c r="N8" s="11">
        <v>107.0</v>
      </c>
      <c r="O8" s="11">
        <v>202.0</v>
      </c>
      <c r="P8" s="115" t="b">
        <v>0</v>
      </c>
    </row>
    <row r="9">
      <c r="A9" s="57">
        <v>2.124017757E9</v>
      </c>
      <c r="B9" s="109" t="str">
        <f>VLOOKUP($A9,ANAGRAFICA!$B$1:$G$306,2,FALSE)</f>
        <v>SALA</v>
      </c>
      <c r="C9" s="109" t="str">
        <f>VLOOKUP($A9,ANAGRAFICA!$B$1:$G$306,3,FALSE)</f>
        <v>FELICE</v>
      </c>
      <c r="D9" s="109" t="str">
        <f>VLOOKUP($A9,ANAGRAFICA!$B$1:$G$306,4,FALSE)</f>
        <v>758-14</v>
      </c>
      <c r="E9" s="109">
        <f>VLOOKUP($A9,ANAGRAFICA!$B$1:$G$306,5,FALSE)</f>
        <v>3272024080</v>
      </c>
      <c r="F9" s="109">
        <f>VLOOKUP($A9,ANAGRAFICA!$B$1:$G$306,6,FALSE)</f>
        <v>2024</v>
      </c>
      <c r="G9" s="3">
        <v>1.0</v>
      </c>
      <c r="H9" s="11" t="s">
        <v>1218</v>
      </c>
      <c r="I9" s="11" t="s">
        <v>1222</v>
      </c>
      <c r="J9" s="214">
        <v>45572.0</v>
      </c>
      <c r="K9" s="11" t="s">
        <v>616</v>
      </c>
      <c r="L9" s="115" t="b">
        <v>1</v>
      </c>
      <c r="M9" s="11">
        <v>1.0</v>
      </c>
      <c r="N9" s="11">
        <v>107.0</v>
      </c>
      <c r="O9" s="11">
        <v>202.0</v>
      </c>
      <c r="P9" s="115" t="b">
        <v>0</v>
      </c>
    </row>
    <row r="10">
      <c r="A10" s="57">
        <v>2.124011588E9</v>
      </c>
      <c r="B10" s="109" t="str">
        <f>VLOOKUP($A10,ANAGRAFICA!$B$1:$G$306,2,FALSE)</f>
        <v>FRATINO</v>
      </c>
      <c r="C10" s="109" t="str">
        <f>VLOOKUP($A10,ANAGRAFICA!$B$1:$G$306,3,FALSE)</f>
        <v>OLIVIERO</v>
      </c>
      <c r="D10" s="109" t="str">
        <f>VLOOKUP($A10,ANAGRAFICA!$B$1:$G$306,4,FALSE)</f>
        <v>758-4</v>
      </c>
      <c r="E10" s="109">
        <f>VLOOKUP($A10,ANAGRAFICA!$B$1:$G$306,5,FALSE)</f>
        <v>3272024070</v>
      </c>
      <c r="F10" s="109">
        <f>VLOOKUP($A10,ANAGRAFICA!$B$1:$G$306,6,FALSE)</f>
        <v>2024</v>
      </c>
      <c r="G10" s="3">
        <v>1.0</v>
      </c>
      <c r="H10" s="11" t="s">
        <v>1218</v>
      </c>
      <c r="I10" s="11" t="s">
        <v>1223</v>
      </c>
      <c r="J10" s="164">
        <v>45462.0</v>
      </c>
      <c r="K10" s="11" t="s">
        <v>45</v>
      </c>
      <c r="L10" s="115" t="b">
        <v>1</v>
      </c>
      <c r="M10" s="11">
        <v>2.0</v>
      </c>
      <c r="N10" s="11">
        <v>169.0</v>
      </c>
      <c r="O10" s="11" t="s">
        <v>1224</v>
      </c>
      <c r="P10" s="66" t="b">
        <v>0</v>
      </c>
    </row>
    <row r="11">
      <c r="A11" s="57">
        <v>2.124011588E9</v>
      </c>
      <c r="B11" s="109" t="str">
        <f>VLOOKUP($A11,ANAGRAFICA!$B$1:$G$306,2,FALSE)</f>
        <v>FRATINO</v>
      </c>
      <c r="C11" s="109" t="str">
        <f>VLOOKUP($A11,ANAGRAFICA!$B$1:$G$306,3,FALSE)</f>
        <v>OLIVIERO</v>
      </c>
      <c r="D11" s="109" t="str">
        <f>VLOOKUP($A11,ANAGRAFICA!$B$1:$G$306,4,FALSE)</f>
        <v>758-4</v>
      </c>
      <c r="E11" s="109">
        <f>VLOOKUP($A11,ANAGRAFICA!$B$1:$G$306,5,FALSE)</f>
        <v>3272024070</v>
      </c>
      <c r="F11" s="109">
        <f>VLOOKUP($A11,ANAGRAFICA!$B$1:$G$306,6,FALSE)</f>
        <v>2024</v>
      </c>
      <c r="G11" s="3">
        <v>1.0</v>
      </c>
      <c r="H11" s="66"/>
      <c r="I11" s="11" t="s">
        <v>1225</v>
      </c>
      <c r="J11" s="164">
        <v>45463.0</v>
      </c>
      <c r="K11" s="11" t="s">
        <v>353</v>
      </c>
      <c r="L11" s="66" t="b">
        <v>0</v>
      </c>
      <c r="M11" s="66"/>
      <c r="N11" s="66"/>
      <c r="O11" s="66"/>
      <c r="P11" s="66" t="b">
        <v>0</v>
      </c>
    </row>
    <row r="12">
      <c r="A12" s="57">
        <v>2.124011588E9</v>
      </c>
      <c r="B12" s="109" t="str">
        <f>VLOOKUP($A12,ANAGRAFICA!$B$1:$G$306,2,FALSE)</f>
        <v>FRATINO</v>
      </c>
      <c r="C12" s="109" t="str">
        <f>VLOOKUP($A12,ANAGRAFICA!$B$1:$G$306,3,FALSE)</f>
        <v>OLIVIERO</v>
      </c>
      <c r="D12" s="109" t="str">
        <f>VLOOKUP($A12,ANAGRAFICA!$B$1:$G$306,4,FALSE)</f>
        <v>758-4</v>
      </c>
      <c r="E12" s="109">
        <f>VLOOKUP($A12,ANAGRAFICA!$B$1:$G$306,5,FALSE)</f>
        <v>3272024070</v>
      </c>
      <c r="F12" s="109">
        <f>VLOOKUP($A12,ANAGRAFICA!$B$1:$G$306,6,FALSE)</f>
        <v>2024</v>
      </c>
      <c r="G12" s="3">
        <v>1.0</v>
      </c>
      <c r="H12" s="66"/>
      <c r="I12" s="11" t="s">
        <v>1225</v>
      </c>
      <c r="J12" s="164">
        <v>45467.0</v>
      </c>
      <c r="K12" s="11" t="s">
        <v>87</v>
      </c>
      <c r="L12" s="66" t="b">
        <v>0</v>
      </c>
      <c r="M12" s="66"/>
      <c r="N12" s="66"/>
      <c r="O12" s="66"/>
      <c r="P12" s="66" t="b">
        <v>0</v>
      </c>
    </row>
    <row r="13">
      <c r="A13" s="57">
        <v>2.124013801E9</v>
      </c>
      <c r="B13" s="109" t="str">
        <f>VLOOKUP($A13,ANAGRAFICA!$B$1:$G$306,2,FALSE)</f>
        <v>SGOBBA</v>
      </c>
      <c r="C13" s="109" t="str">
        <f>VLOOKUP($A13,ANAGRAFICA!$B$1:$G$306,3,FALSE)</f>
        <v>ANNA</v>
      </c>
      <c r="D13" s="109" t="str">
        <f>VLOOKUP($A13,ANAGRAFICA!$B$1:$G$306,4,FALSE)</f>
        <v>758-8</v>
      </c>
      <c r="E13" s="109">
        <f>VLOOKUP($A13,ANAGRAFICA!$B$1:$G$306,5,FALSE)</f>
        <v>3272024074</v>
      </c>
      <c r="F13" s="109">
        <f>VLOOKUP($A13,ANAGRAFICA!$B$1:$G$306,6,FALSE)</f>
        <v>2024</v>
      </c>
      <c r="G13" s="3">
        <v>1.0</v>
      </c>
      <c r="H13" s="11" t="s">
        <v>1221</v>
      </c>
      <c r="I13" s="66"/>
      <c r="J13" s="164">
        <v>45511.0</v>
      </c>
      <c r="K13" s="11" t="s">
        <v>104</v>
      </c>
      <c r="L13" s="115" t="b">
        <v>1</v>
      </c>
      <c r="M13" s="11">
        <v>1.0</v>
      </c>
      <c r="N13" s="11" t="s">
        <v>516</v>
      </c>
      <c r="O13" s="11" t="s">
        <v>516</v>
      </c>
      <c r="P13" s="66" t="b">
        <v>0</v>
      </c>
    </row>
    <row r="14">
      <c r="A14" s="57">
        <v>2.124013801E9</v>
      </c>
      <c r="B14" s="109" t="str">
        <f>VLOOKUP($A14,ANAGRAFICA!$B$1:$G$306,2,FALSE)</f>
        <v>SGOBBA</v>
      </c>
      <c r="C14" s="109" t="str">
        <f>VLOOKUP($A14,ANAGRAFICA!$B$1:$G$306,3,FALSE)</f>
        <v>ANNA</v>
      </c>
      <c r="D14" s="109" t="str">
        <f>VLOOKUP($A14,ANAGRAFICA!$B$1:$G$306,4,FALSE)</f>
        <v>758-8</v>
      </c>
      <c r="E14" s="109">
        <f>VLOOKUP($A14,ANAGRAFICA!$B$1:$G$306,5,FALSE)</f>
        <v>3272024074</v>
      </c>
      <c r="F14" s="109">
        <f>VLOOKUP($A14,ANAGRAFICA!$B$1:$G$306,6,FALSE)</f>
        <v>2024</v>
      </c>
      <c r="G14" s="3">
        <v>1.0</v>
      </c>
      <c r="H14" s="11" t="s">
        <v>1226</v>
      </c>
      <c r="I14" s="11" t="s">
        <v>1225</v>
      </c>
      <c r="J14" s="164">
        <v>45511.0</v>
      </c>
      <c r="K14" s="11" t="s">
        <v>642</v>
      </c>
      <c r="L14" s="66" t="b">
        <v>0</v>
      </c>
      <c r="M14" s="66"/>
      <c r="N14" s="66"/>
      <c r="O14" s="66"/>
      <c r="P14" s="115" t="b">
        <v>1</v>
      </c>
    </row>
    <row r="15">
      <c r="A15" s="57">
        <v>2.124013801E9</v>
      </c>
      <c r="B15" s="109" t="str">
        <f>VLOOKUP($A15,ANAGRAFICA!$B$1:$G$306,2,FALSE)</f>
        <v>SGOBBA</v>
      </c>
      <c r="C15" s="109" t="str">
        <f>VLOOKUP($A15,ANAGRAFICA!$B$1:$G$306,3,FALSE)</f>
        <v>ANNA</v>
      </c>
      <c r="D15" s="109" t="str">
        <f>VLOOKUP($A15,ANAGRAFICA!$B$1:$G$306,4,FALSE)</f>
        <v>758-8</v>
      </c>
      <c r="E15" s="109">
        <f>VLOOKUP($A15,ANAGRAFICA!$B$1:$G$306,5,FALSE)</f>
        <v>3272024074</v>
      </c>
      <c r="F15" s="109">
        <f>VLOOKUP($A15,ANAGRAFICA!$B$1:$G$306,6,FALSE)</f>
        <v>2024</v>
      </c>
      <c r="G15" s="3">
        <v>1.0</v>
      </c>
      <c r="H15" s="11" t="s">
        <v>1226</v>
      </c>
      <c r="I15" s="11" t="s">
        <v>1227</v>
      </c>
      <c r="J15" s="164">
        <v>45512.0</v>
      </c>
      <c r="K15" s="11" t="s">
        <v>538</v>
      </c>
      <c r="L15" s="66" t="b">
        <v>0</v>
      </c>
      <c r="M15" s="66"/>
      <c r="N15" s="66"/>
      <c r="O15" s="66"/>
      <c r="P15" s="115" t="b">
        <v>1</v>
      </c>
    </row>
    <row r="16">
      <c r="A16" s="57">
        <v>2.124008291E9</v>
      </c>
      <c r="B16" s="109" t="str">
        <f>VLOOKUP($A16,ANAGRAFICA!$B$1:$G$306,2,FALSE)</f>
        <v>FUMAGALLI</v>
      </c>
      <c r="C16" s="109" t="str">
        <f>VLOOKUP($A16,ANAGRAFICA!$B$1:$G$306,3,FALSE)</f>
        <v>PIERO</v>
      </c>
      <c r="D16" s="109" t="str">
        <f>VLOOKUP($A16,ANAGRAFICA!$B$1:$G$306,4,FALSE)</f>
        <v/>
      </c>
      <c r="E16" s="109">
        <f>VLOOKUP($A16,ANAGRAFICA!$B$1:$G$306,5,FALSE)</f>
        <v>3272024065</v>
      </c>
      <c r="F16" s="109">
        <f>VLOOKUP($A16,ANAGRAFICA!$B$1:$G$306,6,FALSE)</f>
        <v>2024</v>
      </c>
      <c r="G16" s="3">
        <v>1.0</v>
      </c>
      <c r="H16" s="11" t="s">
        <v>1228</v>
      </c>
      <c r="I16" s="66"/>
      <c r="J16" s="164">
        <v>45415.0</v>
      </c>
      <c r="K16" s="11" t="s">
        <v>651</v>
      </c>
      <c r="L16" s="115" t="b">
        <v>1</v>
      </c>
      <c r="M16" s="11">
        <v>1.0</v>
      </c>
      <c r="N16" s="11" t="s">
        <v>516</v>
      </c>
      <c r="O16" s="11" t="s">
        <v>516</v>
      </c>
      <c r="P16" s="115" t="b">
        <v>1</v>
      </c>
    </row>
    <row r="17">
      <c r="A17" s="57">
        <v>2.124008291E9</v>
      </c>
      <c r="B17" s="109" t="str">
        <f>VLOOKUP($A17,ANAGRAFICA!$B$1:$G$306,2,FALSE)</f>
        <v>FUMAGALLI</v>
      </c>
      <c r="C17" s="109" t="str">
        <f>VLOOKUP($A17,ANAGRAFICA!$B$1:$G$306,3,FALSE)</f>
        <v>PIERO</v>
      </c>
      <c r="D17" s="109" t="str">
        <f>VLOOKUP($A17,ANAGRAFICA!$B$1:$G$306,4,FALSE)</f>
        <v/>
      </c>
      <c r="E17" s="109">
        <f>VLOOKUP($A17,ANAGRAFICA!$B$1:$G$306,5,FALSE)</f>
        <v>3272024065</v>
      </c>
      <c r="F17" s="109">
        <f>VLOOKUP($A17,ANAGRAFICA!$B$1:$G$306,6,FALSE)</f>
        <v>2024</v>
      </c>
      <c r="G17" s="3">
        <v>1.0</v>
      </c>
      <c r="H17" s="11" t="s">
        <v>1218</v>
      </c>
      <c r="I17" s="66"/>
      <c r="J17" s="164">
        <v>45415.0</v>
      </c>
      <c r="K17" s="11" t="s">
        <v>651</v>
      </c>
      <c r="L17" s="115" t="b">
        <v>1</v>
      </c>
      <c r="M17" s="11">
        <v>1.0</v>
      </c>
      <c r="N17" s="11" t="s">
        <v>516</v>
      </c>
      <c r="O17" s="11" t="s">
        <v>516</v>
      </c>
      <c r="P17" s="115" t="b">
        <v>1</v>
      </c>
    </row>
    <row r="18">
      <c r="A18" s="57">
        <v>2.124006081E9</v>
      </c>
      <c r="B18" s="109" t="str">
        <f>VLOOKUP($A18,ANAGRAFICA!$B$1:$G$306,2,FALSE)</f>
        <v>DOSSI</v>
      </c>
      <c r="C18" s="109" t="str">
        <f>VLOOKUP($A18,ANAGRAFICA!$B$1:$G$306,3,FALSE)</f>
        <v>MAURIZIO ANTONIO</v>
      </c>
      <c r="D18" s="109" t="str">
        <f>VLOOKUP($A18,ANAGRAFICA!$B$1:$G$306,4,FALSE)</f>
        <v/>
      </c>
      <c r="E18" s="109">
        <f>VLOOKUP($A18,ANAGRAFICA!$B$1:$G$306,5,FALSE)</f>
        <v>3272024062</v>
      </c>
      <c r="F18" s="109">
        <f>VLOOKUP($A18,ANAGRAFICA!$B$1:$G$306,6,FALSE)</f>
        <v>2024</v>
      </c>
      <c r="G18" s="3">
        <v>1.0</v>
      </c>
      <c r="H18" s="11" t="s">
        <v>1221</v>
      </c>
      <c r="I18" s="66"/>
      <c r="J18" s="164">
        <v>45387.0</v>
      </c>
      <c r="K18" s="11" t="s">
        <v>353</v>
      </c>
      <c r="L18" s="115" t="b">
        <v>1</v>
      </c>
      <c r="M18" s="11">
        <v>2.0</v>
      </c>
      <c r="N18" s="11">
        <v>120.0</v>
      </c>
      <c r="O18" s="11">
        <v>155.0</v>
      </c>
      <c r="P18" s="115" t="b">
        <v>1</v>
      </c>
    </row>
    <row r="19">
      <c r="A19" s="57">
        <v>2.124003924E9</v>
      </c>
      <c r="B19" s="109" t="str">
        <f>VLOOKUP($A19,ANAGRAFICA!$B$1:$G$306,2,FALSE)</f>
        <v>MUHAMMAD</v>
      </c>
      <c r="C19" s="109" t="str">
        <f>VLOOKUP($A19,ANAGRAFICA!$B$1:$G$306,3,FALSE)</f>
        <v>SHARIF</v>
      </c>
      <c r="D19" s="109" t="str">
        <f>VLOOKUP($A19,ANAGRAFICA!$B$1:$G$306,4,FALSE)</f>
        <v/>
      </c>
      <c r="E19" s="109">
        <f>VLOOKUP($A19,ANAGRAFICA!$B$1:$G$306,5,FALSE)</f>
        <v>3272024059</v>
      </c>
      <c r="F19" s="109">
        <f>VLOOKUP($A19,ANAGRAFICA!$B$1:$G$306,6,FALSE)</f>
        <v>2024</v>
      </c>
      <c r="G19" s="3">
        <v>1.0</v>
      </c>
      <c r="H19" s="11" t="s">
        <v>1226</v>
      </c>
      <c r="I19" s="11" t="s">
        <v>1229</v>
      </c>
      <c r="J19" s="164">
        <v>45349.0</v>
      </c>
      <c r="K19" s="11" t="s">
        <v>292</v>
      </c>
      <c r="L19" s="66" t="b">
        <v>0</v>
      </c>
      <c r="M19" s="66"/>
      <c r="N19" s="66"/>
      <c r="O19" s="66"/>
      <c r="P19" s="66" t="b">
        <v>0</v>
      </c>
    </row>
    <row r="20">
      <c r="A20" s="57">
        <v>2.124014461E9</v>
      </c>
      <c r="B20" s="109" t="str">
        <f>VLOOKUP($A20,ANAGRAFICA!$B$1:$G$306,2,FALSE)</f>
        <v>FUMAGALLI</v>
      </c>
      <c r="C20" s="109" t="str">
        <f>VLOOKUP($A20,ANAGRAFICA!$B$1:$G$306,3,FALSE)</f>
        <v>LUCA</v>
      </c>
      <c r="D20" s="109" t="str">
        <f>VLOOKUP($A20,ANAGRAFICA!$B$1:$G$306,4,FALSE)</f>
        <v>758-10</v>
      </c>
      <c r="E20" s="109">
        <f>VLOOKUP($A20,ANAGRAFICA!$B$1:$G$306,5,FALSE)</f>
        <v>3272024076</v>
      </c>
      <c r="F20" s="109">
        <f>VLOOKUP($A20,ANAGRAFICA!$B$1:$G$306,6,FALSE)</f>
        <v>2024</v>
      </c>
      <c r="G20" s="3">
        <v>1.0</v>
      </c>
      <c r="H20" s="11" t="s">
        <v>1221</v>
      </c>
      <c r="I20" s="66"/>
      <c r="J20" s="164">
        <v>45524.0</v>
      </c>
      <c r="K20" s="11" t="s">
        <v>621</v>
      </c>
      <c r="L20" s="115" t="b">
        <v>1</v>
      </c>
      <c r="M20" s="11">
        <v>1.0</v>
      </c>
      <c r="N20" s="11">
        <v>55.0</v>
      </c>
      <c r="O20" s="11">
        <v>85.0</v>
      </c>
      <c r="P20" s="66" t="b">
        <v>0</v>
      </c>
    </row>
    <row r="21">
      <c r="A21" s="57">
        <v>2.124014461E9</v>
      </c>
      <c r="B21" s="109" t="str">
        <f>VLOOKUP($A21,ANAGRAFICA!$B$1:$G$306,2,FALSE)</f>
        <v>FUMAGALLI</v>
      </c>
      <c r="C21" s="109" t="str">
        <f>VLOOKUP($A21,ANAGRAFICA!$B$1:$G$306,3,FALSE)</f>
        <v>LUCA</v>
      </c>
      <c r="D21" s="109" t="str">
        <f>VLOOKUP($A21,ANAGRAFICA!$B$1:$G$306,4,FALSE)</f>
        <v>758-10</v>
      </c>
      <c r="E21" s="109">
        <f>VLOOKUP($A21,ANAGRAFICA!$B$1:$G$306,5,FALSE)</f>
        <v>3272024076</v>
      </c>
      <c r="F21" s="109">
        <f>VLOOKUP($A21,ANAGRAFICA!$B$1:$G$306,6,FALSE)</f>
        <v>2024</v>
      </c>
      <c r="G21" s="3">
        <v>1.0</v>
      </c>
      <c r="H21" s="66"/>
      <c r="I21" s="11" t="s">
        <v>1230</v>
      </c>
      <c r="J21" s="164">
        <v>45529.0</v>
      </c>
      <c r="K21" s="11" t="s">
        <v>292</v>
      </c>
      <c r="L21" s="66" t="b">
        <v>0</v>
      </c>
      <c r="M21" s="66"/>
      <c r="N21" s="66"/>
      <c r="O21" s="66"/>
      <c r="P21" s="66" t="b">
        <v>0</v>
      </c>
    </row>
    <row r="22">
      <c r="A22" s="57">
        <v>2.124024078E9</v>
      </c>
      <c r="B22" s="109" t="str">
        <f>VLOOKUP($A22,ANAGRAFICA!$B$1:$G$306,2,FALSE)</f>
        <v>ROVARIS</v>
      </c>
      <c r="C22" s="109" t="str">
        <f>VLOOKUP($A22,ANAGRAFICA!$B$1:$G$306,3,FALSE)</f>
        <v>ANGELO FELICE</v>
      </c>
      <c r="D22" s="109" t="str">
        <f>VLOOKUP($A22,ANAGRAFICA!$B$1:$G$306,4,FALSE)</f>
        <v>758-20</v>
      </c>
      <c r="E22" s="109">
        <f>VLOOKUP($A22,ANAGRAFICA!$B$1:$G$306,5,FALSE)</f>
        <v>3272024086</v>
      </c>
      <c r="F22" s="109">
        <f>VLOOKUP($A22,ANAGRAFICA!$B$1:$G$306,6,FALSE)</f>
        <v>2024</v>
      </c>
      <c r="G22" s="3">
        <v>1.0</v>
      </c>
      <c r="H22" s="11" t="s">
        <v>1231</v>
      </c>
      <c r="I22" s="66"/>
      <c r="J22" s="214">
        <v>45624.0</v>
      </c>
      <c r="K22" s="11" t="s">
        <v>1232</v>
      </c>
      <c r="L22" s="66" t="b">
        <v>0</v>
      </c>
      <c r="M22" s="66"/>
      <c r="N22" s="66"/>
      <c r="O22" s="66"/>
      <c r="P22" s="66" t="b">
        <v>0</v>
      </c>
    </row>
    <row r="23">
      <c r="A23" s="57">
        <v>2.125029623E9</v>
      </c>
      <c r="B23" s="109" t="str">
        <f>VLOOKUP($A23,ANAGRAFICA!$B$1:$G$306,2,FALSE)</f>
        <v>IANDIORIO</v>
      </c>
      <c r="C23" s="109" t="str">
        <f>VLOOKUP($A23,ANAGRAFICA!$B$1:$G$306,3,FALSE)</f>
        <v>ALDO NATALINO</v>
      </c>
      <c r="D23" s="109" t="str">
        <f>VLOOKUP($A23,ANAGRAFICA!$B$1:$G$306,4,FALSE)</f>
        <v>758-36</v>
      </c>
      <c r="E23" s="109">
        <f>VLOOKUP($A23,ANAGRAFICA!$B$1:$G$306,5,FALSE)</f>
        <v>3272025062</v>
      </c>
      <c r="F23" s="109">
        <f>VLOOKUP($A23,ANAGRAFICA!$B$1:$G$306,6,FALSE)</f>
        <v>2025</v>
      </c>
      <c r="H23" s="11" t="s">
        <v>1221</v>
      </c>
      <c r="I23" s="66"/>
      <c r="J23" s="164">
        <v>45480.0</v>
      </c>
      <c r="K23" s="11" t="s">
        <v>131</v>
      </c>
      <c r="L23" s="66" t="b">
        <v>0</v>
      </c>
      <c r="M23" s="66"/>
      <c r="N23" s="66"/>
      <c r="O23" s="66"/>
      <c r="P23" s="66" t="b">
        <v>0</v>
      </c>
    </row>
    <row r="24">
      <c r="A24" s="57">
        <v>2.125040052E9</v>
      </c>
      <c r="B24" s="109" t="str">
        <f>VLOOKUP($A24,ANAGRAFICA!$B$1:$G$306,2,FALSE)</f>
        <v>TODESCATO</v>
      </c>
      <c r="C24" s="109" t="str">
        <f>VLOOKUP($A24,ANAGRAFICA!$B$1:$G$306,3,FALSE)</f>
        <v>GIANLUCA</v>
      </c>
      <c r="D24" s="109" t="str">
        <f>VLOOKUP($A24,ANAGRAFICA!$B$1:$G$306,4,FALSE)</f>
        <v>758-40</v>
      </c>
      <c r="E24" s="109">
        <f>VLOOKUP($A24,ANAGRAFICA!$B$1:$G$306,5,FALSE)</f>
        <v>3272025067</v>
      </c>
      <c r="F24" s="109">
        <f>VLOOKUP($A24,ANAGRAFICA!$B$1:$G$306,6,FALSE)</f>
        <v>2025</v>
      </c>
      <c r="G24" s="3">
        <v>1.0</v>
      </c>
      <c r="H24" s="11" t="s">
        <v>1231</v>
      </c>
      <c r="I24" s="11" t="s">
        <v>1233</v>
      </c>
      <c r="J24" s="164">
        <v>45926.0</v>
      </c>
      <c r="K24" s="11" t="s">
        <v>353</v>
      </c>
      <c r="L24" s="115" t="b">
        <v>1</v>
      </c>
      <c r="M24" s="11">
        <v>1.0</v>
      </c>
      <c r="N24" s="66"/>
      <c r="O24" s="11">
        <v>93.0</v>
      </c>
      <c r="P24" s="115" t="b">
        <v>1</v>
      </c>
    </row>
    <row r="25">
      <c r="A25" s="57">
        <v>2.126005799E9</v>
      </c>
      <c r="B25" s="109" t="str">
        <f>VLOOKUP($A25,ANAGRAFICA!$B$1:$G$306,2,FALSE)</f>
        <v>MAIORANO</v>
      </c>
      <c r="C25" s="109" t="str">
        <f>VLOOKUP($A25,ANAGRAFICA!$B$1:$G$306,3,FALSE)</f>
        <v>IOLANDA MARIA</v>
      </c>
      <c r="D25" s="109" t="str">
        <f>VLOOKUP($A25,ANAGRAFICA!$B$1:$G$306,4,FALSE)</f>
        <v>758-56</v>
      </c>
      <c r="E25" s="109" t="str">
        <f>VLOOKUP($A25,ANAGRAFICA!$B$1:$G$306,5,FALSE)</f>
        <v/>
      </c>
      <c r="F25" s="109">
        <f>VLOOKUP($A25,ANAGRAFICA!$B$1:$G$306,6,FALSE)</f>
        <v>2026</v>
      </c>
      <c r="G25" s="3">
        <v>1.0</v>
      </c>
      <c r="H25" s="66"/>
      <c r="I25" s="11" t="s">
        <v>1091</v>
      </c>
      <c r="J25" s="66"/>
      <c r="K25" s="66"/>
      <c r="L25" s="66" t="b">
        <v>0</v>
      </c>
      <c r="M25" s="66"/>
      <c r="N25" s="66"/>
      <c r="O25" s="66"/>
      <c r="P25" s="66" t="b">
        <v>0</v>
      </c>
    </row>
    <row r="26">
      <c r="A26" s="57">
        <v>2.126002771E9</v>
      </c>
      <c r="B26" s="109" t="str">
        <f>VLOOKUP($A26,ANAGRAFICA!$B$1:$G$306,2,FALSE)</f>
        <v>LONGOBARDI</v>
      </c>
      <c r="C26" s="109" t="str">
        <f>VLOOKUP($A26,ANAGRAFICA!$B$1:$G$306,3,FALSE)</f>
        <v>FRANCESCO</v>
      </c>
      <c r="D26" s="109" t="str">
        <f>VLOOKUP($A26,ANAGRAFICA!$B$1:$G$306,4,FALSE)</f>
        <v>758-52</v>
      </c>
      <c r="E26" s="109" t="str">
        <f>VLOOKUP($A26,ANAGRAFICA!$B$1:$G$306,5,FALSE)</f>
        <v/>
      </c>
      <c r="F26" s="109">
        <f>VLOOKUP($A26,ANAGRAFICA!$B$1:$G$306,6,FALSE)</f>
        <v>2026</v>
      </c>
      <c r="G26" s="3">
        <v>1.0</v>
      </c>
      <c r="H26" s="66"/>
      <c r="I26" s="11" t="s">
        <v>1234</v>
      </c>
      <c r="J26" s="66"/>
      <c r="K26" s="66"/>
      <c r="L26" s="66" t="b">
        <v>0</v>
      </c>
      <c r="M26" s="66"/>
      <c r="N26" s="66"/>
      <c r="O26" s="66"/>
      <c r="P26" s="66" t="b">
        <v>0</v>
      </c>
    </row>
    <row r="27">
      <c r="A27" s="57">
        <v>2.126001104E9</v>
      </c>
      <c r="B27" s="109" t="str">
        <f>VLOOKUP($A27,ANAGRAFICA!$B$1:$G$306,2,FALSE)</f>
        <v>LOREGGIA</v>
      </c>
      <c r="C27" s="109" t="str">
        <f>VLOOKUP($A27,ANAGRAFICA!$B$1:$G$306,3,FALSE)</f>
        <v>GIAN MARCO</v>
      </c>
      <c r="D27" s="109" t="str">
        <f>VLOOKUP($A27,ANAGRAFICA!$B$1:$G$306,4,FALSE)</f>
        <v>758-51</v>
      </c>
      <c r="E27" s="109" t="str">
        <f>VLOOKUP($A27,ANAGRAFICA!$B$1:$G$306,5,FALSE)</f>
        <v/>
      </c>
      <c r="F27" s="109">
        <f>VLOOKUP($A27,ANAGRAFICA!$B$1:$G$306,6,FALSE)</f>
        <v>2026</v>
      </c>
      <c r="G27" s="3">
        <v>1.0</v>
      </c>
      <c r="H27" s="66"/>
      <c r="I27" s="11" t="s">
        <v>1234</v>
      </c>
      <c r="J27" s="66"/>
      <c r="K27" s="66"/>
      <c r="L27" s="66" t="b">
        <v>0</v>
      </c>
      <c r="M27" s="66"/>
      <c r="N27" s="66"/>
      <c r="O27" s="66"/>
      <c r="P27" s="66" t="b">
        <v>0</v>
      </c>
    </row>
    <row r="28">
      <c r="A28" s="94"/>
      <c r="B28" s="109" t="str">
        <f>VLOOKUP($A28,ANAGRAFICA!$B$1:$G$306,2,FALSE)</f>
        <v>#N/A</v>
      </c>
      <c r="C28" s="109" t="str">
        <f>VLOOKUP($A28,ANAGRAFICA!$B$1:$G$306,3,FALSE)</f>
        <v>#N/A</v>
      </c>
      <c r="D28" s="109" t="str">
        <f>VLOOKUP($A28,ANAGRAFICA!$B$1:$G$306,4,FALSE)</f>
        <v>#N/A</v>
      </c>
      <c r="E28" s="109" t="str">
        <f>VLOOKUP($A28,ANAGRAFICA!$B$1:$G$306,5,FALSE)</f>
        <v>#N/A</v>
      </c>
      <c r="F28" s="109" t="str">
        <f>VLOOKUP($A28,ANAGRAFICA!$B$1:$G$306,6,FALSE)</f>
        <v>#N/A</v>
      </c>
      <c r="H28" s="66"/>
      <c r="I28" s="66"/>
      <c r="J28" s="66"/>
      <c r="K28" s="66"/>
      <c r="L28" s="66" t="b">
        <v>0</v>
      </c>
      <c r="M28" s="66"/>
      <c r="N28" s="66"/>
      <c r="O28" s="66"/>
      <c r="P28" s="66" t="b">
        <v>0</v>
      </c>
    </row>
    <row r="29">
      <c r="A29" s="94"/>
      <c r="B29" s="109" t="str">
        <f>VLOOKUP($A29,ANAGRAFICA!$B$1:$G$306,2,FALSE)</f>
        <v>#N/A</v>
      </c>
      <c r="C29" s="109" t="str">
        <f>VLOOKUP($A29,ANAGRAFICA!$B$1:$G$306,3,FALSE)</f>
        <v>#N/A</v>
      </c>
      <c r="D29" s="109" t="str">
        <f>VLOOKUP($A29,ANAGRAFICA!$B$1:$G$306,4,FALSE)</f>
        <v>#N/A</v>
      </c>
      <c r="E29" s="109" t="str">
        <f>VLOOKUP($A29,ANAGRAFICA!$B$1:$G$306,5,FALSE)</f>
        <v>#N/A</v>
      </c>
      <c r="F29" s="109" t="str">
        <f>VLOOKUP($A29,ANAGRAFICA!$B$1:$G$306,6,FALSE)</f>
        <v>#N/A</v>
      </c>
      <c r="H29" s="66"/>
      <c r="I29" s="66"/>
      <c r="J29" s="66"/>
      <c r="K29" s="66"/>
      <c r="L29" s="66" t="b">
        <v>0</v>
      </c>
      <c r="M29" s="66"/>
      <c r="N29" s="66"/>
      <c r="O29" s="66"/>
      <c r="P29" s="66" t="b">
        <v>0</v>
      </c>
    </row>
    <row r="30">
      <c r="A30" s="94"/>
      <c r="B30" s="109" t="str">
        <f>VLOOKUP($A30,ANAGRAFICA!$B$1:$G$306,2,FALSE)</f>
        <v>#N/A</v>
      </c>
      <c r="C30" s="109" t="str">
        <f>VLOOKUP($A30,ANAGRAFICA!$B$1:$G$306,3,FALSE)</f>
        <v>#N/A</v>
      </c>
      <c r="D30" s="109" t="str">
        <f>VLOOKUP($A30,ANAGRAFICA!$B$1:$G$306,4,FALSE)</f>
        <v>#N/A</v>
      </c>
      <c r="E30" s="109" t="str">
        <f>VLOOKUP($A30,ANAGRAFICA!$B$1:$G$306,5,FALSE)</f>
        <v>#N/A</v>
      </c>
      <c r="F30" s="109" t="str">
        <f>VLOOKUP($A30,ANAGRAFICA!$B$1:$G$306,6,FALSE)</f>
        <v>#N/A</v>
      </c>
      <c r="H30" s="66"/>
      <c r="I30" s="66"/>
      <c r="J30" s="66"/>
      <c r="K30" s="66"/>
      <c r="L30" s="66" t="b">
        <v>0</v>
      </c>
      <c r="M30" s="66"/>
      <c r="N30" s="66"/>
      <c r="O30" s="66"/>
      <c r="P30" s="66" t="b">
        <v>0</v>
      </c>
    </row>
    <row r="31">
      <c r="A31" s="94"/>
      <c r="B31" s="109" t="str">
        <f>VLOOKUP($A31,ANAGRAFICA!$B$1:$G$306,2,FALSE)</f>
        <v>#N/A</v>
      </c>
      <c r="C31" s="109" t="str">
        <f>VLOOKUP($A31,ANAGRAFICA!$B$1:$G$306,3,FALSE)</f>
        <v>#N/A</v>
      </c>
      <c r="D31" s="109" t="str">
        <f>VLOOKUP($A31,ANAGRAFICA!$B$1:$G$306,4,FALSE)</f>
        <v>#N/A</v>
      </c>
      <c r="E31" s="109" t="str">
        <f>VLOOKUP($A31,ANAGRAFICA!$B$1:$G$306,5,FALSE)</f>
        <v>#N/A</v>
      </c>
      <c r="F31" s="109" t="str">
        <f>VLOOKUP($A31,ANAGRAFICA!$B$1:$G$306,6,FALSE)</f>
        <v>#N/A</v>
      </c>
      <c r="H31" s="66"/>
      <c r="I31" s="66"/>
      <c r="J31" s="66"/>
      <c r="K31" s="66"/>
      <c r="L31" s="66" t="b">
        <v>0</v>
      </c>
      <c r="M31" s="66"/>
      <c r="N31" s="66"/>
      <c r="O31" s="66"/>
      <c r="P31" s="66" t="b">
        <v>0</v>
      </c>
    </row>
    <row r="32">
      <c r="A32" s="94"/>
      <c r="B32" s="109" t="str">
        <f>VLOOKUP($A32,ANAGRAFICA!$B$1:$G$306,2,FALSE)</f>
        <v>#N/A</v>
      </c>
      <c r="C32" s="109" t="str">
        <f>VLOOKUP($A32,ANAGRAFICA!$B$1:$G$306,3,FALSE)</f>
        <v>#N/A</v>
      </c>
      <c r="D32" s="109" t="str">
        <f>VLOOKUP($A32,ANAGRAFICA!$B$1:$G$306,4,FALSE)</f>
        <v>#N/A</v>
      </c>
      <c r="E32" s="109" t="str">
        <f>VLOOKUP($A32,ANAGRAFICA!$B$1:$G$306,5,FALSE)</f>
        <v>#N/A</v>
      </c>
      <c r="F32" s="109" t="str">
        <f>VLOOKUP($A32,ANAGRAFICA!$B$1:$G$306,6,FALSE)</f>
        <v>#N/A</v>
      </c>
      <c r="H32" s="66"/>
      <c r="I32" s="66"/>
      <c r="J32" s="66"/>
      <c r="K32" s="66"/>
      <c r="L32" s="66" t="b">
        <v>0</v>
      </c>
      <c r="M32" s="66"/>
      <c r="N32" s="66"/>
      <c r="O32" s="66"/>
      <c r="P32" s="66" t="b">
        <v>0</v>
      </c>
    </row>
    <row r="33">
      <c r="A33" s="94"/>
      <c r="B33" s="109" t="str">
        <f>VLOOKUP($A33,ANAGRAFICA!$B$1:$G$306,2,FALSE)</f>
        <v>#N/A</v>
      </c>
      <c r="C33" s="109" t="str">
        <f>VLOOKUP($A33,ANAGRAFICA!$B$1:$G$306,3,FALSE)</f>
        <v>#N/A</v>
      </c>
      <c r="D33" s="109" t="str">
        <f>VLOOKUP($A33,ANAGRAFICA!$B$1:$G$306,4,FALSE)</f>
        <v>#N/A</v>
      </c>
      <c r="E33" s="109" t="str">
        <f>VLOOKUP($A33,ANAGRAFICA!$B$1:$G$306,5,FALSE)</f>
        <v>#N/A</v>
      </c>
      <c r="F33" s="109" t="str">
        <f>VLOOKUP($A33,ANAGRAFICA!$B$1:$G$306,6,FALSE)</f>
        <v>#N/A</v>
      </c>
      <c r="H33" s="66"/>
      <c r="I33" s="66"/>
      <c r="J33" s="66"/>
      <c r="K33" s="66"/>
      <c r="L33" s="66" t="b">
        <v>0</v>
      </c>
      <c r="M33" s="66"/>
      <c r="N33" s="66"/>
      <c r="O33" s="66"/>
      <c r="P33" s="66" t="b">
        <v>0</v>
      </c>
    </row>
    <row r="34">
      <c r="A34" s="94"/>
      <c r="B34" s="109" t="str">
        <f>VLOOKUP($A34,ANAGRAFICA!$B$1:$G$306,2,FALSE)</f>
        <v>#N/A</v>
      </c>
      <c r="C34" s="109" t="str">
        <f>VLOOKUP($A34,ANAGRAFICA!$B$1:$G$306,3,FALSE)</f>
        <v>#N/A</v>
      </c>
      <c r="D34" s="109" t="str">
        <f>VLOOKUP($A34,ANAGRAFICA!$B$1:$G$306,4,FALSE)</f>
        <v>#N/A</v>
      </c>
      <c r="E34" s="109" t="str">
        <f>VLOOKUP($A34,ANAGRAFICA!$B$1:$G$306,5,FALSE)</f>
        <v>#N/A</v>
      </c>
      <c r="F34" s="109" t="str">
        <f>VLOOKUP($A34,ANAGRAFICA!$B$1:$G$306,6,FALSE)</f>
        <v>#N/A</v>
      </c>
      <c r="H34" s="66"/>
      <c r="I34" s="66"/>
      <c r="J34" s="66"/>
      <c r="K34" s="66"/>
      <c r="L34" s="66" t="b">
        <v>0</v>
      </c>
      <c r="M34" s="66"/>
      <c r="N34" s="66"/>
      <c r="O34" s="66"/>
      <c r="P34" s="66" t="b">
        <v>0</v>
      </c>
    </row>
    <row r="35">
      <c r="A35" s="94"/>
      <c r="B35" s="109" t="str">
        <f>VLOOKUP($A35,ANAGRAFICA!$B$1:$G$306,2,FALSE)</f>
        <v>#N/A</v>
      </c>
      <c r="C35" s="109" t="str">
        <f>VLOOKUP($A35,ANAGRAFICA!$B$1:$G$306,3,FALSE)</f>
        <v>#N/A</v>
      </c>
      <c r="D35" s="109" t="str">
        <f>VLOOKUP($A35,ANAGRAFICA!$B$1:$G$306,4,FALSE)</f>
        <v>#N/A</v>
      </c>
      <c r="E35" s="109" t="str">
        <f>VLOOKUP($A35,ANAGRAFICA!$B$1:$G$306,5,FALSE)</f>
        <v>#N/A</v>
      </c>
      <c r="F35" s="109" t="str">
        <f>VLOOKUP($A35,ANAGRAFICA!$B$1:$G$306,6,FALSE)</f>
        <v>#N/A</v>
      </c>
      <c r="H35" s="66"/>
      <c r="I35" s="66"/>
      <c r="J35" s="66"/>
      <c r="K35" s="66"/>
      <c r="L35" s="66" t="b">
        <v>0</v>
      </c>
      <c r="M35" s="66"/>
      <c r="N35" s="66"/>
      <c r="O35" s="66"/>
      <c r="P35" s="66" t="b">
        <v>0</v>
      </c>
    </row>
    <row r="36">
      <c r="A36" s="94"/>
      <c r="B36" s="109" t="str">
        <f>VLOOKUP($A36,ANAGRAFICA!$B$1:$G$306,2,FALSE)</f>
        <v>#N/A</v>
      </c>
      <c r="C36" s="109" t="str">
        <f>VLOOKUP($A36,ANAGRAFICA!$B$1:$G$306,3,FALSE)</f>
        <v>#N/A</v>
      </c>
      <c r="D36" s="109" t="str">
        <f>VLOOKUP($A36,ANAGRAFICA!$B$1:$G$306,4,FALSE)</f>
        <v>#N/A</v>
      </c>
      <c r="E36" s="109" t="str">
        <f>VLOOKUP($A36,ANAGRAFICA!$B$1:$G$306,5,FALSE)</f>
        <v>#N/A</v>
      </c>
      <c r="F36" s="109" t="str">
        <f>VLOOKUP($A36,ANAGRAFICA!$B$1:$G$306,6,FALSE)</f>
        <v>#N/A</v>
      </c>
      <c r="H36" s="66"/>
      <c r="I36" s="66"/>
      <c r="J36" s="66"/>
      <c r="K36" s="66"/>
      <c r="L36" s="66" t="b">
        <v>0</v>
      </c>
      <c r="M36" s="66"/>
      <c r="N36" s="66"/>
      <c r="O36" s="66"/>
      <c r="P36" s="66" t="b">
        <v>0</v>
      </c>
    </row>
    <row r="37">
      <c r="A37" s="94"/>
      <c r="B37" s="109" t="str">
        <f>VLOOKUP($A37,ANAGRAFICA!$B$1:$G$306,2,FALSE)</f>
        <v>#N/A</v>
      </c>
      <c r="C37" s="109" t="str">
        <f>VLOOKUP($A37,ANAGRAFICA!$B$1:$G$306,3,FALSE)</f>
        <v>#N/A</v>
      </c>
      <c r="D37" s="109" t="str">
        <f>VLOOKUP($A37,ANAGRAFICA!$B$1:$G$306,4,FALSE)</f>
        <v>#N/A</v>
      </c>
      <c r="E37" s="109" t="str">
        <f>VLOOKUP($A37,ANAGRAFICA!$B$1:$G$306,5,FALSE)</f>
        <v>#N/A</v>
      </c>
      <c r="F37" s="109" t="str">
        <f>VLOOKUP($A37,ANAGRAFICA!$B$1:$G$306,6,FALSE)</f>
        <v>#N/A</v>
      </c>
      <c r="H37" s="66"/>
      <c r="I37" s="66"/>
      <c r="J37" s="66"/>
      <c r="K37" s="66"/>
      <c r="L37" s="66" t="b">
        <v>0</v>
      </c>
      <c r="M37" s="66"/>
      <c r="N37" s="66"/>
      <c r="O37" s="66"/>
      <c r="P37" s="66" t="b">
        <v>0</v>
      </c>
    </row>
    <row r="38">
      <c r="A38" s="94"/>
      <c r="B38" s="109" t="str">
        <f>VLOOKUP($A38,ANAGRAFICA!$B$1:$G$306,2,FALSE)</f>
        <v>#N/A</v>
      </c>
      <c r="C38" s="109" t="str">
        <f>VLOOKUP($A38,ANAGRAFICA!$B$1:$G$306,3,FALSE)</f>
        <v>#N/A</v>
      </c>
      <c r="D38" s="109" t="str">
        <f>VLOOKUP($A38,ANAGRAFICA!$B$1:$G$306,4,FALSE)</f>
        <v>#N/A</v>
      </c>
      <c r="E38" s="109" t="str">
        <f>VLOOKUP($A38,ANAGRAFICA!$B$1:$G$306,5,FALSE)</f>
        <v>#N/A</v>
      </c>
      <c r="F38" s="109" t="str">
        <f>VLOOKUP($A38,ANAGRAFICA!$B$1:$G$306,6,FALSE)</f>
        <v>#N/A</v>
      </c>
      <c r="H38" s="66"/>
      <c r="I38" s="66"/>
      <c r="J38" s="66"/>
      <c r="K38" s="66"/>
      <c r="L38" s="66" t="b">
        <v>0</v>
      </c>
      <c r="M38" s="66"/>
      <c r="N38" s="66"/>
      <c r="O38" s="66"/>
      <c r="P38" s="66" t="b">
        <v>0</v>
      </c>
    </row>
    <row r="39">
      <c r="A39" s="94"/>
      <c r="B39" s="109" t="str">
        <f>VLOOKUP($A39,ANAGRAFICA!$B$1:$G$306,2,FALSE)</f>
        <v>#N/A</v>
      </c>
      <c r="C39" s="109" t="str">
        <f>VLOOKUP($A39,ANAGRAFICA!$B$1:$G$306,3,FALSE)</f>
        <v>#N/A</v>
      </c>
      <c r="D39" s="109" t="str">
        <f>VLOOKUP($A39,ANAGRAFICA!$B$1:$G$306,4,FALSE)</f>
        <v>#N/A</v>
      </c>
      <c r="E39" s="109" t="str">
        <f>VLOOKUP($A39,ANAGRAFICA!$B$1:$G$306,5,FALSE)</f>
        <v>#N/A</v>
      </c>
      <c r="F39" s="109" t="str">
        <f>VLOOKUP($A39,ANAGRAFICA!$B$1:$G$306,6,FALSE)</f>
        <v>#N/A</v>
      </c>
      <c r="H39" s="66"/>
      <c r="I39" s="66"/>
      <c r="J39" s="66"/>
      <c r="K39" s="66"/>
      <c r="L39" s="66" t="b">
        <v>0</v>
      </c>
      <c r="M39" s="66"/>
      <c r="N39" s="66"/>
      <c r="O39" s="66"/>
      <c r="P39" s="66" t="b">
        <v>0</v>
      </c>
    </row>
    <row r="40">
      <c r="A40" s="94"/>
      <c r="B40" s="109" t="str">
        <f>VLOOKUP($A40,ANAGRAFICA!$B$1:$G$306,2,FALSE)</f>
        <v>#N/A</v>
      </c>
      <c r="C40" s="109" t="str">
        <f>VLOOKUP($A40,ANAGRAFICA!$B$1:$G$306,3,FALSE)</f>
        <v>#N/A</v>
      </c>
      <c r="D40" s="109" t="str">
        <f>VLOOKUP($A40,ANAGRAFICA!$B$1:$G$306,4,FALSE)</f>
        <v>#N/A</v>
      </c>
      <c r="E40" s="109" t="str">
        <f>VLOOKUP($A40,ANAGRAFICA!$B$1:$G$306,5,FALSE)</f>
        <v>#N/A</v>
      </c>
      <c r="F40" s="109" t="str">
        <f>VLOOKUP($A40,ANAGRAFICA!$B$1:$G$306,6,FALSE)</f>
        <v>#N/A</v>
      </c>
      <c r="H40" s="66"/>
      <c r="I40" s="66"/>
      <c r="J40" s="66"/>
      <c r="K40" s="66"/>
      <c r="L40" s="66" t="b">
        <v>0</v>
      </c>
      <c r="M40" s="66"/>
      <c r="N40" s="66"/>
      <c r="O40" s="66"/>
      <c r="P40" s="66" t="b">
        <v>0</v>
      </c>
    </row>
    <row r="41">
      <c r="A41" s="94"/>
      <c r="B41" s="109" t="str">
        <f>VLOOKUP($A41,ANAGRAFICA!$B$1:$G$306,2,FALSE)</f>
        <v>#N/A</v>
      </c>
      <c r="C41" s="109" t="str">
        <f>VLOOKUP($A41,ANAGRAFICA!$B$1:$G$306,3,FALSE)</f>
        <v>#N/A</v>
      </c>
      <c r="D41" s="109" t="str">
        <f>VLOOKUP($A41,ANAGRAFICA!$B$1:$G$306,4,FALSE)</f>
        <v>#N/A</v>
      </c>
      <c r="E41" s="109" t="str">
        <f>VLOOKUP($A41,ANAGRAFICA!$B$1:$G$306,5,FALSE)</f>
        <v>#N/A</v>
      </c>
      <c r="F41" s="109" t="str">
        <f>VLOOKUP($A41,ANAGRAFICA!$B$1:$G$306,6,FALSE)</f>
        <v>#N/A</v>
      </c>
      <c r="H41" s="66"/>
      <c r="I41" s="66"/>
      <c r="J41" s="66"/>
      <c r="K41" s="66"/>
      <c r="L41" s="66" t="b">
        <v>0</v>
      </c>
      <c r="M41" s="66"/>
      <c r="N41" s="66"/>
      <c r="O41" s="66"/>
      <c r="P41" s="66" t="b">
        <v>0</v>
      </c>
    </row>
    <row r="42">
      <c r="A42" s="94"/>
      <c r="B42" s="109" t="str">
        <f>VLOOKUP($A42,ANAGRAFICA!$B$1:$G$306,2,FALSE)</f>
        <v>#N/A</v>
      </c>
      <c r="C42" s="109" t="str">
        <f>VLOOKUP($A42,ANAGRAFICA!$B$1:$G$306,3,FALSE)</f>
        <v>#N/A</v>
      </c>
      <c r="D42" s="109" t="str">
        <f>VLOOKUP($A42,ANAGRAFICA!$B$1:$G$306,4,FALSE)</f>
        <v>#N/A</v>
      </c>
      <c r="E42" s="109" t="str">
        <f>VLOOKUP($A42,ANAGRAFICA!$B$1:$G$306,5,FALSE)</f>
        <v>#N/A</v>
      </c>
      <c r="F42" s="109" t="str">
        <f>VLOOKUP($A42,ANAGRAFICA!$B$1:$G$306,6,FALSE)</f>
        <v>#N/A</v>
      </c>
      <c r="H42" s="66"/>
      <c r="I42" s="66"/>
      <c r="J42" s="66"/>
      <c r="K42" s="66"/>
      <c r="L42" s="66" t="b">
        <v>0</v>
      </c>
      <c r="M42" s="66"/>
      <c r="N42" s="66"/>
      <c r="O42" s="66"/>
      <c r="P42" s="66" t="b">
        <v>0</v>
      </c>
    </row>
    <row r="43">
      <c r="A43" s="94"/>
      <c r="B43" s="109" t="str">
        <f>VLOOKUP($A43,ANAGRAFICA!$B$1:$G$306,2,FALSE)</f>
        <v>#N/A</v>
      </c>
      <c r="C43" s="109" t="str">
        <f>VLOOKUP($A43,ANAGRAFICA!$B$1:$G$306,3,FALSE)</f>
        <v>#N/A</v>
      </c>
      <c r="D43" s="109" t="str">
        <f>VLOOKUP($A43,ANAGRAFICA!$B$1:$G$306,4,FALSE)</f>
        <v>#N/A</v>
      </c>
      <c r="E43" s="109" t="str">
        <f>VLOOKUP($A43,ANAGRAFICA!$B$1:$G$306,5,FALSE)</f>
        <v>#N/A</v>
      </c>
      <c r="F43" s="109" t="str">
        <f>VLOOKUP($A43,ANAGRAFICA!$B$1:$G$306,6,FALSE)</f>
        <v>#N/A</v>
      </c>
      <c r="H43" s="66"/>
      <c r="I43" s="66"/>
      <c r="J43" s="66"/>
      <c r="K43" s="66"/>
      <c r="L43" s="66" t="b">
        <v>0</v>
      </c>
      <c r="M43" s="66"/>
      <c r="N43" s="66"/>
      <c r="O43" s="66"/>
      <c r="P43" s="66" t="b">
        <v>0</v>
      </c>
    </row>
    <row r="44">
      <c r="A44" s="94"/>
      <c r="B44" s="109" t="str">
        <f>VLOOKUP($A44,ANAGRAFICA!$B$1:$G$306,2,FALSE)</f>
        <v>#N/A</v>
      </c>
      <c r="C44" s="109" t="str">
        <f>VLOOKUP($A44,ANAGRAFICA!$B$1:$G$306,3,FALSE)</f>
        <v>#N/A</v>
      </c>
      <c r="D44" s="109" t="str">
        <f>VLOOKUP($A44,ANAGRAFICA!$B$1:$G$306,4,FALSE)</f>
        <v>#N/A</v>
      </c>
      <c r="E44" s="109" t="str">
        <f>VLOOKUP($A44,ANAGRAFICA!$B$1:$G$306,5,FALSE)</f>
        <v>#N/A</v>
      </c>
      <c r="F44" s="109" t="str">
        <f>VLOOKUP($A44,ANAGRAFICA!$B$1:$G$306,6,FALSE)</f>
        <v>#N/A</v>
      </c>
      <c r="H44" s="66"/>
      <c r="I44" s="66"/>
      <c r="J44" s="66"/>
      <c r="K44" s="66"/>
      <c r="L44" s="66" t="b">
        <v>0</v>
      </c>
      <c r="M44" s="66"/>
      <c r="N44" s="66"/>
      <c r="O44" s="66"/>
      <c r="P44" s="66" t="b">
        <v>0</v>
      </c>
    </row>
    <row r="45">
      <c r="A45" s="94"/>
      <c r="B45" s="109" t="str">
        <f>VLOOKUP($A45,ANAGRAFICA!$B$1:$G$306,2,FALSE)</f>
        <v>#N/A</v>
      </c>
      <c r="C45" s="109" t="str">
        <f>VLOOKUP($A45,ANAGRAFICA!$B$1:$G$306,3,FALSE)</f>
        <v>#N/A</v>
      </c>
      <c r="D45" s="109" t="str">
        <f>VLOOKUP($A45,ANAGRAFICA!$B$1:$G$306,4,FALSE)</f>
        <v>#N/A</v>
      </c>
      <c r="E45" s="109" t="str">
        <f>VLOOKUP($A45,ANAGRAFICA!$B$1:$G$306,5,FALSE)</f>
        <v>#N/A</v>
      </c>
      <c r="F45" s="109" t="str">
        <f>VLOOKUP($A45,ANAGRAFICA!$B$1:$G$306,6,FALSE)</f>
        <v>#N/A</v>
      </c>
      <c r="H45" s="66"/>
      <c r="I45" s="66"/>
      <c r="J45" s="66"/>
      <c r="K45" s="66"/>
      <c r="L45" s="66" t="b">
        <v>0</v>
      </c>
      <c r="M45" s="66"/>
      <c r="N45" s="66"/>
      <c r="O45" s="66"/>
      <c r="P45" s="66" t="b">
        <v>0</v>
      </c>
    </row>
    <row r="46">
      <c r="A46" s="94"/>
      <c r="B46" s="109" t="str">
        <f>VLOOKUP($A46,ANAGRAFICA!$B$1:$G$306,2,FALSE)</f>
        <v>#N/A</v>
      </c>
      <c r="C46" s="109" t="str">
        <f>VLOOKUP($A46,ANAGRAFICA!$B$1:$G$306,3,FALSE)</f>
        <v>#N/A</v>
      </c>
      <c r="D46" s="109" t="str">
        <f>VLOOKUP($A46,ANAGRAFICA!$B$1:$G$306,4,FALSE)</f>
        <v>#N/A</v>
      </c>
      <c r="E46" s="109" t="str">
        <f>VLOOKUP($A46,ANAGRAFICA!$B$1:$G$306,5,FALSE)</f>
        <v>#N/A</v>
      </c>
      <c r="F46" s="109" t="str">
        <f>VLOOKUP($A46,ANAGRAFICA!$B$1:$G$306,6,FALSE)</f>
        <v>#N/A</v>
      </c>
      <c r="H46" s="66"/>
      <c r="I46" s="66"/>
      <c r="J46" s="66"/>
      <c r="K46" s="66"/>
      <c r="L46" s="66" t="b">
        <v>0</v>
      </c>
      <c r="M46" s="66"/>
      <c r="N46" s="66"/>
      <c r="O46" s="66"/>
      <c r="P46" s="66" t="b">
        <v>0</v>
      </c>
    </row>
    <row r="47">
      <c r="A47" s="94"/>
      <c r="B47" s="109" t="str">
        <f>VLOOKUP($A47,ANAGRAFICA!$B$1:$G$306,2,FALSE)</f>
        <v>#N/A</v>
      </c>
      <c r="C47" s="109" t="str">
        <f>VLOOKUP($A47,ANAGRAFICA!$B$1:$G$306,3,FALSE)</f>
        <v>#N/A</v>
      </c>
      <c r="D47" s="109" t="str">
        <f>VLOOKUP($A47,ANAGRAFICA!$B$1:$G$306,4,FALSE)</f>
        <v>#N/A</v>
      </c>
      <c r="E47" s="109" t="str">
        <f>VLOOKUP($A47,ANAGRAFICA!$B$1:$G$306,5,FALSE)</f>
        <v>#N/A</v>
      </c>
      <c r="F47" s="109" t="str">
        <f>VLOOKUP($A47,ANAGRAFICA!$B$1:$G$306,6,FALSE)</f>
        <v>#N/A</v>
      </c>
      <c r="H47" s="66"/>
      <c r="I47" s="66"/>
      <c r="J47" s="66"/>
      <c r="K47" s="66"/>
      <c r="L47" s="66" t="b">
        <v>0</v>
      </c>
      <c r="M47" s="66"/>
      <c r="N47" s="66"/>
      <c r="O47" s="66"/>
      <c r="P47" s="66" t="b">
        <v>0</v>
      </c>
    </row>
    <row r="48">
      <c r="A48" s="94"/>
      <c r="B48" s="109" t="str">
        <f>VLOOKUP($A48,ANAGRAFICA!$B$1:$G$306,2,FALSE)</f>
        <v>#N/A</v>
      </c>
      <c r="C48" s="109" t="str">
        <f>VLOOKUP($A48,ANAGRAFICA!$B$1:$G$306,3,FALSE)</f>
        <v>#N/A</v>
      </c>
      <c r="D48" s="109" t="str">
        <f>VLOOKUP($A48,ANAGRAFICA!$B$1:$G$306,4,FALSE)</f>
        <v>#N/A</v>
      </c>
      <c r="E48" s="109" t="str">
        <f>VLOOKUP($A48,ANAGRAFICA!$B$1:$G$306,5,FALSE)</f>
        <v>#N/A</v>
      </c>
      <c r="F48" s="109" t="str">
        <f>VLOOKUP($A48,ANAGRAFICA!$B$1:$G$306,6,FALSE)</f>
        <v>#N/A</v>
      </c>
      <c r="H48" s="66"/>
      <c r="I48" s="66"/>
      <c r="J48" s="66"/>
      <c r="K48" s="66"/>
      <c r="L48" s="66" t="b">
        <v>0</v>
      </c>
      <c r="M48" s="66"/>
      <c r="N48" s="66"/>
      <c r="O48" s="66"/>
      <c r="P48" s="66" t="b">
        <v>0</v>
      </c>
    </row>
    <row r="49">
      <c r="A49" s="94"/>
      <c r="B49" s="109" t="str">
        <f>VLOOKUP($A49,ANAGRAFICA!$B$1:$G$306,2,FALSE)</f>
        <v>#N/A</v>
      </c>
      <c r="C49" s="109" t="str">
        <f>VLOOKUP($A49,ANAGRAFICA!$B$1:$G$306,3,FALSE)</f>
        <v>#N/A</v>
      </c>
      <c r="D49" s="109" t="str">
        <f>VLOOKUP($A49,ANAGRAFICA!$B$1:$G$306,4,FALSE)</f>
        <v>#N/A</v>
      </c>
      <c r="E49" s="109" t="str">
        <f>VLOOKUP($A49,ANAGRAFICA!$B$1:$G$306,5,FALSE)</f>
        <v>#N/A</v>
      </c>
      <c r="F49" s="109" t="str">
        <f>VLOOKUP($A49,ANAGRAFICA!$B$1:$G$306,6,FALSE)</f>
        <v>#N/A</v>
      </c>
      <c r="H49" s="66"/>
      <c r="I49" s="66"/>
      <c r="J49" s="66"/>
      <c r="K49" s="66"/>
      <c r="L49" s="66" t="b">
        <v>0</v>
      </c>
      <c r="M49" s="66"/>
      <c r="N49" s="66"/>
      <c r="O49" s="66"/>
      <c r="P49" s="66" t="b">
        <v>0</v>
      </c>
    </row>
    <row r="50">
      <c r="A50" s="94"/>
      <c r="B50" s="109" t="str">
        <f>VLOOKUP($A50,ANAGRAFICA!$B$1:$G$306,2,FALSE)</f>
        <v>#N/A</v>
      </c>
      <c r="C50" s="109" t="str">
        <f>VLOOKUP($A50,ANAGRAFICA!$B$1:$G$306,3,FALSE)</f>
        <v>#N/A</v>
      </c>
      <c r="D50" s="109" t="str">
        <f>VLOOKUP($A50,ANAGRAFICA!$B$1:$G$306,4,FALSE)</f>
        <v>#N/A</v>
      </c>
      <c r="E50" s="109" t="str">
        <f>VLOOKUP($A50,ANAGRAFICA!$B$1:$G$306,5,FALSE)</f>
        <v>#N/A</v>
      </c>
      <c r="F50" s="109" t="str">
        <f>VLOOKUP($A50,ANAGRAFICA!$B$1:$G$306,6,FALSE)</f>
        <v>#N/A</v>
      </c>
      <c r="H50" s="66"/>
      <c r="I50" s="66"/>
      <c r="J50" s="66"/>
      <c r="K50" s="66"/>
      <c r="L50" s="66" t="b">
        <v>0</v>
      </c>
      <c r="M50" s="66"/>
      <c r="N50" s="66"/>
      <c r="O50" s="66"/>
      <c r="P50" s="66" t="b">
        <v>0</v>
      </c>
    </row>
    <row r="51">
      <c r="A51" s="94"/>
      <c r="B51" s="109" t="str">
        <f>VLOOKUP($A51,ANAGRAFICA!$B$1:$G$306,2,FALSE)</f>
        <v>#N/A</v>
      </c>
      <c r="C51" s="109" t="str">
        <f>VLOOKUP($A51,ANAGRAFICA!$B$1:$G$306,3,FALSE)</f>
        <v>#N/A</v>
      </c>
      <c r="D51" s="109" t="str">
        <f>VLOOKUP($A51,ANAGRAFICA!$B$1:$G$306,4,FALSE)</f>
        <v>#N/A</v>
      </c>
      <c r="E51" s="109" t="str">
        <f>VLOOKUP($A51,ANAGRAFICA!$B$1:$G$306,5,FALSE)</f>
        <v>#N/A</v>
      </c>
      <c r="F51" s="109" t="str">
        <f>VLOOKUP($A51,ANAGRAFICA!$B$1:$G$306,6,FALSE)</f>
        <v>#N/A</v>
      </c>
      <c r="H51" s="66"/>
      <c r="I51" s="66"/>
      <c r="J51" s="66"/>
      <c r="K51" s="66"/>
      <c r="L51" s="66" t="b">
        <v>0</v>
      </c>
      <c r="M51" s="66"/>
      <c r="N51" s="66"/>
      <c r="O51" s="66"/>
      <c r="P51" s="66" t="b">
        <v>0</v>
      </c>
    </row>
    <row r="52">
      <c r="A52" s="94"/>
      <c r="B52" s="109" t="str">
        <f>VLOOKUP($A52,ANAGRAFICA!$B$1:$G$306,2,FALSE)</f>
        <v>#N/A</v>
      </c>
      <c r="C52" s="109" t="str">
        <f>VLOOKUP($A52,ANAGRAFICA!$B$1:$G$306,3,FALSE)</f>
        <v>#N/A</v>
      </c>
      <c r="D52" s="109" t="str">
        <f>VLOOKUP($A52,ANAGRAFICA!$B$1:$G$306,4,FALSE)</f>
        <v>#N/A</v>
      </c>
      <c r="E52" s="109" t="str">
        <f>VLOOKUP($A52,ANAGRAFICA!$B$1:$G$306,5,FALSE)</f>
        <v>#N/A</v>
      </c>
      <c r="F52" s="109" t="str">
        <f>VLOOKUP($A52,ANAGRAFICA!$B$1:$G$306,6,FALSE)</f>
        <v>#N/A</v>
      </c>
      <c r="H52" s="66"/>
      <c r="I52" s="66"/>
      <c r="J52" s="66"/>
      <c r="K52" s="66"/>
      <c r="L52" s="66" t="b">
        <v>0</v>
      </c>
      <c r="M52" s="66"/>
      <c r="N52" s="66"/>
      <c r="O52" s="66"/>
      <c r="P52" s="66" t="b">
        <v>0</v>
      </c>
    </row>
    <row r="53">
      <c r="A53" s="94"/>
      <c r="B53" s="109" t="str">
        <f>VLOOKUP($A53,ANAGRAFICA!$B$1:$G$306,2,FALSE)</f>
        <v>#N/A</v>
      </c>
      <c r="C53" s="109" t="str">
        <f>VLOOKUP($A53,ANAGRAFICA!$B$1:$G$306,3,FALSE)</f>
        <v>#N/A</v>
      </c>
      <c r="D53" s="109" t="str">
        <f>VLOOKUP($A53,ANAGRAFICA!$B$1:$G$306,4,FALSE)</f>
        <v>#N/A</v>
      </c>
      <c r="E53" s="109" t="str">
        <f>VLOOKUP($A53,ANAGRAFICA!$B$1:$G$306,5,FALSE)</f>
        <v>#N/A</v>
      </c>
      <c r="F53" s="109" t="str">
        <f>VLOOKUP($A53,ANAGRAFICA!$B$1:$G$306,6,FALSE)</f>
        <v>#N/A</v>
      </c>
      <c r="H53" s="66"/>
      <c r="I53" s="66"/>
      <c r="J53" s="66"/>
      <c r="K53" s="66"/>
      <c r="L53" s="66" t="b">
        <v>0</v>
      </c>
      <c r="M53" s="66"/>
      <c r="N53" s="66"/>
      <c r="O53" s="66"/>
      <c r="P53" s="66" t="b">
        <v>0</v>
      </c>
    </row>
    <row r="54">
      <c r="A54" s="94"/>
      <c r="B54" s="109" t="str">
        <f>VLOOKUP($A54,ANAGRAFICA!$B$1:$G$306,2,FALSE)</f>
        <v>#N/A</v>
      </c>
      <c r="C54" s="109" t="str">
        <f>VLOOKUP($A54,ANAGRAFICA!$B$1:$G$306,3,FALSE)</f>
        <v>#N/A</v>
      </c>
      <c r="D54" s="109" t="str">
        <f>VLOOKUP($A54,ANAGRAFICA!$B$1:$G$306,4,FALSE)</f>
        <v>#N/A</v>
      </c>
      <c r="E54" s="109" t="str">
        <f>VLOOKUP($A54,ANAGRAFICA!$B$1:$G$306,5,FALSE)</f>
        <v>#N/A</v>
      </c>
      <c r="F54" s="109" t="str">
        <f>VLOOKUP($A54,ANAGRAFICA!$B$1:$G$306,6,FALSE)</f>
        <v>#N/A</v>
      </c>
      <c r="H54" s="66"/>
      <c r="I54" s="66"/>
      <c r="J54" s="66"/>
      <c r="K54" s="66"/>
      <c r="L54" s="66" t="b">
        <v>0</v>
      </c>
      <c r="M54" s="66"/>
      <c r="N54" s="66"/>
      <c r="O54" s="66"/>
      <c r="P54" s="66" t="b">
        <v>0</v>
      </c>
    </row>
    <row r="55">
      <c r="A55" s="94"/>
      <c r="B55" s="109" t="str">
        <f>VLOOKUP($A55,ANAGRAFICA!$B$1:$G$306,2,FALSE)</f>
        <v>#N/A</v>
      </c>
      <c r="C55" s="109" t="str">
        <f>VLOOKUP($A55,ANAGRAFICA!$B$1:$G$306,3,FALSE)</f>
        <v>#N/A</v>
      </c>
      <c r="D55" s="109" t="str">
        <f>VLOOKUP($A55,ANAGRAFICA!$B$1:$G$306,4,FALSE)</f>
        <v>#N/A</v>
      </c>
      <c r="E55" s="109" t="str">
        <f>VLOOKUP($A55,ANAGRAFICA!$B$1:$G$306,5,FALSE)</f>
        <v>#N/A</v>
      </c>
      <c r="F55" s="109" t="str">
        <f>VLOOKUP($A55,ANAGRAFICA!$B$1:$G$306,6,FALSE)</f>
        <v>#N/A</v>
      </c>
      <c r="H55" s="66"/>
      <c r="I55" s="66"/>
      <c r="J55" s="66"/>
      <c r="K55" s="66"/>
      <c r="L55" s="66" t="b">
        <v>0</v>
      </c>
      <c r="M55" s="66"/>
      <c r="N55" s="66"/>
      <c r="O55" s="66"/>
      <c r="P55" s="66" t="b">
        <v>0</v>
      </c>
    </row>
    <row r="56">
      <c r="A56" s="94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H56" s="66"/>
      <c r="I56" s="66"/>
      <c r="J56" s="66"/>
      <c r="K56" s="66"/>
      <c r="L56" s="66" t="b">
        <v>0</v>
      </c>
      <c r="M56" s="66"/>
      <c r="N56" s="66"/>
      <c r="O56" s="66"/>
      <c r="P56" s="66" t="b">
        <v>0</v>
      </c>
    </row>
    <row r="57">
      <c r="A57" s="94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H57" s="66"/>
      <c r="I57" s="66"/>
      <c r="J57" s="66"/>
      <c r="K57" s="66"/>
      <c r="L57" s="66" t="b">
        <v>0</v>
      </c>
      <c r="M57" s="66"/>
      <c r="N57" s="66"/>
      <c r="O57" s="66"/>
      <c r="P57" s="66" t="b">
        <v>0</v>
      </c>
    </row>
    <row r="58">
      <c r="A58" s="94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H58" s="66"/>
      <c r="I58" s="66"/>
      <c r="J58" s="66"/>
      <c r="K58" s="66"/>
      <c r="L58" s="66" t="b">
        <v>0</v>
      </c>
      <c r="M58" s="66"/>
      <c r="N58" s="66"/>
      <c r="O58" s="66"/>
      <c r="P58" s="66" t="b">
        <v>0</v>
      </c>
    </row>
    <row r="59">
      <c r="A59" s="94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H59" s="66"/>
      <c r="I59" s="66"/>
      <c r="J59" s="66"/>
      <c r="K59" s="66"/>
      <c r="L59" s="66" t="b">
        <v>0</v>
      </c>
      <c r="M59" s="66"/>
      <c r="N59" s="66"/>
      <c r="O59" s="66"/>
      <c r="P59" s="66" t="b">
        <v>0</v>
      </c>
    </row>
    <row r="60">
      <c r="A60" s="94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H60" s="66"/>
      <c r="I60" s="66"/>
      <c r="J60" s="66"/>
      <c r="K60" s="66"/>
      <c r="L60" s="66" t="b">
        <v>0</v>
      </c>
      <c r="M60" s="66"/>
      <c r="N60" s="66"/>
      <c r="O60" s="66"/>
      <c r="P60" s="66" t="b">
        <v>0</v>
      </c>
    </row>
    <row r="61">
      <c r="A61" s="94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H61" s="66"/>
      <c r="I61" s="66"/>
      <c r="J61" s="66"/>
      <c r="K61" s="66"/>
      <c r="L61" s="66" t="b">
        <v>0</v>
      </c>
      <c r="M61" s="66"/>
      <c r="N61" s="66"/>
      <c r="O61" s="66"/>
      <c r="P61" s="66" t="b">
        <v>0</v>
      </c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H62" s="66"/>
      <c r="I62" s="66"/>
      <c r="J62" s="66"/>
      <c r="K62" s="66"/>
      <c r="L62" s="66" t="b">
        <v>0</v>
      </c>
      <c r="M62" s="66"/>
      <c r="N62" s="66"/>
      <c r="O62" s="66"/>
      <c r="P62" s="66" t="b">
        <v>0</v>
      </c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H63" s="66"/>
      <c r="I63" s="66"/>
      <c r="J63" s="66"/>
      <c r="K63" s="66"/>
      <c r="L63" s="66" t="b">
        <v>0</v>
      </c>
      <c r="M63" s="66"/>
      <c r="N63" s="66"/>
      <c r="O63" s="66"/>
      <c r="P63" s="66" t="b">
        <v>0</v>
      </c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H64" s="66"/>
      <c r="I64" s="66"/>
      <c r="J64" s="66"/>
      <c r="K64" s="66"/>
      <c r="L64" s="66" t="b">
        <v>0</v>
      </c>
      <c r="M64" s="66"/>
      <c r="N64" s="66"/>
      <c r="O64" s="66"/>
      <c r="P64" s="66" t="b">
        <v>0</v>
      </c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H65" s="66"/>
      <c r="I65" s="66"/>
      <c r="J65" s="66"/>
      <c r="K65" s="66"/>
      <c r="L65" s="66" t="b">
        <v>0</v>
      </c>
      <c r="M65" s="66"/>
      <c r="N65" s="66"/>
      <c r="O65" s="66"/>
      <c r="P65" s="66" t="b">
        <v>0</v>
      </c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H66" s="66"/>
      <c r="I66" s="66"/>
      <c r="J66" s="66"/>
      <c r="K66" s="66"/>
      <c r="L66" s="66" t="b">
        <v>0</v>
      </c>
      <c r="M66" s="66"/>
      <c r="N66" s="66"/>
      <c r="O66" s="66"/>
      <c r="P66" s="66" t="b">
        <v>0</v>
      </c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H67" s="66"/>
      <c r="I67" s="66"/>
      <c r="J67" s="66"/>
      <c r="K67" s="66"/>
      <c r="L67" s="66" t="b">
        <v>0</v>
      </c>
      <c r="M67" s="66"/>
      <c r="N67" s="66"/>
      <c r="O67" s="66"/>
      <c r="P67" s="66" t="b">
        <v>0</v>
      </c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H68" s="66"/>
      <c r="I68" s="66"/>
      <c r="J68" s="66"/>
      <c r="K68" s="66"/>
      <c r="L68" s="66" t="b">
        <v>0</v>
      </c>
      <c r="M68" s="66"/>
      <c r="N68" s="66"/>
      <c r="O68" s="66"/>
      <c r="P68" s="66" t="b">
        <v>0</v>
      </c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H69" s="66"/>
      <c r="I69" s="66"/>
      <c r="J69" s="66"/>
      <c r="K69" s="66"/>
      <c r="L69" s="66" t="b">
        <v>0</v>
      </c>
      <c r="M69" s="66"/>
      <c r="N69" s="66"/>
      <c r="O69" s="66"/>
      <c r="P69" s="66" t="b">
        <v>0</v>
      </c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H70" s="66"/>
      <c r="I70" s="66"/>
      <c r="J70" s="66"/>
      <c r="K70" s="66"/>
      <c r="L70" s="66" t="b">
        <v>0</v>
      </c>
      <c r="M70" s="66"/>
      <c r="N70" s="66"/>
      <c r="O70" s="66"/>
      <c r="P70" s="66" t="b">
        <v>0</v>
      </c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H71" s="66"/>
      <c r="I71" s="66"/>
      <c r="J71" s="66"/>
      <c r="K71" s="66"/>
      <c r="L71" s="66" t="b">
        <v>0</v>
      </c>
      <c r="M71" s="66"/>
      <c r="N71" s="66"/>
      <c r="O71" s="66"/>
      <c r="P71" s="66" t="b">
        <v>0</v>
      </c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H72" s="66"/>
      <c r="I72" s="66"/>
      <c r="J72" s="66"/>
      <c r="K72" s="66"/>
      <c r="L72" s="66" t="b">
        <v>0</v>
      </c>
      <c r="M72" s="66"/>
      <c r="N72" s="66"/>
      <c r="O72" s="66"/>
      <c r="P72" s="66" t="b">
        <v>0</v>
      </c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H73" s="66"/>
      <c r="I73" s="66"/>
      <c r="J73" s="66"/>
      <c r="K73" s="66"/>
      <c r="L73" s="66" t="b">
        <v>0</v>
      </c>
      <c r="M73" s="66"/>
      <c r="N73" s="66"/>
      <c r="O73" s="66"/>
      <c r="P73" s="66" t="b">
        <v>0</v>
      </c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H74" s="66"/>
      <c r="I74" s="66"/>
      <c r="J74" s="66"/>
      <c r="K74" s="66"/>
      <c r="L74" s="66" t="b">
        <v>0</v>
      </c>
      <c r="M74" s="66"/>
      <c r="N74" s="66"/>
      <c r="O74" s="66"/>
      <c r="P74" s="66" t="b">
        <v>0</v>
      </c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H75" s="66"/>
      <c r="I75" s="66"/>
      <c r="J75" s="66"/>
      <c r="K75" s="66"/>
      <c r="L75" s="66" t="b">
        <v>0</v>
      </c>
      <c r="M75" s="66"/>
      <c r="N75" s="66"/>
      <c r="O75" s="66"/>
      <c r="P75" s="66" t="b">
        <v>0</v>
      </c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H76" s="66"/>
      <c r="I76" s="66"/>
      <c r="J76" s="66"/>
      <c r="K76" s="66"/>
      <c r="L76" s="66" t="b">
        <v>0</v>
      </c>
      <c r="M76" s="66"/>
      <c r="N76" s="66"/>
      <c r="O76" s="66"/>
      <c r="P76" s="66" t="b">
        <v>0</v>
      </c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H77" s="66"/>
      <c r="I77" s="66"/>
      <c r="J77" s="66"/>
      <c r="K77" s="66"/>
      <c r="L77" s="66" t="b">
        <v>0</v>
      </c>
      <c r="M77" s="66"/>
      <c r="N77" s="66"/>
      <c r="O77" s="66"/>
      <c r="P77" s="66" t="b">
        <v>0</v>
      </c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H78" s="66"/>
      <c r="I78" s="66"/>
      <c r="J78" s="66"/>
      <c r="K78" s="66"/>
      <c r="L78" s="66" t="b">
        <v>0</v>
      </c>
      <c r="M78" s="66"/>
      <c r="N78" s="66"/>
      <c r="O78" s="66"/>
      <c r="P78" s="66" t="b">
        <v>0</v>
      </c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H79" s="66"/>
      <c r="I79" s="66"/>
      <c r="J79" s="66"/>
      <c r="K79" s="66"/>
      <c r="L79" s="66" t="b">
        <v>0</v>
      </c>
      <c r="M79" s="66"/>
      <c r="N79" s="66"/>
      <c r="O79" s="66"/>
      <c r="P79" s="66" t="b">
        <v>0</v>
      </c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H80" s="66"/>
      <c r="I80" s="66"/>
      <c r="J80" s="66"/>
      <c r="K80" s="66"/>
      <c r="L80" s="66" t="b">
        <v>0</v>
      </c>
      <c r="M80" s="66"/>
      <c r="N80" s="66"/>
      <c r="O80" s="66"/>
      <c r="P80" s="66" t="b">
        <v>0</v>
      </c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H81" s="66"/>
      <c r="I81" s="66"/>
      <c r="J81" s="66"/>
      <c r="K81" s="66"/>
      <c r="L81" s="66" t="b">
        <v>0</v>
      </c>
      <c r="M81" s="66"/>
      <c r="N81" s="66"/>
      <c r="O81" s="66"/>
      <c r="P81" s="66" t="b">
        <v>0</v>
      </c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H82" s="66"/>
      <c r="I82" s="66"/>
      <c r="J82" s="66"/>
      <c r="K82" s="66"/>
      <c r="L82" s="66" t="b">
        <v>0</v>
      </c>
      <c r="M82" s="66"/>
      <c r="N82" s="66"/>
      <c r="O82" s="66"/>
      <c r="P82" s="66" t="b">
        <v>0</v>
      </c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H83" s="66"/>
      <c r="I83" s="66"/>
      <c r="J83" s="66"/>
      <c r="K83" s="66"/>
      <c r="L83" s="66" t="b">
        <v>0</v>
      </c>
      <c r="M83" s="66"/>
      <c r="N83" s="66"/>
      <c r="O83" s="66"/>
      <c r="P83" s="66" t="b">
        <v>0</v>
      </c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H84" s="66"/>
      <c r="I84" s="66"/>
      <c r="J84" s="66"/>
      <c r="K84" s="66"/>
      <c r="L84" s="66" t="b">
        <v>0</v>
      </c>
      <c r="M84" s="66"/>
      <c r="N84" s="66"/>
      <c r="O84" s="66"/>
      <c r="P84" s="66" t="b">
        <v>0</v>
      </c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H85" s="66"/>
      <c r="I85" s="66"/>
      <c r="J85" s="66"/>
      <c r="K85" s="66"/>
      <c r="L85" s="66" t="b">
        <v>0</v>
      </c>
      <c r="M85" s="66"/>
      <c r="N85" s="66"/>
      <c r="O85" s="66"/>
      <c r="P85" s="66" t="b">
        <v>0</v>
      </c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H86" s="66"/>
      <c r="I86" s="66"/>
      <c r="J86" s="66"/>
      <c r="K86" s="66"/>
      <c r="L86" s="66" t="b">
        <v>0</v>
      </c>
      <c r="M86" s="66"/>
      <c r="N86" s="66"/>
      <c r="O86" s="66"/>
      <c r="P86" s="66" t="b">
        <v>0</v>
      </c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H87" s="66"/>
      <c r="I87" s="66"/>
      <c r="J87" s="66"/>
      <c r="K87" s="66"/>
      <c r="L87" s="66" t="b">
        <v>0</v>
      </c>
      <c r="M87" s="66"/>
      <c r="N87" s="66"/>
      <c r="O87" s="66"/>
      <c r="P87" s="66" t="b">
        <v>0</v>
      </c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H88" s="66"/>
      <c r="I88" s="66"/>
      <c r="J88" s="66"/>
      <c r="K88" s="66"/>
      <c r="L88" s="66" t="b">
        <v>0</v>
      </c>
      <c r="M88" s="66"/>
      <c r="N88" s="66"/>
      <c r="O88" s="66"/>
      <c r="P88" s="66" t="b">
        <v>0</v>
      </c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H89" s="66"/>
      <c r="I89" s="66"/>
      <c r="J89" s="66"/>
      <c r="K89" s="66"/>
      <c r="L89" s="66" t="b">
        <v>0</v>
      </c>
      <c r="M89" s="66"/>
      <c r="N89" s="66"/>
      <c r="O89" s="66"/>
      <c r="P89" s="66" t="b">
        <v>0</v>
      </c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H90" s="66"/>
      <c r="I90" s="66"/>
      <c r="J90" s="66"/>
      <c r="K90" s="66"/>
      <c r="L90" s="66" t="b">
        <v>0</v>
      </c>
      <c r="M90" s="66"/>
      <c r="N90" s="66"/>
      <c r="O90" s="66"/>
      <c r="P90" s="66" t="b">
        <v>0</v>
      </c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H91" s="66"/>
      <c r="I91" s="66"/>
      <c r="J91" s="66"/>
      <c r="K91" s="66"/>
      <c r="L91" s="66" t="b">
        <v>0</v>
      </c>
      <c r="M91" s="66"/>
      <c r="N91" s="66"/>
      <c r="O91" s="66"/>
      <c r="P91" s="66" t="b">
        <v>0</v>
      </c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H92" s="66"/>
      <c r="I92" s="66"/>
      <c r="J92" s="66"/>
      <c r="K92" s="66"/>
      <c r="L92" s="66" t="b">
        <v>0</v>
      </c>
      <c r="M92" s="66"/>
      <c r="N92" s="66"/>
      <c r="O92" s="66"/>
      <c r="P92" s="66" t="b">
        <v>0</v>
      </c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H93" s="66"/>
      <c r="I93" s="66"/>
      <c r="J93" s="66"/>
      <c r="K93" s="66"/>
      <c r="L93" s="66" t="b">
        <v>0</v>
      </c>
      <c r="M93" s="66"/>
      <c r="N93" s="66"/>
      <c r="O93" s="66"/>
      <c r="P93" s="66" t="b">
        <v>0</v>
      </c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H94" s="66"/>
      <c r="I94" s="66"/>
      <c r="J94" s="66"/>
      <c r="K94" s="66"/>
      <c r="L94" s="66" t="b">
        <v>0</v>
      </c>
      <c r="M94" s="66"/>
      <c r="N94" s="66"/>
      <c r="O94" s="66"/>
      <c r="P94" s="66" t="b">
        <v>0</v>
      </c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H95" s="66"/>
      <c r="I95" s="66"/>
      <c r="J95" s="66"/>
      <c r="K95" s="66"/>
      <c r="L95" s="66" t="b">
        <v>0</v>
      </c>
      <c r="M95" s="66"/>
      <c r="N95" s="66"/>
      <c r="O95" s="66"/>
      <c r="P95" s="66" t="b">
        <v>0</v>
      </c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H96" s="66"/>
      <c r="I96" s="66"/>
      <c r="J96" s="66"/>
      <c r="K96" s="66"/>
      <c r="L96" s="66" t="b">
        <v>0</v>
      </c>
      <c r="M96" s="66"/>
      <c r="N96" s="66"/>
      <c r="O96" s="66"/>
      <c r="P96" s="66" t="b">
        <v>0</v>
      </c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H97" s="66"/>
      <c r="I97" s="66"/>
      <c r="J97" s="66"/>
      <c r="K97" s="66"/>
      <c r="L97" s="66" t="b">
        <v>0</v>
      </c>
      <c r="M97" s="66"/>
      <c r="N97" s="66"/>
      <c r="O97" s="66"/>
      <c r="P97" s="66" t="b">
        <v>0</v>
      </c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H98" s="66"/>
      <c r="I98" s="66"/>
      <c r="J98" s="66"/>
      <c r="K98" s="66"/>
      <c r="L98" s="66" t="b">
        <v>0</v>
      </c>
      <c r="M98" s="66"/>
      <c r="N98" s="66"/>
      <c r="O98" s="66"/>
      <c r="P98" s="66" t="b">
        <v>0</v>
      </c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H99" s="66"/>
      <c r="I99" s="66"/>
      <c r="J99" s="66"/>
      <c r="K99" s="66"/>
      <c r="L99" s="66" t="b">
        <v>0</v>
      </c>
      <c r="M99" s="66"/>
      <c r="N99" s="66"/>
      <c r="O99" s="66"/>
      <c r="P99" s="66" t="b">
        <v>0</v>
      </c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H100" s="66"/>
      <c r="I100" s="66"/>
      <c r="J100" s="66"/>
      <c r="K100" s="66"/>
      <c r="L100" s="66" t="b">
        <v>0</v>
      </c>
      <c r="M100" s="66"/>
      <c r="N100" s="66"/>
      <c r="O100" s="66"/>
      <c r="P100" s="66" t="b">
        <v>0</v>
      </c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H101" s="66"/>
      <c r="I101" s="66"/>
      <c r="J101" s="66"/>
      <c r="K101" s="66"/>
      <c r="L101" s="66" t="b">
        <v>0</v>
      </c>
      <c r="M101" s="66"/>
      <c r="N101" s="66"/>
      <c r="O101" s="66"/>
      <c r="P101" s="66" t="b">
        <v>0</v>
      </c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H102" s="66"/>
      <c r="I102" s="66"/>
      <c r="J102" s="66"/>
      <c r="K102" s="66"/>
      <c r="L102" s="66" t="b">
        <v>0</v>
      </c>
      <c r="M102" s="66"/>
      <c r="N102" s="66"/>
      <c r="O102" s="66"/>
      <c r="P102" s="66" t="b">
        <v>0</v>
      </c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H103" s="66"/>
      <c r="I103" s="66"/>
      <c r="J103" s="66"/>
      <c r="K103" s="66"/>
      <c r="L103" s="66" t="b">
        <v>0</v>
      </c>
      <c r="M103" s="66"/>
      <c r="N103" s="66"/>
      <c r="O103" s="66"/>
      <c r="P103" s="66" t="b">
        <v>0</v>
      </c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H104" s="66"/>
      <c r="I104" s="66"/>
      <c r="J104" s="66"/>
      <c r="K104" s="66"/>
      <c r="L104" s="66" t="b">
        <v>0</v>
      </c>
      <c r="M104" s="66"/>
      <c r="N104" s="66"/>
      <c r="O104" s="66"/>
      <c r="P104" s="66" t="b">
        <v>0</v>
      </c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H105" s="66"/>
      <c r="I105" s="66"/>
      <c r="J105" s="66"/>
      <c r="K105" s="66"/>
      <c r="L105" s="66" t="b">
        <v>0</v>
      </c>
      <c r="M105" s="66"/>
      <c r="N105" s="66"/>
      <c r="O105" s="66"/>
      <c r="P105" s="66" t="b">
        <v>0</v>
      </c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H106" s="66"/>
      <c r="I106" s="66"/>
      <c r="J106" s="66"/>
      <c r="K106" s="66"/>
      <c r="L106" s="66" t="b">
        <v>0</v>
      </c>
      <c r="M106" s="66"/>
      <c r="N106" s="66"/>
      <c r="O106" s="66"/>
      <c r="P106" s="66" t="b">
        <v>0</v>
      </c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H107" s="66"/>
      <c r="I107" s="66"/>
      <c r="J107" s="66"/>
      <c r="K107" s="66"/>
      <c r="L107" s="66" t="b">
        <v>0</v>
      </c>
      <c r="M107" s="66"/>
      <c r="N107" s="66"/>
      <c r="O107" s="66"/>
      <c r="P107" s="66" t="b">
        <v>0</v>
      </c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H108" s="66"/>
      <c r="I108" s="66"/>
      <c r="J108" s="66"/>
      <c r="K108" s="66"/>
      <c r="L108" s="66" t="b">
        <v>0</v>
      </c>
      <c r="M108" s="66"/>
      <c r="N108" s="66"/>
      <c r="O108" s="66"/>
      <c r="P108" s="66" t="b">
        <v>0</v>
      </c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H109" s="66"/>
      <c r="I109" s="66"/>
      <c r="J109" s="66"/>
      <c r="K109" s="66"/>
      <c r="L109" s="66" t="b">
        <v>0</v>
      </c>
      <c r="M109" s="66"/>
      <c r="N109" s="66"/>
      <c r="O109" s="66"/>
      <c r="P109" s="66" t="b">
        <v>0</v>
      </c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H110" s="66"/>
      <c r="I110" s="66"/>
      <c r="J110" s="66"/>
      <c r="K110" s="66"/>
      <c r="L110" s="66" t="b">
        <v>0</v>
      </c>
      <c r="M110" s="66"/>
      <c r="N110" s="66"/>
      <c r="O110" s="66"/>
      <c r="P110" s="66" t="b">
        <v>0</v>
      </c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H111" s="66"/>
      <c r="I111" s="66"/>
      <c r="J111" s="66"/>
      <c r="K111" s="66"/>
      <c r="L111" s="66" t="b">
        <v>0</v>
      </c>
      <c r="M111" s="66"/>
      <c r="N111" s="66"/>
      <c r="O111" s="66"/>
      <c r="P111" s="66" t="b">
        <v>0</v>
      </c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H112" s="66"/>
      <c r="I112" s="66"/>
      <c r="J112" s="66"/>
      <c r="K112" s="66"/>
      <c r="L112" s="66" t="b">
        <v>0</v>
      </c>
      <c r="M112" s="66"/>
      <c r="N112" s="66"/>
      <c r="O112" s="66"/>
      <c r="P112" s="66" t="b">
        <v>0</v>
      </c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H113" s="66"/>
      <c r="I113" s="66"/>
      <c r="J113" s="66"/>
      <c r="K113" s="66"/>
      <c r="L113" s="66" t="b">
        <v>0</v>
      </c>
      <c r="M113" s="66"/>
      <c r="N113" s="66"/>
      <c r="O113" s="66"/>
      <c r="P113" s="66" t="b">
        <v>0</v>
      </c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H114" s="66"/>
      <c r="I114" s="66"/>
      <c r="J114" s="66"/>
      <c r="K114" s="66"/>
      <c r="L114" s="66" t="b">
        <v>0</v>
      </c>
      <c r="M114" s="66"/>
      <c r="N114" s="66"/>
      <c r="O114" s="66"/>
      <c r="P114" s="66" t="b">
        <v>0</v>
      </c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H115" s="66"/>
      <c r="I115" s="66"/>
      <c r="J115" s="66"/>
      <c r="K115" s="66"/>
      <c r="L115" s="66" t="b">
        <v>0</v>
      </c>
      <c r="M115" s="66"/>
      <c r="N115" s="66"/>
      <c r="O115" s="66"/>
      <c r="P115" s="66" t="b">
        <v>0</v>
      </c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H116" s="66"/>
      <c r="I116" s="66"/>
      <c r="J116" s="66"/>
      <c r="K116" s="66"/>
      <c r="L116" s="66" t="b">
        <v>0</v>
      </c>
      <c r="M116" s="66"/>
      <c r="N116" s="66"/>
      <c r="O116" s="66"/>
      <c r="P116" s="66" t="b">
        <v>0</v>
      </c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H117" s="66"/>
      <c r="I117" s="66"/>
      <c r="J117" s="66"/>
      <c r="K117" s="66"/>
      <c r="L117" s="66" t="b">
        <v>0</v>
      </c>
      <c r="M117" s="66"/>
      <c r="N117" s="66"/>
      <c r="O117" s="66"/>
      <c r="P117" s="66" t="b">
        <v>0</v>
      </c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H118" s="66"/>
      <c r="I118" s="66"/>
      <c r="J118" s="66"/>
      <c r="K118" s="66"/>
      <c r="L118" s="66" t="b">
        <v>0</v>
      </c>
      <c r="M118" s="66"/>
      <c r="N118" s="66"/>
      <c r="O118" s="66"/>
      <c r="P118" s="66" t="b">
        <v>0</v>
      </c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H119" s="66"/>
      <c r="I119" s="66"/>
      <c r="J119" s="66"/>
      <c r="K119" s="66"/>
      <c r="L119" s="66" t="b">
        <v>0</v>
      </c>
      <c r="M119" s="66"/>
      <c r="N119" s="66"/>
      <c r="O119" s="66"/>
      <c r="P119" s="66" t="b">
        <v>0</v>
      </c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H120" s="66"/>
      <c r="I120" s="66"/>
      <c r="J120" s="66"/>
      <c r="K120" s="66"/>
      <c r="L120" s="66" t="b">
        <v>0</v>
      </c>
      <c r="M120" s="66"/>
      <c r="N120" s="66"/>
      <c r="O120" s="66"/>
      <c r="P120" s="66" t="b">
        <v>0</v>
      </c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H121" s="66"/>
      <c r="I121" s="66"/>
      <c r="J121" s="66"/>
      <c r="K121" s="66"/>
      <c r="L121" s="66" t="b">
        <v>0</v>
      </c>
      <c r="M121" s="66"/>
      <c r="N121" s="66"/>
      <c r="O121" s="66"/>
      <c r="P121" s="66" t="b">
        <v>0</v>
      </c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H122" s="66"/>
      <c r="I122" s="66"/>
      <c r="J122" s="66"/>
      <c r="K122" s="66"/>
      <c r="L122" s="66" t="b">
        <v>0</v>
      </c>
      <c r="M122" s="66"/>
      <c r="N122" s="66"/>
      <c r="O122" s="66"/>
      <c r="P122" s="66" t="b">
        <v>0</v>
      </c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H123" s="66"/>
      <c r="I123" s="66"/>
      <c r="J123" s="66"/>
      <c r="K123" s="66"/>
      <c r="L123" s="66" t="b">
        <v>0</v>
      </c>
      <c r="M123" s="66"/>
      <c r="N123" s="66"/>
      <c r="O123" s="66"/>
      <c r="P123" s="66" t="b">
        <v>0</v>
      </c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H124" s="66"/>
      <c r="I124" s="66"/>
      <c r="J124" s="66"/>
      <c r="K124" s="66"/>
      <c r="L124" s="66" t="b">
        <v>0</v>
      </c>
      <c r="M124" s="66"/>
      <c r="N124" s="66"/>
      <c r="O124" s="66"/>
      <c r="P124" s="66" t="b">
        <v>0</v>
      </c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H125" s="66"/>
      <c r="I125" s="66"/>
      <c r="J125" s="66"/>
      <c r="K125" s="66"/>
      <c r="L125" s="66" t="b">
        <v>0</v>
      </c>
      <c r="M125" s="66"/>
      <c r="N125" s="66"/>
      <c r="O125" s="66"/>
      <c r="P125" s="66" t="b">
        <v>0</v>
      </c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H126" s="66"/>
      <c r="I126" s="66"/>
      <c r="J126" s="66"/>
      <c r="K126" s="66"/>
      <c r="L126" s="66" t="b">
        <v>0</v>
      </c>
      <c r="M126" s="66"/>
      <c r="N126" s="66"/>
      <c r="O126" s="66"/>
      <c r="P126" s="66" t="b">
        <v>0</v>
      </c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H127" s="66"/>
      <c r="I127" s="66"/>
      <c r="J127" s="66"/>
      <c r="K127" s="66"/>
      <c r="L127" s="66" t="b">
        <v>0</v>
      </c>
      <c r="M127" s="66"/>
      <c r="N127" s="66"/>
      <c r="O127" s="66"/>
      <c r="P127" s="66" t="b">
        <v>0</v>
      </c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H128" s="66"/>
      <c r="I128" s="66"/>
      <c r="J128" s="66"/>
      <c r="K128" s="66"/>
      <c r="L128" s="66" t="b">
        <v>0</v>
      </c>
      <c r="M128" s="66"/>
      <c r="N128" s="66"/>
      <c r="O128" s="66"/>
      <c r="P128" s="66" t="b">
        <v>0</v>
      </c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H129" s="66"/>
      <c r="I129" s="66"/>
      <c r="J129" s="66"/>
      <c r="K129" s="66"/>
      <c r="L129" s="66" t="b">
        <v>0</v>
      </c>
      <c r="M129" s="66"/>
      <c r="N129" s="66"/>
      <c r="O129" s="66"/>
      <c r="P129" s="66" t="b">
        <v>0</v>
      </c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H130" s="66"/>
      <c r="I130" s="66"/>
      <c r="J130" s="66"/>
      <c r="K130" s="66"/>
      <c r="L130" s="66" t="b">
        <v>0</v>
      </c>
      <c r="M130" s="66"/>
      <c r="N130" s="66"/>
      <c r="O130" s="66"/>
      <c r="P130" s="66" t="b">
        <v>0</v>
      </c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H131" s="66"/>
      <c r="I131" s="66"/>
      <c r="J131" s="66"/>
      <c r="K131" s="66"/>
      <c r="L131" s="66" t="b">
        <v>0</v>
      </c>
      <c r="M131" s="66"/>
      <c r="N131" s="66"/>
      <c r="O131" s="66"/>
      <c r="P131" s="66" t="b">
        <v>0</v>
      </c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H132" s="66"/>
      <c r="I132" s="66"/>
      <c r="J132" s="66"/>
      <c r="K132" s="66"/>
      <c r="L132" s="66" t="b">
        <v>0</v>
      </c>
      <c r="M132" s="66"/>
      <c r="N132" s="66"/>
      <c r="O132" s="66"/>
      <c r="P132" s="66" t="b">
        <v>0</v>
      </c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H133" s="66"/>
      <c r="I133" s="66"/>
      <c r="J133" s="66"/>
      <c r="K133" s="66"/>
      <c r="L133" s="66" t="b">
        <v>0</v>
      </c>
      <c r="M133" s="66"/>
      <c r="N133" s="66"/>
      <c r="O133" s="66"/>
      <c r="P133" s="66" t="b">
        <v>0</v>
      </c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H134" s="66"/>
      <c r="I134" s="66"/>
      <c r="J134" s="66"/>
      <c r="K134" s="66"/>
      <c r="L134" s="66" t="b">
        <v>0</v>
      </c>
      <c r="M134" s="66"/>
      <c r="N134" s="66"/>
      <c r="O134" s="66"/>
      <c r="P134" s="66" t="b">
        <v>0</v>
      </c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H135" s="66"/>
      <c r="I135" s="66"/>
      <c r="J135" s="66"/>
      <c r="K135" s="66"/>
      <c r="L135" s="66" t="b">
        <v>0</v>
      </c>
      <c r="M135" s="66"/>
      <c r="N135" s="66"/>
      <c r="O135" s="66"/>
      <c r="P135" s="66" t="b">
        <v>0</v>
      </c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H136" s="66"/>
      <c r="I136" s="66"/>
      <c r="J136" s="66"/>
      <c r="K136" s="66"/>
      <c r="L136" s="66" t="b">
        <v>0</v>
      </c>
      <c r="M136" s="66"/>
      <c r="N136" s="66"/>
      <c r="O136" s="66"/>
      <c r="P136" s="66" t="b">
        <v>0</v>
      </c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H137" s="66"/>
      <c r="I137" s="66"/>
      <c r="J137" s="66"/>
      <c r="K137" s="66"/>
      <c r="L137" s="66" t="b">
        <v>0</v>
      </c>
      <c r="M137" s="66"/>
      <c r="N137" s="66"/>
      <c r="O137" s="66"/>
      <c r="P137" s="66" t="b">
        <v>0</v>
      </c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H138" s="66"/>
      <c r="I138" s="66"/>
      <c r="J138" s="66"/>
      <c r="K138" s="66"/>
      <c r="L138" s="66" t="b">
        <v>0</v>
      </c>
      <c r="M138" s="66"/>
      <c r="N138" s="66"/>
      <c r="O138" s="66"/>
      <c r="P138" s="66" t="b">
        <v>0</v>
      </c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H139" s="66"/>
      <c r="I139" s="66"/>
      <c r="J139" s="66"/>
      <c r="K139" s="66"/>
      <c r="L139" s="66" t="b">
        <v>0</v>
      </c>
      <c r="M139" s="66"/>
      <c r="N139" s="66"/>
      <c r="O139" s="66"/>
      <c r="P139" s="66" t="b">
        <v>0</v>
      </c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H140" s="66"/>
      <c r="I140" s="66"/>
      <c r="J140" s="66"/>
      <c r="K140" s="66"/>
      <c r="L140" s="66" t="b">
        <v>0</v>
      </c>
      <c r="M140" s="66"/>
      <c r="N140" s="66"/>
      <c r="O140" s="66"/>
      <c r="P140" s="66" t="b">
        <v>0</v>
      </c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H141" s="66"/>
      <c r="I141" s="66"/>
      <c r="J141" s="66"/>
      <c r="K141" s="66"/>
      <c r="L141" s="66" t="b">
        <v>0</v>
      </c>
      <c r="M141" s="66"/>
      <c r="N141" s="66"/>
      <c r="O141" s="66"/>
      <c r="P141" s="66" t="b">
        <v>0</v>
      </c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H142" s="66"/>
      <c r="I142" s="66"/>
      <c r="J142" s="66"/>
      <c r="K142" s="66"/>
      <c r="L142" s="66" t="b">
        <v>0</v>
      </c>
      <c r="M142" s="66"/>
      <c r="N142" s="66"/>
      <c r="O142" s="66"/>
      <c r="P142" s="66" t="b">
        <v>0</v>
      </c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H143" s="66"/>
      <c r="I143" s="66"/>
      <c r="J143" s="66"/>
      <c r="K143" s="66"/>
      <c r="L143" s="66" t="b">
        <v>0</v>
      </c>
      <c r="M143" s="66"/>
      <c r="N143" s="66"/>
      <c r="O143" s="66"/>
      <c r="P143" s="66" t="b">
        <v>0</v>
      </c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H144" s="66"/>
      <c r="I144" s="66"/>
      <c r="J144" s="66"/>
      <c r="K144" s="66"/>
      <c r="L144" s="66" t="b">
        <v>0</v>
      </c>
      <c r="M144" s="66"/>
      <c r="N144" s="66"/>
      <c r="O144" s="66"/>
      <c r="P144" s="66" t="b">
        <v>0</v>
      </c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H145" s="66"/>
      <c r="I145" s="66"/>
      <c r="J145" s="66"/>
      <c r="K145" s="66"/>
      <c r="L145" s="66" t="b">
        <v>0</v>
      </c>
      <c r="M145" s="66"/>
      <c r="N145" s="66"/>
      <c r="O145" s="66"/>
      <c r="P145" s="66" t="b">
        <v>0</v>
      </c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H146" s="66"/>
      <c r="I146" s="66"/>
      <c r="J146" s="66"/>
      <c r="K146" s="66"/>
      <c r="L146" s="66" t="b">
        <v>0</v>
      </c>
      <c r="M146" s="66"/>
      <c r="N146" s="66"/>
      <c r="O146" s="66"/>
      <c r="P146" s="66" t="b">
        <v>0</v>
      </c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H147" s="66"/>
      <c r="I147" s="66"/>
      <c r="J147" s="66"/>
      <c r="K147" s="66"/>
      <c r="L147" s="66" t="b">
        <v>0</v>
      </c>
      <c r="M147" s="66"/>
      <c r="N147" s="66"/>
      <c r="O147" s="66"/>
      <c r="P147" s="66" t="b">
        <v>0</v>
      </c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H148" s="66"/>
      <c r="I148" s="66"/>
      <c r="J148" s="66"/>
      <c r="K148" s="66"/>
      <c r="L148" s="66" t="b">
        <v>0</v>
      </c>
      <c r="M148" s="66"/>
      <c r="N148" s="66"/>
      <c r="O148" s="66"/>
      <c r="P148" s="66" t="b">
        <v>0</v>
      </c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H149" s="66"/>
      <c r="I149" s="66"/>
      <c r="J149" s="66"/>
      <c r="K149" s="66"/>
      <c r="L149" s="66" t="b">
        <v>0</v>
      </c>
      <c r="M149" s="66"/>
      <c r="N149" s="66"/>
      <c r="O149" s="66"/>
      <c r="P149" s="66" t="b">
        <v>0</v>
      </c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H150" s="66"/>
      <c r="I150" s="66"/>
      <c r="J150" s="66"/>
      <c r="K150" s="66"/>
      <c r="L150" s="66" t="b">
        <v>0</v>
      </c>
      <c r="M150" s="66"/>
      <c r="N150" s="66"/>
      <c r="O150" s="66"/>
      <c r="P150" s="66" t="b">
        <v>0</v>
      </c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H151" s="66"/>
      <c r="I151" s="66"/>
      <c r="J151" s="66"/>
      <c r="K151" s="66"/>
      <c r="L151" s="66" t="b">
        <v>0</v>
      </c>
      <c r="M151" s="66"/>
      <c r="N151" s="66"/>
      <c r="O151" s="66"/>
      <c r="P151" s="66" t="b">
        <v>0</v>
      </c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H152" s="66"/>
      <c r="I152" s="66"/>
      <c r="J152" s="66"/>
      <c r="K152" s="66"/>
      <c r="L152" s="66" t="b">
        <v>0</v>
      </c>
      <c r="M152" s="66"/>
      <c r="N152" s="66"/>
      <c r="O152" s="66"/>
      <c r="P152" s="66" t="b">
        <v>0</v>
      </c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H153" s="66"/>
      <c r="I153" s="66"/>
      <c r="J153" s="66"/>
      <c r="K153" s="66"/>
      <c r="L153" s="66" t="b">
        <v>0</v>
      </c>
      <c r="M153" s="66"/>
      <c r="N153" s="66"/>
      <c r="O153" s="66"/>
      <c r="P153" s="66" t="b">
        <v>0</v>
      </c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H154" s="66"/>
      <c r="I154" s="66"/>
      <c r="J154" s="66"/>
      <c r="K154" s="66"/>
      <c r="L154" s="66" t="b">
        <v>0</v>
      </c>
      <c r="M154" s="66"/>
      <c r="N154" s="66"/>
      <c r="O154" s="66"/>
      <c r="P154" s="66" t="b">
        <v>0</v>
      </c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H155" s="66"/>
      <c r="I155" s="66"/>
      <c r="J155" s="66"/>
      <c r="K155" s="66"/>
      <c r="L155" s="66" t="b">
        <v>0</v>
      </c>
      <c r="M155" s="66"/>
      <c r="N155" s="66"/>
      <c r="O155" s="66"/>
      <c r="P155" s="66" t="b">
        <v>0</v>
      </c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H156" s="66"/>
      <c r="I156" s="66"/>
      <c r="J156" s="66"/>
      <c r="K156" s="66"/>
      <c r="L156" s="66" t="b">
        <v>0</v>
      </c>
      <c r="M156" s="66"/>
      <c r="N156" s="66"/>
      <c r="O156" s="66"/>
      <c r="P156" s="66" t="b">
        <v>0</v>
      </c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H157" s="66"/>
      <c r="I157" s="66"/>
      <c r="J157" s="66"/>
      <c r="K157" s="66"/>
      <c r="L157" s="66" t="b">
        <v>0</v>
      </c>
      <c r="M157" s="66"/>
      <c r="N157" s="66"/>
      <c r="O157" s="66"/>
      <c r="P157" s="66" t="b">
        <v>0</v>
      </c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H158" s="66"/>
      <c r="I158" s="66"/>
      <c r="J158" s="66"/>
      <c r="K158" s="66"/>
      <c r="L158" s="66" t="b">
        <v>0</v>
      </c>
      <c r="M158" s="66"/>
      <c r="N158" s="66"/>
      <c r="O158" s="66"/>
      <c r="P158" s="66" t="b">
        <v>0</v>
      </c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H159" s="66"/>
      <c r="I159" s="66"/>
      <c r="J159" s="66"/>
      <c r="K159" s="66"/>
      <c r="L159" s="66" t="b">
        <v>0</v>
      </c>
      <c r="M159" s="66"/>
      <c r="N159" s="66"/>
      <c r="O159" s="66"/>
      <c r="P159" s="66" t="b">
        <v>0</v>
      </c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H160" s="66"/>
      <c r="I160" s="66"/>
      <c r="J160" s="66"/>
      <c r="K160" s="66"/>
      <c r="L160" s="66" t="b">
        <v>0</v>
      </c>
      <c r="M160" s="66"/>
      <c r="N160" s="66"/>
      <c r="O160" s="66"/>
      <c r="P160" s="66" t="b">
        <v>0</v>
      </c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H161" s="66"/>
      <c r="I161" s="66"/>
      <c r="J161" s="66"/>
      <c r="K161" s="66"/>
      <c r="L161" s="66" t="b">
        <v>0</v>
      </c>
      <c r="M161" s="66"/>
      <c r="N161" s="66"/>
      <c r="O161" s="66"/>
      <c r="P161" s="66" t="b">
        <v>0</v>
      </c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H162" s="66"/>
      <c r="I162" s="66"/>
      <c r="J162" s="66"/>
      <c r="K162" s="66"/>
      <c r="L162" s="66" t="b">
        <v>0</v>
      </c>
      <c r="M162" s="66"/>
      <c r="N162" s="66"/>
      <c r="O162" s="66"/>
      <c r="P162" s="66" t="b">
        <v>0</v>
      </c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H163" s="66"/>
      <c r="I163" s="66"/>
      <c r="J163" s="66"/>
      <c r="K163" s="66"/>
      <c r="L163" s="66" t="b">
        <v>0</v>
      </c>
      <c r="M163" s="66"/>
      <c r="N163" s="66"/>
      <c r="O163" s="66"/>
      <c r="P163" s="66" t="b">
        <v>0</v>
      </c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H164" s="66"/>
      <c r="I164" s="66"/>
      <c r="J164" s="66"/>
      <c r="K164" s="66"/>
      <c r="L164" s="66" t="b">
        <v>0</v>
      </c>
      <c r="M164" s="66"/>
      <c r="N164" s="66"/>
      <c r="O164" s="66"/>
      <c r="P164" s="66" t="b">
        <v>0</v>
      </c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H165" s="66"/>
      <c r="I165" s="66"/>
      <c r="J165" s="66"/>
      <c r="K165" s="66"/>
      <c r="L165" s="66" t="b">
        <v>0</v>
      </c>
      <c r="M165" s="66"/>
      <c r="N165" s="66"/>
      <c r="O165" s="66"/>
      <c r="P165" s="66" t="b">
        <v>0</v>
      </c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H166" s="66"/>
      <c r="I166" s="66"/>
      <c r="J166" s="66"/>
      <c r="K166" s="66"/>
      <c r="L166" s="66" t="b">
        <v>0</v>
      </c>
      <c r="M166" s="66"/>
      <c r="N166" s="66"/>
      <c r="O166" s="66"/>
      <c r="P166" s="66" t="b">
        <v>0</v>
      </c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H167" s="66"/>
      <c r="I167" s="66"/>
      <c r="J167" s="66"/>
      <c r="K167" s="66"/>
      <c r="L167" s="66" t="b">
        <v>0</v>
      </c>
      <c r="M167" s="66"/>
      <c r="N167" s="66"/>
      <c r="O167" s="66"/>
      <c r="P167" s="66" t="b">
        <v>0</v>
      </c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H168" s="66"/>
      <c r="I168" s="66"/>
      <c r="J168" s="66"/>
      <c r="K168" s="66"/>
      <c r="L168" s="66" t="b">
        <v>0</v>
      </c>
      <c r="M168" s="66"/>
      <c r="N168" s="66"/>
      <c r="O168" s="66"/>
      <c r="P168" s="66" t="b">
        <v>0</v>
      </c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H169" s="66"/>
      <c r="I169" s="66"/>
      <c r="J169" s="66"/>
      <c r="K169" s="66"/>
      <c r="L169" s="66" t="b">
        <v>0</v>
      </c>
      <c r="M169" s="66"/>
      <c r="N169" s="66"/>
      <c r="O169" s="66"/>
      <c r="P169" s="66" t="b">
        <v>0</v>
      </c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H170" s="66"/>
      <c r="I170" s="66"/>
      <c r="J170" s="66"/>
      <c r="K170" s="66"/>
      <c r="L170" s="66" t="b">
        <v>0</v>
      </c>
      <c r="M170" s="66"/>
      <c r="N170" s="66"/>
      <c r="O170" s="66"/>
      <c r="P170" s="66" t="b">
        <v>0</v>
      </c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H171" s="66"/>
      <c r="I171" s="66"/>
      <c r="J171" s="66"/>
      <c r="K171" s="66"/>
      <c r="L171" s="66" t="b">
        <v>0</v>
      </c>
      <c r="M171" s="66"/>
      <c r="N171" s="66"/>
      <c r="O171" s="66"/>
      <c r="P171" s="66" t="b">
        <v>0</v>
      </c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H172" s="66"/>
      <c r="I172" s="66"/>
      <c r="J172" s="66"/>
      <c r="K172" s="66"/>
      <c r="L172" s="66" t="b">
        <v>0</v>
      </c>
      <c r="M172" s="66"/>
      <c r="N172" s="66"/>
      <c r="O172" s="66"/>
      <c r="P172" s="66" t="b">
        <v>0</v>
      </c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H173" s="66"/>
      <c r="I173" s="66"/>
      <c r="J173" s="66"/>
      <c r="K173" s="66"/>
      <c r="L173" s="66" t="b">
        <v>0</v>
      </c>
      <c r="M173" s="66"/>
      <c r="N173" s="66"/>
      <c r="O173" s="66"/>
      <c r="P173" s="66" t="b">
        <v>0</v>
      </c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H174" s="66"/>
      <c r="I174" s="66"/>
      <c r="J174" s="66"/>
      <c r="K174" s="66"/>
      <c r="L174" s="66" t="b">
        <v>0</v>
      </c>
      <c r="M174" s="66"/>
      <c r="N174" s="66"/>
      <c r="O174" s="66"/>
      <c r="P174" s="66" t="b">
        <v>0</v>
      </c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H175" s="66"/>
      <c r="I175" s="66"/>
      <c r="J175" s="66"/>
      <c r="K175" s="66"/>
      <c r="L175" s="66" t="b">
        <v>0</v>
      </c>
      <c r="M175" s="66"/>
      <c r="N175" s="66"/>
      <c r="O175" s="66"/>
      <c r="P175" s="66" t="b">
        <v>0</v>
      </c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H176" s="66"/>
      <c r="I176" s="66"/>
      <c r="J176" s="66"/>
      <c r="K176" s="66"/>
      <c r="L176" s="66" t="b">
        <v>0</v>
      </c>
      <c r="M176" s="66"/>
      <c r="N176" s="66"/>
      <c r="O176" s="66"/>
      <c r="P176" s="66" t="b">
        <v>0</v>
      </c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H177" s="66"/>
      <c r="I177" s="66"/>
      <c r="J177" s="66"/>
      <c r="K177" s="66"/>
      <c r="L177" s="66" t="b">
        <v>0</v>
      </c>
      <c r="M177" s="66"/>
      <c r="N177" s="66"/>
      <c r="O177" s="66"/>
      <c r="P177" s="66" t="b">
        <v>0</v>
      </c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H178" s="66"/>
      <c r="I178" s="66"/>
      <c r="J178" s="66"/>
      <c r="K178" s="66"/>
      <c r="L178" s="66" t="b">
        <v>0</v>
      </c>
      <c r="M178" s="66"/>
      <c r="N178" s="66"/>
      <c r="O178" s="66"/>
      <c r="P178" s="66" t="b">
        <v>0</v>
      </c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H179" s="66"/>
      <c r="I179" s="66"/>
      <c r="J179" s="66"/>
      <c r="K179" s="66"/>
      <c r="L179" s="66" t="b">
        <v>0</v>
      </c>
      <c r="M179" s="66"/>
      <c r="N179" s="66"/>
      <c r="O179" s="66"/>
      <c r="P179" s="66" t="b">
        <v>0</v>
      </c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H180" s="66"/>
      <c r="I180" s="66"/>
      <c r="J180" s="66"/>
      <c r="K180" s="66"/>
      <c r="L180" s="66" t="b">
        <v>0</v>
      </c>
      <c r="M180" s="66"/>
      <c r="N180" s="66"/>
      <c r="O180" s="66"/>
      <c r="P180" s="66" t="b">
        <v>0</v>
      </c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H181" s="66"/>
      <c r="I181" s="66"/>
      <c r="J181" s="66"/>
      <c r="K181" s="66"/>
      <c r="L181" s="66" t="b">
        <v>0</v>
      </c>
      <c r="M181" s="66"/>
      <c r="N181" s="66"/>
      <c r="O181" s="66"/>
      <c r="P181" s="66" t="b">
        <v>0</v>
      </c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H182" s="66"/>
      <c r="I182" s="66"/>
      <c r="J182" s="66"/>
      <c r="K182" s="66"/>
      <c r="L182" s="66" t="b">
        <v>0</v>
      </c>
      <c r="M182" s="66"/>
      <c r="N182" s="66"/>
      <c r="O182" s="66"/>
      <c r="P182" s="66" t="b">
        <v>0</v>
      </c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H183" s="66"/>
      <c r="I183" s="66"/>
      <c r="J183" s="66"/>
      <c r="K183" s="66"/>
      <c r="L183" s="66" t="b">
        <v>0</v>
      </c>
      <c r="M183" s="66"/>
      <c r="N183" s="66"/>
      <c r="O183" s="66"/>
      <c r="P183" s="66" t="b">
        <v>0</v>
      </c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H184" s="66"/>
      <c r="I184" s="66"/>
      <c r="J184" s="66"/>
      <c r="K184" s="66"/>
      <c r="L184" s="66" t="b">
        <v>0</v>
      </c>
      <c r="M184" s="66"/>
      <c r="N184" s="66"/>
      <c r="O184" s="66"/>
      <c r="P184" s="66" t="b">
        <v>0</v>
      </c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H185" s="66"/>
      <c r="I185" s="66"/>
      <c r="J185" s="66"/>
      <c r="K185" s="66"/>
      <c r="L185" s="66" t="b">
        <v>0</v>
      </c>
      <c r="M185" s="66"/>
      <c r="N185" s="66"/>
      <c r="O185" s="66"/>
      <c r="P185" s="66" t="b">
        <v>0</v>
      </c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H186" s="66"/>
      <c r="I186" s="66"/>
      <c r="J186" s="66"/>
      <c r="K186" s="66"/>
      <c r="L186" s="66" t="b">
        <v>0</v>
      </c>
      <c r="M186" s="66"/>
      <c r="N186" s="66"/>
      <c r="O186" s="66"/>
      <c r="P186" s="66" t="b">
        <v>0</v>
      </c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H187" s="66"/>
      <c r="I187" s="66"/>
      <c r="J187" s="66"/>
      <c r="K187" s="66"/>
      <c r="L187" s="66" t="b">
        <v>0</v>
      </c>
      <c r="M187" s="66"/>
      <c r="N187" s="66"/>
      <c r="O187" s="66"/>
      <c r="P187" s="66" t="b">
        <v>0</v>
      </c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H188" s="66"/>
      <c r="I188" s="66"/>
      <c r="J188" s="66"/>
      <c r="K188" s="66"/>
      <c r="L188" s="66" t="b">
        <v>0</v>
      </c>
      <c r="M188" s="66"/>
      <c r="N188" s="66"/>
      <c r="O188" s="66"/>
      <c r="P188" s="66" t="b">
        <v>0</v>
      </c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H189" s="66"/>
      <c r="I189" s="66"/>
      <c r="J189" s="66"/>
      <c r="K189" s="66"/>
      <c r="L189" s="66" t="b">
        <v>0</v>
      </c>
      <c r="M189" s="66"/>
      <c r="N189" s="66"/>
      <c r="O189" s="66"/>
      <c r="P189" s="66" t="b">
        <v>0</v>
      </c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H190" s="66"/>
      <c r="I190" s="66"/>
      <c r="J190" s="66"/>
      <c r="K190" s="66"/>
      <c r="L190" s="66" t="b">
        <v>0</v>
      </c>
      <c r="M190" s="66"/>
      <c r="N190" s="66"/>
      <c r="O190" s="66"/>
      <c r="P190" s="66" t="b">
        <v>0</v>
      </c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H191" s="66"/>
      <c r="I191" s="66"/>
      <c r="J191" s="66"/>
      <c r="K191" s="66"/>
      <c r="L191" s="66" t="b">
        <v>0</v>
      </c>
      <c r="M191" s="66"/>
      <c r="N191" s="66"/>
      <c r="O191" s="66"/>
      <c r="P191" s="66" t="b">
        <v>0</v>
      </c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H192" s="66"/>
      <c r="I192" s="66"/>
      <c r="J192" s="66"/>
      <c r="K192" s="66"/>
      <c r="L192" s="66" t="b">
        <v>0</v>
      </c>
      <c r="M192" s="66"/>
      <c r="N192" s="66"/>
      <c r="O192" s="66"/>
      <c r="P192" s="66" t="b">
        <v>0</v>
      </c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H193" s="66"/>
      <c r="I193" s="66"/>
      <c r="J193" s="66"/>
      <c r="K193" s="66"/>
      <c r="L193" s="66" t="b">
        <v>0</v>
      </c>
      <c r="M193" s="66"/>
      <c r="N193" s="66"/>
      <c r="O193" s="66"/>
      <c r="P193" s="66" t="b">
        <v>0</v>
      </c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H194" s="66"/>
      <c r="I194" s="66"/>
      <c r="J194" s="66"/>
      <c r="K194" s="66"/>
      <c r="L194" s="66" t="b">
        <v>0</v>
      </c>
      <c r="M194" s="66"/>
      <c r="N194" s="66"/>
      <c r="O194" s="66"/>
      <c r="P194" s="66" t="b">
        <v>0</v>
      </c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H195" s="66"/>
      <c r="I195" s="66"/>
      <c r="J195" s="66"/>
      <c r="K195" s="66"/>
      <c r="L195" s="66" t="b">
        <v>0</v>
      </c>
      <c r="M195" s="66"/>
      <c r="N195" s="66"/>
      <c r="O195" s="66"/>
      <c r="P195" s="66" t="b">
        <v>0</v>
      </c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H196" s="66"/>
      <c r="I196" s="66"/>
      <c r="J196" s="66"/>
      <c r="K196" s="66"/>
      <c r="L196" s="66" t="b">
        <v>0</v>
      </c>
      <c r="M196" s="66"/>
      <c r="N196" s="66"/>
      <c r="O196" s="66"/>
      <c r="P196" s="66" t="b">
        <v>0</v>
      </c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H197" s="66"/>
      <c r="I197" s="66"/>
      <c r="J197" s="66"/>
      <c r="K197" s="66"/>
      <c r="L197" s="66" t="b">
        <v>0</v>
      </c>
      <c r="M197" s="66"/>
      <c r="N197" s="66"/>
      <c r="O197" s="66"/>
      <c r="P197" s="66" t="b">
        <v>0</v>
      </c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H198" s="66"/>
      <c r="I198" s="66"/>
      <c r="J198" s="66"/>
      <c r="K198" s="66"/>
      <c r="L198" s="66" t="b">
        <v>0</v>
      </c>
      <c r="M198" s="66"/>
      <c r="N198" s="66"/>
      <c r="O198" s="66"/>
      <c r="P198" s="66" t="b">
        <v>0</v>
      </c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H199" s="66"/>
      <c r="I199" s="66"/>
      <c r="J199" s="66"/>
      <c r="K199" s="66"/>
      <c r="L199" s="66" t="b">
        <v>0</v>
      </c>
      <c r="M199" s="66"/>
      <c r="N199" s="66"/>
      <c r="O199" s="66"/>
      <c r="P199" s="66" t="b">
        <v>0</v>
      </c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H200" s="66"/>
      <c r="I200" s="66"/>
      <c r="J200" s="66"/>
      <c r="K200" s="66"/>
      <c r="L200" s="66" t="b">
        <v>0</v>
      </c>
      <c r="M200" s="66"/>
      <c r="N200" s="66"/>
      <c r="O200" s="66"/>
      <c r="P200" s="66" t="b">
        <v>0</v>
      </c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H201" s="66"/>
      <c r="I201" s="66"/>
      <c r="J201" s="66"/>
      <c r="K201" s="66"/>
      <c r="L201" s="66" t="b">
        <v>0</v>
      </c>
      <c r="M201" s="66"/>
      <c r="N201" s="66"/>
      <c r="O201" s="66"/>
      <c r="P201" s="66" t="b">
        <v>0</v>
      </c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H202" s="66"/>
      <c r="I202" s="66"/>
      <c r="J202" s="66"/>
      <c r="K202" s="66"/>
      <c r="L202" s="66" t="b">
        <v>0</v>
      </c>
      <c r="M202" s="66"/>
      <c r="N202" s="66"/>
      <c r="O202" s="66"/>
      <c r="P202" s="66" t="b">
        <v>0</v>
      </c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H203" s="66"/>
      <c r="I203" s="66"/>
      <c r="J203" s="66"/>
      <c r="K203" s="66"/>
      <c r="L203" s="66" t="b">
        <v>0</v>
      </c>
      <c r="M203" s="66"/>
      <c r="N203" s="66"/>
      <c r="O203" s="66"/>
      <c r="P203" s="66" t="b">
        <v>0</v>
      </c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H204" s="66"/>
      <c r="I204" s="66"/>
      <c r="J204" s="66"/>
      <c r="K204" s="66"/>
      <c r="L204" s="66" t="b">
        <v>0</v>
      </c>
      <c r="M204" s="66"/>
      <c r="N204" s="66"/>
      <c r="O204" s="66"/>
      <c r="P204" s="66" t="b">
        <v>0</v>
      </c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H205" s="66"/>
      <c r="I205" s="66"/>
      <c r="J205" s="66"/>
      <c r="K205" s="66"/>
      <c r="L205" s="66" t="b">
        <v>0</v>
      </c>
      <c r="M205" s="66"/>
      <c r="N205" s="66"/>
      <c r="O205" s="66"/>
      <c r="P205" s="66" t="b">
        <v>0</v>
      </c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H206" s="66"/>
      <c r="I206" s="66"/>
      <c r="J206" s="66"/>
      <c r="K206" s="66"/>
      <c r="L206" s="66" t="b">
        <v>0</v>
      </c>
      <c r="M206" s="66"/>
      <c r="N206" s="66"/>
      <c r="O206" s="66"/>
      <c r="P206" s="66" t="b">
        <v>0</v>
      </c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H207" s="66"/>
      <c r="I207" s="66"/>
      <c r="J207" s="66"/>
      <c r="K207" s="66"/>
      <c r="L207" s="66" t="b">
        <v>0</v>
      </c>
      <c r="M207" s="66"/>
      <c r="N207" s="66"/>
      <c r="O207" s="66"/>
      <c r="P207" s="66" t="b">
        <v>0</v>
      </c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H208" s="66"/>
      <c r="I208" s="66"/>
      <c r="J208" s="66"/>
      <c r="K208" s="66"/>
      <c r="L208" s="66" t="b">
        <v>0</v>
      </c>
      <c r="M208" s="66"/>
      <c r="N208" s="66"/>
      <c r="O208" s="66"/>
      <c r="P208" s="66" t="b">
        <v>0</v>
      </c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H209" s="66"/>
      <c r="I209" s="66"/>
      <c r="J209" s="66"/>
      <c r="K209" s="66"/>
      <c r="L209" s="66" t="b">
        <v>0</v>
      </c>
      <c r="M209" s="66"/>
      <c r="N209" s="66"/>
      <c r="O209" s="66"/>
      <c r="P209" s="66" t="b">
        <v>0</v>
      </c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H210" s="66"/>
      <c r="I210" s="66"/>
      <c r="J210" s="66"/>
      <c r="K210" s="66"/>
      <c r="L210" s="66" t="b">
        <v>0</v>
      </c>
      <c r="M210" s="66"/>
      <c r="N210" s="66"/>
      <c r="O210" s="66"/>
      <c r="P210" s="66" t="b">
        <v>0</v>
      </c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H211" s="66"/>
      <c r="I211" s="66"/>
      <c r="J211" s="66"/>
      <c r="K211" s="66"/>
      <c r="L211" s="66" t="b">
        <v>0</v>
      </c>
      <c r="M211" s="66"/>
      <c r="N211" s="66"/>
      <c r="O211" s="66"/>
      <c r="P211" s="66" t="b">
        <v>0</v>
      </c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H212" s="66"/>
      <c r="I212" s="66"/>
      <c r="J212" s="66"/>
      <c r="K212" s="66"/>
      <c r="L212" s="66" t="b">
        <v>0</v>
      </c>
      <c r="M212" s="66"/>
      <c r="N212" s="66"/>
      <c r="O212" s="66"/>
      <c r="P212" s="66" t="b">
        <v>0</v>
      </c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H213" s="66"/>
      <c r="I213" s="66"/>
      <c r="J213" s="66"/>
      <c r="K213" s="66"/>
      <c r="L213" s="66" t="b">
        <v>0</v>
      </c>
      <c r="M213" s="66"/>
      <c r="N213" s="66"/>
      <c r="O213" s="66"/>
      <c r="P213" s="66" t="b">
        <v>0</v>
      </c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H214" s="66"/>
      <c r="I214" s="66"/>
      <c r="J214" s="66"/>
      <c r="K214" s="66"/>
      <c r="L214" s="66" t="b">
        <v>0</v>
      </c>
      <c r="M214" s="66"/>
      <c r="N214" s="66"/>
      <c r="O214" s="66"/>
      <c r="P214" s="66" t="b">
        <v>0</v>
      </c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H215" s="66"/>
      <c r="I215" s="66"/>
      <c r="J215" s="66"/>
      <c r="K215" s="66"/>
      <c r="L215" s="66" t="b">
        <v>0</v>
      </c>
      <c r="M215" s="66"/>
      <c r="N215" s="66"/>
      <c r="O215" s="66"/>
      <c r="P215" s="66" t="b">
        <v>0</v>
      </c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H216" s="66"/>
      <c r="I216" s="66"/>
      <c r="J216" s="66"/>
      <c r="K216" s="66"/>
      <c r="L216" s="66" t="b">
        <v>0</v>
      </c>
      <c r="M216" s="66"/>
      <c r="N216" s="66"/>
      <c r="O216" s="66"/>
      <c r="P216" s="66" t="b">
        <v>0</v>
      </c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H217" s="66"/>
      <c r="I217" s="66"/>
      <c r="J217" s="66"/>
      <c r="K217" s="66"/>
      <c r="L217" s="66" t="b">
        <v>0</v>
      </c>
      <c r="M217" s="66"/>
      <c r="N217" s="66"/>
      <c r="O217" s="66"/>
      <c r="P217" s="66" t="b">
        <v>0</v>
      </c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H218" s="66"/>
      <c r="I218" s="66"/>
      <c r="J218" s="66"/>
      <c r="K218" s="66"/>
      <c r="L218" s="66" t="b">
        <v>0</v>
      </c>
      <c r="M218" s="66"/>
      <c r="N218" s="66"/>
      <c r="O218" s="66"/>
      <c r="P218" s="66" t="b">
        <v>0</v>
      </c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H219" s="66"/>
      <c r="I219" s="66"/>
      <c r="J219" s="66"/>
      <c r="K219" s="66"/>
      <c r="L219" s="66" t="b">
        <v>0</v>
      </c>
      <c r="M219" s="66"/>
      <c r="N219" s="66"/>
      <c r="O219" s="66"/>
      <c r="P219" s="66" t="b">
        <v>0</v>
      </c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H220" s="66"/>
      <c r="I220" s="66"/>
      <c r="J220" s="66"/>
      <c r="K220" s="66"/>
      <c r="L220" s="66" t="b">
        <v>0</v>
      </c>
      <c r="M220" s="66"/>
      <c r="N220" s="66"/>
      <c r="O220" s="66"/>
      <c r="P220" s="66" t="b">
        <v>0</v>
      </c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H221" s="66"/>
      <c r="I221" s="66"/>
      <c r="J221" s="66"/>
      <c r="K221" s="66"/>
      <c r="L221" s="66" t="b">
        <v>0</v>
      </c>
      <c r="M221" s="66"/>
      <c r="N221" s="66"/>
      <c r="O221" s="66"/>
      <c r="P221" s="66" t="b">
        <v>0</v>
      </c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H222" s="66"/>
      <c r="I222" s="66"/>
      <c r="J222" s="66"/>
      <c r="K222" s="66"/>
      <c r="L222" s="66" t="b">
        <v>0</v>
      </c>
      <c r="M222" s="66"/>
      <c r="N222" s="66"/>
      <c r="O222" s="66"/>
      <c r="P222" s="66" t="b">
        <v>0</v>
      </c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H223" s="66"/>
      <c r="I223" s="66"/>
      <c r="J223" s="66"/>
      <c r="K223" s="66"/>
      <c r="L223" s="66" t="b">
        <v>0</v>
      </c>
      <c r="M223" s="66"/>
      <c r="N223" s="66"/>
      <c r="O223" s="66"/>
      <c r="P223" s="66" t="b">
        <v>0</v>
      </c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H224" s="66"/>
      <c r="I224" s="66"/>
      <c r="J224" s="66"/>
      <c r="K224" s="66"/>
      <c r="L224" s="66" t="b">
        <v>0</v>
      </c>
      <c r="M224" s="66"/>
      <c r="N224" s="66"/>
      <c r="O224" s="66"/>
      <c r="P224" s="66" t="b">
        <v>0</v>
      </c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H225" s="66"/>
      <c r="I225" s="66"/>
      <c r="J225" s="66"/>
      <c r="K225" s="66"/>
      <c r="L225" s="66" t="b">
        <v>0</v>
      </c>
      <c r="M225" s="66"/>
      <c r="N225" s="66"/>
      <c r="O225" s="66"/>
      <c r="P225" s="66" t="b">
        <v>0</v>
      </c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H226" s="66"/>
      <c r="I226" s="66"/>
      <c r="J226" s="66"/>
      <c r="K226" s="66"/>
      <c r="L226" s="66" t="b">
        <v>0</v>
      </c>
      <c r="M226" s="66"/>
      <c r="N226" s="66"/>
      <c r="O226" s="66"/>
      <c r="P226" s="66" t="b">
        <v>0</v>
      </c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H227" s="66"/>
      <c r="I227" s="66"/>
      <c r="J227" s="66"/>
      <c r="K227" s="66"/>
      <c r="L227" s="66" t="b">
        <v>0</v>
      </c>
      <c r="M227" s="66"/>
      <c r="N227" s="66"/>
      <c r="O227" s="66"/>
      <c r="P227" s="66" t="b">
        <v>0</v>
      </c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H228" s="66"/>
      <c r="I228" s="66"/>
      <c r="J228" s="66"/>
      <c r="K228" s="66"/>
      <c r="L228" s="66" t="b">
        <v>0</v>
      </c>
      <c r="M228" s="66"/>
      <c r="N228" s="66"/>
      <c r="O228" s="66"/>
      <c r="P228" s="66" t="b">
        <v>0</v>
      </c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H229" s="66"/>
      <c r="I229" s="66"/>
      <c r="J229" s="66"/>
      <c r="K229" s="66"/>
      <c r="L229" s="66" t="b">
        <v>0</v>
      </c>
      <c r="M229" s="66"/>
      <c r="N229" s="66"/>
      <c r="O229" s="66"/>
      <c r="P229" s="66" t="b">
        <v>0</v>
      </c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H230" s="66"/>
      <c r="I230" s="66"/>
      <c r="J230" s="66"/>
      <c r="K230" s="66"/>
      <c r="L230" s="66" t="b">
        <v>0</v>
      </c>
      <c r="M230" s="66"/>
      <c r="N230" s="66"/>
      <c r="O230" s="66"/>
      <c r="P230" s="66" t="b">
        <v>0</v>
      </c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H231" s="66"/>
      <c r="I231" s="66"/>
      <c r="J231" s="66"/>
      <c r="K231" s="66"/>
      <c r="L231" s="66" t="b">
        <v>0</v>
      </c>
      <c r="M231" s="66"/>
      <c r="N231" s="66"/>
      <c r="O231" s="66"/>
      <c r="P231" s="66" t="b">
        <v>0</v>
      </c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H232" s="66"/>
      <c r="I232" s="66"/>
      <c r="J232" s="66"/>
      <c r="K232" s="66"/>
      <c r="L232" s="66" t="b">
        <v>0</v>
      </c>
      <c r="M232" s="66"/>
      <c r="N232" s="66"/>
      <c r="O232" s="66"/>
      <c r="P232" s="66" t="b">
        <v>0</v>
      </c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H233" s="66"/>
      <c r="I233" s="66"/>
      <c r="J233" s="66"/>
      <c r="K233" s="66"/>
      <c r="L233" s="66" t="b">
        <v>0</v>
      </c>
      <c r="M233" s="66"/>
      <c r="N233" s="66"/>
      <c r="O233" s="66"/>
      <c r="P233" s="66" t="b">
        <v>0</v>
      </c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H234" s="66"/>
      <c r="I234" s="66"/>
      <c r="J234" s="66"/>
      <c r="K234" s="66"/>
      <c r="L234" s="66" t="b">
        <v>0</v>
      </c>
      <c r="M234" s="66"/>
      <c r="N234" s="66"/>
      <c r="O234" s="66"/>
      <c r="P234" s="66" t="b">
        <v>0</v>
      </c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H235" s="66"/>
      <c r="I235" s="66"/>
      <c r="J235" s="66"/>
      <c r="K235" s="66"/>
      <c r="L235" s="66" t="b">
        <v>0</v>
      </c>
      <c r="M235" s="66"/>
      <c r="N235" s="66"/>
      <c r="O235" s="66"/>
      <c r="P235" s="66" t="b">
        <v>0</v>
      </c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H236" s="66"/>
      <c r="I236" s="66"/>
      <c r="J236" s="66"/>
      <c r="K236" s="66"/>
      <c r="L236" s="66" t="b">
        <v>0</v>
      </c>
      <c r="M236" s="66"/>
      <c r="N236" s="66"/>
      <c r="O236" s="66"/>
      <c r="P236" s="66" t="b">
        <v>0</v>
      </c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H237" s="66"/>
      <c r="I237" s="66"/>
      <c r="J237" s="66"/>
      <c r="K237" s="66"/>
      <c r="L237" s="66" t="b">
        <v>0</v>
      </c>
      <c r="M237" s="66"/>
      <c r="N237" s="66"/>
      <c r="O237" s="66"/>
      <c r="P237" s="66" t="b">
        <v>0</v>
      </c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H238" s="66"/>
      <c r="I238" s="66"/>
      <c r="J238" s="66"/>
      <c r="K238" s="66"/>
      <c r="L238" s="66" t="b">
        <v>0</v>
      </c>
      <c r="M238" s="66"/>
      <c r="N238" s="66"/>
      <c r="O238" s="66"/>
      <c r="P238" s="66" t="b">
        <v>0</v>
      </c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H239" s="66"/>
      <c r="I239" s="66"/>
      <c r="J239" s="66"/>
      <c r="K239" s="66"/>
      <c r="L239" s="66" t="b">
        <v>0</v>
      </c>
      <c r="M239" s="66"/>
      <c r="N239" s="66"/>
      <c r="O239" s="66"/>
      <c r="P239" s="66" t="b">
        <v>0</v>
      </c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H240" s="66"/>
      <c r="I240" s="66"/>
      <c r="J240" s="66"/>
      <c r="K240" s="66"/>
      <c r="L240" s="66" t="b">
        <v>0</v>
      </c>
      <c r="M240" s="66"/>
      <c r="N240" s="66"/>
      <c r="O240" s="66"/>
      <c r="P240" s="66" t="b">
        <v>0</v>
      </c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H241" s="66"/>
      <c r="I241" s="66"/>
      <c r="J241" s="66"/>
      <c r="K241" s="66"/>
      <c r="L241" s="66" t="b">
        <v>0</v>
      </c>
      <c r="M241" s="66"/>
      <c r="N241" s="66"/>
      <c r="O241" s="66"/>
      <c r="P241" s="66" t="b">
        <v>0</v>
      </c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H242" s="66"/>
      <c r="I242" s="66"/>
      <c r="J242" s="66"/>
      <c r="K242" s="66"/>
      <c r="L242" s="66" t="b">
        <v>0</v>
      </c>
      <c r="M242" s="66"/>
      <c r="N242" s="66"/>
      <c r="O242" s="66"/>
      <c r="P242" s="66" t="b">
        <v>0</v>
      </c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H243" s="66"/>
      <c r="I243" s="66"/>
      <c r="J243" s="66"/>
      <c r="K243" s="66"/>
      <c r="L243" s="66" t="b">
        <v>0</v>
      </c>
      <c r="M243" s="66"/>
      <c r="N243" s="66"/>
      <c r="O243" s="66"/>
      <c r="P243" s="66" t="b">
        <v>0</v>
      </c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H244" s="66"/>
      <c r="I244" s="66"/>
      <c r="J244" s="66"/>
      <c r="K244" s="66"/>
      <c r="L244" s="66" t="b">
        <v>0</v>
      </c>
      <c r="M244" s="66"/>
      <c r="N244" s="66"/>
      <c r="O244" s="66"/>
      <c r="P244" s="66" t="b">
        <v>0</v>
      </c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H245" s="66"/>
      <c r="I245" s="66"/>
      <c r="J245" s="66"/>
      <c r="K245" s="66"/>
      <c r="L245" s="66" t="b">
        <v>0</v>
      </c>
      <c r="M245" s="66"/>
      <c r="N245" s="66"/>
      <c r="O245" s="66"/>
      <c r="P245" s="66" t="b">
        <v>0</v>
      </c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H246" s="66"/>
      <c r="I246" s="66"/>
      <c r="J246" s="66"/>
      <c r="K246" s="66"/>
      <c r="L246" s="66" t="b">
        <v>0</v>
      </c>
      <c r="M246" s="66"/>
      <c r="N246" s="66"/>
      <c r="O246" s="66"/>
      <c r="P246" s="66" t="b">
        <v>0</v>
      </c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H247" s="66"/>
      <c r="I247" s="66"/>
      <c r="J247" s="66"/>
      <c r="K247" s="66"/>
      <c r="L247" s="66" t="b">
        <v>0</v>
      </c>
      <c r="M247" s="66"/>
      <c r="N247" s="66"/>
      <c r="O247" s="66"/>
      <c r="P247" s="66" t="b">
        <v>0</v>
      </c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H248" s="66"/>
      <c r="I248" s="66"/>
      <c r="J248" s="66"/>
      <c r="K248" s="66"/>
      <c r="L248" s="66" t="b">
        <v>0</v>
      </c>
      <c r="M248" s="66"/>
      <c r="N248" s="66"/>
      <c r="O248" s="66"/>
      <c r="P248" s="66" t="b">
        <v>0</v>
      </c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H249" s="66"/>
      <c r="I249" s="66"/>
      <c r="J249" s="66"/>
      <c r="K249" s="66"/>
      <c r="L249" s="66" t="b">
        <v>0</v>
      </c>
      <c r="M249" s="66"/>
      <c r="N249" s="66"/>
      <c r="O249" s="66"/>
      <c r="P249" s="66" t="b">
        <v>0</v>
      </c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H250" s="66"/>
      <c r="I250" s="66"/>
      <c r="J250" s="66"/>
      <c r="K250" s="66"/>
      <c r="L250" s="66" t="b">
        <v>0</v>
      </c>
      <c r="M250" s="66"/>
      <c r="N250" s="66"/>
      <c r="O250" s="66"/>
      <c r="P250" s="66" t="b">
        <v>0</v>
      </c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H251" s="66"/>
      <c r="I251" s="66"/>
      <c r="J251" s="66"/>
      <c r="K251" s="66"/>
      <c r="L251" s="66" t="b">
        <v>0</v>
      </c>
      <c r="M251" s="66"/>
      <c r="N251" s="66"/>
      <c r="O251" s="66"/>
      <c r="P251" s="66" t="b">
        <v>0</v>
      </c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H252" s="66"/>
      <c r="I252" s="66"/>
      <c r="J252" s="66"/>
      <c r="K252" s="66"/>
      <c r="L252" s="66" t="b">
        <v>0</v>
      </c>
      <c r="M252" s="66"/>
      <c r="N252" s="66"/>
      <c r="O252" s="66"/>
      <c r="P252" s="66" t="b">
        <v>0</v>
      </c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H253" s="66"/>
      <c r="I253" s="66"/>
      <c r="J253" s="66"/>
      <c r="K253" s="66"/>
      <c r="L253" s="66" t="b">
        <v>0</v>
      </c>
      <c r="M253" s="66"/>
      <c r="N253" s="66"/>
      <c r="O253" s="66"/>
      <c r="P253" s="66" t="b">
        <v>0</v>
      </c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H254" s="66"/>
      <c r="I254" s="66"/>
      <c r="J254" s="66"/>
      <c r="K254" s="66"/>
      <c r="L254" s="66" t="b">
        <v>0</v>
      </c>
      <c r="M254" s="66"/>
      <c r="N254" s="66"/>
      <c r="O254" s="66"/>
      <c r="P254" s="66" t="b">
        <v>0</v>
      </c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H255" s="66"/>
      <c r="I255" s="66"/>
      <c r="J255" s="66"/>
      <c r="K255" s="66"/>
      <c r="L255" s="66" t="b">
        <v>0</v>
      </c>
      <c r="M255" s="66"/>
      <c r="N255" s="66"/>
      <c r="O255" s="66"/>
      <c r="P255" s="66" t="b">
        <v>0</v>
      </c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H256" s="66"/>
      <c r="I256" s="66"/>
      <c r="J256" s="66"/>
      <c r="K256" s="66"/>
      <c r="L256" s="66" t="b">
        <v>0</v>
      </c>
      <c r="M256" s="66"/>
      <c r="N256" s="66"/>
      <c r="O256" s="66"/>
      <c r="P256" s="66" t="b">
        <v>0</v>
      </c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H257" s="66"/>
      <c r="I257" s="66"/>
      <c r="J257" s="66"/>
      <c r="K257" s="66"/>
      <c r="L257" s="66" t="b">
        <v>0</v>
      </c>
      <c r="M257" s="66"/>
      <c r="N257" s="66"/>
      <c r="O257" s="66"/>
      <c r="P257" s="66" t="b">
        <v>0</v>
      </c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H258" s="66"/>
      <c r="I258" s="66"/>
      <c r="J258" s="66"/>
      <c r="K258" s="66"/>
      <c r="L258" s="66" t="b">
        <v>0</v>
      </c>
      <c r="M258" s="66"/>
      <c r="N258" s="66"/>
      <c r="O258" s="66"/>
      <c r="P258" s="66" t="b">
        <v>0</v>
      </c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H259" s="66"/>
      <c r="I259" s="66"/>
      <c r="J259" s="66"/>
      <c r="K259" s="66"/>
      <c r="L259" s="66" t="b">
        <v>0</v>
      </c>
      <c r="M259" s="66"/>
      <c r="N259" s="66"/>
      <c r="O259" s="66"/>
      <c r="P259" s="66" t="b">
        <v>0</v>
      </c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H260" s="66"/>
      <c r="I260" s="66"/>
      <c r="J260" s="66"/>
      <c r="K260" s="66"/>
      <c r="L260" s="66" t="b">
        <v>0</v>
      </c>
      <c r="M260" s="66"/>
      <c r="N260" s="66"/>
      <c r="O260" s="66"/>
      <c r="P260" s="66" t="b">
        <v>0</v>
      </c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H261" s="66"/>
      <c r="I261" s="66"/>
      <c r="J261" s="66"/>
      <c r="K261" s="66"/>
      <c r="L261" s="66" t="b">
        <v>0</v>
      </c>
      <c r="M261" s="66"/>
      <c r="N261" s="66"/>
      <c r="O261" s="66"/>
      <c r="P261" s="66" t="b">
        <v>0</v>
      </c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H262" s="66"/>
      <c r="I262" s="66"/>
      <c r="J262" s="66"/>
      <c r="K262" s="66"/>
      <c r="L262" s="66" t="b">
        <v>0</v>
      </c>
      <c r="M262" s="66"/>
      <c r="N262" s="66"/>
      <c r="O262" s="66"/>
      <c r="P262" s="66" t="b">
        <v>0</v>
      </c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H263" s="66"/>
      <c r="I263" s="66"/>
      <c r="J263" s="66"/>
      <c r="K263" s="66"/>
      <c r="L263" s="66" t="b">
        <v>0</v>
      </c>
      <c r="M263" s="66"/>
      <c r="N263" s="66"/>
      <c r="O263" s="66"/>
      <c r="P263" s="66" t="b">
        <v>0</v>
      </c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H264" s="66"/>
      <c r="I264" s="66"/>
      <c r="J264" s="66"/>
      <c r="K264" s="66"/>
      <c r="L264" s="66" t="b">
        <v>0</v>
      </c>
      <c r="M264" s="66"/>
      <c r="N264" s="66"/>
      <c r="O264" s="66"/>
      <c r="P264" s="66" t="b">
        <v>0</v>
      </c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H265" s="66"/>
      <c r="I265" s="66"/>
      <c r="J265" s="66"/>
      <c r="K265" s="66"/>
      <c r="L265" s="66" t="b">
        <v>0</v>
      </c>
      <c r="M265" s="66"/>
      <c r="N265" s="66"/>
      <c r="O265" s="66"/>
      <c r="P265" s="66" t="b">
        <v>0</v>
      </c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H266" s="66"/>
      <c r="I266" s="66"/>
      <c r="J266" s="66"/>
      <c r="K266" s="66"/>
      <c r="L266" s="66" t="b">
        <v>0</v>
      </c>
      <c r="M266" s="66"/>
      <c r="N266" s="66"/>
      <c r="O266" s="66"/>
      <c r="P266" s="66" t="b">
        <v>0</v>
      </c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H267" s="66"/>
      <c r="I267" s="66"/>
      <c r="J267" s="66"/>
      <c r="K267" s="66"/>
      <c r="L267" s="66" t="b">
        <v>0</v>
      </c>
      <c r="M267" s="66"/>
      <c r="N267" s="66"/>
      <c r="O267" s="66"/>
      <c r="P267" s="66" t="b">
        <v>0</v>
      </c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H268" s="66"/>
      <c r="I268" s="66"/>
      <c r="J268" s="66"/>
      <c r="K268" s="66"/>
      <c r="L268" s="66" t="b">
        <v>0</v>
      </c>
      <c r="M268" s="66"/>
      <c r="N268" s="66"/>
      <c r="O268" s="66"/>
      <c r="P268" s="66" t="b">
        <v>0</v>
      </c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H269" s="66"/>
      <c r="I269" s="66"/>
      <c r="J269" s="66"/>
      <c r="K269" s="66"/>
      <c r="L269" s="66" t="b">
        <v>0</v>
      </c>
      <c r="M269" s="66"/>
      <c r="N269" s="66"/>
      <c r="O269" s="66"/>
      <c r="P269" s="66" t="b">
        <v>0</v>
      </c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H270" s="66"/>
      <c r="I270" s="66"/>
      <c r="J270" s="66"/>
      <c r="K270" s="66"/>
      <c r="L270" s="66" t="b">
        <v>0</v>
      </c>
      <c r="M270" s="66"/>
      <c r="N270" s="66"/>
      <c r="O270" s="66"/>
      <c r="P270" s="66" t="b">
        <v>0</v>
      </c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H271" s="66"/>
      <c r="I271" s="66"/>
      <c r="J271" s="66"/>
      <c r="K271" s="66"/>
      <c r="L271" s="66" t="b">
        <v>0</v>
      </c>
      <c r="M271" s="66"/>
      <c r="N271" s="66"/>
      <c r="O271" s="66"/>
      <c r="P271" s="66" t="b">
        <v>0</v>
      </c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H272" s="66"/>
      <c r="I272" s="66"/>
      <c r="J272" s="66"/>
      <c r="K272" s="66"/>
      <c r="L272" s="66" t="b">
        <v>0</v>
      </c>
      <c r="M272" s="66"/>
      <c r="N272" s="66"/>
      <c r="O272" s="66"/>
      <c r="P272" s="66" t="b">
        <v>0</v>
      </c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H273" s="66"/>
      <c r="I273" s="66"/>
      <c r="J273" s="66"/>
      <c r="K273" s="66"/>
      <c r="L273" s="66" t="b">
        <v>0</v>
      </c>
      <c r="M273" s="66"/>
      <c r="N273" s="66"/>
      <c r="O273" s="66"/>
      <c r="P273" s="66" t="b">
        <v>0</v>
      </c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H274" s="66"/>
      <c r="I274" s="66"/>
      <c r="J274" s="66"/>
      <c r="K274" s="66"/>
      <c r="L274" s="66" t="b">
        <v>0</v>
      </c>
      <c r="M274" s="66"/>
      <c r="N274" s="66"/>
      <c r="O274" s="66"/>
      <c r="P274" s="66" t="b">
        <v>0</v>
      </c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H275" s="66"/>
      <c r="I275" s="66"/>
      <c r="J275" s="66"/>
      <c r="K275" s="66"/>
      <c r="L275" s="66" t="b">
        <v>0</v>
      </c>
      <c r="M275" s="66"/>
      <c r="N275" s="66"/>
      <c r="O275" s="66"/>
      <c r="P275" s="66" t="b">
        <v>0</v>
      </c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H276" s="66"/>
      <c r="I276" s="66"/>
      <c r="J276" s="66"/>
      <c r="K276" s="66"/>
      <c r="L276" s="66" t="b">
        <v>0</v>
      </c>
      <c r="M276" s="66"/>
      <c r="N276" s="66"/>
      <c r="O276" s="66"/>
      <c r="P276" s="66" t="b">
        <v>0</v>
      </c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H277" s="66"/>
      <c r="I277" s="66"/>
      <c r="J277" s="66"/>
      <c r="K277" s="66"/>
      <c r="L277" s="66" t="b">
        <v>0</v>
      </c>
      <c r="M277" s="66"/>
      <c r="N277" s="66"/>
      <c r="O277" s="66"/>
      <c r="P277" s="66" t="b">
        <v>0</v>
      </c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H278" s="66"/>
      <c r="I278" s="66"/>
      <c r="J278" s="66"/>
      <c r="K278" s="66"/>
      <c r="L278" s="66" t="b">
        <v>0</v>
      </c>
      <c r="M278" s="66"/>
      <c r="N278" s="66"/>
      <c r="O278" s="66"/>
      <c r="P278" s="66" t="b">
        <v>0</v>
      </c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H279" s="66"/>
      <c r="I279" s="66"/>
      <c r="J279" s="66"/>
      <c r="K279" s="66"/>
      <c r="L279" s="66" t="b">
        <v>0</v>
      </c>
      <c r="M279" s="66"/>
      <c r="N279" s="66"/>
      <c r="O279" s="66"/>
      <c r="P279" s="66" t="b">
        <v>0</v>
      </c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H280" s="66"/>
      <c r="I280" s="66"/>
      <c r="J280" s="66"/>
      <c r="K280" s="66"/>
      <c r="L280" s="66" t="b">
        <v>0</v>
      </c>
      <c r="M280" s="66"/>
      <c r="N280" s="66"/>
      <c r="O280" s="66"/>
      <c r="P280" s="66" t="b">
        <v>0</v>
      </c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H281" s="66"/>
      <c r="I281" s="66"/>
      <c r="J281" s="66"/>
      <c r="K281" s="66"/>
      <c r="L281" s="66" t="b">
        <v>0</v>
      </c>
      <c r="M281" s="66"/>
      <c r="N281" s="66"/>
      <c r="O281" s="66"/>
      <c r="P281" s="66" t="b">
        <v>0</v>
      </c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H282" s="66"/>
      <c r="I282" s="66"/>
      <c r="J282" s="66"/>
      <c r="K282" s="66"/>
      <c r="L282" s="66" t="b">
        <v>0</v>
      </c>
      <c r="M282" s="66"/>
      <c r="N282" s="66"/>
      <c r="O282" s="66"/>
      <c r="P282" s="66" t="b">
        <v>0</v>
      </c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H283" s="66"/>
      <c r="I283" s="66"/>
      <c r="J283" s="66"/>
      <c r="K283" s="66"/>
      <c r="L283" s="66" t="b">
        <v>0</v>
      </c>
      <c r="M283" s="66"/>
      <c r="N283" s="66"/>
      <c r="O283" s="66"/>
      <c r="P283" s="66" t="b">
        <v>0</v>
      </c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H284" s="66"/>
      <c r="I284" s="66"/>
      <c r="J284" s="66"/>
      <c r="K284" s="66"/>
      <c r="L284" s="66" t="b">
        <v>0</v>
      </c>
      <c r="M284" s="66"/>
      <c r="N284" s="66"/>
      <c r="O284" s="66"/>
      <c r="P284" s="66" t="b">
        <v>0</v>
      </c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H285" s="66"/>
      <c r="I285" s="66"/>
      <c r="J285" s="66"/>
      <c r="K285" s="66"/>
      <c r="L285" s="66" t="b">
        <v>0</v>
      </c>
      <c r="M285" s="66"/>
      <c r="N285" s="66"/>
      <c r="O285" s="66"/>
      <c r="P285" s="66" t="b">
        <v>0</v>
      </c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H286" s="66"/>
      <c r="I286" s="66"/>
      <c r="J286" s="66"/>
      <c r="K286" s="66"/>
      <c r="L286" s="66" t="b">
        <v>0</v>
      </c>
      <c r="M286" s="66"/>
      <c r="N286" s="66"/>
      <c r="O286" s="66"/>
      <c r="P286" s="66" t="b">
        <v>0</v>
      </c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H287" s="66"/>
      <c r="I287" s="66"/>
      <c r="J287" s="66"/>
      <c r="K287" s="66"/>
      <c r="L287" s="66" t="b">
        <v>0</v>
      </c>
      <c r="M287" s="66"/>
      <c r="N287" s="66"/>
      <c r="O287" s="66"/>
      <c r="P287" s="66" t="b">
        <v>0</v>
      </c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H288" s="66"/>
      <c r="I288" s="66"/>
      <c r="J288" s="66"/>
      <c r="K288" s="66"/>
      <c r="L288" s="66" t="b">
        <v>0</v>
      </c>
      <c r="M288" s="66"/>
      <c r="N288" s="66"/>
      <c r="O288" s="66"/>
      <c r="P288" s="66" t="b">
        <v>0</v>
      </c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H289" s="66"/>
      <c r="I289" s="66"/>
      <c r="J289" s="66"/>
      <c r="K289" s="66"/>
      <c r="L289" s="66" t="b">
        <v>0</v>
      </c>
      <c r="M289" s="66"/>
      <c r="N289" s="66"/>
      <c r="O289" s="66"/>
      <c r="P289" s="66" t="b">
        <v>0</v>
      </c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H290" s="66"/>
      <c r="I290" s="66"/>
      <c r="J290" s="66"/>
      <c r="K290" s="66"/>
      <c r="L290" s="66" t="b">
        <v>0</v>
      </c>
      <c r="M290" s="66"/>
      <c r="N290" s="66"/>
      <c r="O290" s="66"/>
      <c r="P290" s="66" t="b">
        <v>0</v>
      </c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H291" s="66"/>
      <c r="I291" s="66"/>
      <c r="J291" s="66"/>
      <c r="K291" s="66"/>
      <c r="L291" s="66" t="b">
        <v>0</v>
      </c>
      <c r="M291" s="66"/>
      <c r="N291" s="66"/>
      <c r="O291" s="66"/>
      <c r="P291" s="66" t="b">
        <v>0</v>
      </c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H292" s="66"/>
      <c r="I292" s="66"/>
      <c r="J292" s="66"/>
      <c r="K292" s="66"/>
      <c r="L292" s="66" t="b">
        <v>0</v>
      </c>
      <c r="M292" s="66"/>
      <c r="N292" s="66"/>
      <c r="O292" s="66"/>
      <c r="P292" s="66" t="b">
        <v>0</v>
      </c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H293" s="66"/>
      <c r="I293" s="66"/>
      <c r="J293" s="66"/>
      <c r="K293" s="66"/>
      <c r="L293" s="66" t="b">
        <v>0</v>
      </c>
      <c r="M293" s="66"/>
      <c r="N293" s="66"/>
      <c r="O293" s="66"/>
      <c r="P293" s="66" t="b">
        <v>0</v>
      </c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H294" s="66"/>
      <c r="I294" s="66"/>
      <c r="J294" s="66"/>
      <c r="K294" s="66"/>
      <c r="L294" s="66" t="b">
        <v>0</v>
      </c>
      <c r="M294" s="66"/>
      <c r="N294" s="66"/>
      <c r="O294" s="66"/>
      <c r="P294" s="66" t="b">
        <v>0</v>
      </c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H295" s="66"/>
      <c r="I295" s="66"/>
      <c r="J295" s="66"/>
      <c r="K295" s="66"/>
      <c r="L295" s="66" t="b">
        <v>0</v>
      </c>
      <c r="M295" s="66"/>
      <c r="N295" s="66"/>
      <c r="O295" s="66"/>
      <c r="P295" s="66" t="b">
        <v>0</v>
      </c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H296" s="66"/>
      <c r="I296" s="66"/>
      <c r="J296" s="66"/>
      <c r="K296" s="66"/>
      <c r="L296" s="66" t="b">
        <v>0</v>
      </c>
      <c r="M296" s="66"/>
      <c r="N296" s="66"/>
      <c r="O296" s="66"/>
      <c r="P296" s="66" t="b">
        <v>0</v>
      </c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H297" s="66"/>
      <c r="I297" s="66"/>
      <c r="J297" s="66"/>
      <c r="K297" s="66"/>
      <c r="L297" s="66" t="b">
        <v>0</v>
      </c>
      <c r="M297" s="66"/>
      <c r="N297" s="66"/>
      <c r="O297" s="66"/>
      <c r="P297" s="66" t="b">
        <v>0</v>
      </c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H298" s="66"/>
      <c r="I298" s="66"/>
      <c r="J298" s="66"/>
      <c r="K298" s="66"/>
      <c r="L298" s="66" t="b">
        <v>0</v>
      </c>
      <c r="M298" s="66"/>
      <c r="N298" s="66"/>
      <c r="O298" s="66"/>
      <c r="P298" s="66" t="b">
        <v>0</v>
      </c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H299" s="66"/>
      <c r="I299" s="66"/>
      <c r="J299" s="66"/>
      <c r="K299" s="66"/>
      <c r="L299" s="66" t="b">
        <v>0</v>
      </c>
      <c r="M299" s="66"/>
      <c r="N299" s="66"/>
      <c r="O299" s="66"/>
      <c r="P299" s="66" t="b">
        <v>0</v>
      </c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H300" s="66"/>
      <c r="I300" s="66"/>
      <c r="J300" s="66"/>
      <c r="K300" s="66"/>
      <c r="L300" s="66" t="b">
        <v>0</v>
      </c>
      <c r="M300" s="66"/>
      <c r="N300" s="66"/>
      <c r="O300" s="66"/>
      <c r="P300" s="66" t="b">
        <v>0</v>
      </c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H301" s="66"/>
      <c r="I301" s="66"/>
      <c r="J301" s="66"/>
      <c r="K301" s="66"/>
      <c r="L301" s="66" t="b">
        <v>0</v>
      </c>
      <c r="M301" s="66"/>
      <c r="N301" s="66"/>
      <c r="O301" s="66"/>
      <c r="P301" s="66" t="b">
        <v>0</v>
      </c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H302" s="66"/>
      <c r="I302" s="66"/>
      <c r="J302" s="66"/>
      <c r="K302" s="66"/>
      <c r="L302" s="66" t="b">
        <v>0</v>
      </c>
      <c r="M302" s="66"/>
      <c r="N302" s="66"/>
      <c r="O302" s="66"/>
      <c r="P302" s="66" t="b">
        <v>0</v>
      </c>
    </row>
  </sheetData>
  <dataValidations>
    <dataValidation type="list" allowBlank="1" showErrorMessage="1" sqref="H2:H302">
      <formula1>'TENDINE SLIM'!$K$2:$K$39</formula1>
    </dataValidation>
    <dataValidation type="list" allowBlank="1" showErrorMessage="1" sqref="A2:A279">
      <formula1>ANAGRAFICA!$B$2:$B$506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13"/>
    <col customWidth="1" min="2" max="2" width="10.63"/>
    <col customWidth="1" min="3" max="3" width="9.88"/>
    <col customWidth="1" min="4" max="4" width="11.88"/>
    <col customWidth="1" min="5" max="5" width="25.25"/>
    <col customWidth="1" min="6" max="6" width="6.38"/>
    <col customWidth="1" min="7" max="7" width="6.13"/>
    <col customWidth="1" min="8" max="8" width="22.63"/>
    <col customWidth="1" min="9" max="9" width="21.88"/>
    <col customWidth="1" min="10" max="10" width="22.13"/>
    <col customWidth="1" min="11" max="11" width="21.0"/>
    <col customWidth="1" min="12" max="12" width="17.63"/>
    <col customWidth="1" min="13" max="13" width="25.63"/>
    <col customWidth="1" min="14" max="14" width="34.25"/>
    <col customWidth="1" min="15" max="15" width="24.5"/>
    <col customWidth="1" min="16" max="16" width="15.5"/>
    <col customWidth="1" min="17" max="17" width="27.5"/>
    <col customWidth="1" min="18" max="18" width="10.5"/>
    <col customWidth="1" min="19" max="19" width="5.75"/>
    <col customWidth="1" min="20" max="20" width="15.88"/>
    <col customWidth="1" min="21" max="21" width="6.75"/>
    <col customWidth="1" min="22" max="22" width="5.13"/>
    <col customWidth="1" min="23" max="23" width="5.38"/>
    <col customWidth="1" min="24" max="24" width="3.88"/>
    <col customWidth="1" min="25" max="25" width="11.63"/>
    <col customWidth="1" min="26" max="26" width="5.25"/>
    <col customWidth="1" min="27" max="27" width="21.0"/>
    <col customWidth="1" min="28" max="28" width="24.13"/>
    <col customWidth="1" min="29" max="29" width="21.25"/>
    <col customWidth="1" min="30" max="30" width="15.25"/>
    <col customWidth="1" min="31" max="31" width="16.0"/>
    <col customWidth="1" min="32" max="32" width="13.5"/>
    <col customWidth="1" min="33" max="33" width="4.5"/>
    <col customWidth="1" min="34" max="34" width="9.13"/>
    <col customWidth="1" min="35" max="35" width="12.75"/>
    <col customWidth="1" min="36" max="36" width="9.88"/>
    <col customWidth="1" min="37" max="37" width="24.5"/>
    <col customWidth="1" min="38" max="38" width="30.88"/>
    <col customWidth="1" min="39" max="39" width="12.75"/>
    <col customWidth="1" min="40" max="40" width="15.5"/>
    <col customWidth="1" min="41" max="41" width="13.5"/>
    <col customWidth="1" min="42" max="42" width="15.5"/>
    <col customWidth="1" min="43" max="43" width="13.5"/>
    <col customWidth="1" min="44" max="44" width="33.13"/>
    <col customWidth="1" min="45" max="45" width="26.25"/>
    <col customWidth="1" min="46" max="46" width="18.63"/>
    <col customWidth="1" min="47" max="47" width="18.25"/>
    <col customWidth="1" min="48" max="48" width="24.63"/>
    <col customWidth="1" min="49" max="49" width="20.38"/>
    <col customWidth="1" min="50" max="50" width="10.75"/>
    <col customWidth="1" min="51" max="51" width="11.5"/>
    <col customWidth="1" min="52" max="52" width="24.0"/>
    <col customWidth="1" min="53" max="53" width="11.0"/>
    <col customWidth="1" min="54" max="54" width="6.0"/>
  </cols>
  <sheetData>
    <row r="1">
      <c r="A1" s="216" t="s">
        <v>1</v>
      </c>
      <c r="B1" s="217" t="s">
        <v>2</v>
      </c>
      <c r="C1" s="218" t="s">
        <v>3</v>
      </c>
      <c r="D1" s="218" t="s">
        <v>4</v>
      </c>
      <c r="E1" s="218" t="s">
        <v>385</v>
      </c>
      <c r="F1" s="216" t="s">
        <v>6</v>
      </c>
      <c r="G1" s="219" t="s">
        <v>386</v>
      </c>
      <c r="H1" s="219" t="s">
        <v>1235</v>
      </c>
      <c r="I1" s="219" t="s">
        <v>1236</v>
      </c>
      <c r="J1" s="220" t="s">
        <v>1237</v>
      </c>
      <c r="K1" s="221" t="s">
        <v>1238</v>
      </c>
      <c r="L1" s="219" t="s">
        <v>1239</v>
      </c>
      <c r="M1" s="219" t="s">
        <v>1240</v>
      </c>
      <c r="N1" s="221" t="s">
        <v>1241</v>
      </c>
      <c r="O1" s="219" t="s">
        <v>1242</v>
      </c>
      <c r="P1" s="222" t="s">
        <v>1243</v>
      </c>
      <c r="Q1" s="223" t="s">
        <v>1244</v>
      </c>
      <c r="R1" s="224" t="s">
        <v>600</v>
      </c>
      <c r="S1" s="224" t="s">
        <v>1209</v>
      </c>
      <c r="T1" s="223" t="s">
        <v>546</v>
      </c>
      <c r="U1" s="224" t="s">
        <v>1245</v>
      </c>
      <c r="V1" s="224" t="s">
        <v>1246</v>
      </c>
      <c r="W1" s="224" t="s">
        <v>1247</v>
      </c>
      <c r="X1" s="224" t="s">
        <v>1248</v>
      </c>
      <c r="Y1" s="224" t="s">
        <v>1249</v>
      </c>
      <c r="Z1" s="224" t="s">
        <v>1250</v>
      </c>
      <c r="AA1" s="225" t="s">
        <v>1251</v>
      </c>
      <c r="AB1" s="226" t="s">
        <v>1252</v>
      </c>
      <c r="AC1" s="227" t="s">
        <v>1253</v>
      </c>
      <c r="AD1" s="227" t="s">
        <v>1254</v>
      </c>
      <c r="AE1" s="227" t="s">
        <v>1255</v>
      </c>
      <c r="AF1" s="227" t="s">
        <v>1256</v>
      </c>
      <c r="AG1" s="227" t="s">
        <v>1257</v>
      </c>
      <c r="AH1" s="227" t="s">
        <v>1258</v>
      </c>
      <c r="AI1" s="227" t="s">
        <v>1259</v>
      </c>
      <c r="AJ1" s="227" t="s">
        <v>1260</v>
      </c>
      <c r="AK1" s="228" t="s">
        <v>1261</v>
      </c>
      <c r="AL1" s="228" t="s">
        <v>1262</v>
      </c>
      <c r="AM1" s="228" t="s">
        <v>1263</v>
      </c>
      <c r="AN1" s="228" t="s">
        <v>1264</v>
      </c>
      <c r="AO1" s="228" t="s">
        <v>1265</v>
      </c>
      <c r="AP1" s="228" t="s">
        <v>1266</v>
      </c>
      <c r="AQ1" s="226" t="s">
        <v>1267</v>
      </c>
      <c r="AR1" s="229" t="s">
        <v>1268</v>
      </c>
      <c r="AS1" s="229" t="s">
        <v>1269</v>
      </c>
      <c r="AT1" s="230" t="s">
        <v>1270</v>
      </c>
      <c r="AU1" s="230" t="s">
        <v>1271</v>
      </c>
      <c r="AV1" s="230" t="s">
        <v>1272</v>
      </c>
      <c r="AW1" s="231" t="s">
        <v>1273</v>
      </c>
      <c r="AX1" s="231" t="s">
        <v>1208</v>
      </c>
      <c r="AY1" s="231" t="s">
        <v>1209</v>
      </c>
      <c r="AZ1" s="232" t="s">
        <v>1274</v>
      </c>
      <c r="BA1" s="231" t="s">
        <v>1208</v>
      </c>
      <c r="BB1" s="231" t="s">
        <v>1209</v>
      </c>
    </row>
    <row r="2">
      <c r="A2" s="57">
        <v>2.123023299E9</v>
      </c>
      <c r="B2" s="109" t="str">
        <f>VLOOKUP($A2,ANAGRAFICA!$B$1:$G$306,2,FALSE)</f>
        <v>BEATRICE</v>
      </c>
      <c r="C2" s="109" t="str">
        <f>VLOOKUP($A2,ANAGRAFICA!$B$1:$G$306,3,FALSE)</f>
        <v>GERARDINA</v>
      </c>
      <c r="D2" s="109" t="str">
        <f>VLOOKUP($A2,ANAGRAFICA!$B$1:$G$306,4,FALSE)</f>
        <v/>
      </c>
      <c r="E2" s="109">
        <f>VLOOKUP($A2,ANAGRAFICA!$B$1:$G$306,5,FALSE)</f>
        <v>3272024098</v>
      </c>
      <c r="F2" s="109">
        <f>VLOOKUP($A2,ANAGRAFICA!$B$1:$G$306,6,FALSE)</f>
        <v>2024</v>
      </c>
      <c r="G2" s="3">
        <v>1.0</v>
      </c>
      <c r="H2" s="233" t="s">
        <v>1275</v>
      </c>
      <c r="I2" s="233" t="s">
        <v>1276</v>
      </c>
      <c r="J2" s="233" t="s">
        <v>1277</v>
      </c>
      <c r="K2" s="234"/>
      <c r="L2" s="234"/>
      <c r="M2" s="234"/>
      <c r="N2" s="234"/>
      <c r="O2" s="234"/>
      <c r="P2" s="235">
        <f t="shared" ref="P2:P302" si="1">K2+L2+(100*M2)+(10000*N2)+(100*O2)</f>
        <v>0</v>
      </c>
      <c r="Q2" s="234" t="b">
        <v>0</v>
      </c>
      <c r="R2" s="234"/>
      <c r="S2" s="234"/>
      <c r="T2" s="234"/>
      <c r="U2" s="234" t="b">
        <v>0</v>
      </c>
      <c r="V2" s="234" t="b">
        <v>0</v>
      </c>
      <c r="W2" s="234" t="b">
        <v>0</v>
      </c>
      <c r="X2" s="234" t="b">
        <v>0</v>
      </c>
      <c r="Y2" s="234" t="b">
        <v>0</v>
      </c>
      <c r="Z2" s="236" t="b">
        <v>0</v>
      </c>
      <c r="AA2" s="237" t="s">
        <v>1278</v>
      </c>
      <c r="AB2" s="237" t="s">
        <v>1279</v>
      </c>
      <c r="AC2" s="234" t="b">
        <v>0</v>
      </c>
      <c r="AD2" s="234" t="b">
        <v>0</v>
      </c>
      <c r="AE2" s="234" t="b">
        <v>0</v>
      </c>
      <c r="AF2" s="234" t="b">
        <v>0</v>
      </c>
      <c r="AG2" s="234" t="b">
        <v>0</v>
      </c>
      <c r="AH2" s="234" t="b">
        <v>0</v>
      </c>
      <c r="AI2" s="236" t="b">
        <v>1</v>
      </c>
      <c r="AJ2" s="234" t="b">
        <v>0</v>
      </c>
      <c r="AK2" s="236" t="b">
        <v>0</v>
      </c>
      <c r="AL2" s="234" t="b">
        <v>0</v>
      </c>
      <c r="AM2" s="234"/>
      <c r="AN2" s="234" t="b">
        <v>0</v>
      </c>
      <c r="AO2" s="234" t="b">
        <v>0</v>
      </c>
      <c r="AP2" s="234" t="b">
        <v>0</v>
      </c>
      <c r="AQ2" s="237" t="s">
        <v>1280</v>
      </c>
      <c r="AR2" s="234" t="b">
        <v>0</v>
      </c>
      <c r="AS2" s="234"/>
      <c r="AT2" s="234"/>
      <c r="AU2" s="234"/>
      <c r="AV2" s="234"/>
      <c r="AW2" s="234" t="b">
        <v>0</v>
      </c>
      <c r="AX2" s="234"/>
      <c r="AY2" s="234"/>
      <c r="AZ2" s="234" t="b">
        <v>0</v>
      </c>
      <c r="BA2" s="234"/>
      <c r="BB2" s="234"/>
    </row>
    <row r="3">
      <c r="A3" s="57">
        <v>2.124000149E9</v>
      </c>
      <c r="B3" s="109" t="str">
        <f>VLOOKUP($A3,ANAGRAFICA!$B$1:$G$306,2,FALSE)</f>
        <v>MOTTA</v>
      </c>
      <c r="C3" s="109" t="str">
        <f>VLOOKUP($A3,ANAGRAFICA!$B$1:$G$306,3,FALSE)</f>
        <v>FABIO</v>
      </c>
      <c r="D3" s="109" t="str">
        <f>VLOOKUP($A3,ANAGRAFICA!$B$1:$G$306,4,FALSE)</f>
        <v/>
      </c>
      <c r="E3" s="109">
        <f>VLOOKUP($A3,ANAGRAFICA!$B$1:$G$306,5,FALSE)</f>
        <v>3272024051</v>
      </c>
      <c r="F3" s="109">
        <f>VLOOKUP($A3,ANAGRAFICA!$B$1:$G$306,6,FALSE)</f>
        <v>2024</v>
      </c>
      <c r="G3" s="3">
        <v>1.0</v>
      </c>
      <c r="H3" s="233" t="s">
        <v>1275</v>
      </c>
      <c r="I3" s="233" t="s">
        <v>1276</v>
      </c>
      <c r="J3" s="233" t="s">
        <v>1277</v>
      </c>
      <c r="K3" s="234"/>
      <c r="L3" s="234"/>
      <c r="M3" s="237">
        <v>0.08</v>
      </c>
      <c r="N3" s="234"/>
      <c r="O3" s="234"/>
      <c r="P3" s="235">
        <f t="shared" si="1"/>
        <v>8</v>
      </c>
      <c r="Q3" s="234" t="b">
        <v>0</v>
      </c>
      <c r="R3" s="234"/>
      <c r="S3" s="234"/>
      <c r="T3" s="234"/>
      <c r="U3" s="234" t="b">
        <v>0</v>
      </c>
      <c r="V3" s="234" t="b">
        <v>0</v>
      </c>
      <c r="W3" s="234" t="b">
        <v>0</v>
      </c>
      <c r="X3" s="234" t="b">
        <v>0</v>
      </c>
      <c r="Y3" s="234" t="b">
        <v>0</v>
      </c>
      <c r="Z3" s="236" t="b">
        <v>0</v>
      </c>
      <c r="AA3" s="237" t="s">
        <v>35</v>
      </c>
      <c r="AB3" s="237" t="s">
        <v>1281</v>
      </c>
      <c r="AC3" s="234" t="b">
        <v>0</v>
      </c>
      <c r="AD3" s="234" t="b">
        <v>0</v>
      </c>
      <c r="AE3" s="234" t="b">
        <v>0</v>
      </c>
      <c r="AF3" s="234" t="b">
        <v>0</v>
      </c>
      <c r="AG3" s="234" t="b">
        <v>0</v>
      </c>
      <c r="AH3" s="236" t="b">
        <v>1</v>
      </c>
      <c r="AI3" s="234" t="b">
        <v>0</v>
      </c>
      <c r="AJ3" s="234" t="b">
        <v>0</v>
      </c>
      <c r="AK3" s="234" t="b">
        <v>0</v>
      </c>
      <c r="AL3" s="234" t="b">
        <v>0</v>
      </c>
      <c r="AM3" s="234"/>
      <c r="AN3" s="234" t="b">
        <v>0</v>
      </c>
      <c r="AO3" s="234" t="b">
        <v>0</v>
      </c>
      <c r="AP3" s="234" t="b">
        <v>0</v>
      </c>
      <c r="AQ3" s="237" t="s">
        <v>1282</v>
      </c>
      <c r="AR3" s="234" t="b">
        <v>0</v>
      </c>
      <c r="AS3" s="234"/>
      <c r="AT3" s="234"/>
      <c r="AU3" s="234"/>
      <c r="AV3" s="234"/>
      <c r="AW3" s="236" t="b">
        <v>1</v>
      </c>
      <c r="AX3" s="238">
        <v>45295.0</v>
      </c>
      <c r="AY3" s="237" t="s">
        <v>693</v>
      </c>
      <c r="AZ3" s="234" t="b">
        <v>0</v>
      </c>
      <c r="BA3" s="234"/>
      <c r="BB3" s="234"/>
    </row>
    <row r="4">
      <c r="A4" s="57">
        <v>2.124000241E9</v>
      </c>
      <c r="B4" s="109" t="str">
        <f>VLOOKUP($A4,ANAGRAFICA!$B$1:$G$306,2,FALSE)</f>
        <v>ISELLA</v>
      </c>
      <c r="C4" s="109" t="str">
        <f>VLOOKUP($A4,ANAGRAFICA!$B$1:$G$306,3,FALSE)</f>
        <v>VINCENZO</v>
      </c>
      <c r="D4" s="109" t="str">
        <f>VLOOKUP($A4,ANAGRAFICA!$B$1:$G$306,4,FALSE)</f>
        <v/>
      </c>
      <c r="E4" s="109">
        <f>VLOOKUP($A4,ANAGRAFICA!$B$1:$G$306,5,FALSE)</f>
        <v>3272024052</v>
      </c>
      <c r="F4" s="109">
        <f>VLOOKUP($A4,ANAGRAFICA!$B$1:$G$306,6,FALSE)</f>
        <v>2024</v>
      </c>
      <c r="G4" s="3">
        <v>1.0</v>
      </c>
      <c r="H4" s="233" t="s">
        <v>1275</v>
      </c>
      <c r="I4" s="233" t="s">
        <v>1277</v>
      </c>
      <c r="J4" s="233" t="s">
        <v>1277</v>
      </c>
      <c r="K4" s="234"/>
      <c r="L4" s="234"/>
      <c r="M4" s="234"/>
      <c r="N4" s="234"/>
      <c r="O4" s="234"/>
      <c r="P4" s="235">
        <f t="shared" si="1"/>
        <v>0</v>
      </c>
      <c r="Q4" s="234" t="b">
        <v>0</v>
      </c>
      <c r="R4" s="234"/>
      <c r="S4" s="234"/>
      <c r="T4" s="234"/>
      <c r="U4" s="234" t="b">
        <v>0</v>
      </c>
      <c r="V4" s="234" t="b">
        <v>0</v>
      </c>
      <c r="W4" s="234" t="b">
        <v>0</v>
      </c>
      <c r="X4" s="234" t="b">
        <v>0</v>
      </c>
      <c r="Y4" s="234" t="b">
        <v>0</v>
      </c>
      <c r="Z4" s="236" t="b">
        <v>0</v>
      </c>
      <c r="AA4" s="237" t="s">
        <v>1278</v>
      </c>
      <c r="AB4" s="237" t="s">
        <v>1279</v>
      </c>
      <c r="AC4" s="236" t="b">
        <v>1</v>
      </c>
      <c r="AD4" s="234" t="b">
        <v>0</v>
      </c>
      <c r="AE4" s="234" t="b">
        <v>0</v>
      </c>
      <c r="AF4" s="234" t="b">
        <v>0</v>
      </c>
      <c r="AG4" s="234" t="b">
        <v>0</v>
      </c>
      <c r="AH4" s="236" t="b">
        <v>1</v>
      </c>
      <c r="AI4" s="236" t="b">
        <v>1</v>
      </c>
      <c r="AJ4" s="236" t="b">
        <v>0</v>
      </c>
      <c r="AK4" s="236" t="b">
        <v>1</v>
      </c>
      <c r="AL4" s="234" t="b">
        <v>0</v>
      </c>
      <c r="AM4" s="234"/>
      <c r="AN4" s="234" t="b">
        <v>0</v>
      </c>
      <c r="AO4" s="234" t="b">
        <v>0</v>
      </c>
      <c r="AP4" s="234" t="b">
        <v>0</v>
      </c>
      <c r="AQ4" s="237" t="s">
        <v>1283</v>
      </c>
      <c r="AR4" s="234" t="b">
        <v>0</v>
      </c>
      <c r="AS4" s="234"/>
      <c r="AT4" s="234"/>
      <c r="AU4" s="234"/>
      <c r="AV4" s="234"/>
      <c r="AW4" s="234" t="b">
        <v>0</v>
      </c>
      <c r="AX4" s="234"/>
      <c r="AY4" s="234"/>
      <c r="AZ4" s="234" t="b">
        <v>0</v>
      </c>
      <c r="BA4" s="234"/>
      <c r="BB4" s="234"/>
    </row>
    <row r="5">
      <c r="A5" s="57">
        <v>2.124000328E9</v>
      </c>
      <c r="B5" s="109" t="str">
        <f>VLOOKUP($A5,ANAGRAFICA!$B$1:$G$306,2,FALSE)</f>
        <v>LAVANGA</v>
      </c>
      <c r="C5" s="109" t="str">
        <f>VLOOKUP($A5,ANAGRAFICA!$B$1:$G$306,3,FALSE)</f>
        <v>DONATO</v>
      </c>
      <c r="D5" s="109" t="str">
        <f>VLOOKUP($A5,ANAGRAFICA!$B$1:$G$306,4,FALSE)</f>
        <v/>
      </c>
      <c r="E5" s="109">
        <f>VLOOKUP($A5,ANAGRAFICA!$B$1:$G$306,5,FALSE)</f>
        <v>3272024053</v>
      </c>
      <c r="F5" s="109">
        <f>VLOOKUP($A5,ANAGRAFICA!$B$1:$G$306,6,FALSE)</f>
        <v>2024</v>
      </c>
      <c r="G5" s="3">
        <v>1.0</v>
      </c>
      <c r="H5" s="233" t="s">
        <v>1275</v>
      </c>
      <c r="I5" s="233" t="s">
        <v>1277</v>
      </c>
      <c r="J5" s="233" t="s">
        <v>1277</v>
      </c>
      <c r="K5" s="234"/>
      <c r="L5" s="234"/>
      <c r="M5" s="234"/>
      <c r="N5" s="234"/>
      <c r="O5" s="234"/>
      <c r="P5" s="235">
        <f t="shared" si="1"/>
        <v>0</v>
      </c>
      <c r="Q5" s="234" t="b">
        <v>0</v>
      </c>
      <c r="R5" s="234"/>
      <c r="S5" s="234"/>
      <c r="T5" s="234"/>
      <c r="U5" s="234" t="b">
        <v>0</v>
      </c>
      <c r="V5" s="234" t="b">
        <v>0</v>
      </c>
      <c r="W5" s="234" t="b">
        <v>0</v>
      </c>
      <c r="X5" s="234" t="b">
        <v>0</v>
      </c>
      <c r="Y5" s="234" t="b">
        <v>0</v>
      </c>
      <c r="Z5" s="236" t="b">
        <v>0</v>
      </c>
      <c r="AA5" s="237" t="s">
        <v>1278</v>
      </c>
      <c r="AB5" s="237" t="s">
        <v>1279</v>
      </c>
      <c r="AC5" s="234" t="b">
        <v>0</v>
      </c>
      <c r="AD5" s="234" t="b">
        <v>0</v>
      </c>
      <c r="AE5" s="234" t="b">
        <v>0</v>
      </c>
      <c r="AF5" s="234" t="b">
        <v>0</v>
      </c>
      <c r="AG5" s="234" t="b">
        <v>0</v>
      </c>
      <c r="AH5" s="234" t="b">
        <v>0</v>
      </c>
      <c r="AI5" s="234" t="b">
        <v>0</v>
      </c>
      <c r="AJ5" s="234" t="b">
        <v>0</v>
      </c>
      <c r="AK5" s="234" t="b">
        <v>0</v>
      </c>
      <c r="AL5" s="234" t="b">
        <v>0</v>
      </c>
      <c r="AM5" s="234"/>
      <c r="AN5" s="234" t="b">
        <v>0</v>
      </c>
      <c r="AO5" s="234" t="b">
        <v>0</v>
      </c>
      <c r="AP5" s="234" t="b">
        <v>0</v>
      </c>
      <c r="AQ5" s="237" t="s">
        <v>1283</v>
      </c>
      <c r="AR5" s="234" t="b">
        <v>0</v>
      </c>
      <c r="AS5" s="234"/>
      <c r="AT5" s="234"/>
      <c r="AU5" s="234"/>
      <c r="AV5" s="234"/>
      <c r="AW5" s="234" t="b">
        <v>0</v>
      </c>
      <c r="AX5" s="234"/>
      <c r="AY5" s="234"/>
      <c r="AZ5" s="234" t="b">
        <v>0</v>
      </c>
      <c r="BA5" s="234"/>
      <c r="BB5" s="234"/>
    </row>
    <row r="6">
      <c r="A6" s="57">
        <v>2.124001121E9</v>
      </c>
      <c r="B6" s="109" t="str">
        <f>VLOOKUP($A6,ANAGRAFICA!$B$1:$G$306,2,FALSE)</f>
        <v>TIEGHI</v>
      </c>
      <c r="C6" s="109" t="str">
        <f>VLOOKUP($A6,ANAGRAFICA!$B$1:$G$306,3,FALSE)</f>
        <v>MASSIMO</v>
      </c>
      <c r="D6" s="109" t="str">
        <f>VLOOKUP($A6,ANAGRAFICA!$B$1:$G$306,4,FALSE)</f>
        <v/>
      </c>
      <c r="E6" s="109">
        <f>VLOOKUP($A6,ANAGRAFICA!$B$1:$G$306,5,FALSE)</f>
        <v>3272024054</v>
      </c>
      <c r="F6" s="109">
        <f>VLOOKUP($A6,ANAGRAFICA!$B$1:$G$306,6,FALSE)</f>
        <v>2024</v>
      </c>
      <c r="G6" s="3">
        <v>1.0</v>
      </c>
      <c r="H6" s="233" t="s">
        <v>1275</v>
      </c>
      <c r="I6" s="233" t="s">
        <v>1276</v>
      </c>
      <c r="J6" s="233" t="s">
        <v>1277</v>
      </c>
      <c r="K6" s="234"/>
      <c r="L6" s="234"/>
      <c r="M6" s="234"/>
      <c r="N6" s="234"/>
      <c r="O6" s="234"/>
      <c r="P6" s="235">
        <f t="shared" si="1"/>
        <v>0</v>
      </c>
      <c r="Q6" s="236" t="b">
        <v>1</v>
      </c>
      <c r="R6" s="238">
        <v>45309.0</v>
      </c>
      <c r="S6" s="237" t="s">
        <v>837</v>
      </c>
      <c r="T6" s="237" t="s">
        <v>1284</v>
      </c>
      <c r="U6" s="234" t="b">
        <v>0</v>
      </c>
      <c r="V6" s="236" t="b">
        <v>1</v>
      </c>
      <c r="W6" s="234" t="b">
        <v>0</v>
      </c>
      <c r="X6" s="234" t="b">
        <v>0</v>
      </c>
      <c r="Y6" s="234" t="b">
        <v>0</v>
      </c>
      <c r="Z6" s="236" t="b">
        <v>0</v>
      </c>
      <c r="AA6" s="237" t="s">
        <v>1278</v>
      </c>
      <c r="AB6" s="237" t="s">
        <v>1279</v>
      </c>
      <c r="AC6" s="234" t="b">
        <v>0</v>
      </c>
      <c r="AD6" s="234" t="b">
        <v>0</v>
      </c>
      <c r="AE6" s="234" t="b">
        <v>0</v>
      </c>
      <c r="AF6" s="234" t="b">
        <v>0</v>
      </c>
      <c r="AG6" s="236" t="b">
        <v>1</v>
      </c>
      <c r="AH6" s="234" t="b">
        <v>0</v>
      </c>
      <c r="AI6" s="236" t="b">
        <v>1</v>
      </c>
      <c r="AJ6" s="234" t="b">
        <v>0</v>
      </c>
      <c r="AK6" s="236" t="b">
        <v>1</v>
      </c>
      <c r="AL6" s="234" t="b">
        <v>0</v>
      </c>
      <c r="AM6" s="234"/>
      <c r="AN6" s="234" t="b">
        <v>0</v>
      </c>
      <c r="AO6" s="234" t="b">
        <v>0</v>
      </c>
      <c r="AP6" s="234" t="b">
        <v>0</v>
      </c>
      <c r="AQ6" s="237" t="s">
        <v>1285</v>
      </c>
      <c r="AR6" s="234" t="b">
        <v>0</v>
      </c>
      <c r="AS6" s="234"/>
      <c r="AT6" s="234"/>
      <c r="AU6" s="234"/>
      <c r="AV6" s="234"/>
      <c r="AW6" s="234" t="b">
        <v>0</v>
      </c>
      <c r="AX6" s="234"/>
      <c r="AY6" s="234"/>
      <c r="AZ6" s="236" t="b">
        <v>1</v>
      </c>
      <c r="BA6" s="238">
        <v>45309.0</v>
      </c>
      <c r="BB6" s="237" t="s">
        <v>104</v>
      </c>
    </row>
    <row r="7">
      <c r="A7" s="57">
        <v>2.124002215E9</v>
      </c>
      <c r="B7" s="109" t="str">
        <f>VLOOKUP($A7,ANAGRAFICA!$B$1:$G$306,2,FALSE)</f>
        <v>SCHIFANO</v>
      </c>
      <c r="C7" s="109" t="str">
        <f>VLOOKUP($A7,ANAGRAFICA!$B$1:$G$306,3,FALSE)</f>
        <v>FRANCESCO</v>
      </c>
      <c r="D7" s="109" t="str">
        <f>VLOOKUP($A7,ANAGRAFICA!$B$1:$G$306,4,FALSE)</f>
        <v/>
      </c>
      <c r="E7" s="109">
        <f>VLOOKUP($A7,ANAGRAFICA!$B$1:$G$306,5,FALSE)</f>
        <v>3272024055</v>
      </c>
      <c r="F7" s="109">
        <f>VLOOKUP($A7,ANAGRAFICA!$B$1:$G$306,6,FALSE)</f>
        <v>2024</v>
      </c>
      <c r="G7" s="3">
        <v>1.0</v>
      </c>
      <c r="H7" s="233" t="s">
        <v>1275</v>
      </c>
      <c r="I7" s="233" t="s">
        <v>1276</v>
      </c>
      <c r="J7" s="233" t="s">
        <v>1277</v>
      </c>
      <c r="K7" s="234"/>
      <c r="L7" s="234"/>
      <c r="M7" s="234"/>
      <c r="N7" s="234"/>
      <c r="O7" s="234"/>
      <c r="P7" s="235">
        <f t="shared" si="1"/>
        <v>0</v>
      </c>
      <c r="Q7" s="236" t="b">
        <v>1</v>
      </c>
      <c r="R7" s="238">
        <v>45325.0</v>
      </c>
      <c r="S7" s="237" t="s">
        <v>28</v>
      </c>
      <c r="T7" s="237" t="s">
        <v>1284</v>
      </c>
      <c r="U7" s="234" t="b">
        <v>0</v>
      </c>
      <c r="V7" s="234" t="b">
        <v>0</v>
      </c>
      <c r="W7" s="236" t="b">
        <v>1</v>
      </c>
      <c r="X7" s="234" t="b">
        <v>0</v>
      </c>
      <c r="Y7" s="234" t="b">
        <v>0</v>
      </c>
      <c r="Z7" s="236" t="b">
        <v>0</v>
      </c>
      <c r="AA7" s="237" t="s">
        <v>1278</v>
      </c>
      <c r="AB7" s="237" t="s">
        <v>1281</v>
      </c>
      <c r="AC7" s="234" t="b">
        <v>0</v>
      </c>
      <c r="AD7" s="234" t="b">
        <v>0</v>
      </c>
      <c r="AE7" s="234" t="b">
        <v>0</v>
      </c>
      <c r="AF7" s="234" t="b">
        <v>0</v>
      </c>
      <c r="AG7" s="236" t="b">
        <v>1</v>
      </c>
      <c r="AH7" s="236" t="b">
        <v>1</v>
      </c>
      <c r="AI7" s="236" t="b">
        <v>1</v>
      </c>
      <c r="AJ7" s="234" t="b">
        <v>0</v>
      </c>
      <c r="AK7" s="236" t="b">
        <v>1</v>
      </c>
      <c r="AL7" s="234" t="b">
        <v>0</v>
      </c>
      <c r="AM7" s="234"/>
      <c r="AN7" s="234" t="b">
        <v>0</v>
      </c>
      <c r="AO7" s="234" t="b">
        <v>0</v>
      </c>
      <c r="AP7" s="234" t="b">
        <v>0</v>
      </c>
      <c r="AQ7" s="237" t="s">
        <v>1280</v>
      </c>
      <c r="AR7" s="234" t="b">
        <v>0</v>
      </c>
      <c r="AS7" s="234"/>
      <c r="AT7" s="234"/>
      <c r="AU7" s="234"/>
      <c r="AV7" s="234"/>
      <c r="AW7" s="234" t="b">
        <v>0</v>
      </c>
      <c r="AX7" s="234"/>
      <c r="AY7" s="234"/>
      <c r="AZ7" s="236" t="b">
        <v>1</v>
      </c>
      <c r="BA7" s="238">
        <v>45325.0</v>
      </c>
      <c r="BB7" s="237" t="s">
        <v>68</v>
      </c>
    </row>
    <row r="8">
      <c r="A8" s="57">
        <v>2.124202869E9</v>
      </c>
      <c r="B8" s="109" t="str">
        <f>VLOOKUP($A8,ANAGRAFICA!$B$1:$G$306,2,FALSE)</f>
        <v>VALSECCHI</v>
      </c>
      <c r="C8" s="109" t="str">
        <f>VLOOKUP($A8,ANAGRAFICA!$B$1:$G$306,3,FALSE)</f>
        <v>ANDREA</v>
      </c>
      <c r="D8" s="109" t="str">
        <f>VLOOKUP($A8,ANAGRAFICA!$B$1:$G$306,4,FALSE)</f>
        <v/>
      </c>
      <c r="E8" s="109">
        <f>VLOOKUP($A8,ANAGRAFICA!$B$1:$G$306,5,FALSE)</f>
        <v>3272024056</v>
      </c>
      <c r="F8" s="109">
        <f>VLOOKUP($A8,ANAGRAFICA!$B$1:$G$306,6,FALSE)</f>
        <v>2024</v>
      </c>
      <c r="G8" s="3">
        <v>1.0</v>
      </c>
      <c r="H8" s="233" t="s">
        <v>1275</v>
      </c>
      <c r="I8" s="233" t="s">
        <v>1277</v>
      </c>
      <c r="J8" s="233" t="s">
        <v>1277</v>
      </c>
      <c r="K8" s="234"/>
      <c r="L8" s="237">
        <v>7.0</v>
      </c>
      <c r="M8" s="234"/>
      <c r="N8" s="234"/>
      <c r="O8" s="237">
        <v>0.23</v>
      </c>
      <c r="P8" s="235">
        <f t="shared" si="1"/>
        <v>30</v>
      </c>
      <c r="Q8" s="236" t="b">
        <v>1</v>
      </c>
      <c r="R8" s="238">
        <v>45326.0</v>
      </c>
      <c r="S8" s="234"/>
      <c r="T8" s="237" t="s">
        <v>1284</v>
      </c>
      <c r="U8" s="234" t="b">
        <v>0</v>
      </c>
      <c r="V8" s="236" t="b">
        <v>1</v>
      </c>
      <c r="W8" s="236" t="b">
        <v>1</v>
      </c>
      <c r="X8" s="236" t="b">
        <v>1</v>
      </c>
      <c r="Y8" s="236" t="b">
        <v>1</v>
      </c>
      <c r="Z8" s="236" t="b">
        <v>0</v>
      </c>
      <c r="AA8" s="237" t="s">
        <v>1278</v>
      </c>
      <c r="AB8" s="237" t="s">
        <v>1279</v>
      </c>
      <c r="AC8" s="236" t="b">
        <v>1</v>
      </c>
      <c r="AD8" s="236" t="b">
        <v>1</v>
      </c>
      <c r="AE8" s="234" t="b">
        <v>0</v>
      </c>
      <c r="AF8" s="234" t="b">
        <v>0</v>
      </c>
      <c r="AG8" s="236" t="b">
        <v>1</v>
      </c>
      <c r="AH8" s="236" t="b">
        <v>1</v>
      </c>
      <c r="AI8" s="234" t="b">
        <v>0</v>
      </c>
      <c r="AJ8" s="236" t="b">
        <v>1</v>
      </c>
      <c r="AK8" s="236" t="b">
        <v>1</v>
      </c>
      <c r="AL8" s="234" t="b">
        <v>0</v>
      </c>
      <c r="AM8" s="234"/>
      <c r="AN8" s="234" t="b">
        <v>0</v>
      </c>
      <c r="AO8" s="234" t="b">
        <v>0</v>
      </c>
      <c r="AP8" s="234" t="b">
        <v>0</v>
      </c>
      <c r="AQ8" s="237" t="s">
        <v>1285</v>
      </c>
      <c r="AR8" s="236" t="b">
        <v>1</v>
      </c>
      <c r="AS8" s="237" t="s">
        <v>1286</v>
      </c>
      <c r="AT8" s="238">
        <v>45336.0</v>
      </c>
      <c r="AU8" s="237" t="s">
        <v>1287</v>
      </c>
      <c r="AV8" s="237" t="s">
        <v>1288</v>
      </c>
      <c r="AW8" s="236" t="b">
        <v>1</v>
      </c>
      <c r="AX8" s="238">
        <v>45326.0</v>
      </c>
      <c r="AY8" s="237" t="s">
        <v>503</v>
      </c>
      <c r="AZ8" s="236" t="b">
        <v>1</v>
      </c>
      <c r="BA8" s="238">
        <v>45336.0</v>
      </c>
      <c r="BB8" s="234"/>
    </row>
    <row r="9">
      <c r="A9" s="57">
        <v>2.124003531E9</v>
      </c>
      <c r="B9" s="109" t="str">
        <f>VLOOKUP($A9,ANAGRAFICA!$B$1:$G$306,2,FALSE)</f>
        <v>RASPANTI</v>
      </c>
      <c r="C9" s="109" t="str">
        <f>VLOOKUP($A9,ANAGRAFICA!$B$1:$G$306,3,FALSE)</f>
        <v>ANDREA</v>
      </c>
      <c r="D9" s="109" t="str">
        <f>VLOOKUP($A9,ANAGRAFICA!$B$1:$G$306,4,FALSE)</f>
        <v/>
      </c>
      <c r="E9" s="109">
        <f>VLOOKUP($A9,ANAGRAFICA!$B$1:$G$306,5,FALSE)</f>
        <v>3272024057</v>
      </c>
      <c r="F9" s="109">
        <f>VLOOKUP($A9,ANAGRAFICA!$B$1:$G$306,6,FALSE)</f>
        <v>2024</v>
      </c>
      <c r="G9" s="3">
        <v>1.0</v>
      </c>
      <c r="H9" s="233" t="s">
        <v>1275</v>
      </c>
      <c r="I9" s="233" t="s">
        <v>1276</v>
      </c>
      <c r="J9" s="233" t="s">
        <v>1277</v>
      </c>
      <c r="K9" s="234"/>
      <c r="L9" s="234"/>
      <c r="M9" s="237">
        <v>0.07</v>
      </c>
      <c r="N9" s="234"/>
      <c r="O9" s="237">
        <v>0.48</v>
      </c>
      <c r="P9" s="235">
        <f t="shared" si="1"/>
        <v>55</v>
      </c>
      <c r="Q9" s="236" t="b">
        <v>1</v>
      </c>
      <c r="R9" s="238">
        <v>45343.0</v>
      </c>
      <c r="S9" s="237" t="s">
        <v>1289</v>
      </c>
      <c r="T9" s="237" t="s">
        <v>1284</v>
      </c>
      <c r="U9" s="234" t="b">
        <v>0</v>
      </c>
      <c r="V9" s="234" t="b">
        <v>0</v>
      </c>
      <c r="W9" s="234" t="b">
        <v>0</v>
      </c>
      <c r="X9" s="234" t="b">
        <v>0</v>
      </c>
      <c r="Y9" s="234" t="b">
        <v>0</v>
      </c>
      <c r="Z9" s="236" t="b">
        <v>0</v>
      </c>
      <c r="AA9" s="237" t="s">
        <v>1290</v>
      </c>
      <c r="AB9" s="237" t="s">
        <v>1291</v>
      </c>
      <c r="AC9" s="234" t="b">
        <v>0</v>
      </c>
      <c r="AD9" s="234" t="b">
        <v>0</v>
      </c>
      <c r="AE9" s="234" t="b">
        <v>0</v>
      </c>
      <c r="AF9" s="234" t="b">
        <v>0</v>
      </c>
      <c r="AG9" s="234" t="b">
        <v>0</v>
      </c>
      <c r="AH9" s="236" t="b">
        <v>1</v>
      </c>
      <c r="AI9" s="234" t="b">
        <v>0</v>
      </c>
      <c r="AJ9" s="234" t="b">
        <v>0</v>
      </c>
      <c r="AK9" s="234" t="b">
        <v>0</v>
      </c>
      <c r="AL9" s="234" t="b">
        <v>0</v>
      </c>
      <c r="AM9" s="234"/>
      <c r="AN9" s="234" t="b">
        <v>0</v>
      </c>
      <c r="AO9" s="234" t="b">
        <v>0</v>
      </c>
      <c r="AP9" s="234" t="b">
        <v>0</v>
      </c>
      <c r="AQ9" s="237" t="s">
        <v>1280</v>
      </c>
      <c r="AR9" s="236" t="b">
        <v>1</v>
      </c>
      <c r="AS9" s="237" t="s">
        <v>1286</v>
      </c>
      <c r="AT9" s="238">
        <v>45347.0</v>
      </c>
      <c r="AU9" s="238">
        <v>45352.0</v>
      </c>
      <c r="AV9" s="237" t="s">
        <v>1292</v>
      </c>
      <c r="AW9" s="234" t="b">
        <v>0</v>
      </c>
      <c r="AX9" s="234"/>
      <c r="AY9" s="234"/>
      <c r="AZ9" s="234" t="b">
        <v>0</v>
      </c>
      <c r="BA9" s="234"/>
      <c r="BB9" s="234"/>
    </row>
    <row r="10">
      <c r="A10" s="57">
        <v>2.124203781E9</v>
      </c>
      <c r="B10" s="109" t="str">
        <f>VLOOKUP($A10,ANAGRAFICA!$B$1:$G$306,2,FALSE)</f>
        <v>CONCA</v>
      </c>
      <c r="C10" s="109" t="str">
        <f>VLOOKUP($A10,ANAGRAFICA!$B$1:$G$306,3,FALSE)</f>
        <v>CAMILLA</v>
      </c>
      <c r="D10" s="109" t="str">
        <f>VLOOKUP($A10,ANAGRAFICA!$B$1:$G$306,4,FALSE)</f>
        <v/>
      </c>
      <c r="E10" s="109">
        <f>VLOOKUP($A10,ANAGRAFICA!$B$1:$G$306,5,FALSE)</f>
        <v>3272024058</v>
      </c>
      <c r="F10" s="109">
        <f>VLOOKUP($A10,ANAGRAFICA!$B$1:$G$306,6,FALSE)</f>
        <v>2024</v>
      </c>
      <c r="G10" s="3">
        <v>1.0</v>
      </c>
      <c r="H10" s="233" t="s">
        <v>1275</v>
      </c>
      <c r="I10" s="233" t="s">
        <v>1276</v>
      </c>
      <c r="J10" s="233" t="s">
        <v>1277</v>
      </c>
      <c r="K10" s="234"/>
      <c r="L10" s="237">
        <v>11.0</v>
      </c>
      <c r="M10" s="237">
        <v>0.09</v>
      </c>
      <c r="N10" s="237">
        <v>5.0E-4</v>
      </c>
      <c r="O10" s="237">
        <v>0.44</v>
      </c>
      <c r="P10" s="235">
        <f t="shared" si="1"/>
        <v>69</v>
      </c>
      <c r="Q10" s="234" t="b">
        <v>0</v>
      </c>
      <c r="R10" s="234"/>
      <c r="S10" s="234"/>
      <c r="T10" s="234"/>
      <c r="U10" s="234" t="b">
        <v>0</v>
      </c>
      <c r="V10" s="234" t="b">
        <v>0</v>
      </c>
      <c r="W10" s="234" t="b">
        <v>0</v>
      </c>
      <c r="X10" s="234" t="b">
        <v>0</v>
      </c>
      <c r="Y10" s="234" t="b">
        <v>0</v>
      </c>
      <c r="Z10" s="236" t="b">
        <v>0</v>
      </c>
      <c r="AA10" s="237" t="s">
        <v>1290</v>
      </c>
      <c r="AB10" s="234"/>
      <c r="AC10" s="234" t="b">
        <v>0</v>
      </c>
      <c r="AD10" s="234" t="b">
        <v>0</v>
      </c>
      <c r="AE10" s="234" t="b">
        <v>0</v>
      </c>
      <c r="AF10" s="234" t="b">
        <v>0</v>
      </c>
      <c r="AG10" s="234" t="b">
        <v>0</v>
      </c>
      <c r="AH10" s="234" t="b">
        <v>0</v>
      </c>
      <c r="AI10" s="234" t="b">
        <v>0</v>
      </c>
      <c r="AJ10" s="234" t="b">
        <v>0</v>
      </c>
      <c r="AK10" s="234" t="b">
        <v>0</v>
      </c>
      <c r="AL10" s="234" t="b">
        <v>0</v>
      </c>
      <c r="AM10" s="234"/>
      <c r="AN10" s="234" t="b">
        <v>0</v>
      </c>
      <c r="AO10" s="234" t="b">
        <v>0</v>
      </c>
      <c r="AP10" s="234" t="b">
        <v>0</v>
      </c>
      <c r="AQ10" s="234"/>
      <c r="AR10" s="234" t="b">
        <v>0</v>
      </c>
      <c r="AS10" s="234"/>
      <c r="AT10" s="234"/>
      <c r="AU10" s="234"/>
      <c r="AV10" s="234"/>
      <c r="AW10" s="234" t="b">
        <v>0</v>
      </c>
      <c r="AX10" s="234"/>
      <c r="AY10" s="234"/>
      <c r="AZ10" s="234" t="b">
        <v>0</v>
      </c>
      <c r="BA10" s="234"/>
      <c r="BB10" s="234"/>
    </row>
    <row r="11">
      <c r="A11" s="57">
        <v>2.124019725E9</v>
      </c>
      <c r="B11" s="109" t="str">
        <f>VLOOKUP($A11,ANAGRAFICA!$B$1:$G$306,2,FALSE)</f>
        <v>AMIWO</v>
      </c>
      <c r="C11" s="109" t="str">
        <f>VLOOKUP($A11,ANAGRAFICA!$B$1:$G$306,3,FALSE)</f>
        <v>REX STEVE</v>
      </c>
      <c r="D11" s="109" t="str">
        <f>VLOOKUP($A11,ANAGRAFICA!$B$1:$G$306,4,FALSE)</f>
        <v>758-18</v>
      </c>
      <c r="E11" s="109">
        <f>VLOOKUP($A11,ANAGRAFICA!$B$1:$G$306,5,FALSE)</f>
        <v>3272024084</v>
      </c>
      <c r="F11" s="109">
        <f>VLOOKUP($A11,ANAGRAFICA!$B$1:$G$306,6,FALSE)</f>
        <v>2024</v>
      </c>
      <c r="G11" s="3">
        <v>1.0</v>
      </c>
      <c r="H11" s="233" t="s">
        <v>1275</v>
      </c>
      <c r="I11" s="233" t="s">
        <v>1276</v>
      </c>
      <c r="J11" s="233" t="s">
        <v>1276</v>
      </c>
      <c r="K11" s="234"/>
      <c r="L11" s="234"/>
      <c r="M11" s="234"/>
      <c r="N11" s="234"/>
      <c r="O11" s="234"/>
      <c r="P11" s="235">
        <f t="shared" si="1"/>
        <v>0</v>
      </c>
      <c r="Q11" s="234" t="b">
        <v>0</v>
      </c>
      <c r="R11" s="234"/>
      <c r="S11" s="234"/>
      <c r="T11" s="234"/>
      <c r="U11" s="234" t="b">
        <v>0</v>
      </c>
      <c r="V11" s="234" t="b">
        <v>0</v>
      </c>
      <c r="W11" s="234" t="b">
        <v>0</v>
      </c>
      <c r="X11" s="234" t="b">
        <v>0</v>
      </c>
      <c r="Y11" s="234" t="b">
        <v>0</v>
      </c>
      <c r="Z11" s="236" t="b">
        <v>0</v>
      </c>
      <c r="AA11" s="237" t="s">
        <v>1278</v>
      </c>
      <c r="AB11" s="237" t="s">
        <v>1291</v>
      </c>
      <c r="AC11" s="234" t="b">
        <v>0</v>
      </c>
      <c r="AD11" s="234" t="b">
        <v>0</v>
      </c>
      <c r="AE11" s="234" t="b">
        <v>0</v>
      </c>
      <c r="AF11" s="234" t="b">
        <v>0</v>
      </c>
      <c r="AG11" s="234" t="b">
        <v>0</v>
      </c>
      <c r="AH11" s="234" t="b">
        <v>0</v>
      </c>
      <c r="AI11" s="234" t="b">
        <v>0</v>
      </c>
      <c r="AJ11" s="234" t="b">
        <v>0</v>
      </c>
      <c r="AK11" s="234" t="b">
        <v>0</v>
      </c>
      <c r="AL11" s="236" t="b">
        <v>1</v>
      </c>
      <c r="AM11" s="237" t="s">
        <v>1293</v>
      </c>
      <c r="AN11" s="234" t="b">
        <v>0</v>
      </c>
      <c r="AO11" s="234" t="b">
        <v>0</v>
      </c>
      <c r="AP11" s="236" t="b">
        <v>1</v>
      </c>
      <c r="AQ11" s="237" t="s">
        <v>1283</v>
      </c>
      <c r="AR11" s="234" t="b">
        <v>0</v>
      </c>
      <c r="AS11" s="234"/>
      <c r="AT11" s="234"/>
      <c r="AU11" s="234"/>
      <c r="AV11" s="234"/>
      <c r="AW11" s="234" t="b">
        <v>0</v>
      </c>
      <c r="AX11" s="234"/>
      <c r="AY11" s="234"/>
      <c r="AZ11" s="234" t="b">
        <v>0</v>
      </c>
      <c r="BA11" s="234"/>
      <c r="BB11" s="234"/>
    </row>
    <row r="12">
      <c r="A12" s="57">
        <v>2.12401869E9</v>
      </c>
      <c r="B12" s="109" t="str">
        <f>VLOOKUP($A12,ANAGRAFICA!$B$1:$G$306,2,FALSE)</f>
        <v>AVENIDO</v>
      </c>
      <c r="C12" s="109" t="str">
        <f>VLOOKUP($A12,ANAGRAFICA!$B$1:$G$306,3,FALSE)</f>
        <v>DELFIN</v>
      </c>
      <c r="D12" s="109" t="str">
        <f>VLOOKUP($A12,ANAGRAFICA!$B$1:$G$306,4,FALSE)</f>
        <v>758-16</v>
      </c>
      <c r="E12" s="109">
        <f>VLOOKUP($A12,ANAGRAFICA!$B$1:$G$306,5,FALSE)</f>
        <v>3272024082</v>
      </c>
      <c r="F12" s="109">
        <f>VLOOKUP($A12,ANAGRAFICA!$B$1:$G$306,6,FALSE)</f>
        <v>2024</v>
      </c>
      <c r="G12" s="3">
        <v>1.0</v>
      </c>
      <c r="H12" s="233" t="s">
        <v>1275</v>
      </c>
      <c r="I12" s="233" t="s">
        <v>1277</v>
      </c>
      <c r="J12" s="233" t="s">
        <v>1277</v>
      </c>
      <c r="K12" s="234"/>
      <c r="L12" s="234"/>
      <c r="M12" s="237"/>
      <c r="N12" s="234"/>
      <c r="O12" s="234"/>
      <c r="P12" s="235">
        <f t="shared" si="1"/>
        <v>0</v>
      </c>
      <c r="Q12" s="234" t="b">
        <v>0</v>
      </c>
      <c r="R12" s="234"/>
      <c r="S12" s="234"/>
      <c r="T12" s="234"/>
      <c r="U12" s="234" t="b">
        <v>0</v>
      </c>
      <c r="V12" s="234" t="b">
        <v>0</v>
      </c>
      <c r="W12" s="234" t="b">
        <v>0</v>
      </c>
      <c r="X12" s="234" t="b">
        <v>0</v>
      </c>
      <c r="Y12" s="234" t="b">
        <v>0</v>
      </c>
      <c r="Z12" s="236" t="b">
        <v>0</v>
      </c>
      <c r="AA12" s="237" t="s">
        <v>1278</v>
      </c>
      <c r="AB12" s="237" t="s">
        <v>1279</v>
      </c>
      <c r="AC12" s="234" t="b">
        <v>0</v>
      </c>
      <c r="AD12" s="234" t="b">
        <v>0</v>
      </c>
      <c r="AE12" s="234" t="b">
        <v>0</v>
      </c>
      <c r="AF12" s="234" t="b">
        <v>0</v>
      </c>
      <c r="AG12" s="236" t="b">
        <v>1</v>
      </c>
      <c r="AH12" s="234" t="b">
        <v>0</v>
      </c>
      <c r="AI12" s="234" t="b">
        <v>0</v>
      </c>
      <c r="AJ12" s="234" t="b">
        <v>0</v>
      </c>
      <c r="AK12" s="236" t="b">
        <v>1</v>
      </c>
      <c r="AL12" s="234" t="b">
        <v>0</v>
      </c>
      <c r="AM12" s="234"/>
      <c r="AN12" s="234" t="b">
        <v>0</v>
      </c>
      <c r="AO12" s="234" t="b">
        <v>0</v>
      </c>
      <c r="AP12" s="234" t="b">
        <v>0</v>
      </c>
      <c r="AQ12" s="237" t="s">
        <v>1283</v>
      </c>
      <c r="AR12" s="234" t="b">
        <v>0</v>
      </c>
      <c r="AS12" s="234"/>
      <c r="AT12" s="234"/>
      <c r="AU12" s="234"/>
      <c r="AV12" s="234"/>
      <c r="AW12" s="234" t="b">
        <v>0</v>
      </c>
      <c r="AX12" s="234"/>
      <c r="AY12" s="234"/>
      <c r="AZ12" s="236" t="b">
        <v>1</v>
      </c>
      <c r="BA12" s="239">
        <v>45585.0</v>
      </c>
      <c r="BB12" s="237" t="s">
        <v>627</v>
      </c>
    </row>
    <row r="13">
      <c r="A13" s="57">
        <v>2.124018637E9</v>
      </c>
      <c r="B13" s="109" t="str">
        <f>VLOOKUP($A13,ANAGRAFICA!$B$1:$G$306,2,FALSE)</f>
        <v>CARIBONI</v>
      </c>
      <c r="C13" s="109" t="str">
        <f>VLOOKUP($A13,ANAGRAFICA!$B$1:$G$306,3,FALSE)</f>
        <v>LORENZA</v>
      </c>
      <c r="D13" s="109" t="str">
        <f>VLOOKUP($A13,ANAGRAFICA!$B$1:$G$306,4,FALSE)</f>
        <v>758-15</v>
      </c>
      <c r="E13" s="109">
        <f>VLOOKUP($A13,ANAGRAFICA!$B$1:$G$306,5,FALSE)</f>
        <v>3272024081</v>
      </c>
      <c r="F13" s="109">
        <f>VLOOKUP($A13,ANAGRAFICA!$B$1:$G$306,6,FALSE)</f>
        <v>2024</v>
      </c>
      <c r="G13" s="3">
        <v>1.0</v>
      </c>
      <c r="H13" s="233" t="s">
        <v>1275</v>
      </c>
      <c r="I13" s="233" t="s">
        <v>1276</v>
      </c>
      <c r="J13" s="233" t="s">
        <v>1276</v>
      </c>
      <c r="K13" s="234"/>
      <c r="L13" s="234"/>
      <c r="M13" s="237"/>
      <c r="N13" s="234"/>
      <c r="O13" s="234"/>
      <c r="P13" s="235">
        <f t="shared" si="1"/>
        <v>0</v>
      </c>
      <c r="Q13" s="234" t="b">
        <v>0</v>
      </c>
      <c r="R13" s="234"/>
      <c r="S13" s="234"/>
      <c r="T13" s="234"/>
      <c r="U13" s="234" t="b">
        <v>0</v>
      </c>
      <c r="V13" s="234" t="b">
        <v>0</v>
      </c>
      <c r="W13" s="234" t="b">
        <v>0</v>
      </c>
      <c r="X13" s="234" t="b">
        <v>0</v>
      </c>
      <c r="Y13" s="234" t="b">
        <v>0</v>
      </c>
      <c r="Z13" s="236" t="b">
        <v>0</v>
      </c>
      <c r="AA13" s="237" t="s">
        <v>1278</v>
      </c>
      <c r="AB13" s="237" t="s">
        <v>1279</v>
      </c>
      <c r="AC13" s="234" t="b">
        <v>0</v>
      </c>
      <c r="AD13" s="234" t="b">
        <v>0</v>
      </c>
      <c r="AE13" s="234" t="b">
        <v>0</v>
      </c>
      <c r="AF13" s="234" t="b">
        <v>0</v>
      </c>
      <c r="AG13" s="236" t="b">
        <v>1</v>
      </c>
      <c r="AH13" s="234" t="b">
        <v>0</v>
      </c>
      <c r="AI13" s="234" t="b">
        <v>0</v>
      </c>
      <c r="AJ13" s="234" t="b">
        <v>0</v>
      </c>
      <c r="AK13" s="236" t="b">
        <v>1</v>
      </c>
      <c r="AL13" s="234" t="b">
        <v>0</v>
      </c>
      <c r="AM13" s="234"/>
      <c r="AN13" s="234" t="b">
        <v>0</v>
      </c>
      <c r="AO13" s="234" t="b">
        <v>0</v>
      </c>
      <c r="AP13" s="234" t="b">
        <v>0</v>
      </c>
      <c r="AQ13" s="237" t="s">
        <v>1283</v>
      </c>
      <c r="AR13" s="234" t="b">
        <v>0</v>
      </c>
      <c r="AS13" s="234"/>
      <c r="AT13" s="234"/>
      <c r="AU13" s="234"/>
      <c r="AV13" s="234"/>
      <c r="AW13" s="234" t="b">
        <v>0</v>
      </c>
      <c r="AX13" s="234"/>
      <c r="AY13" s="234"/>
      <c r="AZ13" s="234" t="b">
        <v>0</v>
      </c>
      <c r="BA13" s="234"/>
      <c r="BB13" s="234"/>
    </row>
    <row r="14">
      <c r="A14" s="57">
        <v>2.124019184E9</v>
      </c>
      <c r="B14" s="109" t="str">
        <f>VLOOKUP($A14,ANAGRAFICA!$B$1:$G$306,2,FALSE)</f>
        <v>SERVIDIO</v>
      </c>
      <c r="C14" s="109" t="str">
        <f>VLOOKUP($A14,ANAGRAFICA!$B$1:$G$306,3,FALSE)</f>
        <v>GIOVANNI</v>
      </c>
      <c r="D14" s="109" t="str">
        <f>VLOOKUP($A14,ANAGRAFICA!$B$1:$G$306,4,FALSE)</f>
        <v>758-17</v>
      </c>
      <c r="E14" s="109">
        <f>VLOOKUP($A14,ANAGRAFICA!$B$1:$G$306,5,FALSE)</f>
        <v>3272024083</v>
      </c>
      <c r="F14" s="109">
        <f>VLOOKUP($A14,ANAGRAFICA!$B$1:$G$306,6,FALSE)</f>
        <v>2024</v>
      </c>
      <c r="G14" s="3">
        <v>1.0</v>
      </c>
      <c r="H14" s="233" t="s">
        <v>1294</v>
      </c>
      <c r="I14" s="233" t="s">
        <v>1295</v>
      </c>
      <c r="J14" s="233" t="s">
        <v>1276</v>
      </c>
      <c r="K14" s="234"/>
      <c r="L14" s="237">
        <v>12.0</v>
      </c>
      <c r="M14" s="237">
        <v>0.05</v>
      </c>
      <c r="N14" s="234"/>
      <c r="O14" s="237">
        <v>0.03</v>
      </c>
      <c r="P14" s="235">
        <f t="shared" si="1"/>
        <v>20</v>
      </c>
      <c r="Q14" s="234" t="b">
        <v>0</v>
      </c>
      <c r="R14" s="234"/>
      <c r="S14" s="234"/>
      <c r="T14" s="234"/>
      <c r="U14" s="234" t="b">
        <v>0</v>
      </c>
      <c r="V14" s="234" t="b">
        <v>0</v>
      </c>
      <c r="W14" s="234" t="b">
        <v>0</v>
      </c>
      <c r="X14" s="234" t="b">
        <v>0</v>
      </c>
      <c r="Y14" s="234" t="b">
        <v>0</v>
      </c>
      <c r="Z14" s="236" t="b">
        <v>0</v>
      </c>
      <c r="AA14" s="237" t="s">
        <v>35</v>
      </c>
      <c r="AB14" s="237" t="s">
        <v>1281</v>
      </c>
      <c r="AC14" s="234" t="b">
        <v>0</v>
      </c>
      <c r="AD14" s="234" t="b">
        <v>0</v>
      </c>
      <c r="AE14" s="234" t="b">
        <v>0</v>
      </c>
      <c r="AF14" s="234" t="b">
        <v>0</v>
      </c>
      <c r="AG14" s="234" t="b">
        <v>0</v>
      </c>
      <c r="AH14" s="236" t="b">
        <v>1</v>
      </c>
      <c r="AI14" s="236" t="b">
        <v>1</v>
      </c>
      <c r="AJ14" s="234" t="b">
        <v>0</v>
      </c>
      <c r="AK14" s="234" t="b">
        <v>0</v>
      </c>
      <c r="AL14" s="234" t="b">
        <v>0</v>
      </c>
      <c r="AM14" s="234"/>
      <c r="AN14" s="234" t="b">
        <v>0</v>
      </c>
      <c r="AO14" s="234" t="b">
        <v>0</v>
      </c>
      <c r="AP14" s="234" t="b">
        <v>0</v>
      </c>
      <c r="AQ14" s="237" t="s">
        <v>1282</v>
      </c>
      <c r="AR14" s="236" t="b">
        <v>1</v>
      </c>
      <c r="AS14" s="237" t="s">
        <v>1296</v>
      </c>
      <c r="AT14" s="239">
        <v>45594.0</v>
      </c>
      <c r="AU14" s="237" t="s">
        <v>516</v>
      </c>
      <c r="AV14" s="237" t="s">
        <v>1297</v>
      </c>
      <c r="AW14" s="236" t="b">
        <v>1</v>
      </c>
      <c r="AX14" s="239">
        <v>45595.0</v>
      </c>
      <c r="AY14" s="237" t="s">
        <v>68</v>
      </c>
      <c r="AZ14" s="236" t="b">
        <v>1</v>
      </c>
      <c r="BA14" s="239">
        <v>45595.0</v>
      </c>
      <c r="BB14" s="237" t="s">
        <v>1298</v>
      </c>
    </row>
    <row r="15">
      <c r="A15" s="57">
        <v>2.124017757E9</v>
      </c>
      <c r="B15" s="109" t="str">
        <f>VLOOKUP($A15,ANAGRAFICA!$B$1:$G$306,2,FALSE)</f>
        <v>SALA</v>
      </c>
      <c r="C15" s="109" t="str">
        <f>VLOOKUP($A15,ANAGRAFICA!$B$1:$G$306,3,FALSE)</f>
        <v>FELICE</v>
      </c>
      <c r="D15" s="109" t="str">
        <f>VLOOKUP($A15,ANAGRAFICA!$B$1:$G$306,4,FALSE)</f>
        <v>758-14</v>
      </c>
      <c r="E15" s="109">
        <f>VLOOKUP($A15,ANAGRAFICA!$B$1:$G$306,5,FALSE)</f>
        <v>3272024080</v>
      </c>
      <c r="F15" s="109">
        <f>VLOOKUP($A15,ANAGRAFICA!$B$1:$G$306,6,FALSE)</f>
        <v>2024</v>
      </c>
      <c r="G15" s="3">
        <v>1.0</v>
      </c>
      <c r="H15" s="233" t="s">
        <v>1294</v>
      </c>
      <c r="I15" s="233" t="s">
        <v>1299</v>
      </c>
      <c r="J15" s="233" t="s">
        <v>1276</v>
      </c>
      <c r="K15" s="234"/>
      <c r="L15" s="234"/>
      <c r="M15" s="234"/>
      <c r="N15" s="234"/>
      <c r="O15" s="237">
        <v>0.2</v>
      </c>
      <c r="P15" s="235">
        <f t="shared" si="1"/>
        <v>20</v>
      </c>
      <c r="Q15" s="234" t="b">
        <v>0</v>
      </c>
      <c r="R15" s="234"/>
      <c r="S15" s="234"/>
      <c r="T15" s="234"/>
      <c r="U15" s="234" t="b">
        <v>0</v>
      </c>
      <c r="V15" s="234" t="b">
        <v>0</v>
      </c>
      <c r="W15" s="234" t="b">
        <v>0</v>
      </c>
      <c r="X15" s="234" t="b">
        <v>0</v>
      </c>
      <c r="Y15" s="234" t="b">
        <v>0</v>
      </c>
      <c r="Z15" s="236" t="b">
        <v>0</v>
      </c>
      <c r="AA15" s="237" t="s">
        <v>1290</v>
      </c>
      <c r="AB15" s="237" t="s">
        <v>1291</v>
      </c>
      <c r="AC15" s="234" t="b">
        <v>0</v>
      </c>
      <c r="AD15" s="234" t="b">
        <v>0</v>
      </c>
      <c r="AE15" s="234" t="b">
        <v>0</v>
      </c>
      <c r="AF15" s="234" t="b">
        <v>0</v>
      </c>
      <c r="AG15" s="236" t="b">
        <v>1</v>
      </c>
      <c r="AH15" s="236" t="b">
        <v>1</v>
      </c>
      <c r="AI15" s="234" t="b">
        <v>0</v>
      </c>
      <c r="AJ15" s="234" t="b">
        <v>0</v>
      </c>
      <c r="AK15" s="236" t="b">
        <v>1</v>
      </c>
      <c r="AL15" s="234" t="b">
        <v>0</v>
      </c>
      <c r="AM15" s="234"/>
      <c r="AN15" s="234" t="b">
        <v>0</v>
      </c>
      <c r="AO15" s="234" t="b">
        <v>0</v>
      </c>
      <c r="AP15" s="234" t="b">
        <v>0</v>
      </c>
      <c r="AQ15" s="237" t="s">
        <v>1283</v>
      </c>
      <c r="AR15" s="234" t="b">
        <v>0</v>
      </c>
      <c r="AS15" s="234"/>
      <c r="AT15" s="234"/>
      <c r="AU15" s="234"/>
      <c r="AV15" s="234"/>
      <c r="AW15" s="236" t="b">
        <v>1</v>
      </c>
      <c r="AX15" s="239">
        <v>45572.0</v>
      </c>
      <c r="AY15" s="237" t="s">
        <v>454</v>
      </c>
      <c r="AZ15" s="234" t="b">
        <v>0</v>
      </c>
      <c r="BA15" s="234"/>
      <c r="BB15" s="234"/>
    </row>
    <row r="16">
      <c r="A16" s="57">
        <v>2.124211722E9</v>
      </c>
      <c r="B16" s="109" t="str">
        <f>VLOOKUP($A16,ANAGRAFICA!$B$1:$G$306,2,FALSE)</f>
        <v>CORIO</v>
      </c>
      <c r="C16" s="109" t="str">
        <f>VLOOKUP($A16,ANAGRAFICA!$B$1:$G$306,3,FALSE)</f>
        <v>GIOVANNI</v>
      </c>
      <c r="D16" s="109" t="str">
        <f>VLOOKUP($A16,ANAGRAFICA!$B$1:$G$306,4,FALSE)</f>
        <v>758-13</v>
      </c>
      <c r="E16" s="109">
        <f>VLOOKUP($A16,ANAGRAFICA!$B$1:$G$306,5,FALSE)</f>
        <v>3272024079</v>
      </c>
      <c r="F16" s="109">
        <f>VLOOKUP($A16,ANAGRAFICA!$B$1:$G$306,6,FALSE)</f>
        <v>2024</v>
      </c>
      <c r="G16" s="3">
        <v>1.0</v>
      </c>
      <c r="H16" s="233" t="s">
        <v>1275</v>
      </c>
      <c r="I16" s="233" t="s">
        <v>1299</v>
      </c>
      <c r="J16" s="233" t="s">
        <v>1276</v>
      </c>
      <c r="K16" s="234"/>
      <c r="L16" s="237">
        <v>2.0</v>
      </c>
      <c r="M16" s="234"/>
      <c r="N16" s="234"/>
      <c r="O16" s="234"/>
      <c r="P16" s="235">
        <f t="shared" si="1"/>
        <v>2</v>
      </c>
      <c r="Q16" s="234" t="b">
        <v>0</v>
      </c>
      <c r="R16" s="234"/>
      <c r="S16" s="234"/>
      <c r="T16" s="234"/>
      <c r="U16" s="236" t="b">
        <v>0</v>
      </c>
      <c r="V16" s="234" t="b">
        <v>0</v>
      </c>
      <c r="W16" s="234" t="b">
        <v>0</v>
      </c>
      <c r="X16" s="234" t="b">
        <v>0</v>
      </c>
      <c r="Y16" s="234" t="b">
        <v>0</v>
      </c>
      <c r="Z16" s="236" t="b">
        <v>0</v>
      </c>
      <c r="AA16" s="237" t="s">
        <v>1300</v>
      </c>
      <c r="AB16" s="237" t="s">
        <v>1281</v>
      </c>
      <c r="AC16" s="236" t="b">
        <v>1</v>
      </c>
      <c r="AD16" s="234" t="b">
        <v>0</v>
      </c>
      <c r="AE16" s="234" t="b">
        <v>0</v>
      </c>
      <c r="AF16" s="234" t="b">
        <v>0</v>
      </c>
      <c r="AG16" s="236" t="b">
        <v>1</v>
      </c>
      <c r="AH16" s="236" t="b">
        <v>1</v>
      </c>
      <c r="AI16" s="234" t="b">
        <v>0</v>
      </c>
      <c r="AJ16" s="234" t="b">
        <v>0</v>
      </c>
      <c r="AK16" s="236" t="b">
        <v>1</v>
      </c>
      <c r="AL16" s="234" t="b">
        <v>0</v>
      </c>
      <c r="AM16" s="234"/>
      <c r="AN16" s="234" t="b">
        <v>0</v>
      </c>
      <c r="AO16" s="234" t="b">
        <v>0</v>
      </c>
      <c r="AP16" s="234" t="b">
        <v>0</v>
      </c>
      <c r="AQ16" s="237" t="s">
        <v>1285</v>
      </c>
      <c r="AR16" s="234" t="b">
        <v>0</v>
      </c>
      <c r="AS16" s="234"/>
      <c r="AT16" s="234"/>
      <c r="AU16" s="234"/>
      <c r="AV16" s="234"/>
      <c r="AW16" s="234" t="b">
        <v>0</v>
      </c>
      <c r="AX16" s="234"/>
      <c r="AY16" s="234"/>
      <c r="AZ16" s="234" t="b">
        <v>0</v>
      </c>
      <c r="BA16" s="234"/>
      <c r="BB16" s="234"/>
    </row>
    <row r="17">
      <c r="A17" s="57">
        <v>2.124014334E9</v>
      </c>
      <c r="B17" s="109" t="str">
        <f>VLOOKUP($A17,ANAGRAFICA!$B$1:$G$306,2,FALSE)</f>
        <v>PONTIGGIA</v>
      </c>
      <c r="C17" s="109" t="str">
        <f>VLOOKUP($A17,ANAGRAFICA!$B$1:$G$306,3,FALSE)</f>
        <v>FLAVIO</v>
      </c>
      <c r="D17" s="109" t="str">
        <f>VLOOKUP($A17,ANAGRAFICA!$B$1:$G$306,4,FALSE)</f>
        <v>758-9</v>
      </c>
      <c r="E17" s="109">
        <f>VLOOKUP($A17,ANAGRAFICA!$B$1:$G$306,5,FALSE)</f>
        <v>3272024075</v>
      </c>
      <c r="F17" s="109">
        <f>VLOOKUP($A17,ANAGRAFICA!$B$1:$G$306,6,FALSE)</f>
        <v>2024</v>
      </c>
      <c r="G17" s="3">
        <v>1.0</v>
      </c>
      <c r="H17" s="233" t="s">
        <v>1275</v>
      </c>
      <c r="I17" s="233" t="s">
        <v>1277</v>
      </c>
      <c r="J17" s="233" t="s">
        <v>1277</v>
      </c>
      <c r="K17" s="234"/>
      <c r="L17" s="237"/>
      <c r="M17" s="234"/>
      <c r="N17" s="234"/>
      <c r="O17" s="234"/>
      <c r="P17" s="235">
        <f t="shared" si="1"/>
        <v>0</v>
      </c>
      <c r="Q17" s="234" t="b">
        <v>0</v>
      </c>
      <c r="R17" s="234"/>
      <c r="S17" s="234"/>
      <c r="T17" s="234"/>
      <c r="U17" s="234" t="b">
        <v>0</v>
      </c>
      <c r="V17" s="234" t="b">
        <v>0</v>
      </c>
      <c r="W17" s="234" t="b">
        <v>0</v>
      </c>
      <c r="X17" s="234" t="b">
        <v>0</v>
      </c>
      <c r="Y17" s="234" t="b">
        <v>0</v>
      </c>
      <c r="Z17" s="236" t="b">
        <v>0</v>
      </c>
      <c r="AA17" s="237" t="s">
        <v>1278</v>
      </c>
      <c r="AB17" s="237" t="s">
        <v>1279</v>
      </c>
      <c r="AC17" s="234" t="b">
        <v>0</v>
      </c>
      <c r="AD17" s="234" t="b">
        <v>0</v>
      </c>
      <c r="AE17" s="234" t="b">
        <v>0</v>
      </c>
      <c r="AF17" s="234" t="b">
        <v>0</v>
      </c>
      <c r="AG17" s="234" t="b">
        <v>0</v>
      </c>
      <c r="AH17" s="234" t="b">
        <v>0</v>
      </c>
      <c r="AI17" s="234" t="b">
        <v>0</v>
      </c>
      <c r="AJ17" s="234" t="b">
        <v>0</v>
      </c>
      <c r="AK17" s="236" t="b">
        <v>1</v>
      </c>
      <c r="AL17" s="234" t="b">
        <v>0</v>
      </c>
      <c r="AM17" s="234"/>
      <c r="AN17" s="234" t="b">
        <v>0</v>
      </c>
      <c r="AO17" s="234" t="b">
        <v>0</v>
      </c>
      <c r="AP17" s="234" t="b">
        <v>0</v>
      </c>
      <c r="AQ17" s="237" t="s">
        <v>1283</v>
      </c>
      <c r="AR17" s="234" t="b">
        <v>0</v>
      </c>
      <c r="AS17" s="234"/>
      <c r="AT17" s="234"/>
      <c r="AU17" s="234"/>
      <c r="AV17" s="234"/>
      <c r="AW17" s="234" t="b">
        <v>0</v>
      </c>
      <c r="AX17" s="234"/>
      <c r="AY17" s="234"/>
      <c r="AZ17" s="234" t="b">
        <v>0</v>
      </c>
      <c r="BA17" s="234"/>
      <c r="BB17" s="234"/>
    </row>
    <row r="18">
      <c r="A18" s="57">
        <v>2.124013801E9</v>
      </c>
      <c r="B18" s="109" t="str">
        <f>VLOOKUP($A18,ANAGRAFICA!$B$1:$G$306,2,FALSE)</f>
        <v>SGOBBA</v>
      </c>
      <c r="C18" s="109" t="str">
        <f>VLOOKUP($A18,ANAGRAFICA!$B$1:$G$306,3,FALSE)</f>
        <v>ANNA</v>
      </c>
      <c r="D18" s="109" t="str">
        <f>VLOOKUP($A18,ANAGRAFICA!$B$1:$G$306,4,FALSE)</f>
        <v>758-8</v>
      </c>
      <c r="E18" s="109">
        <f>VLOOKUP($A18,ANAGRAFICA!$B$1:$G$306,5,FALSE)</f>
        <v>3272024074</v>
      </c>
      <c r="F18" s="109">
        <f>VLOOKUP($A18,ANAGRAFICA!$B$1:$G$306,6,FALSE)</f>
        <v>2024</v>
      </c>
      <c r="G18" s="3">
        <v>1.0</v>
      </c>
      <c r="H18" s="233" t="s">
        <v>1294</v>
      </c>
      <c r="I18" s="233" t="s">
        <v>1295</v>
      </c>
      <c r="J18" s="233" t="s">
        <v>1276</v>
      </c>
      <c r="K18" s="234"/>
      <c r="L18" s="237">
        <v>15.0</v>
      </c>
      <c r="M18" s="234"/>
      <c r="N18" s="234"/>
      <c r="O18" s="237">
        <v>0.5</v>
      </c>
      <c r="P18" s="235">
        <f t="shared" si="1"/>
        <v>65</v>
      </c>
      <c r="Q18" s="234" t="b">
        <v>0</v>
      </c>
      <c r="R18" s="234"/>
      <c r="S18" s="234"/>
      <c r="T18" s="234"/>
      <c r="U18" s="234" t="b">
        <v>0</v>
      </c>
      <c r="V18" s="234" t="b">
        <v>0</v>
      </c>
      <c r="W18" s="234" t="b">
        <v>0</v>
      </c>
      <c r="X18" s="234" t="b">
        <v>0</v>
      </c>
      <c r="Y18" s="234" t="b">
        <v>0</v>
      </c>
      <c r="Z18" s="236" t="b">
        <v>0</v>
      </c>
      <c r="AA18" s="237" t="s">
        <v>35</v>
      </c>
      <c r="AB18" s="237" t="s">
        <v>1281</v>
      </c>
      <c r="AC18" s="234" t="b">
        <v>0</v>
      </c>
      <c r="AD18" s="234" t="b">
        <v>0</v>
      </c>
      <c r="AE18" s="234" t="b">
        <v>0</v>
      </c>
      <c r="AF18" s="234" t="b">
        <v>0</v>
      </c>
      <c r="AG18" s="234" t="b">
        <v>0</v>
      </c>
      <c r="AH18" s="236" t="b">
        <v>1</v>
      </c>
      <c r="AI18" s="234" t="b">
        <v>0</v>
      </c>
      <c r="AJ18" s="234" t="b">
        <v>0</v>
      </c>
      <c r="AK18" s="234" t="b">
        <v>0</v>
      </c>
      <c r="AL18" s="234" t="b">
        <v>0</v>
      </c>
      <c r="AM18" s="234"/>
      <c r="AN18" s="234" t="b">
        <v>0</v>
      </c>
      <c r="AO18" s="234" t="b">
        <v>0</v>
      </c>
      <c r="AP18" s="234" t="b">
        <v>0</v>
      </c>
      <c r="AQ18" s="237" t="s">
        <v>1282</v>
      </c>
      <c r="AR18" s="236" t="b">
        <v>1</v>
      </c>
      <c r="AS18" s="237" t="s">
        <v>1286</v>
      </c>
      <c r="AT18" s="238">
        <v>45512.0</v>
      </c>
      <c r="AU18" s="234"/>
      <c r="AV18" s="237" t="s">
        <v>1292</v>
      </c>
      <c r="AW18" s="236" t="b">
        <v>1</v>
      </c>
      <c r="AX18" s="238">
        <v>45511.0</v>
      </c>
      <c r="AY18" s="237" t="s">
        <v>642</v>
      </c>
      <c r="AZ18" s="236" t="b">
        <v>1</v>
      </c>
      <c r="BA18" s="238">
        <v>45511.0</v>
      </c>
      <c r="BB18" s="237" t="s">
        <v>116</v>
      </c>
    </row>
    <row r="19">
      <c r="A19" s="57">
        <v>2.124012915E9</v>
      </c>
      <c r="B19" s="109" t="str">
        <f>VLOOKUP($A19,ANAGRAFICA!$B$1:$G$306,2,FALSE)</f>
        <v>GARGIONI</v>
      </c>
      <c r="C19" s="109" t="str">
        <f>VLOOKUP($A19,ANAGRAFICA!$B$1:$G$306,3,FALSE)</f>
        <v>GIULIO</v>
      </c>
      <c r="D19" s="109" t="str">
        <f>VLOOKUP($A19,ANAGRAFICA!$B$1:$G$306,4,FALSE)</f>
        <v>758-6</v>
      </c>
      <c r="E19" s="109">
        <f>VLOOKUP($A19,ANAGRAFICA!$B$1:$G$306,5,FALSE)</f>
        <v>3272024072</v>
      </c>
      <c r="F19" s="109">
        <f>VLOOKUP($A19,ANAGRAFICA!$B$1:$G$306,6,FALSE)</f>
        <v>2024</v>
      </c>
      <c r="G19" s="3">
        <v>1.0</v>
      </c>
      <c r="H19" s="233" t="s">
        <v>1275</v>
      </c>
      <c r="I19" s="233" t="s">
        <v>1277</v>
      </c>
      <c r="J19" s="233" t="s">
        <v>1277</v>
      </c>
      <c r="K19" s="234"/>
      <c r="L19" s="234"/>
      <c r="M19" s="234"/>
      <c r="N19" s="234"/>
      <c r="O19" s="234"/>
      <c r="P19" s="235">
        <f t="shared" si="1"/>
        <v>0</v>
      </c>
      <c r="Q19" s="234" t="b">
        <v>0</v>
      </c>
      <c r="R19" s="234"/>
      <c r="S19" s="234"/>
      <c r="T19" s="234"/>
      <c r="U19" s="234" t="b">
        <v>0</v>
      </c>
      <c r="V19" s="234" t="b">
        <v>0</v>
      </c>
      <c r="W19" s="234" t="b">
        <v>0</v>
      </c>
      <c r="X19" s="234" t="b">
        <v>0</v>
      </c>
      <c r="Y19" s="234" t="b">
        <v>0</v>
      </c>
      <c r="Z19" s="236" t="b">
        <v>0</v>
      </c>
      <c r="AA19" s="237" t="s">
        <v>1278</v>
      </c>
      <c r="AB19" s="237" t="s">
        <v>1279</v>
      </c>
      <c r="AC19" s="234" t="b">
        <v>0</v>
      </c>
      <c r="AD19" s="234" t="b">
        <v>0</v>
      </c>
      <c r="AE19" s="234" t="b">
        <v>0</v>
      </c>
      <c r="AF19" s="234" t="b">
        <v>0</v>
      </c>
      <c r="AG19" s="236" t="b">
        <v>1</v>
      </c>
      <c r="AH19" s="234" t="b">
        <v>0</v>
      </c>
      <c r="AI19" s="234" t="b">
        <v>0</v>
      </c>
      <c r="AJ19" s="234" t="b">
        <v>0</v>
      </c>
      <c r="AK19" s="236" t="b">
        <v>1</v>
      </c>
      <c r="AL19" s="234" t="b">
        <v>0</v>
      </c>
      <c r="AM19" s="234"/>
      <c r="AN19" s="234" t="b">
        <v>0</v>
      </c>
      <c r="AO19" s="234" t="b">
        <v>0</v>
      </c>
      <c r="AP19" s="234" t="b">
        <v>0</v>
      </c>
      <c r="AQ19" s="237" t="s">
        <v>1283</v>
      </c>
      <c r="AR19" s="234" t="b">
        <v>0</v>
      </c>
      <c r="AS19" s="234"/>
      <c r="AT19" s="234"/>
      <c r="AU19" s="234"/>
      <c r="AV19" s="234"/>
      <c r="AW19" s="234" t="b">
        <v>0</v>
      </c>
      <c r="AX19" s="234"/>
      <c r="AY19" s="234"/>
      <c r="AZ19" s="236" t="b">
        <v>1</v>
      </c>
      <c r="BA19" s="238">
        <v>45485.0</v>
      </c>
      <c r="BB19" s="237" t="s">
        <v>325</v>
      </c>
    </row>
    <row r="20">
      <c r="A20" s="57">
        <v>2.124012963E9</v>
      </c>
      <c r="B20" s="109" t="str">
        <f>VLOOKUP($A20,ANAGRAFICA!$B$1:$G$306,2,FALSE)</f>
        <v>TARENZI</v>
      </c>
      <c r="C20" s="109" t="str">
        <f>VLOOKUP($A20,ANAGRAFICA!$B$1:$G$306,3,FALSE)</f>
        <v>GIACOMO</v>
      </c>
      <c r="D20" s="109" t="str">
        <f>VLOOKUP($A20,ANAGRAFICA!$B$1:$G$306,4,FALSE)</f>
        <v>758-7</v>
      </c>
      <c r="E20" s="109">
        <f>VLOOKUP($A20,ANAGRAFICA!$B$1:$G$306,5,FALSE)</f>
        <v>3272024073</v>
      </c>
      <c r="F20" s="109">
        <f>VLOOKUP($A20,ANAGRAFICA!$B$1:$G$306,6,FALSE)</f>
        <v>2024</v>
      </c>
      <c r="G20" s="3">
        <v>1.0</v>
      </c>
      <c r="H20" s="233" t="s">
        <v>1275</v>
      </c>
      <c r="I20" s="233" t="s">
        <v>1276</v>
      </c>
      <c r="J20" s="233" t="s">
        <v>1277</v>
      </c>
      <c r="K20" s="234"/>
      <c r="L20" s="234"/>
      <c r="M20" s="234"/>
      <c r="N20" s="234"/>
      <c r="O20" s="234"/>
      <c r="P20" s="235">
        <f t="shared" si="1"/>
        <v>0</v>
      </c>
      <c r="Q20" s="234" t="b">
        <v>0</v>
      </c>
      <c r="R20" s="234"/>
      <c r="S20" s="234"/>
      <c r="T20" s="234"/>
      <c r="U20" s="234" t="b">
        <v>0</v>
      </c>
      <c r="V20" s="234" t="b">
        <v>0</v>
      </c>
      <c r="W20" s="234" t="b">
        <v>0</v>
      </c>
      <c r="X20" s="234" t="b">
        <v>0</v>
      </c>
      <c r="Y20" s="234" t="b">
        <v>0</v>
      </c>
      <c r="Z20" s="236" t="b">
        <v>0</v>
      </c>
      <c r="AA20" s="237" t="s">
        <v>1278</v>
      </c>
      <c r="AB20" s="237" t="s">
        <v>1279</v>
      </c>
      <c r="AC20" s="234" t="b">
        <v>0</v>
      </c>
      <c r="AD20" s="234" t="b">
        <v>0</v>
      </c>
      <c r="AE20" s="234" t="b">
        <v>0</v>
      </c>
      <c r="AF20" s="234" t="b">
        <v>0</v>
      </c>
      <c r="AG20" s="234" t="b">
        <v>0</v>
      </c>
      <c r="AH20" s="234" t="b">
        <v>0</v>
      </c>
      <c r="AI20" s="234" t="b">
        <v>0</v>
      </c>
      <c r="AJ20" s="236" t="b">
        <v>1</v>
      </c>
      <c r="AK20" s="236" t="b">
        <v>1</v>
      </c>
      <c r="AL20" s="234" t="b">
        <v>0</v>
      </c>
      <c r="AM20" s="234"/>
      <c r="AN20" s="234" t="b">
        <v>0</v>
      </c>
      <c r="AO20" s="234" t="b">
        <v>0</v>
      </c>
      <c r="AP20" s="236" t="b">
        <v>1</v>
      </c>
      <c r="AQ20" s="237" t="s">
        <v>1283</v>
      </c>
      <c r="AR20" s="234" t="b">
        <v>0</v>
      </c>
      <c r="AS20" s="234"/>
      <c r="AT20" s="234"/>
      <c r="AU20" s="234"/>
      <c r="AV20" s="234"/>
      <c r="AW20" s="234" t="b">
        <v>0</v>
      </c>
      <c r="AX20" s="234"/>
      <c r="AY20" s="234"/>
      <c r="AZ20" s="234" t="b">
        <v>0</v>
      </c>
      <c r="BA20" s="234"/>
      <c r="BB20" s="234"/>
    </row>
    <row r="21">
      <c r="A21" s="57">
        <v>2.124011588E9</v>
      </c>
      <c r="B21" s="109" t="str">
        <f>VLOOKUP($A21,ANAGRAFICA!$B$1:$G$306,2,FALSE)</f>
        <v>FRATINO</v>
      </c>
      <c r="C21" s="109" t="str">
        <f>VLOOKUP($A21,ANAGRAFICA!$B$1:$G$306,3,FALSE)</f>
        <v>OLIVIERO</v>
      </c>
      <c r="D21" s="109" t="str">
        <f>VLOOKUP($A21,ANAGRAFICA!$B$1:$G$306,4,FALSE)</f>
        <v>758-4</v>
      </c>
      <c r="E21" s="109">
        <f>VLOOKUP($A21,ANAGRAFICA!$B$1:$G$306,5,FALSE)</f>
        <v>3272024070</v>
      </c>
      <c r="F21" s="109">
        <f>VLOOKUP($A21,ANAGRAFICA!$B$1:$G$306,6,FALSE)</f>
        <v>2024</v>
      </c>
      <c r="G21" s="3">
        <v>1.0</v>
      </c>
      <c r="H21" s="233" t="s">
        <v>1294</v>
      </c>
      <c r="I21" s="233" t="s">
        <v>1295</v>
      </c>
      <c r="J21" s="233" t="s">
        <v>1276</v>
      </c>
      <c r="K21" s="234"/>
      <c r="L21" s="237">
        <v>7.0</v>
      </c>
      <c r="M21" s="234"/>
      <c r="N21" s="234"/>
      <c r="O21" s="237">
        <v>0.25</v>
      </c>
      <c r="P21" s="235">
        <f t="shared" si="1"/>
        <v>32</v>
      </c>
      <c r="Q21" s="234" t="b">
        <v>0</v>
      </c>
      <c r="R21" s="234"/>
      <c r="S21" s="234"/>
      <c r="T21" s="234"/>
      <c r="U21" s="234" t="b">
        <v>0</v>
      </c>
      <c r="V21" s="234" t="b">
        <v>0</v>
      </c>
      <c r="W21" s="234" t="b">
        <v>0</v>
      </c>
      <c r="X21" s="234" t="b">
        <v>0</v>
      </c>
      <c r="Y21" s="234" t="b">
        <v>0</v>
      </c>
      <c r="Z21" s="236" t="b">
        <v>0</v>
      </c>
      <c r="AA21" s="237" t="s">
        <v>35</v>
      </c>
      <c r="AB21" s="237" t="s">
        <v>1281</v>
      </c>
      <c r="AC21" s="234" t="b">
        <v>0</v>
      </c>
      <c r="AD21" s="234" t="b">
        <v>0</v>
      </c>
      <c r="AE21" s="234" t="b">
        <v>0</v>
      </c>
      <c r="AF21" s="234" t="b">
        <v>0</v>
      </c>
      <c r="AG21" s="234" t="b">
        <v>0</v>
      </c>
      <c r="AH21" s="236" t="b">
        <v>1</v>
      </c>
      <c r="AI21" s="234" t="b">
        <v>0</v>
      </c>
      <c r="AJ21" s="234" t="b">
        <v>0</v>
      </c>
      <c r="AK21" s="236" t="b">
        <v>1</v>
      </c>
      <c r="AL21" s="234" t="b">
        <v>0</v>
      </c>
      <c r="AM21" s="234"/>
      <c r="AN21" s="234" t="b">
        <v>0</v>
      </c>
      <c r="AO21" s="234" t="b">
        <v>0</v>
      </c>
      <c r="AP21" s="234" t="b">
        <v>0</v>
      </c>
      <c r="AQ21" s="237" t="s">
        <v>1282</v>
      </c>
      <c r="AR21" s="236" t="b">
        <v>1</v>
      </c>
      <c r="AS21" s="237" t="s">
        <v>1286</v>
      </c>
      <c r="AT21" s="238">
        <v>45464.0</v>
      </c>
      <c r="AU21" s="237" t="s">
        <v>655</v>
      </c>
      <c r="AV21" s="237" t="s">
        <v>1292</v>
      </c>
      <c r="AW21" s="236" t="b">
        <v>1</v>
      </c>
      <c r="AX21" s="238">
        <v>45462.0</v>
      </c>
      <c r="AY21" s="237" t="s">
        <v>45</v>
      </c>
      <c r="AZ21" s="236" t="b">
        <v>1</v>
      </c>
      <c r="BA21" s="238">
        <v>45464.0</v>
      </c>
      <c r="BB21" s="237" t="s">
        <v>655</v>
      </c>
    </row>
    <row r="22">
      <c r="A22" s="57">
        <v>2.124208629E9</v>
      </c>
      <c r="B22" s="109" t="str">
        <f>VLOOKUP($A22,ANAGRAFICA!$B$1:$G$306,2,FALSE)</f>
        <v>D'ANDREA</v>
      </c>
      <c r="C22" s="109" t="str">
        <f>VLOOKUP($A22,ANAGRAFICA!$B$1:$G$306,3,FALSE)</f>
        <v>FERNANDO ANTONIO</v>
      </c>
      <c r="D22" s="109" t="str">
        <f>VLOOKUP($A22,ANAGRAFICA!$B$1:$G$306,4,FALSE)</f>
        <v>758-5</v>
      </c>
      <c r="E22" s="109">
        <f>VLOOKUP($A22,ANAGRAFICA!$B$1:$G$306,5,FALSE)</f>
        <v>3272024071</v>
      </c>
      <c r="F22" s="109">
        <f>VLOOKUP($A22,ANAGRAFICA!$B$1:$G$306,6,FALSE)</f>
        <v>2024</v>
      </c>
      <c r="G22" s="3">
        <v>1.0</v>
      </c>
      <c r="H22" s="233" t="s">
        <v>1275</v>
      </c>
      <c r="I22" s="233" t="s">
        <v>1277</v>
      </c>
      <c r="J22" s="233" t="s">
        <v>1277</v>
      </c>
      <c r="K22" s="234"/>
      <c r="L22" s="234"/>
      <c r="M22" s="234"/>
      <c r="N22" s="234"/>
      <c r="O22" s="234"/>
      <c r="P22" s="235">
        <f t="shared" si="1"/>
        <v>0</v>
      </c>
      <c r="Q22" s="234" t="b">
        <v>0</v>
      </c>
      <c r="R22" s="234"/>
      <c r="S22" s="234"/>
      <c r="T22" s="234"/>
      <c r="U22" s="234" t="b">
        <v>0</v>
      </c>
      <c r="V22" s="234" t="b">
        <v>0</v>
      </c>
      <c r="W22" s="234" t="b">
        <v>0</v>
      </c>
      <c r="X22" s="234" t="b">
        <v>0</v>
      </c>
      <c r="Y22" s="234" t="b">
        <v>0</v>
      </c>
      <c r="Z22" s="236" t="b">
        <v>0</v>
      </c>
      <c r="AA22" s="237" t="s">
        <v>1278</v>
      </c>
      <c r="AB22" s="237" t="s">
        <v>1279</v>
      </c>
      <c r="AC22" s="234" t="b">
        <v>0</v>
      </c>
      <c r="AD22" s="234" t="b">
        <v>0</v>
      </c>
      <c r="AE22" s="234" t="b">
        <v>0</v>
      </c>
      <c r="AF22" s="234" t="b">
        <v>0</v>
      </c>
      <c r="AG22" s="234" t="b">
        <v>0</v>
      </c>
      <c r="AH22" s="234" t="b">
        <v>0</v>
      </c>
      <c r="AI22" s="234" t="b">
        <v>0</v>
      </c>
      <c r="AJ22" s="234" t="b">
        <v>0</v>
      </c>
      <c r="AK22" s="236" t="b">
        <v>1</v>
      </c>
      <c r="AL22" s="234" t="b">
        <v>0</v>
      </c>
      <c r="AM22" s="234"/>
      <c r="AN22" s="234" t="b">
        <v>0</v>
      </c>
      <c r="AO22" s="234" t="b">
        <v>0</v>
      </c>
      <c r="AP22" s="234" t="b">
        <v>0</v>
      </c>
      <c r="AQ22" s="237" t="s">
        <v>1283</v>
      </c>
      <c r="AR22" s="234" t="b">
        <v>0</v>
      </c>
      <c r="AS22" s="234"/>
      <c r="AT22" s="234"/>
      <c r="AU22" s="234"/>
      <c r="AV22" s="234"/>
      <c r="AW22" s="234" t="b">
        <v>0</v>
      </c>
      <c r="AX22" s="234"/>
      <c r="AY22" s="234"/>
      <c r="AZ22" s="236" t="b">
        <v>1</v>
      </c>
      <c r="BA22" s="238">
        <v>45470.0</v>
      </c>
      <c r="BB22" s="237" t="s">
        <v>96</v>
      </c>
    </row>
    <row r="23">
      <c r="A23" s="57">
        <v>2.1240107E9</v>
      </c>
      <c r="B23" s="109" t="str">
        <f>VLOOKUP($A23,ANAGRAFICA!$B$1:$G$306,2,FALSE)</f>
        <v>ORNAGHI</v>
      </c>
      <c r="C23" s="109" t="str">
        <f>VLOOKUP($A23,ANAGRAFICA!$B$1:$G$306,3,FALSE)</f>
        <v>LORENZO</v>
      </c>
      <c r="D23" s="109" t="str">
        <f>VLOOKUP($A23,ANAGRAFICA!$B$1:$G$306,4,FALSE)</f>
        <v>758-2</v>
      </c>
      <c r="E23" s="109">
        <f>VLOOKUP($A23,ANAGRAFICA!$B$1:$G$306,5,FALSE)</f>
        <v>3272024068</v>
      </c>
      <c r="F23" s="109">
        <f>VLOOKUP($A23,ANAGRAFICA!$B$1:$G$306,6,FALSE)</f>
        <v>2024</v>
      </c>
      <c r="G23" s="3">
        <v>1.0</v>
      </c>
      <c r="H23" s="233" t="s">
        <v>1275</v>
      </c>
      <c r="I23" s="233" t="s">
        <v>1277</v>
      </c>
      <c r="J23" s="233" t="s">
        <v>1277</v>
      </c>
      <c r="K23" s="234"/>
      <c r="L23" s="234"/>
      <c r="M23" s="234"/>
      <c r="N23" s="234"/>
      <c r="O23" s="234"/>
      <c r="P23" s="235">
        <f t="shared" si="1"/>
        <v>0</v>
      </c>
      <c r="Q23" s="234" t="b">
        <v>0</v>
      </c>
      <c r="R23" s="234"/>
      <c r="S23" s="234"/>
      <c r="T23" s="234"/>
      <c r="U23" s="234" t="b">
        <v>0</v>
      </c>
      <c r="V23" s="234" t="b">
        <v>0</v>
      </c>
      <c r="W23" s="234" t="b">
        <v>0</v>
      </c>
      <c r="X23" s="234" t="b">
        <v>0</v>
      </c>
      <c r="Y23" s="234" t="b">
        <v>0</v>
      </c>
      <c r="Z23" s="236" t="b">
        <v>0</v>
      </c>
      <c r="AA23" s="237" t="s">
        <v>1278</v>
      </c>
      <c r="AB23" s="237" t="s">
        <v>1279</v>
      </c>
      <c r="AC23" s="234" t="b">
        <v>0</v>
      </c>
      <c r="AD23" s="234" t="b">
        <v>0</v>
      </c>
      <c r="AE23" s="234" t="b">
        <v>0</v>
      </c>
      <c r="AF23" s="234" t="b">
        <v>0</v>
      </c>
      <c r="AG23" s="236" t="b">
        <v>1</v>
      </c>
      <c r="AH23" s="234" t="b">
        <v>0</v>
      </c>
      <c r="AI23" s="236" t="b">
        <v>1</v>
      </c>
      <c r="AJ23" s="234" t="b">
        <v>0</v>
      </c>
      <c r="AK23" s="236" t="b">
        <v>1</v>
      </c>
      <c r="AL23" s="236" t="b">
        <v>0</v>
      </c>
      <c r="AM23" s="234"/>
      <c r="AN23" s="234" t="b">
        <v>0</v>
      </c>
      <c r="AO23" s="234" t="b">
        <v>0</v>
      </c>
      <c r="AP23" s="234" t="b">
        <v>0</v>
      </c>
      <c r="AQ23" s="237" t="s">
        <v>1283</v>
      </c>
      <c r="AR23" s="234" t="b">
        <v>0</v>
      </c>
      <c r="AS23" s="234"/>
      <c r="AT23" s="234"/>
      <c r="AU23" s="234"/>
      <c r="AV23" s="234"/>
      <c r="AW23" s="234" t="b">
        <v>0</v>
      </c>
      <c r="AX23" s="234"/>
      <c r="AY23" s="234"/>
      <c r="AZ23" s="236" t="b">
        <v>1</v>
      </c>
      <c r="BA23" s="238">
        <v>45448.0</v>
      </c>
      <c r="BB23" s="237" t="s">
        <v>663</v>
      </c>
    </row>
    <row r="24">
      <c r="A24" s="57">
        <v>2.124009735E9</v>
      </c>
      <c r="B24" s="109" t="str">
        <f>VLOOKUP($A24,ANAGRAFICA!$B$1:$G$306,2,FALSE)</f>
        <v>BOSSI</v>
      </c>
      <c r="C24" s="109" t="str">
        <f>VLOOKUP($A24,ANAGRAFICA!$B$1:$G$306,3,FALSE)</f>
        <v>LUDOVICO</v>
      </c>
      <c r="D24" s="109" t="str">
        <f>VLOOKUP($A24,ANAGRAFICA!$B$1:$G$306,4,FALSE)</f>
        <v>758-1</v>
      </c>
      <c r="E24" s="109">
        <f>VLOOKUP($A24,ANAGRAFICA!$B$1:$G$306,5,FALSE)</f>
        <v>3272024067</v>
      </c>
      <c r="F24" s="109">
        <f>VLOOKUP($A24,ANAGRAFICA!$B$1:$G$306,6,FALSE)</f>
        <v>2024</v>
      </c>
      <c r="G24" s="3">
        <v>1.0</v>
      </c>
      <c r="H24" s="233" t="s">
        <v>1275</v>
      </c>
      <c r="I24" s="233" t="s">
        <v>1277</v>
      </c>
      <c r="J24" s="233" t="s">
        <v>1277</v>
      </c>
      <c r="K24" s="234"/>
      <c r="L24" s="234"/>
      <c r="M24" s="234"/>
      <c r="N24" s="234"/>
      <c r="O24" s="234"/>
      <c r="P24" s="235">
        <f t="shared" si="1"/>
        <v>0</v>
      </c>
      <c r="Q24" s="234" t="b">
        <v>0</v>
      </c>
      <c r="R24" s="234"/>
      <c r="S24" s="234"/>
      <c r="T24" s="234"/>
      <c r="U24" s="234" t="b">
        <v>0</v>
      </c>
      <c r="V24" s="234" t="b">
        <v>0</v>
      </c>
      <c r="W24" s="234" t="b">
        <v>0</v>
      </c>
      <c r="X24" s="234" t="b">
        <v>0</v>
      </c>
      <c r="Y24" s="234" t="b">
        <v>0</v>
      </c>
      <c r="Z24" s="236" t="b">
        <v>0</v>
      </c>
      <c r="AA24" s="237" t="s">
        <v>1278</v>
      </c>
      <c r="AB24" s="237" t="s">
        <v>1279</v>
      </c>
      <c r="AC24" s="234" t="b">
        <v>0</v>
      </c>
      <c r="AD24" s="234" t="b">
        <v>0</v>
      </c>
      <c r="AE24" s="234" t="b">
        <v>0</v>
      </c>
      <c r="AF24" s="234" t="b">
        <v>0</v>
      </c>
      <c r="AG24" s="236" t="b">
        <v>1</v>
      </c>
      <c r="AH24" s="234" t="b">
        <v>0</v>
      </c>
      <c r="AI24" s="234" t="b">
        <v>0</v>
      </c>
      <c r="AJ24" s="234" t="b">
        <v>0</v>
      </c>
      <c r="AK24" s="236" t="b">
        <v>1</v>
      </c>
      <c r="AL24" s="234" t="b">
        <v>0</v>
      </c>
      <c r="AM24" s="234"/>
      <c r="AN24" s="234" t="b">
        <v>0</v>
      </c>
      <c r="AO24" s="234" t="b">
        <v>0</v>
      </c>
      <c r="AP24" s="234" t="b">
        <v>0</v>
      </c>
      <c r="AQ24" s="237" t="s">
        <v>1283</v>
      </c>
      <c r="AR24" s="234" t="b">
        <v>0</v>
      </c>
      <c r="AS24" s="234"/>
      <c r="AT24" s="234"/>
      <c r="AU24" s="234"/>
      <c r="AV24" s="234"/>
      <c r="AW24" s="234" t="b">
        <v>0</v>
      </c>
      <c r="AX24" s="234"/>
      <c r="AY24" s="234"/>
      <c r="AZ24" s="236" t="b">
        <v>1</v>
      </c>
      <c r="BA24" s="238">
        <v>45435.0</v>
      </c>
      <c r="BB24" s="237" t="s">
        <v>1301</v>
      </c>
    </row>
    <row r="25">
      <c r="A25" s="57">
        <v>2.124011236E9</v>
      </c>
      <c r="B25" s="109" t="str">
        <f>VLOOKUP($A25,ANAGRAFICA!$B$1:$G$306,2,FALSE)</f>
        <v>BERETTA</v>
      </c>
      <c r="C25" s="109" t="str">
        <f>VLOOKUP($A25,ANAGRAFICA!$B$1:$G$306,3,FALSE)</f>
        <v>ENZO LUCIANO</v>
      </c>
      <c r="D25" s="109" t="str">
        <f>VLOOKUP($A25,ANAGRAFICA!$B$1:$G$306,4,FALSE)</f>
        <v>758-3</v>
      </c>
      <c r="E25" s="109">
        <f>VLOOKUP($A25,ANAGRAFICA!$B$1:$G$306,5,FALSE)</f>
        <v>3272024069</v>
      </c>
      <c r="F25" s="109">
        <f>VLOOKUP($A25,ANAGRAFICA!$B$1:$G$306,6,FALSE)</f>
        <v>2024</v>
      </c>
      <c r="G25" s="3">
        <v>1.0</v>
      </c>
      <c r="H25" s="233" t="s">
        <v>1275</v>
      </c>
      <c r="I25" s="233" t="s">
        <v>1277</v>
      </c>
      <c r="J25" s="233" t="s">
        <v>1277</v>
      </c>
      <c r="K25" s="234"/>
      <c r="L25" s="234"/>
      <c r="M25" s="234"/>
      <c r="N25" s="234"/>
      <c r="O25" s="234"/>
      <c r="P25" s="235">
        <f t="shared" si="1"/>
        <v>0</v>
      </c>
      <c r="Q25" s="234" t="b">
        <v>0</v>
      </c>
      <c r="R25" s="234"/>
      <c r="S25" s="234"/>
      <c r="T25" s="234"/>
      <c r="U25" s="234" t="b">
        <v>0</v>
      </c>
      <c r="V25" s="234" t="b">
        <v>0</v>
      </c>
      <c r="W25" s="234" t="b">
        <v>0</v>
      </c>
      <c r="X25" s="234" t="b">
        <v>0</v>
      </c>
      <c r="Y25" s="234" t="b">
        <v>0</v>
      </c>
      <c r="Z25" s="236" t="b">
        <v>0</v>
      </c>
      <c r="AA25" s="234"/>
      <c r="AB25" s="234"/>
      <c r="AC25" s="234" t="b">
        <v>0</v>
      </c>
      <c r="AD25" s="234" t="b">
        <v>0</v>
      </c>
      <c r="AE25" s="234" t="b">
        <v>0</v>
      </c>
      <c r="AF25" s="234" t="b">
        <v>0</v>
      </c>
      <c r="AG25" s="234" t="b">
        <v>0</v>
      </c>
      <c r="AH25" s="234" t="b">
        <v>0</v>
      </c>
      <c r="AI25" s="234" t="b">
        <v>0</v>
      </c>
      <c r="AJ25" s="234" t="b">
        <v>0</v>
      </c>
      <c r="AK25" s="234" t="b">
        <v>0</v>
      </c>
      <c r="AL25" s="234" t="b">
        <v>0</v>
      </c>
      <c r="AM25" s="234"/>
      <c r="AN25" s="234" t="b">
        <v>0</v>
      </c>
      <c r="AO25" s="234" t="b">
        <v>0</v>
      </c>
      <c r="AP25" s="234" t="b">
        <v>0</v>
      </c>
      <c r="AQ25" s="237" t="s">
        <v>1153</v>
      </c>
      <c r="AR25" s="234" t="b">
        <v>0</v>
      </c>
      <c r="AS25" s="234"/>
      <c r="AT25" s="234"/>
      <c r="AU25" s="234"/>
      <c r="AV25" s="234"/>
      <c r="AW25" s="234" t="b">
        <v>0</v>
      </c>
      <c r="AX25" s="234"/>
      <c r="AY25" s="234"/>
      <c r="AZ25" s="236" t="b">
        <v>0</v>
      </c>
      <c r="BA25" s="234"/>
      <c r="BB25" s="234"/>
    </row>
    <row r="26">
      <c r="A26" s="57">
        <v>2.124008291E9</v>
      </c>
      <c r="B26" s="109" t="str">
        <f>VLOOKUP($A26,ANAGRAFICA!$B$1:$G$306,2,FALSE)</f>
        <v>FUMAGALLI</v>
      </c>
      <c r="C26" s="109" t="str">
        <f>VLOOKUP($A26,ANAGRAFICA!$B$1:$G$306,3,FALSE)</f>
        <v>PIERO</v>
      </c>
      <c r="D26" s="109" t="str">
        <f>VLOOKUP($A26,ANAGRAFICA!$B$1:$G$306,4,FALSE)</f>
        <v/>
      </c>
      <c r="E26" s="109">
        <f>VLOOKUP($A26,ANAGRAFICA!$B$1:$G$306,5,FALSE)</f>
        <v>3272024065</v>
      </c>
      <c r="F26" s="109">
        <f>VLOOKUP($A26,ANAGRAFICA!$B$1:$G$306,6,FALSE)</f>
        <v>2024</v>
      </c>
      <c r="G26" s="3">
        <v>1.0</v>
      </c>
      <c r="H26" s="233" t="s">
        <v>1294</v>
      </c>
      <c r="I26" s="233" t="s">
        <v>1302</v>
      </c>
      <c r="J26" s="233" t="s">
        <v>1276</v>
      </c>
      <c r="K26" s="234"/>
      <c r="L26" s="234"/>
      <c r="M26" s="234"/>
      <c r="N26" s="234"/>
      <c r="O26" s="237">
        <v>0.2</v>
      </c>
      <c r="P26" s="235">
        <f t="shared" si="1"/>
        <v>20</v>
      </c>
      <c r="Q26" s="234" t="b">
        <v>0</v>
      </c>
      <c r="R26" s="234"/>
      <c r="S26" s="234"/>
      <c r="T26" s="234"/>
      <c r="U26" s="234" t="b">
        <v>0</v>
      </c>
      <c r="V26" s="234" t="b">
        <v>0</v>
      </c>
      <c r="W26" s="234" t="b">
        <v>0</v>
      </c>
      <c r="X26" s="234" t="b">
        <v>0</v>
      </c>
      <c r="Y26" s="234" t="b">
        <v>0</v>
      </c>
      <c r="Z26" s="236" t="b">
        <v>0</v>
      </c>
      <c r="AA26" s="237" t="s">
        <v>1290</v>
      </c>
      <c r="AB26" s="237" t="s">
        <v>1279</v>
      </c>
      <c r="AC26" s="234" t="b">
        <v>0</v>
      </c>
      <c r="AD26" s="234" t="b">
        <v>0</v>
      </c>
      <c r="AE26" s="234" t="b">
        <v>0</v>
      </c>
      <c r="AF26" s="234" t="b">
        <v>0</v>
      </c>
      <c r="AG26" s="234" t="b">
        <v>0</v>
      </c>
      <c r="AH26" s="236" t="b">
        <v>1</v>
      </c>
      <c r="AI26" s="234" t="b">
        <v>0</v>
      </c>
      <c r="AJ26" s="234" t="b">
        <v>0</v>
      </c>
      <c r="AK26" s="234" t="b">
        <v>0</v>
      </c>
      <c r="AL26" s="236" t="b">
        <v>1</v>
      </c>
      <c r="AM26" s="237" t="s">
        <v>1293</v>
      </c>
      <c r="AN26" s="236" t="b">
        <v>1</v>
      </c>
      <c r="AO26" s="234" t="b">
        <v>0</v>
      </c>
      <c r="AP26" s="234" t="b">
        <v>0</v>
      </c>
      <c r="AQ26" s="237" t="s">
        <v>1280</v>
      </c>
      <c r="AR26" s="234" t="b">
        <v>0</v>
      </c>
      <c r="AS26" s="234"/>
      <c r="AT26" s="234"/>
      <c r="AU26" s="234"/>
      <c r="AV26" s="234"/>
      <c r="AW26" s="236" t="b">
        <v>1</v>
      </c>
      <c r="AX26" s="238">
        <v>45415.0</v>
      </c>
      <c r="AY26" s="237" t="s">
        <v>666</v>
      </c>
      <c r="AZ26" s="236" t="b">
        <v>1</v>
      </c>
      <c r="BA26" s="238">
        <v>45415.0</v>
      </c>
      <c r="BB26" s="237" t="s">
        <v>437</v>
      </c>
    </row>
    <row r="27">
      <c r="A27" s="57">
        <v>2.124206072E9</v>
      </c>
      <c r="B27" s="109" t="str">
        <f>VLOOKUP($A27,ANAGRAFICA!$B$1:$G$306,2,FALSE)</f>
        <v>CONSONNI</v>
      </c>
      <c r="C27" s="109" t="str">
        <f>VLOOKUP($A27,ANAGRAFICA!$B$1:$G$306,3,FALSE)</f>
        <v>GIULIO</v>
      </c>
      <c r="D27" s="109" t="str">
        <f>VLOOKUP($A27,ANAGRAFICA!$B$1:$G$306,4,FALSE)</f>
        <v/>
      </c>
      <c r="E27" s="109">
        <f>VLOOKUP($A27,ANAGRAFICA!$B$1:$G$306,5,FALSE)</f>
        <v>3272024064</v>
      </c>
      <c r="F27" s="109">
        <f>VLOOKUP($A27,ANAGRAFICA!$B$1:$G$306,6,FALSE)</f>
        <v>2024</v>
      </c>
      <c r="G27" s="3">
        <v>1.0</v>
      </c>
      <c r="H27" s="233" t="s">
        <v>1275</v>
      </c>
      <c r="I27" s="233" t="s">
        <v>1276</v>
      </c>
      <c r="J27" s="233" t="s">
        <v>1277</v>
      </c>
      <c r="K27" s="234"/>
      <c r="L27" s="234"/>
      <c r="M27" s="234"/>
      <c r="N27" s="234"/>
      <c r="O27" s="234"/>
      <c r="P27" s="235">
        <f t="shared" si="1"/>
        <v>0</v>
      </c>
      <c r="Q27" s="234" t="b">
        <v>0</v>
      </c>
      <c r="R27" s="234"/>
      <c r="S27" s="234"/>
      <c r="T27" s="234"/>
      <c r="U27" s="234" t="b">
        <v>0</v>
      </c>
      <c r="V27" s="234" t="b">
        <v>0</v>
      </c>
      <c r="W27" s="234" t="b">
        <v>0</v>
      </c>
      <c r="X27" s="234" t="b">
        <v>0</v>
      </c>
      <c r="Y27" s="234" t="b">
        <v>0</v>
      </c>
      <c r="Z27" s="236" t="b">
        <v>0</v>
      </c>
      <c r="AA27" s="237" t="s">
        <v>1278</v>
      </c>
      <c r="AB27" s="237" t="s">
        <v>1279</v>
      </c>
      <c r="AC27" s="234" t="b">
        <v>0</v>
      </c>
      <c r="AD27" s="234" t="b">
        <v>0</v>
      </c>
      <c r="AE27" s="234" t="b">
        <v>0</v>
      </c>
      <c r="AF27" s="234" t="b">
        <v>0</v>
      </c>
      <c r="AG27" s="234" t="b">
        <v>0</v>
      </c>
      <c r="AH27" s="234" t="b">
        <v>0</v>
      </c>
      <c r="AI27" s="234" t="b">
        <v>0</v>
      </c>
      <c r="AJ27" s="234" t="b">
        <v>0</v>
      </c>
      <c r="AK27" s="234" t="b">
        <v>0</v>
      </c>
      <c r="AL27" s="234" t="b">
        <v>0</v>
      </c>
      <c r="AM27" s="234"/>
      <c r="AN27" s="234" t="b">
        <v>0</v>
      </c>
      <c r="AO27" s="234" t="b">
        <v>0</v>
      </c>
      <c r="AP27" s="234" t="b">
        <v>0</v>
      </c>
      <c r="AQ27" s="237" t="s">
        <v>1282</v>
      </c>
      <c r="AR27" s="234" t="b">
        <v>0</v>
      </c>
      <c r="AS27" s="234"/>
      <c r="AT27" s="234"/>
      <c r="AU27" s="234"/>
      <c r="AV27" s="234"/>
      <c r="AW27" s="234" t="b">
        <v>0</v>
      </c>
      <c r="AX27" s="234"/>
      <c r="AY27" s="234"/>
      <c r="AZ27" s="234" t="b">
        <v>0</v>
      </c>
      <c r="BA27" s="234"/>
      <c r="BB27" s="234"/>
    </row>
    <row r="28">
      <c r="A28" s="57">
        <v>2.124007138E9</v>
      </c>
      <c r="B28" s="109" t="str">
        <f>VLOOKUP($A28,ANAGRAFICA!$B$1:$G$306,2,FALSE)</f>
        <v>TARTARELLI</v>
      </c>
      <c r="C28" s="109" t="str">
        <f>VLOOKUP($A28,ANAGRAFICA!$B$1:$G$306,3,FALSE)</f>
        <v>GIUSEPPE</v>
      </c>
      <c r="D28" s="109" t="str">
        <f>VLOOKUP($A28,ANAGRAFICA!$B$1:$G$306,4,FALSE)</f>
        <v/>
      </c>
      <c r="E28" s="109">
        <f>VLOOKUP($A28,ANAGRAFICA!$B$1:$G$306,5,FALSE)</f>
        <v>3272024063</v>
      </c>
      <c r="F28" s="109">
        <f>VLOOKUP($A28,ANAGRAFICA!$B$1:$G$306,6,FALSE)</f>
        <v>2024</v>
      </c>
      <c r="G28" s="3">
        <v>1.0</v>
      </c>
      <c r="H28" s="233" t="s">
        <v>1275</v>
      </c>
      <c r="I28" s="233" t="s">
        <v>1276</v>
      </c>
      <c r="J28" s="233" t="s">
        <v>1277</v>
      </c>
      <c r="K28" s="234"/>
      <c r="L28" s="234"/>
      <c r="M28" s="234"/>
      <c r="N28" s="234"/>
      <c r="O28" s="234"/>
      <c r="P28" s="235">
        <f t="shared" si="1"/>
        <v>0</v>
      </c>
      <c r="Q28" s="236" t="b">
        <v>0</v>
      </c>
      <c r="R28" s="234"/>
      <c r="S28" s="234"/>
      <c r="T28" s="234"/>
      <c r="U28" s="234" t="b">
        <v>0</v>
      </c>
      <c r="V28" s="234" t="b">
        <v>0</v>
      </c>
      <c r="W28" s="234" t="b">
        <v>0</v>
      </c>
      <c r="X28" s="234" t="b">
        <v>0</v>
      </c>
      <c r="Y28" s="236" t="b">
        <v>0</v>
      </c>
      <c r="Z28" s="236" t="b">
        <v>0</v>
      </c>
      <c r="AA28" s="237" t="s">
        <v>1278</v>
      </c>
      <c r="AB28" s="237" t="s">
        <v>1279</v>
      </c>
      <c r="AC28" s="234" t="b">
        <v>0</v>
      </c>
      <c r="AD28" s="234" t="b">
        <v>0</v>
      </c>
      <c r="AE28" s="234" t="b">
        <v>0</v>
      </c>
      <c r="AF28" s="234" t="b">
        <v>0</v>
      </c>
      <c r="AG28" s="234" t="b">
        <v>0</v>
      </c>
      <c r="AH28" s="234" t="b">
        <v>0</v>
      </c>
      <c r="AI28" s="234" t="b">
        <v>0</v>
      </c>
      <c r="AJ28" s="234" t="b">
        <v>0</v>
      </c>
      <c r="AK28" s="236" t="b">
        <v>1</v>
      </c>
      <c r="AL28" s="234" t="b">
        <v>0</v>
      </c>
      <c r="AM28" s="234"/>
      <c r="AN28" s="234" t="b">
        <v>0</v>
      </c>
      <c r="AO28" s="234" t="b">
        <v>0</v>
      </c>
      <c r="AP28" s="234" t="b">
        <v>0</v>
      </c>
      <c r="AQ28" s="237" t="s">
        <v>1283</v>
      </c>
      <c r="AR28" s="234" t="b">
        <v>0</v>
      </c>
      <c r="AS28" s="234"/>
      <c r="AT28" s="234"/>
      <c r="AU28" s="234"/>
      <c r="AV28" s="234"/>
      <c r="AW28" s="234" t="b">
        <v>0</v>
      </c>
      <c r="AX28" s="234"/>
      <c r="AY28" s="234"/>
      <c r="AZ28" s="236" t="b">
        <v>1</v>
      </c>
      <c r="BA28" s="238">
        <v>45395.0</v>
      </c>
      <c r="BB28" s="237" t="s">
        <v>666</v>
      </c>
    </row>
    <row r="29">
      <c r="A29" s="57">
        <v>2.124015827E9</v>
      </c>
      <c r="B29" s="109" t="str">
        <f>VLOOKUP($A29,ANAGRAFICA!$B$1:$G$306,2,FALSE)</f>
        <v>SCHIAVON</v>
      </c>
      <c r="C29" s="109" t="str">
        <f>VLOOKUP($A29,ANAGRAFICA!$B$1:$G$306,3,FALSE)</f>
        <v>ELIO PAOLO</v>
      </c>
      <c r="D29" s="109" t="str">
        <f>VLOOKUP($A29,ANAGRAFICA!$B$1:$G$306,4,FALSE)</f>
        <v>758-11</v>
      </c>
      <c r="E29" s="109">
        <f>VLOOKUP($A29,ANAGRAFICA!$B$1:$G$306,5,FALSE)</f>
        <v>3272024077</v>
      </c>
      <c r="F29" s="109">
        <f>VLOOKUP($A29,ANAGRAFICA!$B$1:$G$306,6,FALSE)</f>
        <v>2024</v>
      </c>
      <c r="G29" s="3">
        <v>1.0</v>
      </c>
      <c r="H29" s="233" t="s">
        <v>1275</v>
      </c>
      <c r="I29" s="233" t="s">
        <v>1276</v>
      </c>
      <c r="J29" s="233" t="s">
        <v>1277</v>
      </c>
      <c r="K29" s="234"/>
      <c r="L29" s="234"/>
      <c r="M29" s="234"/>
      <c r="N29" s="234"/>
      <c r="O29" s="234"/>
      <c r="P29" s="235">
        <f t="shared" si="1"/>
        <v>0</v>
      </c>
      <c r="Q29" s="236" t="b">
        <v>0</v>
      </c>
      <c r="R29" s="238"/>
      <c r="S29" s="237"/>
      <c r="T29" s="237"/>
      <c r="U29" s="236" t="b">
        <v>0</v>
      </c>
      <c r="V29" s="234" t="b">
        <v>0</v>
      </c>
      <c r="W29" s="234" t="b">
        <v>0</v>
      </c>
      <c r="X29" s="234" t="b">
        <v>0</v>
      </c>
      <c r="Y29" s="234" t="b">
        <v>0</v>
      </c>
      <c r="Z29" s="236" t="b">
        <v>0</v>
      </c>
      <c r="AA29" s="237" t="s">
        <v>1278</v>
      </c>
      <c r="AB29" s="237" t="s">
        <v>1279</v>
      </c>
      <c r="AC29" s="234" t="b">
        <v>0</v>
      </c>
      <c r="AD29" s="234" t="b">
        <v>0</v>
      </c>
      <c r="AE29" s="234" t="b">
        <v>0</v>
      </c>
      <c r="AF29" s="234" t="b">
        <v>0</v>
      </c>
      <c r="AG29" s="234" t="b">
        <v>0</v>
      </c>
      <c r="AH29" s="234" t="b">
        <v>0</v>
      </c>
      <c r="AI29" s="234" t="b">
        <v>0</v>
      </c>
      <c r="AJ29" s="234" t="b">
        <v>0</v>
      </c>
      <c r="AK29" s="236" t="b">
        <v>1</v>
      </c>
      <c r="AL29" s="234" t="b">
        <v>0</v>
      </c>
      <c r="AM29" s="234"/>
      <c r="AN29" s="234" t="b">
        <v>0</v>
      </c>
      <c r="AO29" s="234" t="b">
        <v>0</v>
      </c>
      <c r="AP29" s="234" t="b">
        <v>0</v>
      </c>
      <c r="AQ29" s="237" t="s">
        <v>1283</v>
      </c>
      <c r="AR29" s="234" t="b">
        <v>0</v>
      </c>
      <c r="AS29" s="234"/>
      <c r="AT29" s="234"/>
      <c r="AU29" s="234"/>
      <c r="AV29" s="234"/>
      <c r="AW29" s="234" t="b">
        <v>0</v>
      </c>
      <c r="AX29" s="234"/>
      <c r="AY29" s="234"/>
      <c r="AZ29" s="236" t="b">
        <v>1</v>
      </c>
      <c r="BA29" s="238">
        <v>45543.0</v>
      </c>
      <c r="BB29" s="237" t="s">
        <v>671</v>
      </c>
    </row>
    <row r="30">
      <c r="A30" s="57">
        <v>2.12400578E9</v>
      </c>
      <c r="B30" s="109" t="str">
        <f>VLOOKUP($A30,ANAGRAFICA!$B$1:$G$306,2,FALSE)</f>
        <v>SAINCIUC</v>
      </c>
      <c r="C30" s="109" t="str">
        <f>VLOOKUP($A30,ANAGRAFICA!$B$1:$G$306,3,FALSE)</f>
        <v>AUREL</v>
      </c>
      <c r="D30" s="109" t="str">
        <f>VLOOKUP($A30,ANAGRAFICA!$B$1:$G$306,4,FALSE)</f>
        <v/>
      </c>
      <c r="E30" s="109">
        <f>VLOOKUP($A30,ANAGRAFICA!$B$1:$G$306,5,FALSE)</f>
        <v>3272024061</v>
      </c>
      <c r="F30" s="109">
        <f>VLOOKUP($A30,ANAGRAFICA!$B$1:$G$306,6,FALSE)</f>
        <v>2024</v>
      </c>
      <c r="G30" s="3">
        <v>1.0</v>
      </c>
      <c r="H30" s="233" t="s">
        <v>1275</v>
      </c>
      <c r="I30" s="233" t="s">
        <v>1276</v>
      </c>
      <c r="J30" s="233" t="s">
        <v>1277</v>
      </c>
      <c r="K30" s="234"/>
      <c r="L30" s="234"/>
      <c r="M30" s="234"/>
      <c r="N30" s="234"/>
      <c r="O30" s="234"/>
      <c r="P30" s="235">
        <f t="shared" si="1"/>
        <v>0</v>
      </c>
      <c r="Q30" s="234" t="b">
        <v>0</v>
      </c>
      <c r="R30" s="234"/>
      <c r="S30" s="234"/>
      <c r="T30" s="234"/>
      <c r="U30" s="234" t="b">
        <v>0</v>
      </c>
      <c r="V30" s="234" t="b">
        <v>0</v>
      </c>
      <c r="W30" s="234" t="b">
        <v>0</v>
      </c>
      <c r="X30" s="234" t="b">
        <v>0</v>
      </c>
      <c r="Y30" s="234" t="b">
        <v>0</v>
      </c>
      <c r="Z30" s="236" t="b">
        <v>0</v>
      </c>
      <c r="AA30" s="237" t="s">
        <v>1278</v>
      </c>
      <c r="AB30" s="237" t="s">
        <v>1279</v>
      </c>
      <c r="AC30" s="234" t="b">
        <v>0</v>
      </c>
      <c r="AD30" s="234" t="b">
        <v>0</v>
      </c>
      <c r="AE30" s="234" t="b">
        <v>0</v>
      </c>
      <c r="AF30" s="234" t="b">
        <v>0</v>
      </c>
      <c r="AG30" s="234" t="b">
        <v>0</v>
      </c>
      <c r="AH30" s="234" t="b">
        <v>0</v>
      </c>
      <c r="AI30" s="234" t="b">
        <v>0</v>
      </c>
      <c r="AJ30" s="234" t="b">
        <v>0</v>
      </c>
      <c r="AK30" s="236" t="b">
        <v>1</v>
      </c>
      <c r="AL30" s="234" t="b">
        <v>0</v>
      </c>
      <c r="AM30" s="234"/>
      <c r="AN30" s="234" t="b">
        <v>0</v>
      </c>
      <c r="AO30" s="234" t="b">
        <v>0</v>
      </c>
      <c r="AP30" s="234" t="b">
        <v>0</v>
      </c>
      <c r="AQ30" s="237" t="s">
        <v>1283</v>
      </c>
      <c r="AR30" s="234" t="b">
        <v>0</v>
      </c>
      <c r="AS30" s="234"/>
      <c r="AT30" s="234"/>
      <c r="AU30" s="234"/>
      <c r="AV30" s="234"/>
      <c r="AW30" s="234" t="b">
        <v>0</v>
      </c>
      <c r="AX30" s="234"/>
      <c r="AY30" s="234"/>
      <c r="AZ30" s="236" t="b">
        <v>1</v>
      </c>
      <c r="BA30" s="238">
        <v>45376.0</v>
      </c>
      <c r="BB30" s="237" t="s">
        <v>1303</v>
      </c>
    </row>
    <row r="31">
      <c r="A31" s="57">
        <v>2.124008603E9</v>
      </c>
      <c r="B31" s="109" t="str">
        <f>VLOOKUP($A31,ANAGRAFICA!$B$1:$G$306,2,FALSE)</f>
        <v>MARIANI</v>
      </c>
      <c r="C31" s="109" t="str">
        <f>VLOOKUP($A31,ANAGRAFICA!$B$1:$G$306,3,FALSE)</f>
        <v>MARCO</v>
      </c>
      <c r="D31" s="109" t="str">
        <f>VLOOKUP($A31,ANAGRAFICA!$B$1:$G$306,4,FALSE)</f>
        <v/>
      </c>
      <c r="E31" s="109">
        <f>VLOOKUP($A31,ANAGRAFICA!$B$1:$G$306,5,FALSE)</f>
        <v>3272024066</v>
      </c>
      <c r="F31" s="109">
        <f>VLOOKUP($A31,ANAGRAFICA!$B$1:$G$306,6,FALSE)</f>
        <v>2024</v>
      </c>
      <c r="G31" s="3">
        <v>1.0</v>
      </c>
      <c r="H31" s="233" t="s">
        <v>1294</v>
      </c>
      <c r="I31" s="233" t="s">
        <v>1295</v>
      </c>
      <c r="J31" s="233" t="s">
        <v>1295</v>
      </c>
      <c r="K31" s="234"/>
      <c r="L31" s="237">
        <v>3.0</v>
      </c>
      <c r="M31" s="234"/>
      <c r="N31" s="234"/>
      <c r="O31" s="234"/>
      <c r="P31" s="235">
        <f t="shared" si="1"/>
        <v>3</v>
      </c>
      <c r="Q31" s="234" t="b">
        <v>0</v>
      </c>
      <c r="R31" s="234"/>
      <c r="S31" s="234"/>
      <c r="T31" s="234"/>
      <c r="U31" s="234" t="b">
        <v>0</v>
      </c>
      <c r="V31" s="234" t="b">
        <v>0</v>
      </c>
      <c r="W31" s="234" t="b">
        <v>0</v>
      </c>
      <c r="X31" s="234" t="b">
        <v>0</v>
      </c>
      <c r="Y31" s="234" t="b">
        <v>0</v>
      </c>
      <c r="Z31" s="236" t="b">
        <v>0</v>
      </c>
      <c r="AA31" s="237" t="s">
        <v>1300</v>
      </c>
      <c r="AB31" s="234"/>
      <c r="AC31" s="234" t="b">
        <v>0</v>
      </c>
      <c r="AD31" s="234" t="b">
        <v>0</v>
      </c>
      <c r="AE31" s="234" t="b">
        <v>0</v>
      </c>
      <c r="AF31" s="234" t="b">
        <v>0</v>
      </c>
      <c r="AG31" s="234" t="b">
        <v>0</v>
      </c>
      <c r="AH31" s="234" t="b">
        <v>0</v>
      </c>
      <c r="AI31" s="234" t="b">
        <v>0</v>
      </c>
      <c r="AJ31" s="236" t="b">
        <v>1</v>
      </c>
      <c r="AK31" s="236" t="b">
        <v>1</v>
      </c>
      <c r="AL31" s="234" t="b">
        <v>0</v>
      </c>
      <c r="AM31" s="234"/>
      <c r="AN31" s="234" t="b">
        <v>0</v>
      </c>
      <c r="AO31" s="234" t="b">
        <v>0</v>
      </c>
      <c r="AP31" s="234" t="b">
        <v>0</v>
      </c>
      <c r="AQ31" s="237" t="s">
        <v>1280</v>
      </c>
      <c r="AR31" s="234" t="b">
        <v>0</v>
      </c>
      <c r="AS31" s="234"/>
      <c r="AT31" s="234"/>
      <c r="AU31" s="234"/>
      <c r="AV31" s="234"/>
      <c r="AW31" s="236" t="b">
        <v>1</v>
      </c>
      <c r="AX31" s="238">
        <v>45419.0</v>
      </c>
      <c r="AY31" s="237" t="s">
        <v>87</v>
      </c>
      <c r="AZ31" s="234" t="b">
        <v>0</v>
      </c>
      <c r="BA31" s="234"/>
      <c r="BB31" s="234"/>
    </row>
    <row r="32">
      <c r="A32" s="57">
        <v>2.124006081E9</v>
      </c>
      <c r="B32" s="109" t="str">
        <f>VLOOKUP($A32,ANAGRAFICA!$B$1:$G$306,2,FALSE)</f>
        <v>DOSSI</v>
      </c>
      <c r="C32" s="109" t="str">
        <f>VLOOKUP($A32,ANAGRAFICA!$B$1:$G$306,3,FALSE)</f>
        <v>MAURIZIO ANTONIO</v>
      </c>
      <c r="D32" s="109" t="str">
        <f>VLOOKUP($A32,ANAGRAFICA!$B$1:$G$306,4,FALSE)</f>
        <v/>
      </c>
      <c r="E32" s="109">
        <f>VLOOKUP($A32,ANAGRAFICA!$B$1:$G$306,5,FALSE)</f>
        <v>3272024062</v>
      </c>
      <c r="F32" s="109">
        <f>VLOOKUP($A32,ANAGRAFICA!$B$1:$G$306,6,FALSE)</f>
        <v>2024</v>
      </c>
      <c r="G32" s="3">
        <v>1.0</v>
      </c>
      <c r="H32" s="233" t="s">
        <v>1275</v>
      </c>
      <c r="I32" s="233" t="s">
        <v>1276</v>
      </c>
      <c r="J32" s="233" t="s">
        <v>1277</v>
      </c>
      <c r="K32" s="234"/>
      <c r="L32" s="237">
        <v>10.0</v>
      </c>
      <c r="M32" s="237">
        <v>0.05</v>
      </c>
      <c r="N32" s="234"/>
      <c r="O32" s="237">
        <v>0.23</v>
      </c>
      <c r="P32" s="235">
        <f t="shared" si="1"/>
        <v>38</v>
      </c>
      <c r="Q32" s="236" t="b">
        <v>1</v>
      </c>
      <c r="R32" s="238">
        <v>45387.0</v>
      </c>
      <c r="S32" s="237" t="s">
        <v>655</v>
      </c>
      <c r="T32" s="237" t="s">
        <v>1304</v>
      </c>
      <c r="U32" s="234" t="b">
        <v>0</v>
      </c>
      <c r="V32" s="234" t="b">
        <v>0</v>
      </c>
      <c r="W32" s="234" t="b">
        <v>0</v>
      </c>
      <c r="X32" s="234" t="b">
        <v>0</v>
      </c>
      <c r="Y32" s="234" t="b">
        <v>0</v>
      </c>
      <c r="Z32" s="236" t="b">
        <v>0</v>
      </c>
      <c r="AA32" s="237" t="s">
        <v>35</v>
      </c>
      <c r="AB32" s="237" t="s">
        <v>1281</v>
      </c>
      <c r="AC32" s="236" t="b">
        <v>1</v>
      </c>
      <c r="AD32" s="236" t="b">
        <v>1</v>
      </c>
      <c r="AE32" s="234" t="b">
        <v>0</v>
      </c>
      <c r="AF32" s="234" t="b">
        <v>0</v>
      </c>
      <c r="AG32" s="234" t="b">
        <v>0</v>
      </c>
      <c r="AH32" s="236" t="b">
        <v>1</v>
      </c>
      <c r="AI32" s="236" t="b">
        <v>1</v>
      </c>
      <c r="AJ32" s="236" t="b">
        <v>1</v>
      </c>
      <c r="AK32" s="234" t="b">
        <v>0</v>
      </c>
      <c r="AL32" s="234" t="b">
        <v>0</v>
      </c>
      <c r="AM32" s="234"/>
      <c r="AN32" s="234" t="b">
        <v>0</v>
      </c>
      <c r="AO32" s="234" t="b">
        <v>0</v>
      </c>
      <c r="AP32" s="234" t="b">
        <v>0</v>
      </c>
      <c r="AQ32" s="237" t="s">
        <v>1282</v>
      </c>
      <c r="AR32" s="234" t="b">
        <v>0</v>
      </c>
      <c r="AS32" s="234"/>
      <c r="AT32" s="234"/>
      <c r="AU32" s="234"/>
      <c r="AV32" s="234"/>
      <c r="AW32" s="236" t="b">
        <v>1</v>
      </c>
      <c r="AX32" s="238">
        <v>45387.0</v>
      </c>
      <c r="AY32" s="237" t="s">
        <v>353</v>
      </c>
      <c r="AZ32" s="234" t="b">
        <v>0</v>
      </c>
      <c r="BA32" s="234"/>
      <c r="BB32" s="234"/>
    </row>
    <row r="33">
      <c r="A33" s="57">
        <v>2.124004761E9</v>
      </c>
      <c r="B33" s="109" t="str">
        <f>VLOOKUP($A33,ANAGRAFICA!$B$1:$G$306,2,FALSE)</f>
        <v>TRAMPOLIN</v>
      </c>
      <c r="C33" s="109" t="str">
        <f>VLOOKUP($A33,ANAGRAFICA!$B$1:$G$306,3,FALSE)</f>
        <v>FABIO</v>
      </c>
      <c r="D33" s="109" t="str">
        <f>VLOOKUP($A33,ANAGRAFICA!$B$1:$G$306,4,FALSE)</f>
        <v/>
      </c>
      <c r="E33" s="109">
        <f>VLOOKUP($A33,ANAGRAFICA!$B$1:$G$306,5,FALSE)</f>
        <v>3272024060</v>
      </c>
      <c r="F33" s="109">
        <f>VLOOKUP($A33,ANAGRAFICA!$B$1:$G$306,6,FALSE)</f>
        <v>2024</v>
      </c>
      <c r="G33" s="3">
        <v>1.0</v>
      </c>
      <c r="H33" s="233" t="s">
        <v>1275</v>
      </c>
      <c r="I33" s="233" t="s">
        <v>1277</v>
      </c>
      <c r="J33" s="233" t="s">
        <v>1277</v>
      </c>
      <c r="K33" s="234"/>
      <c r="L33" s="234"/>
      <c r="M33" s="234"/>
      <c r="N33" s="234"/>
      <c r="O33" s="234"/>
      <c r="P33" s="235">
        <f t="shared" si="1"/>
        <v>0</v>
      </c>
      <c r="Q33" s="234" t="b">
        <v>0</v>
      </c>
      <c r="R33" s="234"/>
      <c r="S33" s="234"/>
      <c r="T33" s="234"/>
      <c r="U33" s="234" t="b">
        <v>0</v>
      </c>
      <c r="V33" s="234" t="b">
        <v>0</v>
      </c>
      <c r="W33" s="234" t="b">
        <v>0</v>
      </c>
      <c r="X33" s="234" t="b">
        <v>0</v>
      </c>
      <c r="Y33" s="234" t="b">
        <v>0</v>
      </c>
      <c r="Z33" s="236" t="b">
        <v>0</v>
      </c>
      <c r="AA33" s="237" t="s">
        <v>1278</v>
      </c>
      <c r="AB33" s="237" t="s">
        <v>1279</v>
      </c>
      <c r="AC33" s="234" t="b">
        <v>0</v>
      </c>
      <c r="AD33" s="234" t="b">
        <v>0</v>
      </c>
      <c r="AE33" s="234" t="b">
        <v>0</v>
      </c>
      <c r="AF33" s="236" t="b">
        <v>0</v>
      </c>
      <c r="AG33" s="236" t="b">
        <v>1</v>
      </c>
      <c r="AH33" s="236" t="b">
        <v>1</v>
      </c>
      <c r="AI33" s="234" t="b">
        <v>0</v>
      </c>
      <c r="AJ33" s="234" t="b">
        <v>0</v>
      </c>
      <c r="AK33" s="236" t="b">
        <v>1</v>
      </c>
      <c r="AL33" s="234" t="b">
        <v>0</v>
      </c>
      <c r="AM33" s="234"/>
      <c r="AN33" s="234" t="b">
        <v>0</v>
      </c>
      <c r="AO33" s="234" t="b">
        <v>0</v>
      </c>
      <c r="AP33" s="234" t="b">
        <v>0</v>
      </c>
      <c r="AQ33" s="237" t="s">
        <v>1283</v>
      </c>
      <c r="AR33" s="234" t="b">
        <v>0</v>
      </c>
      <c r="AS33" s="234"/>
      <c r="AT33" s="234"/>
      <c r="AU33" s="234"/>
      <c r="AV33" s="234"/>
      <c r="AW33" s="234" t="b">
        <v>0</v>
      </c>
      <c r="AX33" s="234"/>
      <c r="AY33" s="234"/>
      <c r="AZ33" s="234" t="b">
        <v>0</v>
      </c>
      <c r="BA33" s="234"/>
      <c r="BB33" s="234"/>
    </row>
    <row r="34">
      <c r="A34" s="57">
        <v>2.124003924E9</v>
      </c>
      <c r="B34" s="109" t="str">
        <f>VLOOKUP($A34,ANAGRAFICA!$B$1:$G$306,2,FALSE)</f>
        <v>MUHAMMAD</v>
      </c>
      <c r="C34" s="109" t="str">
        <f>VLOOKUP($A34,ANAGRAFICA!$B$1:$G$306,3,FALSE)</f>
        <v>SHARIF</v>
      </c>
      <c r="D34" s="109" t="str">
        <f>VLOOKUP($A34,ANAGRAFICA!$B$1:$G$306,4,FALSE)</f>
        <v/>
      </c>
      <c r="E34" s="109">
        <f>VLOOKUP($A34,ANAGRAFICA!$B$1:$G$306,5,FALSE)</f>
        <v>3272024059</v>
      </c>
      <c r="F34" s="109">
        <f>VLOOKUP($A34,ANAGRAFICA!$B$1:$G$306,6,FALSE)</f>
        <v>2024</v>
      </c>
      <c r="G34" s="3">
        <v>1.0</v>
      </c>
      <c r="H34" s="233" t="s">
        <v>1275</v>
      </c>
      <c r="I34" s="233" t="s">
        <v>1277</v>
      </c>
      <c r="J34" s="233" t="s">
        <v>1277</v>
      </c>
      <c r="K34" s="234"/>
      <c r="L34" s="234"/>
      <c r="M34" s="234"/>
      <c r="N34" s="234"/>
      <c r="O34" s="234"/>
      <c r="P34" s="235">
        <f t="shared" si="1"/>
        <v>0</v>
      </c>
      <c r="Q34" s="234" t="b">
        <v>0</v>
      </c>
      <c r="R34" s="234"/>
      <c r="S34" s="234"/>
      <c r="T34" s="234"/>
      <c r="U34" s="234" t="b">
        <v>0</v>
      </c>
      <c r="V34" s="234" t="b">
        <v>0</v>
      </c>
      <c r="W34" s="234" t="b">
        <v>0</v>
      </c>
      <c r="X34" s="234" t="b">
        <v>0</v>
      </c>
      <c r="Y34" s="234" t="b">
        <v>0</v>
      </c>
      <c r="Z34" s="236" t="b">
        <v>0</v>
      </c>
      <c r="AA34" s="237" t="s">
        <v>1278</v>
      </c>
      <c r="AB34" s="237" t="s">
        <v>1279</v>
      </c>
      <c r="AC34" s="234" t="b">
        <v>0</v>
      </c>
      <c r="AD34" s="234" t="b">
        <v>0</v>
      </c>
      <c r="AE34" s="234" t="b">
        <v>0</v>
      </c>
      <c r="AF34" s="236" t="b">
        <v>1</v>
      </c>
      <c r="AG34" s="236" t="b">
        <v>1</v>
      </c>
      <c r="AH34" s="236" t="b">
        <v>1</v>
      </c>
      <c r="AI34" s="234" t="b">
        <v>0</v>
      </c>
      <c r="AJ34" s="234" t="b">
        <v>0</v>
      </c>
      <c r="AK34" s="236" t="b">
        <v>1</v>
      </c>
      <c r="AL34" s="234" t="b">
        <v>0</v>
      </c>
      <c r="AM34" s="234"/>
      <c r="AN34" s="234" t="b">
        <v>0</v>
      </c>
      <c r="AO34" s="234" t="b">
        <v>0</v>
      </c>
      <c r="AP34" s="234" t="b">
        <v>0</v>
      </c>
      <c r="AQ34" s="237" t="s">
        <v>1283</v>
      </c>
      <c r="AR34" s="234" t="b">
        <v>0</v>
      </c>
      <c r="AS34" s="234"/>
      <c r="AT34" s="234"/>
      <c r="AU34" s="234"/>
      <c r="AV34" s="234"/>
      <c r="AW34" s="236" t="b">
        <v>1</v>
      </c>
      <c r="AX34" s="238">
        <v>45349.0</v>
      </c>
      <c r="AY34" s="237" t="s">
        <v>292</v>
      </c>
      <c r="AZ34" s="236" t="b">
        <v>1</v>
      </c>
      <c r="BA34" s="238">
        <v>45349.0</v>
      </c>
      <c r="BB34" s="237" t="s">
        <v>677</v>
      </c>
    </row>
    <row r="35">
      <c r="A35" s="57">
        <v>2.124206072E9</v>
      </c>
      <c r="B35" s="109" t="str">
        <f>VLOOKUP($A35,ANAGRAFICA!$B$1:$G$306,2,FALSE)</f>
        <v>CONSONNI</v>
      </c>
      <c r="C35" s="109" t="str">
        <f>VLOOKUP($A35,ANAGRAFICA!$B$1:$G$306,3,FALSE)</f>
        <v>GIULIO</v>
      </c>
      <c r="D35" s="109" t="str">
        <f>VLOOKUP($A35,ANAGRAFICA!$B$1:$G$306,4,FALSE)</f>
        <v/>
      </c>
      <c r="E35" s="109">
        <f>VLOOKUP($A35,ANAGRAFICA!$B$1:$G$306,5,FALSE)</f>
        <v>3272024064</v>
      </c>
      <c r="F35" s="109">
        <f>VLOOKUP($A35,ANAGRAFICA!$B$1:$G$306,6,FALSE)</f>
        <v>2024</v>
      </c>
      <c r="G35" s="3">
        <v>2.0</v>
      </c>
      <c r="H35" s="233" t="s">
        <v>1275</v>
      </c>
      <c r="I35" s="233" t="s">
        <v>1276</v>
      </c>
      <c r="J35" s="233" t="s">
        <v>1277</v>
      </c>
      <c r="K35" s="234"/>
      <c r="L35" s="237">
        <v>10.0</v>
      </c>
      <c r="M35" s="234"/>
      <c r="N35" s="234"/>
      <c r="O35" s="237">
        <v>0.33</v>
      </c>
      <c r="P35" s="235">
        <f t="shared" si="1"/>
        <v>43</v>
      </c>
      <c r="Q35" s="234" t="b">
        <v>0</v>
      </c>
      <c r="R35" s="234"/>
      <c r="S35" s="234"/>
      <c r="T35" s="234"/>
      <c r="U35" s="234" t="b">
        <v>0</v>
      </c>
      <c r="V35" s="234" t="b">
        <v>0</v>
      </c>
      <c r="W35" s="234" t="b">
        <v>0</v>
      </c>
      <c r="X35" s="234" t="b">
        <v>0</v>
      </c>
      <c r="Y35" s="234" t="b">
        <v>0</v>
      </c>
      <c r="Z35" s="236" t="b">
        <v>0</v>
      </c>
      <c r="AA35" s="237" t="s">
        <v>1278</v>
      </c>
      <c r="AB35" s="237" t="s">
        <v>1279</v>
      </c>
      <c r="AC35" s="234" t="b">
        <v>0</v>
      </c>
      <c r="AD35" s="234" t="b">
        <v>0</v>
      </c>
      <c r="AE35" s="234" t="b">
        <v>0</v>
      </c>
      <c r="AF35" s="234" t="b">
        <v>0</v>
      </c>
      <c r="AG35" s="236" t="b">
        <v>0</v>
      </c>
      <c r="AH35" s="234" t="b">
        <v>0</v>
      </c>
      <c r="AI35" s="234" t="b">
        <v>0</v>
      </c>
      <c r="AJ35" s="234" t="b">
        <v>0</v>
      </c>
      <c r="AK35" s="236" t="b">
        <v>1</v>
      </c>
      <c r="AL35" s="234" t="b">
        <v>0</v>
      </c>
      <c r="AM35" s="234"/>
      <c r="AN35" s="234" t="b">
        <v>0</v>
      </c>
      <c r="AO35" s="234" t="b">
        <v>0</v>
      </c>
      <c r="AP35" s="234" t="b">
        <v>0</v>
      </c>
      <c r="AQ35" s="237" t="s">
        <v>1282</v>
      </c>
      <c r="AR35" s="234" t="b">
        <v>0</v>
      </c>
      <c r="AS35" s="234"/>
      <c r="AT35" s="234"/>
      <c r="AU35" s="234"/>
      <c r="AV35" s="234"/>
      <c r="AW35" s="234" t="b">
        <v>0</v>
      </c>
      <c r="AX35" s="234"/>
      <c r="AY35" s="234"/>
      <c r="AZ35" s="236" t="b">
        <v>1</v>
      </c>
      <c r="BA35" s="238">
        <v>45416.0</v>
      </c>
      <c r="BB35" s="237" t="s">
        <v>679</v>
      </c>
    </row>
    <row r="36">
      <c r="A36" s="57">
        <v>2.124023603E9</v>
      </c>
      <c r="B36" s="109" t="str">
        <f>VLOOKUP($A36,ANAGRAFICA!$B$1:$G$306,2,FALSE)</f>
        <v>MAZZARDIS </v>
      </c>
      <c r="C36" s="109" t="str">
        <f>VLOOKUP($A36,ANAGRAFICA!$B$1:$G$306,3,FALSE)</f>
        <v>DAVIDE</v>
      </c>
      <c r="D36" s="109" t="str">
        <f>VLOOKUP($A36,ANAGRAFICA!$B$1:$G$306,4,FALSE)</f>
        <v>758-19</v>
      </c>
      <c r="E36" s="109">
        <f>VLOOKUP($A36,ANAGRAFICA!$B$1:$G$306,5,FALSE)</f>
        <v>3272024085</v>
      </c>
      <c r="F36" s="109">
        <f>VLOOKUP($A36,ANAGRAFICA!$B$1:$G$306,6,FALSE)</f>
        <v>2024</v>
      </c>
      <c r="G36" s="3">
        <v>1.0</v>
      </c>
      <c r="H36" s="233" t="s">
        <v>1275</v>
      </c>
      <c r="I36" s="233" t="s">
        <v>1277</v>
      </c>
      <c r="J36" s="233" t="s">
        <v>1277</v>
      </c>
      <c r="K36" s="234"/>
      <c r="L36" s="234"/>
      <c r="M36" s="234"/>
      <c r="N36" s="234"/>
      <c r="O36" s="240">
        <v>6.944444444444445E-4</v>
      </c>
      <c r="P36" s="241">
        <f t="shared" si="1"/>
        <v>0.06944444444</v>
      </c>
      <c r="Q36" s="234" t="b">
        <v>0</v>
      </c>
      <c r="R36" s="234"/>
      <c r="S36" s="234"/>
      <c r="T36" s="234"/>
      <c r="U36" s="234" t="b">
        <v>0</v>
      </c>
      <c r="V36" s="234" t="b">
        <v>0</v>
      </c>
      <c r="W36" s="234" t="b">
        <v>0</v>
      </c>
      <c r="X36" s="234" t="b">
        <v>0</v>
      </c>
      <c r="Y36" s="234" t="b">
        <v>0</v>
      </c>
      <c r="Z36" s="236" t="b">
        <v>0</v>
      </c>
      <c r="AA36" s="237" t="s">
        <v>1278</v>
      </c>
      <c r="AB36" s="237" t="s">
        <v>1279</v>
      </c>
      <c r="AC36" s="236" t="b">
        <v>1</v>
      </c>
      <c r="AD36" s="234" t="b">
        <v>0</v>
      </c>
      <c r="AE36" s="234" t="b">
        <v>0</v>
      </c>
      <c r="AF36" s="234" t="b">
        <v>0</v>
      </c>
      <c r="AG36" s="236" t="b">
        <v>1</v>
      </c>
      <c r="AH36" s="234" t="b">
        <v>0</v>
      </c>
      <c r="AI36" s="234" t="b">
        <v>0</v>
      </c>
      <c r="AJ36" s="234" t="b">
        <v>0</v>
      </c>
      <c r="AK36" s="236" t="b">
        <v>1</v>
      </c>
      <c r="AL36" s="234" t="b">
        <v>0</v>
      </c>
      <c r="AM36" s="234"/>
      <c r="AN36" s="234" t="b">
        <v>0</v>
      </c>
      <c r="AO36" s="234" t="b">
        <v>0</v>
      </c>
      <c r="AP36" s="234" t="b">
        <v>0</v>
      </c>
      <c r="AQ36" s="237" t="s">
        <v>1283</v>
      </c>
      <c r="AR36" s="234" t="b">
        <v>0</v>
      </c>
      <c r="AS36" s="234"/>
      <c r="AT36" s="234"/>
      <c r="AU36" s="234"/>
      <c r="AV36" s="234"/>
      <c r="AW36" s="234" t="b">
        <v>0</v>
      </c>
      <c r="AX36" s="234"/>
      <c r="AY36" s="234"/>
      <c r="AZ36" s="236" t="b">
        <v>1</v>
      </c>
      <c r="BA36" s="239">
        <v>45622.0</v>
      </c>
      <c r="BB36" s="237" t="s">
        <v>1305</v>
      </c>
    </row>
    <row r="37">
      <c r="A37" s="57">
        <v>2.124014461E9</v>
      </c>
      <c r="B37" s="109" t="str">
        <f>VLOOKUP($A37,ANAGRAFICA!$B$1:$G$306,2,FALSE)</f>
        <v>FUMAGALLI</v>
      </c>
      <c r="C37" s="109" t="str">
        <f>VLOOKUP($A37,ANAGRAFICA!$B$1:$G$306,3,FALSE)</f>
        <v>LUCA</v>
      </c>
      <c r="D37" s="109" t="str">
        <f>VLOOKUP($A37,ANAGRAFICA!$B$1:$G$306,4,FALSE)</f>
        <v>758-10</v>
      </c>
      <c r="E37" s="109">
        <f>VLOOKUP($A37,ANAGRAFICA!$B$1:$G$306,5,FALSE)</f>
        <v>3272024076</v>
      </c>
      <c r="F37" s="109">
        <f>VLOOKUP($A37,ANAGRAFICA!$B$1:$G$306,6,FALSE)</f>
        <v>2024</v>
      </c>
      <c r="G37" s="3">
        <v>1.0</v>
      </c>
      <c r="H37" s="233" t="s">
        <v>1275</v>
      </c>
      <c r="I37" s="233" t="s">
        <v>1276</v>
      </c>
      <c r="J37" s="233" t="s">
        <v>1277</v>
      </c>
      <c r="K37" s="234"/>
      <c r="L37" s="237">
        <v>9.5</v>
      </c>
      <c r="M37" s="237">
        <v>0.08</v>
      </c>
      <c r="N37" s="237">
        <v>0.03</v>
      </c>
      <c r="O37" s="237">
        <v>0.3</v>
      </c>
      <c r="P37" s="235">
        <f t="shared" si="1"/>
        <v>347.5</v>
      </c>
      <c r="Q37" s="234" t="b">
        <v>0</v>
      </c>
      <c r="R37" s="234"/>
      <c r="S37" s="234"/>
      <c r="T37" s="234"/>
      <c r="U37" s="234" t="b">
        <v>0</v>
      </c>
      <c r="V37" s="234" t="b">
        <v>0</v>
      </c>
      <c r="W37" s="234" t="b">
        <v>0</v>
      </c>
      <c r="X37" s="234" t="b">
        <v>0</v>
      </c>
      <c r="Y37" s="234" t="b">
        <v>0</v>
      </c>
      <c r="Z37" s="236" t="b">
        <v>0</v>
      </c>
      <c r="AA37" s="237" t="s">
        <v>1290</v>
      </c>
      <c r="AB37" s="237" t="s">
        <v>1281</v>
      </c>
      <c r="AC37" s="236" t="b">
        <v>1</v>
      </c>
      <c r="AD37" s="234" t="b">
        <v>0</v>
      </c>
      <c r="AE37" s="234" t="b">
        <v>0</v>
      </c>
      <c r="AF37" s="234" t="b">
        <v>0</v>
      </c>
      <c r="AG37" s="234" t="b">
        <v>0</v>
      </c>
      <c r="AH37" s="236" t="b">
        <v>1</v>
      </c>
      <c r="AI37" s="234" t="b">
        <v>0</v>
      </c>
      <c r="AJ37" s="234" t="b">
        <v>0</v>
      </c>
      <c r="AK37" s="234" t="b">
        <v>0</v>
      </c>
      <c r="AL37" s="234" t="b">
        <v>0</v>
      </c>
      <c r="AM37" s="234"/>
      <c r="AN37" s="234" t="b">
        <v>0</v>
      </c>
      <c r="AO37" s="234" t="b">
        <v>0</v>
      </c>
      <c r="AP37" s="234" t="b">
        <v>0</v>
      </c>
      <c r="AQ37" s="237" t="s">
        <v>1280</v>
      </c>
      <c r="AR37" s="234" t="b">
        <v>0</v>
      </c>
      <c r="AS37" s="234"/>
      <c r="AT37" s="234"/>
      <c r="AU37" s="234"/>
      <c r="AV37" s="234"/>
      <c r="AW37" s="236" t="b">
        <v>1</v>
      </c>
      <c r="AX37" s="238">
        <v>45524.0</v>
      </c>
      <c r="AY37" s="237" t="s">
        <v>1053</v>
      </c>
      <c r="AZ37" s="234" t="b">
        <v>0</v>
      </c>
      <c r="BA37" s="234"/>
      <c r="BB37" s="234"/>
    </row>
    <row r="38">
      <c r="A38" s="57">
        <v>2.124016781E9</v>
      </c>
      <c r="B38" s="109" t="str">
        <f>VLOOKUP($A38,ANAGRAFICA!$B$1:$G$306,2,FALSE)</f>
        <v>TURNO ARTHEMALLE</v>
      </c>
      <c r="C38" s="109" t="str">
        <f>VLOOKUP($A38,ANAGRAFICA!$B$1:$G$306,3,FALSE)</f>
        <v>ALICE</v>
      </c>
      <c r="D38" s="109" t="str">
        <f>VLOOKUP($A38,ANAGRAFICA!$B$1:$G$306,4,FALSE)</f>
        <v>758-12</v>
      </c>
      <c r="E38" s="109">
        <f>VLOOKUP($A38,ANAGRAFICA!$B$1:$G$306,5,FALSE)</f>
        <v>3272024078</v>
      </c>
      <c r="F38" s="109">
        <f>VLOOKUP($A38,ANAGRAFICA!$B$1:$G$306,6,FALSE)</f>
        <v>2024</v>
      </c>
      <c r="G38" s="3">
        <v>1.0</v>
      </c>
      <c r="H38" s="233" t="s">
        <v>1306</v>
      </c>
      <c r="I38" s="233" t="s">
        <v>1295</v>
      </c>
      <c r="J38" s="233" t="s">
        <v>1277</v>
      </c>
      <c r="K38" s="234"/>
      <c r="L38" s="234"/>
      <c r="M38" s="237">
        <v>0.29</v>
      </c>
      <c r="N38" s="234"/>
      <c r="O38" s="234"/>
      <c r="P38" s="235">
        <f t="shared" si="1"/>
        <v>29</v>
      </c>
      <c r="Q38" s="234" t="b">
        <v>0</v>
      </c>
      <c r="R38" s="234"/>
      <c r="S38" s="234"/>
      <c r="T38" s="234"/>
      <c r="U38" s="234" t="b">
        <v>0</v>
      </c>
      <c r="V38" s="234" t="b">
        <v>0</v>
      </c>
      <c r="W38" s="234" t="b">
        <v>0</v>
      </c>
      <c r="X38" s="234" t="b">
        <v>0</v>
      </c>
      <c r="Y38" s="234" t="b">
        <v>0</v>
      </c>
      <c r="Z38" s="236" t="b">
        <v>0</v>
      </c>
      <c r="AA38" s="237" t="s">
        <v>1278</v>
      </c>
      <c r="AB38" s="237" t="s">
        <v>1307</v>
      </c>
      <c r="AC38" s="234" t="b">
        <v>0</v>
      </c>
      <c r="AD38" s="234" t="b">
        <v>0</v>
      </c>
      <c r="AE38" s="234" t="b">
        <v>0</v>
      </c>
      <c r="AF38" s="234" t="b">
        <v>0</v>
      </c>
      <c r="AG38" s="234" t="b">
        <v>0</v>
      </c>
      <c r="AH38" s="234" t="b">
        <v>0</v>
      </c>
      <c r="AI38" s="236" t="b">
        <v>1</v>
      </c>
      <c r="AJ38" s="234" t="b">
        <v>0</v>
      </c>
      <c r="AK38" s="234" t="b">
        <v>0</v>
      </c>
      <c r="AL38" s="234" t="b">
        <v>0</v>
      </c>
      <c r="AM38" s="234"/>
      <c r="AN38" s="234" t="b">
        <v>0</v>
      </c>
      <c r="AO38" s="234" t="b">
        <v>0</v>
      </c>
      <c r="AP38" s="234" t="b">
        <v>0</v>
      </c>
      <c r="AQ38" s="237" t="s">
        <v>1280</v>
      </c>
      <c r="AR38" s="234" t="b">
        <v>0</v>
      </c>
      <c r="AS38" s="234"/>
      <c r="AT38" s="234"/>
      <c r="AU38" s="234"/>
      <c r="AV38" s="234"/>
      <c r="AW38" s="234" t="b">
        <v>0</v>
      </c>
      <c r="AX38" s="234"/>
      <c r="AY38" s="234"/>
      <c r="AZ38" s="234" t="b">
        <v>0</v>
      </c>
      <c r="BA38" s="234"/>
      <c r="BB38" s="234"/>
    </row>
    <row r="39">
      <c r="A39" s="57">
        <v>2.124024078E9</v>
      </c>
      <c r="B39" s="109" t="str">
        <f>VLOOKUP($A39,ANAGRAFICA!$B$1:$G$306,2,FALSE)</f>
        <v>ROVARIS</v>
      </c>
      <c r="C39" s="109" t="str">
        <f>VLOOKUP($A39,ANAGRAFICA!$B$1:$G$306,3,FALSE)</f>
        <v>ANGELO FELICE</v>
      </c>
      <c r="D39" s="109" t="str">
        <f>VLOOKUP($A39,ANAGRAFICA!$B$1:$G$306,4,FALSE)</f>
        <v>758-20</v>
      </c>
      <c r="E39" s="109">
        <f>VLOOKUP($A39,ANAGRAFICA!$B$1:$G$306,5,FALSE)</f>
        <v>3272024086</v>
      </c>
      <c r="F39" s="109">
        <f>VLOOKUP($A39,ANAGRAFICA!$B$1:$G$306,6,FALSE)</f>
        <v>2024</v>
      </c>
      <c r="G39" s="3">
        <v>1.0</v>
      </c>
      <c r="H39" s="233" t="s">
        <v>1275</v>
      </c>
      <c r="I39" s="233" t="s">
        <v>1276</v>
      </c>
      <c r="J39" s="233" t="s">
        <v>1277</v>
      </c>
      <c r="K39" s="234"/>
      <c r="L39" s="234"/>
      <c r="M39" s="234"/>
      <c r="N39" s="234"/>
      <c r="O39" s="237">
        <v>0.07</v>
      </c>
      <c r="P39" s="235">
        <f t="shared" si="1"/>
        <v>7</v>
      </c>
      <c r="Q39" s="234" t="b">
        <v>0</v>
      </c>
      <c r="R39" s="234"/>
      <c r="S39" s="234"/>
      <c r="T39" s="234"/>
      <c r="U39" s="234" t="b">
        <v>0</v>
      </c>
      <c r="V39" s="234" t="b">
        <v>0</v>
      </c>
      <c r="W39" s="234" t="b">
        <v>0</v>
      </c>
      <c r="X39" s="234" t="b">
        <v>0</v>
      </c>
      <c r="Y39" s="234" t="b">
        <v>0</v>
      </c>
      <c r="Z39" s="236" t="b">
        <v>0</v>
      </c>
      <c r="AA39" s="237" t="s">
        <v>1278</v>
      </c>
      <c r="AB39" s="237" t="s">
        <v>1291</v>
      </c>
      <c r="AC39" s="234" t="b">
        <v>0</v>
      </c>
      <c r="AD39" s="234" t="b">
        <v>0</v>
      </c>
      <c r="AE39" s="234" t="b">
        <v>0</v>
      </c>
      <c r="AF39" s="234" t="b">
        <v>0</v>
      </c>
      <c r="AG39" s="234" t="b">
        <v>0</v>
      </c>
      <c r="AH39" s="236" t="b">
        <v>1</v>
      </c>
      <c r="AI39" s="234" t="b">
        <v>0</v>
      </c>
      <c r="AJ39" s="234" t="b">
        <v>0</v>
      </c>
      <c r="AK39" s="236" t="b">
        <v>1</v>
      </c>
      <c r="AL39" s="234" t="b">
        <v>0</v>
      </c>
      <c r="AM39" s="234"/>
      <c r="AN39" s="234" t="b">
        <v>0</v>
      </c>
      <c r="AO39" s="234" t="b">
        <v>0</v>
      </c>
      <c r="AP39" s="234" t="b">
        <v>0</v>
      </c>
      <c r="AQ39" s="237" t="s">
        <v>1283</v>
      </c>
      <c r="AR39" s="234" t="b">
        <v>0</v>
      </c>
      <c r="AS39" s="234"/>
      <c r="AT39" s="234"/>
      <c r="AU39" s="234"/>
      <c r="AV39" s="234"/>
      <c r="AW39" s="236" t="b">
        <v>1</v>
      </c>
      <c r="AX39" s="239">
        <v>45624.0</v>
      </c>
      <c r="AY39" s="237" t="s">
        <v>1232</v>
      </c>
      <c r="AZ39" s="236" t="b">
        <v>1</v>
      </c>
      <c r="BA39" s="239">
        <v>45624.0</v>
      </c>
      <c r="BB39" s="237" t="s">
        <v>1308</v>
      </c>
    </row>
    <row r="40">
      <c r="A40" s="57">
        <v>2.124025195E9</v>
      </c>
      <c r="B40" s="109" t="str">
        <f>VLOOKUP($A40,ANAGRAFICA!$B$1:$G$306,2,FALSE)</f>
        <v>FAZIO</v>
      </c>
      <c r="C40" s="109" t="str">
        <f>VLOOKUP($A40,ANAGRAFICA!$B$1:$G$306,3,FALSE)</f>
        <v>FRANCESCO ANTONIO</v>
      </c>
      <c r="D40" s="109" t="str">
        <f>VLOOKUP($A40,ANAGRAFICA!$B$1:$G$306,4,FALSE)</f>
        <v>758-21</v>
      </c>
      <c r="E40" s="109">
        <f>VLOOKUP($A40,ANAGRAFICA!$B$1:$G$306,5,FALSE)</f>
        <v>3272024087</v>
      </c>
      <c r="F40" s="109">
        <f>VLOOKUP($A40,ANAGRAFICA!$B$1:$G$306,6,FALSE)</f>
        <v>2024</v>
      </c>
      <c r="G40" s="3">
        <v>1.0</v>
      </c>
      <c r="H40" s="233" t="s">
        <v>1275</v>
      </c>
      <c r="I40" s="233" t="s">
        <v>1277</v>
      </c>
      <c r="J40" s="233" t="s">
        <v>1277</v>
      </c>
      <c r="K40" s="234"/>
      <c r="L40" s="234"/>
      <c r="M40" s="237"/>
      <c r="N40" s="234"/>
      <c r="O40" s="234"/>
      <c r="P40" s="235">
        <f t="shared" si="1"/>
        <v>0</v>
      </c>
      <c r="Q40" s="234" t="b">
        <v>0</v>
      </c>
      <c r="R40" s="234"/>
      <c r="S40" s="234"/>
      <c r="T40" s="234"/>
      <c r="U40" s="234" t="b">
        <v>0</v>
      </c>
      <c r="V40" s="234" t="b">
        <v>0</v>
      </c>
      <c r="W40" s="234" t="b">
        <v>0</v>
      </c>
      <c r="X40" s="234" t="b">
        <v>0</v>
      </c>
      <c r="Y40" s="234" t="b">
        <v>0</v>
      </c>
      <c r="Z40" s="236" t="b">
        <v>0</v>
      </c>
      <c r="AA40" s="237" t="s">
        <v>1278</v>
      </c>
      <c r="AB40" s="237" t="s">
        <v>1291</v>
      </c>
      <c r="AC40" s="234" t="b">
        <v>0</v>
      </c>
      <c r="AD40" s="234" t="b">
        <v>0</v>
      </c>
      <c r="AE40" s="234" t="b">
        <v>0</v>
      </c>
      <c r="AF40" s="234" t="b">
        <v>0</v>
      </c>
      <c r="AG40" s="236" t="b">
        <v>1</v>
      </c>
      <c r="AH40" s="236" t="b">
        <v>1</v>
      </c>
      <c r="AI40" s="234" t="b">
        <v>0</v>
      </c>
      <c r="AJ40" s="234" t="b">
        <v>0</v>
      </c>
      <c r="AK40" s="236" t="b">
        <v>1</v>
      </c>
      <c r="AL40" s="234" t="b">
        <v>0</v>
      </c>
      <c r="AM40" s="234"/>
      <c r="AN40" s="234" t="b">
        <v>0</v>
      </c>
      <c r="AO40" s="234" t="b">
        <v>0</v>
      </c>
      <c r="AP40" s="234" t="b">
        <v>0</v>
      </c>
      <c r="AQ40" s="237" t="s">
        <v>1283</v>
      </c>
      <c r="AR40" s="234" t="b">
        <v>0</v>
      </c>
      <c r="AS40" s="234"/>
      <c r="AT40" s="234"/>
      <c r="AU40" s="234"/>
      <c r="AV40" s="234"/>
      <c r="AW40" s="234" t="b">
        <v>0</v>
      </c>
      <c r="AX40" s="234"/>
      <c r="AY40" s="234"/>
      <c r="AZ40" s="236" t="b">
        <v>1</v>
      </c>
      <c r="BA40" s="238">
        <v>45632.0</v>
      </c>
      <c r="BB40" s="237" t="s">
        <v>1309</v>
      </c>
    </row>
    <row r="41">
      <c r="A41" s="57">
        <v>2.125000348E9</v>
      </c>
      <c r="B41" s="109" t="str">
        <f>VLOOKUP($A41,ANAGRAFICA!$B$1:$G$306,2,FALSE)</f>
        <v>SLAVKOVA</v>
      </c>
      <c r="C41" s="109" t="str">
        <f>VLOOKUP($A41,ANAGRAFICA!$B$1:$G$306,3,FALSE)</f>
        <v>EVELINA PLAMENOVA</v>
      </c>
      <c r="D41" s="109" t="str">
        <f>VLOOKUP($A41,ANAGRAFICA!$B$1:$G$306,4,FALSE)</f>
        <v/>
      </c>
      <c r="E41" s="109">
        <f>VLOOKUP($A41,ANAGRAFICA!$B$1:$G$306,5,FALSE)</f>
        <v>3272025051</v>
      </c>
      <c r="F41" s="109">
        <f>VLOOKUP($A41,ANAGRAFICA!$B$1:$G$306,6,FALSE)</f>
        <v>2025</v>
      </c>
      <c r="G41" s="3">
        <v>1.0</v>
      </c>
      <c r="H41" s="233" t="s">
        <v>1275</v>
      </c>
      <c r="I41" s="233" t="s">
        <v>1277</v>
      </c>
      <c r="J41" s="233" t="s">
        <v>1277</v>
      </c>
      <c r="K41" s="234"/>
      <c r="L41" s="234"/>
      <c r="M41" s="234"/>
      <c r="N41" s="234"/>
      <c r="O41" s="234"/>
      <c r="P41" s="235">
        <f t="shared" si="1"/>
        <v>0</v>
      </c>
      <c r="Q41" s="234" t="b">
        <v>0</v>
      </c>
      <c r="R41" s="234"/>
      <c r="S41" s="234"/>
      <c r="T41" s="234"/>
      <c r="U41" s="234" t="b">
        <v>0</v>
      </c>
      <c r="V41" s="234" t="b">
        <v>0</v>
      </c>
      <c r="W41" s="234" t="b">
        <v>0</v>
      </c>
      <c r="X41" s="234" t="b">
        <v>0</v>
      </c>
      <c r="Y41" s="234" t="b">
        <v>0</v>
      </c>
      <c r="Z41" s="236" t="b">
        <v>0</v>
      </c>
      <c r="AA41" s="237" t="s">
        <v>1290</v>
      </c>
      <c r="AB41" s="237" t="s">
        <v>1281</v>
      </c>
      <c r="AC41" s="234" t="b">
        <v>0</v>
      </c>
      <c r="AD41" s="234" t="b">
        <v>0</v>
      </c>
      <c r="AE41" s="236" t="b">
        <v>1</v>
      </c>
      <c r="AF41" s="234" t="b">
        <v>0</v>
      </c>
      <c r="AG41" s="234" t="b">
        <v>0</v>
      </c>
      <c r="AH41" s="236" t="b">
        <v>1</v>
      </c>
      <c r="AI41" s="236" t="b">
        <v>1</v>
      </c>
      <c r="AJ41" s="236" t="b">
        <v>1</v>
      </c>
      <c r="AK41" s="234" t="b">
        <v>0</v>
      </c>
      <c r="AL41" s="234" t="b">
        <v>0</v>
      </c>
      <c r="AM41" s="234"/>
      <c r="AN41" s="234" t="b">
        <v>0</v>
      </c>
      <c r="AO41" s="234" t="b">
        <v>0</v>
      </c>
      <c r="AP41" s="234" t="b">
        <v>0</v>
      </c>
      <c r="AQ41" s="237" t="s">
        <v>1280</v>
      </c>
      <c r="AR41" s="234" t="b">
        <v>0</v>
      </c>
      <c r="AS41" s="234"/>
      <c r="AT41" s="234"/>
      <c r="AU41" s="234"/>
      <c r="AV41" s="234"/>
      <c r="AW41" s="234" t="b">
        <v>0</v>
      </c>
      <c r="AX41" s="234"/>
      <c r="AY41" s="234"/>
      <c r="AZ41" s="234" t="b">
        <v>0</v>
      </c>
      <c r="BA41" s="234"/>
      <c r="BB41" s="234"/>
    </row>
    <row r="42">
      <c r="A42" s="57">
        <v>2.124025878E9</v>
      </c>
      <c r="B42" s="109" t="str">
        <f>VLOOKUP($A42,ANAGRAFICA!$B$1:$G$306,2,FALSE)</f>
        <v>PEDRONI </v>
      </c>
      <c r="C42" s="109" t="str">
        <f>VLOOKUP($A42,ANAGRAFICA!$B$1:$G$306,3,FALSE)</f>
        <v>PIERANGELO</v>
      </c>
      <c r="D42" s="109" t="str">
        <f>VLOOKUP($A42,ANAGRAFICA!$B$1:$G$306,4,FALSE)</f>
        <v>758-22</v>
      </c>
      <c r="E42" s="109">
        <f>VLOOKUP($A42,ANAGRAFICA!$B$1:$G$306,5,FALSE)</f>
        <v>3272024088</v>
      </c>
      <c r="F42" s="109">
        <f>VLOOKUP($A42,ANAGRAFICA!$B$1:$G$306,6,FALSE)</f>
        <v>2024</v>
      </c>
      <c r="G42" s="3">
        <v>1.0</v>
      </c>
      <c r="H42" s="233" t="s">
        <v>1275</v>
      </c>
      <c r="I42" s="233" t="s">
        <v>1299</v>
      </c>
      <c r="J42" s="233" t="s">
        <v>1277</v>
      </c>
      <c r="K42" s="234"/>
      <c r="L42" s="234"/>
      <c r="M42" s="234"/>
      <c r="N42" s="234"/>
      <c r="O42" s="234"/>
      <c r="P42" s="235">
        <f t="shared" si="1"/>
        <v>0</v>
      </c>
      <c r="Q42" s="236" t="b">
        <v>1</v>
      </c>
      <c r="R42" s="239">
        <v>45636.0</v>
      </c>
      <c r="S42" s="237" t="s">
        <v>1310</v>
      </c>
      <c r="T42" s="237" t="s">
        <v>1311</v>
      </c>
      <c r="U42" s="236" t="b">
        <v>0</v>
      </c>
      <c r="V42" s="236" t="b">
        <v>1</v>
      </c>
      <c r="W42" s="234" t="b">
        <v>0</v>
      </c>
      <c r="X42" s="234" t="b">
        <v>0</v>
      </c>
      <c r="Y42" s="234" t="b">
        <v>0</v>
      </c>
      <c r="Z42" s="236" t="b">
        <v>0</v>
      </c>
      <c r="AA42" s="237" t="s">
        <v>1278</v>
      </c>
      <c r="AB42" s="237" t="s">
        <v>1279</v>
      </c>
      <c r="AC42" s="234" t="b">
        <v>0</v>
      </c>
      <c r="AD42" s="234" t="b">
        <v>0</v>
      </c>
      <c r="AE42" s="234" t="b">
        <v>0</v>
      </c>
      <c r="AF42" s="234" t="b">
        <v>0</v>
      </c>
      <c r="AG42" s="236" t="b">
        <v>1</v>
      </c>
      <c r="AH42" s="236" t="b">
        <v>1</v>
      </c>
      <c r="AI42" s="236" t="b">
        <v>1</v>
      </c>
      <c r="AJ42" s="234" t="b">
        <v>0</v>
      </c>
      <c r="AK42" s="236" t="b">
        <v>1</v>
      </c>
      <c r="AL42" s="234" t="b">
        <v>0</v>
      </c>
      <c r="AM42" s="234"/>
      <c r="AN42" s="234" t="b">
        <v>0</v>
      </c>
      <c r="AO42" s="234" t="b">
        <v>0</v>
      </c>
      <c r="AP42" s="234" t="b">
        <v>0</v>
      </c>
      <c r="AQ42" s="237" t="s">
        <v>1285</v>
      </c>
      <c r="AR42" s="234" t="b">
        <v>0</v>
      </c>
      <c r="AS42" s="234"/>
      <c r="AT42" s="234"/>
      <c r="AU42" s="234"/>
      <c r="AV42" s="234"/>
      <c r="AW42" s="234" t="b">
        <v>0</v>
      </c>
      <c r="AX42" s="234"/>
      <c r="AY42" s="234"/>
      <c r="AZ42" s="234" t="b">
        <v>0</v>
      </c>
      <c r="BA42" s="234"/>
      <c r="BB42" s="234"/>
    </row>
    <row r="43">
      <c r="A43" s="57">
        <v>2.124208975E9</v>
      </c>
      <c r="B43" s="109" t="str">
        <f>VLOOKUP($A43,ANAGRAFICA!$B$1:$G$306,2,FALSE)</f>
        <v>FERRARO</v>
      </c>
      <c r="C43" s="109" t="str">
        <f>VLOOKUP($A43,ANAGRAFICA!$B$1:$G$306,3,FALSE)</f>
        <v>DANIELE</v>
      </c>
      <c r="D43" s="109" t="str">
        <f>VLOOKUP($A43,ANAGRAFICA!$B$1:$G$306,4,FALSE)</f>
        <v/>
      </c>
      <c r="E43" s="109" t="str">
        <f>VLOOKUP($A43,ANAGRAFICA!$B$1:$G$306,5,FALSE)</f>
        <v/>
      </c>
      <c r="F43" s="109">
        <f>VLOOKUP($A43,ANAGRAFICA!$B$1:$G$306,6,FALSE)</f>
        <v>2024</v>
      </c>
      <c r="H43" s="233" t="s">
        <v>1275</v>
      </c>
      <c r="I43" s="233" t="s">
        <v>1277</v>
      </c>
      <c r="J43" s="233" t="s">
        <v>1277</v>
      </c>
      <c r="K43" s="234"/>
      <c r="L43" s="234"/>
      <c r="M43" s="234"/>
      <c r="N43" s="234"/>
      <c r="O43" s="234"/>
      <c r="P43" s="235">
        <f t="shared" si="1"/>
        <v>0</v>
      </c>
      <c r="Q43" s="234" t="b">
        <v>0</v>
      </c>
      <c r="R43" s="234"/>
      <c r="S43" s="234"/>
      <c r="T43" s="234"/>
      <c r="U43" s="234" t="b">
        <v>0</v>
      </c>
      <c r="V43" s="234" t="b">
        <v>0</v>
      </c>
      <c r="W43" s="234" t="b">
        <v>0</v>
      </c>
      <c r="X43" s="234" t="b">
        <v>0</v>
      </c>
      <c r="Y43" s="234" t="b">
        <v>0</v>
      </c>
      <c r="Z43" s="236" t="b">
        <v>0</v>
      </c>
      <c r="AA43" s="237" t="s">
        <v>1290</v>
      </c>
      <c r="AB43" s="237" t="s">
        <v>1281</v>
      </c>
      <c r="AC43" s="234" t="b">
        <v>0</v>
      </c>
      <c r="AD43" s="234" t="b">
        <v>0</v>
      </c>
      <c r="AE43" s="234" t="b">
        <v>0</v>
      </c>
      <c r="AF43" s="234" t="b">
        <v>0</v>
      </c>
      <c r="AG43" s="234" t="b">
        <v>0</v>
      </c>
      <c r="AH43" s="236" t="b">
        <v>1</v>
      </c>
      <c r="AI43" s="234" t="b">
        <v>0</v>
      </c>
      <c r="AJ43" s="234" t="b">
        <v>0</v>
      </c>
      <c r="AK43" s="234" t="b">
        <v>0</v>
      </c>
      <c r="AL43" s="234" t="b">
        <v>0</v>
      </c>
      <c r="AM43" s="234"/>
      <c r="AN43" s="234" t="b">
        <v>0</v>
      </c>
      <c r="AO43" s="234" t="b">
        <v>0</v>
      </c>
      <c r="AP43" s="234" t="b">
        <v>0</v>
      </c>
      <c r="AQ43" s="237" t="s">
        <v>1280</v>
      </c>
      <c r="AR43" s="234" t="b">
        <v>0</v>
      </c>
      <c r="AS43" s="234"/>
      <c r="AT43" s="234"/>
      <c r="AU43" s="234"/>
      <c r="AV43" s="234"/>
      <c r="AW43" s="236" t="b">
        <v>1</v>
      </c>
      <c r="AX43" s="238">
        <v>45483.0</v>
      </c>
      <c r="AY43" s="234"/>
      <c r="AZ43" s="234" t="b">
        <v>0</v>
      </c>
      <c r="BA43" s="234"/>
      <c r="BB43" s="234"/>
    </row>
    <row r="44">
      <c r="A44" s="57">
        <v>2.124018611E9</v>
      </c>
      <c r="B44" s="109" t="str">
        <f>VLOOKUP($A44,ANAGRAFICA!$B$1:$G$306,2,FALSE)</f>
        <v>CURTO</v>
      </c>
      <c r="C44" s="109" t="str">
        <f>VLOOKUP($A44,ANAGRAFICA!$B$1:$G$306,3,FALSE)</f>
        <v>ROBERTO</v>
      </c>
      <c r="D44" s="109" t="str">
        <f>VLOOKUP($A44,ANAGRAFICA!$B$1:$G$306,4,FALSE)</f>
        <v/>
      </c>
      <c r="E44" s="109" t="str">
        <f>VLOOKUP($A44,ANAGRAFICA!$B$1:$G$306,5,FALSE)</f>
        <v/>
      </c>
      <c r="F44" s="109">
        <f>VLOOKUP($A44,ANAGRAFICA!$B$1:$G$306,6,FALSE)</f>
        <v>2024</v>
      </c>
      <c r="H44" s="233" t="s">
        <v>1275</v>
      </c>
      <c r="I44" s="233" t="s">
        <v>1277</v>
      </c>
      <c r="J44" s="233" t="s">
        <v>1277</v>
      </c>
      <c r="K44" s="234"/>
      <c r="L44" s="234"/>
      <c r="M44" s="234"/>
      <c r="N44" s="234"/>
      <c r="O44" s="234"/>
      <c r="P44" s="235">
        <f t="shared" si="1"/>
        <v>0</v>
      </c>
      <c r="Q44" s="234" t="b">
        <v>0</v>
      </c>
      <c r="R44" s="234"/>
      <c r="S44" s="234"/>
      <c r="T44" s="234"/>
      <c r="U44" s="234" t="b">
        <v>0</v>
      </c>
      <c r="V44" s="234" t="b">
        <v>0</v>
      </c>
      <c r="W44" s="234" t="b">
        <v>0</v>
      </c>
      <c r="X44" s="234" t="b">
        <v>0</v>
      </c>
      <c r="Y44" s="234" t="b">
        <v>0</v>
      </c>
      <c r="Z44" s="236" t="b">
        <v>0</v>
      </c>
      <c r="AA44" s="237" t="s">
        <v>35</v>
      </c>
      <c r="AB44" s="237" t="s">
        <v>1281</v>
      </c>
      <c r="AC44" s="236" t="b">
        <v>1</v>
      </c>
      <c r="AD44" s="234" t="b">
        <v>0</v>
      </c>
      <c r="AE44" s="234" t="b">
        <v>0</v>
      </c>
      <c r="AF44" s="234" t="b">
        <v>0</v>
      </c>
      <c r="AG44" s="234" t="b">
        <v>0</v>
      </c>
      <c r="AH44" s="236" t="b">
        <v>1</v>
      </c>
      <c r="AI44" s="234" t="b">
        <v>0</v>
      </c>
      <c r="AJ44" s="234" t="b">
        <v>0</v>
      </c>
      <c r="AK44" s="234" t="b">
        <v>0</v>
      </c>
      <c r="AL44" s="234" t="b">
        <v>0</v>
      </c>
      <c r="AM44" s="234"/>
      <c r="AN44" s="234" t="b">
        <v>0</v>
      </c>
      <c r="AO44" s="234" t="b">
        <v>0</v>
      </c>
      <c r="AP44" s="234" t="b">
        <v>0</v>
      </c>
      <c r="AQ44" s="237" t="s">
        <v>1282</v>
      </c>
      <c r="AR44" s="234" t="b">
        <v>0</v>
      </c>
      <c r="AS44" s="234"/>
      <c r="AT44" s="234"/>
      <c r="AU44" s="234"/>
      <c r="AV44" s="234"/>
      <c r="AW44" s="236" t="b">
        <v>1</v>
      </c>
      <c r="AX44" s="239">
        <v>45583.0</v>
      </c>
      <c r="AY44" s="234"/>
      <c r="AZ44" s="234" t="b">
        <v>0</v>
      </c>
      <c r="BA44" s="234"/>
      <c r="BB44" s="234"/>
    </row>
    <row r="45">
      <c r="A45" s="57">
        <v>2.125027331E9</v>
      </c>
      <c r="B45" s="109" t="str">
        <f>VLOOKUP($A45,ANAGRAFICA!$B$1:$G$306,2,FALSE)</f>
        <v>QUARIN</v>
      </c>
      <c r="C45" s="109" t="str">
        <f>VLOOKUP($A45,ANAGRAFICA!$B$1:$G$306,3,FALSE)</f>
        <v>FRANCO</v>
      </c>
      <c r="D45" s="109" t="str">
        <f>VLOOKUP($A45,ANAGRAFICA!$B$1:$G$306,4,FALSE)</f>
        <v>758-34</v>
      </c>
      <c r="E45" s="109" t="str">
        <f>VLOOKUP($A45,ANAGRAFICA!$B$1:$G$306,5,FALSE)</f>
        <v/>
      </c>
      <c r="F45" s="109">
        <f>VLOOKUP($A45,ANAGRAFICA!$B$1:$G$306,6,FALSE)</f>
        <v>2025</v>
      </c>
      <c r="G45" s="3">
        <v>1.0</v>
      </c>
      <c r="H45" s="233" t="s">
        <v>1275</v>
      </c>
      <c r="I45" s="233" t="s">
        <v>1277</v>
      </c>
      <c r="J45" s="233" t="s">
        <v>1277</v>
      </c>
      <c r="K45" s="234"/>
      <c r="L45" s="237">
        <v>5.5</v>
      </c>
      <c r="M45" s="237">
        <v>0.15</v>
      </c>
      <c r="N45" s="237">
        <v>0.03</v>
      </c>
      <c r="O45" s="237">
        <v>0.4</v>
      </c>
      <c r="P45" s="235">
        <f t="shared" si="1"/>
        <v>360.5</v>
      </c>
      <c r="Q45" s="234" t="b">
        <v>0</v>
      </c>
      <c r="R45" s="234"/>
      <c r="S45" s="234"/>
      <c r="T45" s="234"/>
      <c r="U45" s="234" t="b">
        <v>0</v>
      </c>
      <c r="V45" s="234" t="b">
        <v>0</v>
      </c>
      <c r="W45" s="234" t="b">
        <v>0</v>
      </c>
      <c r="X45" s="234" t="b">
        <v>0</v>
      </c>
      <c r="Y45" s="234" t="b">
        <v>0</v>
      </c>
      <c r="Z45" s="236" t="b">
        <v>0</v>
      </c>
      <c r="AA45" s="237" t="s">
        <v>1278</v>
      </c>
      <c r="AB45" s="237" t="s">
        <v>1279</v>
      </c>
      <c r="AC45" s="234" t="b">
        <v>0</v>
      </c>
      <c r="AD45" s="234" t="b">
        <v>0</v>
      </c>
      <c r="AE45" s="234" t="b">
        <v>0</v>
      </c>
      <c r="AF45" s="234" t="b">
        <v>0</v>
      </c>
      <c r="AG45" s="234" t="b">
        <v>0</v>
      </c>
      <c r="AH45" s="234" t="b">
        <v>0</v>
      </c>
      <c r="AI45" s="236" t="b">
        <v>1</v>
      </c>
      <c r="AJ45" s="236" t="b">
        <v>1</v>
      </c>
      <c r="AK45" s="234" t="b">
        <v>0</v>
      </c>
      <c r="AL45" s="236" t="b">
        <v>0</v>
      </c>
      <c r="AM45" s="234"/>
      <c r="AN45" s="234" t="b">
        <v>0</v>
      </c>
      <c r="AO45" s="234" t="b">
        <v>0</v>
      </c>
      <c r="AP45" s="236" t="b">
        <v>1</v>
      </c>
      <c r="AQ45" s="237" t="s">
        <v>1280</v>
      </c>
      <c r="AR45" s="234" t="b">
        <v>0</v>
      </c>
      <c r="AS45" s="234"/>
      <c r="AT45" s="234"/>
      <c r="AU45" s="234"/>
      <c r="AV45" s="234"/>
      <c r="AW45" s="234" t="b">
        <v>0</v>
      </c>
      <c r="AX45" s="234"/>
      <c r="AY45" s="234"/>
      <c r="AZ45" s="234" t="b">
        <v>0</v>
      </c>
      <c r="BA45" s="234"/>
      <c r="BB45" s="234"/>
    </row>
    <row r="46">
      <c r="A46" s="57">
        <v>2.125029623E9</v>
      </c>
      <c r="B46" s="109" t="str">
        <f>VLOOKUP($A46,ANAGRAFICA!$B$1:$G$306,2,FALSE)</f>
        <v>IANDIORIO</v>
      </c>
      <c r="C46" s="109" t="str">
        <f>VLOOKUP($A46,ANAGRAFICA!$B$1:$G$306,3,FALSE)</f>
        <v>ALDO NATALINO</v>
      </c>
      <c r="D46" s="109" t="str">
        <f>VLOOKUP($A46,ANAGRAFICA!$B$1:$G$306,4,FALSE)</f>
        <v>758-36</v>
      </c>
      <c r="E46" s="109">
        <f>VLOOKUP($A46,ANAGRAFICA!$B$1:$G$306,5,FALSE)</f>
        <v>3272025062</v>
      </c>
      <c r="F46" s="109">
        <f>VLOOKUP($A46,ANAGRAFICA!$B$1:$G$306,6,FALSE)</f>
        <v>2025</v>
      </c>
      <c r="G46" s="3">
        <v>1.0</v>
      </c>
      <c r="H46" s="233" t="s">
        <v>1275</v>
      </c>
      <c r="I46" s="233" t="s">
        <v>1277</v>
      </c>
      <c r="J46" s="233" t="s">
        <v>1277</v>
      </c>
      <c r="K46" s="234"/>
      <c r="L46" s="234"/>
      <c r="M46" s="234"/>
      <c r="N46" s="234"/>
      <c r="O46" s="237">
        <v>0.4</v>
      </c>
      <c r="P46" s="235">
        <f t="shared" si="1"/>
        <v>40</v>
      </c>
      <c r="Q46" s="234" t="b">
        <v>0</v>
      </c>
      <c r="R46" s="234"/>
      <c r="S46" s="234"/>
      <c r="T46" s="237" t="s">
        <v>1311</v>
      </c>
      <c r="U46" s="234" t="b">
        <v>0</v>
      </c>
      <c r="V46" s="236" t="b">
        <v>1</v>
      </c>
      <c r="W46" s="234" t="b">
        <v>0</v>
      </c>
      <c r="X46" s="234" t="b">
        <v>0</v>
      </c>
      <c r="Y46" s="234" t="b">
        <v>0</v>
      </c>
      <c r="Z46" s="236" t="b">
        <v>0</v>
      </c>
      <c r="AA46" s="237" t="s">
        <v>1300</v>
      </c>
      <c r="AB46" s="237" t="s">
        <v>1312</v>
      </c>
      <c r="AC46" s="234" t="b">
        <v>0</v>
      </c>
      <c r="AD46" s="234" t="b">
        <v>0</v>
      </c>
      <c r="AE46" s="234" t="b">
        <v>0</v>
      </c>
      <c r="AF46" s="234" t="b">
        <v>0</v>
      </c>
      <c r="AG46" s="234" t="b">
        <v>0</v>
      </c>
      <c r="AH46" s="234" t="b">
        <v>0</v>
      </c>
      <c r="AI46" s="234" t="b">
        <v>0</v>
      </c>
      <c r="AJ46" s="234" t="b">
        <v>0</v>
      </c>
      <c r="AK46" s="234" t="b">
        <v>0</v>
      </c>
      <c r="AL46" s="234" t="b">
        <v>0</v>
      </c>
      <c r="AM46" s="234"/>
      <c r="AN46" s="234" t="b">
        <v>0</v>
      </c>
      <c r="AO46" s="234" t="b">
        <v>0</v>
      </c>
      <c r="AP46" s="234" t="b">
        <v>0</v>
      </c>
      <c r="AQ46" s="234"/>
      <c r="AR46" s="234" t="b">
        <v>0</v>
      </c>
      <c r="AS46" s="234"/>
      <c r="AT46" s="234"/>
      <c r="AU46" s="234"/>
      <c r="AV46" s="234"/>
      <c r="AW46" s="234" t="b">
        <v>0</v>
      </c>
      <c r="AX46" s="234"/>
      <c r="AY46" s="234"/>
      <c r="AZ46" s="234" t="b">
        <v>0</v>
      </c>
      <c r="BA46" s="234"/>
      <c r="BB46" s="234"/>
    </row>
    <row r="47">
      <c r="A47" s="57">
        <v>2.125026384E9</v>
      </c>
      <c r="B47" s="109" t="str">
        <f>VLOOKUP($A47,ANAGRAFICA!$B$1:$G$306,2,FALSE)</f>
        <v>PRINCIPATO</v>
      </c>
      <c r="C47" s="109" t="str">
        <f>VLOOKUP($A47,ANAGRAFICA!$B$1:$G$306,3,FALSE)</f>
        <v>FRANCO ANGELO</v>
      </c>
      <c r="D47" s="109" t="str">
        <f>VLOOKUP($A47,ANAGRAFICA!$B$1:$G$306,4,FALSE)</f>
        <v>758-35</v>
      </c>
      <c r="E47" s="109">
        <f>VLOOKUP($A47,ANAGRAFICA!$B$1:$G$306,5,FALSE)</f>
        <v>3272025061</v>
      </c>
      <c r="F47" s="109">
        <f>VLOOKUP($A47,ANAGRAFICA!$B$1:$G$306,6,FALSE)</f>
        <v>2025</v>
      </c>
      <c r="G47" s="3">
        <v>1.0</v>
      </c>
      <c r="H47" s="233" t="s">
        <v>1313</v>
      </c>
      <c r="I47" s="233" t="s">
        <v>1277</v>
      </c>
      <c r="J47" s="233" t="s">
        <v>1277</v>
      </c>
      <c r="K47" s="234"/>
      <c r="L47" s="234"/>
      <c r="M47" s="234"/>
      <c r="N47" s="234"/>
      <c r="O47" s="234"/>
      <c r="P47" s="235">
        <f t="shared" si="1"/>
        <v>0</v>
      </c>
      <c r="Q47" s="234" t="b">
        <v>0</v>
      </c>
      <c r="R47" s="234"/>
      <c r="S47" s="234"/>
      <c r="T47" s="234"/>
      <c r="U47" s="234" t="b">
        <v>0</v>
      </c>
      <c r="V47" s="234" t="b">
        <v>0</v>
      </c>
      <c r="W47" s="234" t="b">
        <v>0</v>
      </c>
      <c r="X47" s="234" t="b">
        <v>0</v>
      </c>
      <c r="Y47" s="234" t="b">
        <v>0</v>
      </c>
      <c r="Z47" s="236" t="b">
        <v>0</v>
      </c>
      <c r="AA47" s="237" t="s">
        <v>1278</v>
      </c>
      <c r="AB47" s="237" t="s">
        <v>1279</v>
      </c>
      <c r="AC47" s="234" t="b">
        <v>0</v>
      </c>
      <c r="AD47" s="234" t="b">
        <v>0</v>
      </c>
      <c r="AE47" s="236" t="b">
        <v>0</v>
      </c>
      <c r="AF47" s="234" t="b">
        <v>0</v>
      </c>
      <c r="AG47" s="234" t="b">
        <v>0</v>
      </c>
      <c r="AH47" s="236" t="b">
        <v>1</v>
      </c>
      <c r="AI47" s="234" t="b">
        <v>0</v>
      </c>
      <c r="AJ47" s="236" t="b">
        <v>1</v>
      </c>
      <c r="AK47" s="234" t="b">
        <v>0</v>
      </c>
      <c r="AL47" s="234" t="b">
        <v>0</v>
      </c>
      <c r="AM47" s="234"/>
      <c r="AN47" s="236" t="b">
        <v>1</v>
      </c>
      <c r="AO47" s="234" t="b">
        <v>0</v>
      </c>
      <c r="AP47" s="234" t="b">
        <v>0</v>
      </c>
      <c r="AQ47" s="237" t="s">
        <v>1283</v>
      </c>
      <c r="AR47" s="234" t="b">
        <v>0</v>
      </c>
      <c r="AS47" s="234"/>
      <c r="AT47" s="234"/>
      <c r="AU47" s="234"/>
      <c r="AV47" s="234"/>
      <c r="AW47" s="234" t="b">
        <v>0</v>
      </c>
      <c r="AX47" s="234"/>
      <c r="AY47" s="234"/>
      <c r="AZ47" s="234" t="b">
        <v>0</v>
      </c>
      <c r="BA47" s="234"/>
      <c r="BB47" s="234"/>
    </row>
    <row r="48">
      <c r="A48" s="57">
        <v>2.125026559E9</v>
      </c>
      <c r="B48" s="109" t="str">
        <f>VLOOKUP($A48,ANAGRAFICA!$B$1:$G$306,2,FALSE)</f>
        <v>VEDUTI</v>
      </c>
      <c r="C48" s="109" t="str">
        <f>VLOOKUP($A48,ANAGRAFICA!$B$1:$G$306,3,FALSE)</f>
        <v>LORENZO</v>
      </c>
      <c r="D48" s="109" t="str">
        <f>VLOOKUP($A48,ANAGRAFICA!$B$1:$G$306,4,FALSE)</f>
        <v>758-32</v>
      </c>
      <c r="E48" s="109">
        <f>VLOOKUP($A48,ANAGRAFICA!$B$1:$G$306,5,FALSE)</f>
        <v>3272025059</v>
      </c>
      <c r="F48" s="109">
        <f>VLOOKUP($A48,ANAGRAFICA!$B$1:$G$306,6,FALSE)</f>
        <v>2025</v>
      </c>
      <c r="G48" s="3">
        <v>1.0</v>
      </c>
      <c r="H48" s="242"/>
      <c r="I48" s="233" t="s">
        <v>1277</v>
      </c>
      <c r="J48" s="233" t="s">
        <v>1277</v>
      </c>
      <c r="K48" s="234"/>
      <c r="L48" s="234"/>
      <c r="M48" s="234"/>
      <c r="N48" s="234"/>
      <c r="O48" s="234"/>
      <c r="P48" s="235">
        <f t="shared" si="1"/>
        <v>0</v>
      </c>
      <c r="Q48" s="234" t="b">
        <v>0</v>
      </c>
      <c r="R48" s="234"/>
      <c r="S48" s="234"/>
      <c r="T48" s="234"/>
      <c r="U48" s="234" t="b">
        <v>0</v>
      </c>
      <c r="V48" s="234" t="b">
        <v>0</v>
      </c>
      <c r="W48" s="234" t="b">
        <v>0</v>
      </c>
      <c r="X48" s="234" t="b">
        <v>0</v>
      </c>
      <c r="Y48" s="234" t="b">
        <v>0</v>
      </c>
      <c r="Z48" s="236" t="b">
        <v>0</v>
      </c>
      <c r="AA48" s="237" t="s">
        <v>1278</v>
      </c>
      <c r="AB48" s="237" t="s">
        <v>1279</v>
      </c>
      <c r="AC48" s="234" t="b">
        <v>0</v>
      </c>
      <c r="AD48" s="234" t="b">
        <v>0</v>
      </c>
      <c r="AE48" s="234" t="b">
        <v>0</v>
      </c>
      <c r="AF48" s="234" t="b">
        <v>0</v>
      </c>
      <c r="AG48" s="234" t="b">
        <v>0</v>
      </c>
      <c r="AH48" s="234" t="b">
        <v>0</v>
      </c>
      <c r="AI48" s="236" t="b">
        <v>1</v>
      </c>
      <c r="AJ48" s="236" t="b">
        <v>1</v>
      </c>
      <c r="AK48" s="234" t="b">
        <v>0</v>
      </c>
      <c r="AL48" s="234" t="b">
        <v>0</v>
      </c>
      <c r="AM48" s="234"/>
      <c r="AN48" s="234" t="b">
        <v>0</v>
      </c>
      <c r="AO48" s="234" t="b">
        <v>0</v>
      </c>
      <c r="AP48" s="234" t="b">
        <v>0</v>
      </c>
      <c r="AQ48" s="237" t="s">
        <v>1283</v>
      </c>
      <c r="AR48" s="234" t="b">
        <v>0</v>
      </c>
      <c r="AS48" s="234"/>
      <c r="AT48" s="234"/>
      <c r="AU48" s="234"/>
      <c r="AV48" s="234"/>
      <c r="AW48" s="234" t="b">
        <v>0</v>
      </c>
      <c r="AX48" s="234"/>
      <c r="AY48" s="234"/>
      <c r="AZ48" s="234" t="b">
        <v>0</v>
      </c>
      <c r="BA48" s="234"/>
      <c r="BB48" s="234"/>
    </row>
    <row r="49">
      <c r="A49" s="57">
        <v>2.125032902E9</v>
      </c>
      <c r="B49" s="109" t="str">
        <f>VLOOKUP($A49,ANAGRAFICA!$B$1:$G$306,2,FALSE)</f>
        <v>BRAIDA</v>
      </c>
      <c r="C49" s="109" t="str">
        <f>VLOOKUP($A49,ANAGRAFICA!$B$1:$G$306,3,FALSE)</f>
        <v>ILARIO</v>
      </c>
      <c r="D49" s="109" t="str">
        <f>VLOOKUP($A49,ANAGRAFICA!$B$1:$G$306,4,FALSE)</f>
        <v>758-37</v>
      </c>
      <c r="E49" s="109">
        <f>VLOOKUP($A49,ANAGRAFICA!$B$1:$G$306,5,FALSE)</f>
        <v>3272025063</v>
      </c>
      <c r="F49" s="109">
        <f>VLOOKUP($A49,ANAGRAFICA!$B$1:$G$306,6,FALSE)</f>
        <v>2025</v>
      </c>
      <c r="G49" s="3">
        <v>1.0</v>
      </c>
      <c r="H49" s="233" t="s">
        <v>1275</v>
      </c>
      <c r="I49" s="233" t="s">
        <v>1277</v>
      </c>
      <c r="J49" s="233" t="s">
        <v>1277</v>
      </c>
      <c r="K49" s="234"/>
      <c r="L49" s="234"/>
      <c r="M49" s="234"/>
      <c r="N49" s="234"/>
      <c r="O49" s="234"/>
      <c r="P49" s="235">
        <f t="shared" si="1"/>
        <v>0</v>
      </c>
      <c r="Q49" s="234" t="b">
        <v>0</v>
      </c>
      <c r="R49" s="234"/>
      <c r="S49" s="234"/>
      <c r="T49" s="234"/>
      <c r="U49" s="234" t="b">
        <v>0</v>
      </c>
      <c r="V49" s="234" t="b">
        <v>0</v>
      </c>
      <c r="W49" s="234" t="b">
        <v>0</v>
      </c>
      <c r="X49" s="234" t="b">
        <v>0</v>
      </c>
      <c r="Y49" s="234" t="b">
        <v>0</v>
      </c>
      <c r="Z49" s="236" t="b">
        <v>0</v>
      </c>
      <c r="AA49" s="237" t="s">
        <v>1278</v>
      </c>
      <c r="AB49" s="237" t="s">
        <v>1279</v>
      </c>
      <c r="AC49" s="234" t="b">
        <v>0</v>
      </c>
      <c r="AD49" s="234" t="b">
        <v>0</v>
      </c>
      <c r="AE49" s="234" t="b">
        <v>0</v>
      </c>
      <c r="AF49" s="234" t="b">
        <v>0</v>
      </c>
      <c r="AG49" s="236" t="b">
        <v>1</v>
      </c>
      <c r="AH49" s="236" t="b">
        <v>1</v>
      </c>
      <c r="AI49" s="234" t="b">
        <v>0</v>
      </c>
      <c r="AJ49" s="234" t="b">
        <v>0</v>
      </c>
      <c r="AK49" s="236" t="b">
        <v>1</v>
      </c>
      <c r="AL49" s="234" t="b">
        <v>0</v>
      </c>
      <c r="AM49" s="234"/>
      <c r="AN49" s="234" t="b">
        <v>0</v>
      </c>
      <c r="AO49" s="234" t="b">
        <v>0</v>
      </c>
      <c r="AP49" s="234" t="b">
        <v>0</v>
      </c>
      <c r="AQ49" s="237" t="s">
        <v>1283</v>
      </c>
      <c r="AR49" s="234" t="b">
        <v>0</v>
      </c>
      <c r="AS49" s="234"/>
      <c r="AT49" s="234"/>
      <c r="AU49" s="234"/>
      <c r="AV49" s="234"/>
      <c r="AW49" s="234" t="b">
        <v>0</v>
      </c>
      <c r="AX49" s="234"/>
      <c r="AY49" s="234"/>
      <c r="AZ49" s="234" t="b">
        <v>0</v>
      </c>
      <c r="BA49" s="234"/>
      <c r="BB49" s="234"/>
    </row>
    <row r="50">
      <c r="A50" s="57">
        <v>2.125026869E9</v>
      </c>
      <c r="B50" s="109" t="str">
        <f>VLOOKUP($A50,ANAGRAFICA!$B$1:$G$306,2,FALSE)</f>
        <v>NACCARI</v>
      </c>
      <c r="C50" s="109" t="str">
        <f>VLOOKUP($A50,ANAGRAFICA!$B$1:$G$306,3,FALSE)</f>
        <v>ROBERTO</v>
      </c>
      <c r="D50" s="109" t="str">
        <f>VLOOKUP($A50,ANAGRAFICA!$B$1:$G$306,4,FALSE)</f>
        <v>758-33</v>
      </c>
      <c r="E50" s="109">
        <f>VLOOKUP($A50,ANAGRAFICA!$B$1:$G$306,5,FALSE)</f>
        <v>3272025060</v>
      </c>
      <c r="F50" s="109">
        <f>VLOOKUP($A50,ANAGRAFICA!$B$1:$G$306,6,FALSE)</f>
        <v>2025</v>
      </c>
      <c r="G50" s="3">
        <v>1.0</v>
      </c>
      <c r="H50" s="233" t="s">
        <v>1313</v>
      </c>
      <c r="I50" s="233" t="s">
        <v>1277</v>
      </c>
      <c r="J50" s="233" t="s">
        <v>1277</v>
      </c>
      <c r="K50" s="234"/>
      <c r="L50" s="234"/>
      <c r="M50" s="234"/>
      <c r="N50" s="234"/>
      <c r="O50" s="234"/>
      <c r="P50" s="235">
        <f t="shared" si="1"/>
        <v>0</v>
      </c>
      <c r="Q50" s="236" t="b">
        <v>1</v>
      </c>
      <c r="R50" s="238">
        <v>45855.0</v>
      </c>
      <c r="S50" s="237" t="s">
        <v>1314</v>
      </c>
      <c r="T50" s="237" t="s">
        <v>1311</v>
      </c>
      <c r="U50" s="236" t="b">
        <v>1</v>
      </c>
      <c r="V50" s="234" t="b">
        <v>0</v>
      </c>
      <c r="W50" s="234" t="b">
        <v>0</v>
      </c>
      <c r="X50" s="234" t="b">
        <v>0</v>
      </c>
      <c r="Y50" s="234" t="b">
        <v>0</v>
      </c>
      <c r="Z50" s="236" t="b">
        <v>0</v>
      </c>
      <c r="AA50" s="237" t="s">
        <v>1278</v>
      </c>
      <c r="AB50" s="237" t="s">
        <v>1279</v>
      </c>
      <c r="AC50" s="234" t="b">
        <v>0</v>
      </c>
      <c r="AD50" s="234" t="b">
        <v>0</v>
      </c>
      <c r="AE50" s="234" t="b">
        <v>0</v>
      </c>
      <c r="AF50" s="234" t="b">
        <v>0</v>
      </c>
      <c r="AG50" s="236" t="b">
        <v>1</v>
      </c>
      <c r="AH50" s="236" t="b">
        <v>1</v>
      </c>
      <c r="AI50" s="234" t="b">
        <v>0</v>
      </c>
      <c r="AJ50" s="234" t="b">
        <v>0</v>
      </c>
      <c r="AK50" s="236" t="b">
        <v>1</v>
      </c>
      <c r="AL50" s="234" t="b">
        <v>0</v>
      </c>
      <c r="AM50" s="234"/>
      <c r="AN50" s="234" t="b">
        <v>0</v>
      </c>
      <c r="AO50" s="234" t="b">
        <v>0</v>
      </c>
      <c r="AP50" s="234" t="b">
        <v>0</v>
      </c>
      <c r="AQ50" s="237" t="s">
        <v>1285</v>
      </c>
      <c r="AR50" s="234" t="b">
        <v>0</v>
      </c>
      <c r="AS50" s="234"/>
      <c r="AT50" s="234"/>
      <c r="AU50" s="234"/>
      <c r="AV50" s="234"/>
      <c r="AW50" s="234" t="b">
        <v>0</v>
      </c>
      <c r="AX50" s="234"/>
      <c r="AY50" s="234"/>
      <c r="AZ50" s="236" t="b">
        <v>0</v>
      </c>
      <c r="BA50" s="234"/>
      <c r="BB50" s="234"/>
    </row>
    <row r="51">
      <c r="A51" s="57">
        <v>2.125032653E9</v>
      </c>
      <c r="B51" s="109" t="str">
        <f>VLOOKUP($A51,ANAGRAFICA!$B$1:$G$306,2,FALSE)</f>
        <v>BAIOCCO</v>
      </c>
      <c r="C51" s="109" t="str">
        <f>VLOOKUP($A51,ANAGRAFICA!$B$1:$G$306,3,FALSE)</f>
        <v>RICCARDO</v>
      </c>
      <c r="D51" s="109" t="str">
        <f>VLOOKUP($A51,ANAGRAFICA!$B$1:$G$306,4,FALSE)</f>
        <v/>
      </c>
      <c r="E51" s="109">
        <f>VLOOKUP($A51,ANAGRAFICA!$B$1:$G$306,5,FALSE)</f>
        <v>3272025064</v>
      </c>
      <c r="F51" s="109">
        <f>VLOOKUP($A51,ANAGRAFICA!$B$1:$G$306,6,FALSE)</f>
        <v>2025</v>
      </c>
      <c r="G51" s="3">
        <v>1.0</v>
      </c>
      <c r="H51" s="233" t="s">
        <v>1275</v>
      </c>
      <c r="I51" s="233" t="s">
        <v>1277</v>
      </c>
      <c r="J51" s="233" t="s">
        <v>1277</v>
      </c>
      <c r="K51" s="237"/>
      <c r="L51" s="237">
        <v>3.9</v>
      </c>
      <c r="M51" s="234"/>
      <c r="N51" s="237">
        <v>0.01</v>
      </c>
      <c r="O51" s="237">
        <v>0.3</v>
      </c>
      <c r="P51" s="235">
        <f t="shared" si="1"/>
        <v>133.9</v>
      </c>
      <c r="Q51" s="234" t="b">
        <v>0</v>
      </c>
      <c r="R51" s="234"/>
      <c r="S51" s="234"/>
      <c r="T51" s="234"/>
      <c r="U51" s="234" t="b">
        <v>0</v>
      </c>
      <c r="V51" s="234" t="b">
        <v>0</v>
      </c>
      <c r="W51" s="234" t="b">
        <v>0</v>
      </c>
      <c r="X51" s="234" t="b">
        <v>0</v>
      </c>
      <c r="Y51" s="234" t="b">
        <v>0</v>
      </c>
      <c r="Z51" s="236" t="b">
        <v>0</v>
      </c>
      <c r="AA51" s="237" t="s">
        <v>1278</v>
      </c>
      <c r="AB51" s="237" t="s">
        <v>1291</v>
      </c>
      <c r="AC51" s="234" t="b">
        <v>0</v>
      </c>
      <c r="AD51" s="234" t="b">
        <v>0</v>
      </c>
      <c r="AE51" s="234" t="b">
        <v>0</v>
      </c>
      <c r="AF51" s="234" t="b">
        <v>0</v>
      </c>
      <c r="AG51" s="234" t="b">
        <v>0</v>
      </c>
      <c r="AH51" s="236" t="b">
        <v>1</v>
      </c>
      <c r="AI51" s="234" t="b">
        <v>0</v>
      </c>
      <c r="AJ51" s="236" t="b">
        <v>1</v>
      </c>
      <c r="AK51" s="234" t="b">
        <v>0</v>
      </c>
      <c r="AL51" s="236" t="b">
        <v>1</v>
      </c>
      <c r="AM51" s="234"/>
      <c r="AN51" s="234" t="b">
        <v>0</v>
      </c>
      <c r="AO51" s="234" t="b">
        <v>0</v>
      </c>
      <c r="AP51" s="236" t="b">
        <v>1</v>
      </c>
      <c r="AQ51" s="234"/>
      <c r="AR51" s="234" t="b">
        <v>0</v>
      </c>
      <c r="AS51" s="234"/>
      <c r="AT51" s="234"/>
      <c r="AU51" s="234"/>
      <c r="AV51" s="234"/>
      <c r="AW51" s="234" t="b">
        <v>0</v>
      </c>
      <c r="AX51" s="234"/>
      <c r="AY51" s="234"/>
      <c r="AZ51" s="234" t="b">
        <v>0</v>
      </c>
      <c r="BA51" s="234"/>
      <c r="BB51" s="234"/>
    </row>
    <row r="52">
      <c r="A52" s="57">
        <v>2.125037782E9</v>
      </c>
      <c r="B52" s="109" t="str">
        <f>VLOOKUP($A52,ANAGRAFICA!$B$1:$G$306,2,FALSE)</f>
        <v>GILARDI</v>
      </c>
      <c r="C52" s="109" t="str">
        <f>VLOOKUP($A52,ANAGRAFICA!$B$1:$G$306,3,FALSE)</f>
        <v>CARLO VIRGINIO</v>
      </c>
      <c r="D52" s="109" t="str">
        <f>VLOOKUP($A52,ANAGRAFICA!$B$1:$G$306,4,FALSE)</f>
        <v>758-38</v>
      </c>
      <c r="E52" s="109">
        <f>VLOOKUP($A52,ANAGRAFICA!$B$1:$G$306,5,FALSE)</f>
        <v>3272025065</v>
      </c>
      <c r="F52" s="109">
        <f>VLOOKUP($A52,ANAGRAFICA!$B$1:$G$306,6,FALSE)</f>
        <v>2025</v>
      </c>
      <c r="G52" s="3">
        <v>1.0</v>
      </c>
      <c r="H52" s="233" t="s">
        <v>1275</v>
      </c>
      <c r="I52" s="233" t="s">
        <v>1276</v>
      </c>
      <c r="J52" s="233" t="s">
        <v>1276</v>
      </c>
      <c r="K52" s="234"/>
      <c r="L52" s="234"/>
      <c r="M52" s="237">
        <v>0.06</v>
      </c>
      <c r="N52" s="237"/>
      <c r="O52" s="237">
        <v>0.22</v>
      </c>
      <c r="P52" s="235">
        <f t="shared" si="1"/>
        <v>28</v>
      </c>
      <c r="Q52" s="236" t="b">
        <v>1</v>
      </c>
      <c r="R52" s="238">
        <v>45912.0</v>
      </c>
      <c r="S52" s="234"/>
      <c r="T52" s="237" t="s">
        <v>1284</v>
      </c>
      <c r="U52" s="234" t="b">
        <v>0</v>
      </c>
      <c r="V52" s="236" t="b">
        <v>1</v>
      </c>
      <c r="W52" s="234" t="b">
        <v>0</v>
      </c>
      <c r="X52" s="234" t="b">
        <v>0</v>
      </c>
      <c r="Y52" s="234" t="b">
        <v>0</v>
      </c>
      <c r="Z52" s="236" t="b">
        <v>1</v>
      </c>
      <c r="AA52" s="237" t="s">
        <v>1290</v>
      </c>
      <c r="AB52" s="237" t="s">
        <v>1291</v>
      </c>
      <c r="AC52" s="234" t="b">
        <v>0</v>
      </c>
      <c r="AD52" s="234" t="b">
        <v>0</v>
      </c>
      <c r="AE52" s="234" t="b">
        <v>0</v>
      </c>
      <c r="AF52" s="234" t="b">
        <v>0</v>
      </c>
      <c r="AG52" s="236" t="b">
        <v>1</v>
      </c>
      <c r="AH52" s="236" t="b">
        <v>1</v>
      </c>
      <c r="AI52" s="236" t="b">
        <v>1</v>
      </c>
      <c r="AJ52" s="236" t="b">
        <v>1</v>
      </c>
      <c r="AK52" s="236" t="b">
        <v>1</v>
      </c>
      <c r="AL52" s="234" t="b">
        <v>0</v>
      </c>
      <c r="AM52" s="234"/>
      <c r="AN52" s="234" t="b">
        <v>0</v>
      </c>
      <c r="AO52" s="234" t="b">
        <v>0</v>
      </c>
      <c r="AP52" s="234" t="b">
        <v>0</v>
      </c>
      <c r="AQ52" s="234"/>
      <c r="AR52" s="234" t="b">
        <v>0</v>
      </c>
      <c r="AS52" s="234"/>
      <c r="AT52" s="234"/>
      <c r="AU52" s="234"/>
      <c r="AV52" s="234"/>
      <c r="AW52" s="234" t="b">
        <v>0</v>
      </c>
      <c r="AX52" s="234"/>
      <c r="AY52" s="234"/>
      <c r="AZ52" s="234" t="b">
        <v>0</v>
      </c>
      <c r="BA52" s="234"/>
      <c r="BB52" s="234"/>
    </row>
    <row r="53">
      <c r="A53" s="57">
        <v>2.125040106E9</v>
      </c>
      <c r="B53" s="109" t="str">
        <f>VLOOKUP($A53,ANAGRAFICA!$B$1:$G$306,2,FALSE)</f>
        <v>COLNAGHI</v>
      </c>
      <c r="C53" s="109" t="str">
        <f>VLOOKUP($A53,ANAGRAFICA!$B$1:$G$306,3,FALSE)</f>
        <v>EUGENIO PIERO</v>
      </c>
      <c r="D53" s="109" t="str">
        <f>VLOOKUP($A53,ANAGRAFICA!$B$1:$G$306,4,FALSE)</f>
        <v>758-41</v>
      </c>
      <c r="E53" s="109">
        <f>VLOOKUP($A53,ANAGRAFICA!$B$1:$G$306,5,FALSE)</f>
        <v>3272025068</v>
      </c>
      <c r="F53" s="109">
        <f>VLOOKUP($A53,ANAGRAFICA!$B$1:$G$306,6,FALSE)</f>
        <v>2025</v>
      </c>
      <c r="G53" s="3">
        <v>1.0</v>
      </c>
      <c r="H53" s="233" t="s">
        <v>1275</v>
      </c>
      <c r="I53" s="233" t="s">
        <v>1277</v>
      </c>
      <c r="J53" s="233" t="s">
        <v>1276</v>
      </c>
      <c r="K53" s="234"/>
      <c r="L53" s="234"/>
      <c r="M53" s="234"/>
      <c r="N53" s="234"/>
      <c r="O53" s="234"/>
      <c r="P53" s="235">
        <f t="shared" si="1"/>
        <v>0</v>
      </c>
      <c r="Q53" s="236" t="b">
        <v>1</v>
      </c>
      <c r="R53" s="238">
        <v>45927.0</v>
      </c>
      <c r="S53" s="234"/>
      <c r="T53" s="237" t="s">
        <v>1284</v>
      </c>
      <c r="U53" s="234" t="b">
        <v>0</v>
      </c>
      <c r="V53" s="234" t="b">
        <v>0</v>
      </c>
      <c r="W53" s="234" t="b">
        <v>0</v>
      </c>
      <c r="X53" s="234" t="b">
        <v>0</v>
      </c>
      <c r="Y53" s="236" t="b">
        <v>1</v>
      </c>
      <c r="Z53" s="236" t="b">
        <v>0</v>
      </c>
      <c r="AA53" s="237" t="s">
        <v>1278</v>
      </c>
      <c r="AB53" s="237" t="s">
        <v>1279</v>
      </c>
      <c r="AC53" s="234" t="b">
        <v>0</v>
      </c>
      <c r="AD53" s="234" t="b">
        <v>0</v>
      </c>
      <c r="AE53" s="234" t="b">
        <v>0</v>
      </c>
      <c r="AF53" s="234" t="b">
        <v>0</v>
      </c>
      <c r="AG53" s="236" t="b">
        <v>1</v>
      </c>
      <c r="AH53" s="236" t="b">
        <v>1</v>
      </c>
      <c r="AI53" s="236" t="b">
        <v>1</v>
      </c>
      <c r="AJ53" s="236" t="b">
        <v>1</v>
      </c>
      <c r="AK53" s="236" t="b">
        <v>1</v>
      </c>
      <c r="AL53" s="234" t="b">
        <v>0</v>
      </c>
      <c r="AM53" s="234"/>
      <c r="AN53" s="234" t="b">
        <v>0</v>
      </c>
      <c r="AO53" s="234" t="b">
        <v>0</v>
      </c>
      <c r="AP53" s="234" t="b">
        <v>0</v>
      </c>
      <c r="AQ53" s="237" t="s">
        <v>1315</v>
      </c>
      <c r="AR53" s="234" t="b">
        <v>0</v>
      </c>
      <c r="AS53" s="234"/>
      <c r="AT53" s="234"/>
      <c r="AU53" s="234"/>
      <c r="AV53" s="234"/>
      <c r="AW53" s="234" t="b">
        <v>0</v>
      </c>
      <c r="AX53" s="234"/>
      <c r="AY53" s="234"/>
      <c r="AZ53" s="234" t="b">
        <v>0</v>
      </c>
      <c r="BA53" s="234"/>
      <c r="BB53" s="234"/>
    </row>
    <row r="54">
      <c r="A54" s="57">
        <v>2.125040052E9</v>
      </c>
      <c r="B54" s="109" t="str">
        <f>VLOOKUP($A54,ANAGRAFICA!$B$1:$G$306,2,FALSE)</f>
        <v>TODESCATO</v>
      </c>
      <c r="C54" s="109" t="str">
        <f>VLOOKUP($A54,ANAGRAFICA!$B$1:$G$306,3,FALSE)</f>
        <v>GIANLUCA</v>
      </c>
      <c r="D54" s="109" t="str">
        <f>VLOOKUP($A54,ANAGRAFICA!$B$1:$G$306,4,FALSE)</f>
        <v>758-40</v>
      </c>
      <c r="E54" s="109">
        <f>VLOOKUP($A54,ANAGRAFICA!$B$1:$G$306,5,FALSE)</f>
        <v>3272025067</v>
      </c>
      <c r="F54" s="109">
        <f>VLOOKUP($A54,ANAGRAFICA!$B$1:$G$306,6,FALSE)</f>
        <v>2025</v>
      </c>
      <c r="G54" s="3">
        <v>1.0</v>
      </c>
      <c r="H54" s="233" t="s">
        <v>1275</v>
      </c>
      <c r="I54" s="233" t="s">
        <v>1276</v>
      </c>
      <c r="J54" s="233" t="s">
        <v>1276</v>
      </c>
      <c r="K54" s="234"/>
      <c r="L54" s="234"/>
      <c r="M54" s="234"/>
      <c r="N54" s="234"/>
      <c r="O54" s="237">
        <v>0.15</v>
      </c>
      <c r="P54" s="235">
        <f t="shared" si="1"/>
        <v>15</v>
      </c>
      <c r="Q54" s="236" t="b">
        <v>1</v>
      </c>
      <c r="R54" s="238">
        <v>45926.0</v>
      </c>
      <c r="S54" s="234"/>
      <c r="T54" s="237" t="s">
        <v>1304</v>
      </c>
      <c r="U54" s="234" t="b">
        <v>0</v>
      </c>
      <c r="V54" s="234" t="b">
        <v>0</v>
      </c>
      <c r="W54" s="236" t="b">
        <v>1</v>
      </c>
      <c r="X54" s="234" t="b">
        <v>0</v>
      </c>
      <c r="Y54" s="234" t="b">
        <v>0</v>
      </c>
      <c r="Z54" s="236" t="b">
        <v>0</v>
      </c>
      <c r="AA54" s="237" t="s">
        <v>1278</v>
      </c>
      <c r="AB54" s="237" t="s">
        <v>1312</v>
      </c>
      <c r="AC54" s="234" t="b">
        <v>0</v>
      </c>
      <c r="AD54" s="234" t="b">
        <v>0</v>
      </c>
      <c r="AE54" s="234" t="b">
        <v>0</v>
      </c>
      <c r="AF54" s="236" t="b">
        <v>1</v>
      </c>
      <c r="AG54" s="236" t="b">
        <v>1</v>
      </c>
      <c r="AH54" s="236" t="b">
        <v>1</v>
      </c>
      <c r="AI54" s="234" t="b">
        <v>0</v>
      </c>
      <c r="AJ54" s="234" t="b">
        <v>0</v>
      </c>
      <c r="AK54" s="236" t="b">
        <v>1</v>
      </c>
      <c r="AL54" s="234" t="b">
        <v>0</v>
      </c>
      <c r="AM54" s="234"/>
      <c r="AN54" s="234" t="b">
        <v>0</v>
      </c>
      <c r="AO54" s="236" t="b">
        <v>0</v>
      </c>
      <c r="AP54" s="234" t="b">
        <v>0</v>
      </c>
      <c r="AQ54" s="237" t="s">
        <v>1283</v>
      </c>
      <c r="AR54" s="234" t="b">
        <v>0</v>
      </c>
      <c r="AS54" s="234"/>
      <c r="AT54" s="234"/>
      <c r="AU54" s="234"/>
      <c r="AV54" s="234"/>
      <c r="AW54" s="236" t="b">
        <v>1</v>
      </c>
      <c r="AX54" s="238">
        <v>45926.0</v>
      </c>
      <c r="AY54" s="237" t="s">
        <v>353</v>
      </c>
      <c r="AZ54" s="234" t="b">
        <v>0</v>
      </c>
      <c r="BA54" s="234"/>
      <c r="BB54" s="234"/>
    </row>
    <row r="55">
      <c r="A55" s="57">
        <v>2.125040835E9</v>
      </c>
      <c r="B55" s="109" t="str">
        <f>VLOOKUP($A55,ANAGRAFICA!$B$1:$G$306,2,FALSE)</f>
        <v>PESACANE</v>
      </c>
      <c r="C55" s="109" t="str">
        <f>VLOOKUP($A55,ANAGRAFICA!$B$1:$G$306,3,FALSE)</f>
        <v>MATTEO VALERIO</v>
      </c>
      <c r="D55" s="109" t="str">
        <f>VLOOKUP($A55,ANAGRAFICA!$B$1:$G$306,4,FALSE)</f>
        <v>758-42</v>
      </c>
      <c r="E55" s="109">
        <f>VLOOKUP($A55,ANAGRAFICA!$B$1:$G$306,5,FALSE)</f>
        <v>3272025069</v>
      </c>
      <c r="F55" s="109">
        <f>VLOOKUP($A55,ANAGRAFICA!$B$1:$G$306,6,FALSE)</f>
        <v>2025</v>
      </c>
      <c r="G55" s="3">
        <v>1.0</v>
      </c>
      <c r="H55" s="233" t="s">
        <v>1275</v>
      </c>
      <c r="I55" s="233" t="s">
        <v>1277</v>
      </c>
      <c r="J55" s="233" t="s">
        <v>1277</v>
      </c>
      <c r="K55" s="234"/>
      <c r="L55" s="237">
        <v>2.0</v>
      </c>
      <c r="M55" s="234"/>
      <c r="N55" s="234"/>
      <c r="O55" s="237">
        <v>0.25</v>
      </c>
      <c r="P55" s="235">
        <f t="shared" si="1"/>
        <v>27</v>
      </c>
      <c r="Q55" s="234" t="b">
        <v>0</v>
      </c>
      <c r="R55" s="238">
        <v>45931.0</v>
      </c>
      <c r="S55" s="237" t="s">
        <v>929</v>
      </c>
      <c r="T55" s="237" t="s">
        <v>1284</v>
      </c>
      <c r="U55" s="234" t="b">
        <v>0</v>
      </c>
      <c r="V55" s="236" t="b">
        <v>1</v>
      </c>
      <c r="W55" s="234" t="b">
        <v>0</v>
      </c>
      <c r="X55" s="234" t="b">
        <v>0</v>
      </c>
      <c r="Y55" s="234" t="b">
        <v>0</v>
      </c>
      <c r="Z55" s="236" t="b">
        <v>0</v>
      </c>
      <c r="AA55" s="237" t="s">
        <v>1278</v>
      </c>
      <c r="AB55" s="237" t="s">
        <v>1279</v>
      </c>
      <c r="AC55" s="234" t="b">
        <v>0</v>
      </c>
      <c r="AD55" s="234" t="b">
        <v>0</v>
      </c>
      <c r="AE55" s="234" t="b">
        <v>0</v>
      </c>
      <c r="AF55" s="234" t="b">
        <v>0</v>
      </c>
      <c r="AG55" s="236" t="b">
        <v>1</v>
      </c>
      <c r="AH55" s="236" t="b">
        <v>1</v>
      </c>
      <c r="AI55" s="234" t="b">
        <v>0</v>
      </c>
      <c r="AJ55" s="234" t="b">
        <v>0</v>
      </c>
      <c r="AK55" s="236" t="b">
        <v>1</v>
      </c>
      <c r="AL55" s="234" t="b">
        <v>0</v>
      </c>
      <c r="AM55" s="234"/>
      <c r="AN55" s="234" t="b">
        <v>0</v>
      </c>
      <c r="AO55" s="234" t="b">
        <v>0</v>
      </c>
      <c r="AP55" s="234" t="b">
        <v>0</v>
      </c>
      <c r="AQ55" s="237" t="s">
        <v>1283</v>
      </c>
      <c r="AR55" s="234" t="b">
        <v>0</v>
      </c>
      <c r="AS55" s="234"/>
      <c r="AT55" s="234"/>
      <c r="AU55" s="234"/>
      <c r="AV55" s="234"/>
      <c r="AW55" s="234" t="b">
        <v>0</v>
      </c>
      <c r="AX55" s="234"/>
      <c r="AY55" s="234"/>
      <c r="AZ55" s="234" t="b">
        <v>0</v>
      </c>
      <c r="BA55" s="234"/>
      <c r="BB55" s="234"/>
    </row>
    <row r="56">
      <c r="A56" s="57">
        <v>2.125042368E9</v>
      </c>
      <c r="B56" s="109" t="str">
        <f>VLOOKUP($A56,ANAGRAFICA!$B$1:$G$306,2,FALSE)</f>
        <v>MARKOVIC</v>
      </c>
      <c r="C56" s="109" t="str">
        <f>VLOOKUP($A56,ANAGRAFICA!$B$1:$G$306,3,FALSE)</f>
        <v>BRANKO</v>
      </c>
      <c r="D56" s="109" t="str">
        <f>VLOOKUP($A56,ANAGRAFICA!$B$1:$G$306,4,FALSE)</f>
        <v>758-43</v>
      </c>
      <c r="E56" s="109">
        <f>VLOOKUP($A56,ANAGRAFICA!$B$1:$G$306,5,FALSE)</f>
        <v>3272025070</v>
      </c>
      <c r="F56" s="109">
        <f>VLOOKUP($A56,ANAGRAFICA!$B$1:$G$306,6,FALSE)</f>
        <v>2025</v>
      </c>
      <c r="G56" s="3">
        <v>1.0</v>
      </c>
      <c r="H56" s="233" t="s">
        <v>1275</v>
      </c>
      <c r="I56" s="233" t="s">
        <v>1277</v>
      </c>
      <c r="J56" s="233" t="s">
        <v>1277</v>
      </c>
      <c r="K56" s="234"/>
      <c r="L56" s="234"/>
      <c r="M56" s="234"/>
      <c r="N56" s="234"/>
      <c r="O56" s="237">
        <v>0.29</v>
      </c>
      <c r="P56" s="235">
        <f t="shared" si="1"/>
        <v>29</v>
      </c>
      <c r="Q56" s="234" t="b">
        <v>0</v>
      </c>
      <c r="R56" s="234"/>
      <c r="S56" s="234"/>
      <c r="T56" s="234"/>
      <c r="U56" s="234" t="b">
        <v>0</v>
      </c>
      <c r="V56" s="234" t="b">
        <v>0</v>
      </c>
      <c r="W56" s="234" t="b">
        <v>0</v>
      </c>
      <c r="X56" s="234" t="b">
        <v>0</v>
      </c>
      <c r="Y56" s="234" t="b">
        <v>0</v>
      </c>
      <c r="Z56" s="236" t="b">
        <v>0</v>
      </c>
      <c r="AA56" s="237" t="s">
        <v>1278</v>
      </c>
      <c r="AB56" s="237" t="s">
        <v>1279</v>
      </c>
      <c r="AC56" s="234" t="b">
        <v>0</v>
      </c>
      <c r="AD56" s="234" t="b">
        <v>0</v>
      </c>
      <c r="AE56" s="234" t="b">
        <v>0</v>
      </c>
      <c r="AF56" s="234" t="b">
        <v>0</v>
      </c>
      <c r="AG56" s="236" t="b">
        <v>1</v>
      </c>
      <c r="AH56" s="234" t="b">
        <v>0</v>
      </c>
      <c r="AI56" s="234" t="b">
        <v>0</v>
      </c>
      <c r="AJ56" s="234" t="b">
        <v>0</v>
      </c>
      <c r="AK56" s="236" t="b">
        <v>1</v>
      </c>
      <c r="AL56" s="234" t="b">
        <v>0</v>
      </c>
      <c r="AM56" s="234"/>
      <c r="AN56" s="234" t="b">
        <v>0</v>
      </c>
      <c r="AO56" s="234" t="b">
        <v>0</v>
      </c>
      <c r="AP56" s="234" t="b">
        <v>0</v>
      </c>
      <c r="AQ56" s="237" t="s">
        <v>1283</v>
      </c>
      <c r="AR56" s="236" t="b">
        <v>0</v>
      </c>
      <c r="AS56" s="234"/>
      <c r="AT56" s="234"/>
      <c r="AU56" s="234"/>
      <c r="AV56" s="234"/>
      <c r="AW56" s="234" t="b">
        <v>0</v>
      </c>
      <c r="AX56" s="234"/>
      <c r="AY56" s="234"/>
      <c r="AZ56" s="236" t="b">
        <v>1</v>
      </c>
      <c r="BA56" s="239">
        <v>45941.0</v>
      </c>
      <c r="BB56" s="237" t="s">
        <v>1316</v>
      </c>
    </row>
    <row r="57">
      <c r="A57" s="57">
        <v>2.125046195E9</v>
      </c>
      <c r="B57" s="109" t="str">
        <f>VLOOKUP($A57,ANAGRAFICA!$B$1:$G$306,2,FALSE)</f>
        <v>CASILLO</v>
      </c>
      <c r="C57" s="109" t="str">
        <f>VLOOKUP($A57,ANAGRAFICA!$B$1:$G$306,3,FALSE)</f>
        <v>SALVATORE</v>
      </c>
      <c r="D57" s="109" t="str">
        <f>VLOOKUP($A57,ANAGRAFICA!$B$1:$G$306,4,FALSE)</f>
        <v>758-44</v>
      </c>
      <c r="E57" s="109">
        <f>VLOOKUP($A57,ANAGRAFICA!$B$1:$G$306,5,FALSE)</f>
        <v>3272025071</v>
      </c>
      <c r="F57" s="109">
        <f>VLOOKUP($A57,ANAGRAFICA!$B$1:$G$306,6,FALSE)</f>
        <v>2025</v>
      </c>
      <c r="G57" s="3">
        <v>1.0</v>
      </c>
      <c r="H57" s="233" t="s">
        <v>1275</v>
      </c>
      <c r="I57" s="233" t="s">
        <v>1277</v>
      </c>
      <c r="J57" s="233" t="s">
        <v>1277</v>
      </c>
      <c r="K57" s="234"/>
      <c r="L57" s="234"/>
      <c r="M57" s="234"/>
      <c r="N57" s="234"/>
      <c r="O57" s="234"/>
      <c r="P57" s="235">
        <f t="shared" si="1"/>
        <v>0</v>
      </c>
      <c r="Q57" s="234" t="b">
        <v>0</v>
      </c>
      <c r="R57" s="234"/>
      <c r="S57" s="234"/>
      <c r="T57" s="234"/>
      <c r="U57" s="234" t="b">
        <v>0</v>
      </c>
      <c r="V57" s="234" t="b">
        <v>0</v>
      </c>
      <c r="W57" s="234" t="b">
        <v>0</v>
      </c>
      <c r="X57" s="234" t="b">
        <v>0</v>
      </c>
      <c r="Y57" s="234" t="b">
        <v>0</v>
      </c>
      <c r="Z57" s="236" t="b">
        <v>0</v>
      </c>
      <c r="AA57" s="237" t="s">
        <v>1278</v>
      </c>
      <c r="AB57" s="237" t="s">
        <v>1279</v>
      </c>
      <c r="AC57" s="234" t="b">
        <v>0</v>
      </c>
      <c r="AD57" s="234" t="b">
        <v>0</v>
      </c>
      <c r="AE57" s="234" t="b">
        <v>0</v>
      </c>
      <c r="AF57" s="234" t="b">
        <v>0</v>
      </c>
      <c r="AG57" s="236" t="b">
        <v>1</v>
      </c>
      <c r="AH57" s="234" t="b">
        <v>0</v>
      </c>
      <c r="AI57" s="234" t="b">
        <v>0</v>
      </c>
      <c r="AJ57" s="234" t="b">
        <v>0</v>
      </c>
      <c r="AK57" s="236" t="b">
        <v>1</v>
      </c>
      <c r="AL57" s="234" t="b">
        <v>0</v>
      </c>
      <c r="AM57" s="234"/>
      <c r="AN57" s="234" t="b">
        <v>0</v>
      </c>
      <c r="AO57" s="234" t="b">
        <v>0</v>
      </c>
      <c r="AP57" s="234" t="b">
        <v>0</v>
      </c>
      <c r="AQ57" s="237" t="s">
        <v>1283</v>
      </c>
      <c r="AR57" s="234" t="b">
        <v>0</v>
      </c>
      <c r="AS57" s="234"/>
      <c r="AT57" s="234"/>
      <c r="AU57" s="234"/>
      <c r="AV57" s="234"/>
      <c r="AW57" s="234" t="b">
        <v>0</v>
      </c>
      <c r="AX57" s="234"/>
      <c r="AY57" s="234"/>
      <c r="AZ57" s="236" t="b">
        <v>1</v>
      </c>
      <c r="BA57" s="238">
        <v>45964.0</v>
      </c>
      <c r="BB57" s="237" t="s">
        <v>354</v>
      </c>
    </row>
    <row r="58">
      <c r="A58" s="57">
        <v>2.025010247E9</v>
      </c>
      <c r="B58" s="109" t="str">
        <f>VLOOKUP($A58,ANAGRAFICA!$B$1:$G$306,2,FALSE)</f>
        <v>TREMOLADA</v>
      </c>
      <c r="C58" s="109" t="str">
        <f>VLOOKUP($A58,ANAGRAFICA!$B$1:$G$306,3,FALSE)</f>
        <v>MARCO</v>
      </c>
      <c r="D58" s="109" t="str">
        <f>VLOOKUP($A58,ANAGRAFICA!$B$1:$G$306,4,FALSE)</f>
        <v>758-25</v>
      </c>
      <c r="E58" s="109">
        <f>VLOOKUP($A58,ANAGRAFICA!$B$1:$G$306,5,FALSE)</f>
        <v>3272025054</v>
      </c>
      <c r="F58" s="109">
        <f>VLOOKUP($A58,ANAGRAFICA!$B$1:$G$306,6,FALSE)</f>
        <v>2025</v>
      </c>
      <c r="G58" s="3">
        <v>2.0</v>
      </c>
      <c r="H58" s="233" t="s">
        <v>1275</v>
      </c>
      <c r="I58" s="233" t="s">
        <v>1277</v>
      </c>
      <c r="J58" s="233" t="s">
        <v>1277</v>
      </c>
      <c r="K58" s="234"/>
      <c r="L58" s="237">
        <v>3.7</v>
      </c>
      <c r="M58" s="234"/>
      <c r="N58" s="234"/>
      <c r="O58" s="237">
        <v>0.1</v>
      </c>
      <c r="P58" s="235">
        <f t="shared" si="1"/>
        <v>13.7</v>
      </c>
      <c r="Q58" s="236" t="b">
        <v>1</v>
      </c>
      <c r="R58" s="238">
        <v>45720.0</v>
      </c>
      <c r="S58" s="237" t="s">
        <v>1317</v>
      </c>
      <c r="T58" s="237" t="s">
        <v>1284</v>
      </c>
      <c r="U58" s="236" t="b">
        <v>1</v>
      </c>
      <c r="V58" s="236" t="b">
        <v>1</v>
      </c>
      <c r="W58" s="234" t="b">
        <v>0</v>
      </c>
      <c r="X58" s="236" t="b">
        <v>1</v>
      </c>
      <c r="Y58" s="234" t="b">
        <v>0</v>
      </c>
      <c r="Z58" s="236" t="b">
        <v>0</v>
      </c>
      <c r="AA58" s="237" t="s">
        <v>1290</v>
      </c>
      <c r="AB58" s="237" t="s">
        <v>1318</v>
      </c>
      <c r="AC58" s="236" t="b">
        <v>1</v>
      </c>
      <c r="AD58" s="236" t="b">
        <v>1</v>
      </c>
      <c r="AE58" s="234" t="b">
        <v>0</v>
      </c>
      <c r="AF58" s="234" t="b">
        <v>0</v>
      </c>
      <c r="AG58" s="234" t="b">
        <v>0</v>
      </c>
      <c r="AH58" s="236" t="b">
        <v>1</v>
      </c>
      <c r="AI58" s="234" t="b">
        <v>0</v>
      </c>
      <c r="AJ58" s="234" t="b">
        <v>0</v>
      </c>
      <c r="AK58" s="236" t="b">
        <v>1</v>
      </c>
      <c r="AL58" s="234" t="b">
        <v>0</v>
      </c>
      <c r="AM58" s="234"/>
      <c r="AN58" s="234" t="b">
        <v>0</v>
      </c>
      <c r="AO58" s="234" t="b">
        <v>0</v>
      </c>
      <c r="AP58" s="234" t="b">
        <v>0</v>
      </c>
      <c r="AQ58" s="237" t="s">
        <v>1280</v>
      </c>
      <c r="AR58" s="236" t="b">
        <v>1</v>
      </c>
      <c r="AS58" s="237" t="s">
        <v>1286</v>
      </c>
      <c r="AT58" s="238">
        <v>45720.0</v>
      </c>
      <c r="AU58" s="234"/>
      <c r="AV58" s="237" t="s">
        <v>1153</v>
      </c>
      <c r="AW58" s="234" t="b">
        <v>0</v>
      </c>
      <c r="AX58" s="234"/>
      <c r="AY58" s="234"/>
      <c r="AZ58" s="234" t="b">
        <v>0</v>
      </c>
      <c r="BA58" s="234"/>
      <c r="BB58" s="234"/>
    </row>
    <row r="59">
      <c r="A59" s="57">
        <v>2.125024608E9</v>
      </c>
      <c r="B59" s="109" t="str">
        <f>VLOOKUP($A59,ANAGRAFICA!$B$1:$G$306,2,FALSE)</f>
        <v>ZAPPIA</v>
      </c>
      <c r="C59" s="109" t="str">
        <f>VLOOKUP($A59,ANAGRAFICA!$B$1:$G$306,3,FALSE)</f>
        <v>LEONARDO</v>
      </c>
      <c r="D59" s="109" t="str">
        <f>VLOOKUP($A59,ANAGRAFICA!$B$1:$G$306,4,FALSE)</f>
        <v>758-29</v>
      </c>
      <c r="E59" s="109">
        <f>VLOOKUP($A59,ANAGRAFICA!$B$1:$G$306,5,FALSE)</f>
        <v>3272025057</v>
      </c>
      <c r="F59" s="109">
        <f>VLOOKUP($A59,ANAGRAFICA!$B$1:$G$306,6,FALSE)</f>
        <v>2025</v>
      </c>
      <c r="G59" s="3">
        <v>1.0</v>
      </c>
      <c r="H59" s="233" t="s">
        <v>1275</v>
      </c>
      <c r="I59" s="233" t="s">
        <v>1276</v>
      </c>
      <c r="J59" s="233" t="s">
        <v>1277</v>
      </c>
      <c r="K59" s="234"/>
      <c r="L59" s="234"/>
      <c r="M59" s="234"/>
      <c r="N59" s="234"/>
      <c r="O59" s="237">
        <v>0.2</v>
      </c>
      <c r="P59" s="235">
        <f t="shared" si="1"/>
        <v>20</v>
      </c>
      <c r="Q59" s="234" t="b">
        <v>0</v>
      </c>
      <c r="R59" s="234"/>
      <c r="S59" s="234"/>
      <c r="T59" s="234"/>
      <c r="U59" s="234" t="b">
        <v>0</v>
      </c>
      <c r="V59" s="234" t="b">
        <v>0</v>
      </c>
      <c r="W59" s="234" t="b">
        <v>0</v>
      </c>
      <c r="X59" s="234" t="b">
        <v>0</v>
      </c>
      <c r="Y59" s="234" t="b">
        <v>0</v>
      </c>
      <c r="Z59" s="236" t="b">
        <v>0</v>
      </c>
      <c r="AA59" s="237" t="s">
        <v>1290</v>
      </c>
      <c r="AB59" s="237" t="s">
        <v>1291</v>
      </c>
      <c r="AC59" s="236" t="b">
        <v>1</v>
      </c>
      <c r="AD59" s="236" t="b">
        <v>1</v>
      </c>
      <c r="AE59" s="234" t="b">
        <v>0</v>
      </c>
      <c r="AF59" s="234" t="b">
        <v>0</v>
      </c>
      <c r="AG59" s="236" t="b">
        <v>0</v>
      </c>
      <c r="AH59" s="236" t="b">
        <v>1</v>
      </c>
      <c r="AI59" s="234" t="b">
        <v>0</v>
      </c>
      <c r="AJ59" s="234" t="b">
        <v>0</v>
      </c>
      <c r="AK59" s="236" t="b">
        <v>1</v>
      </c>
      <c r="AL59" s="236" t="b">
        <v>0</v>
      </c>
      <c r="AM59" s="234"/>
      <c r="AN59" s="234" t="b">
        <v>0</v>
      </c>
      <c r="AO59" s="234" t="b">
        <v>0</v>
      </c>
      <c r="AP59" s="234" t="b">
        <v>0</v>
      </c>
      <c r="AQ59" s="237" t="s">
        <v>1153</v>
      </c>
      <c r="AR59" s="236" t="b">
        <v>1</v>
      </c>
      <c r="AS59" s="237" t="s">
        <v>1286</v>
      </c>
      <c r="AT59" s="238">
        <v>45811.0</v>
      </c>
      <c r="AU59" s="234"/>
      <c r="AV59" s="237" t="s">
        <v>1253</v>
      </c>
      <c r="AW59" s="234" t="b">
        <v>0</v>
      </c>
      <c r="AX59" s="234"/>
      <c r="AY59" s="234"/>
      <c r="AZ59" s="234" t="b">
        <v>0</v>
      </c>
      <c r="BA59" s="234"/>
      <c r="BB59" s="234"/>
    </row>
    <row r="60">
      <c r="A60" s="57">
        <v>2.125051424E9</v>
      </c>
      <c r="B60" s="109" t="str">
        <f>VLOOKUP($A60,ANAGRAFICA!$B$1:$G$306,2,FALSE)</f>
        <v>CASABURI</v>
      </c>
      <c r="C60" s="109" t="str">
        <f>VLOOKUP($A60,ANAGRAFICA!$B$1:$G$306,3,FALSE)</f>
        <v>ERRICO</v>
      </c>
      <c r="D60" s="109" t="str">
        <f>VLOOKUP($A60,ANAGRAFICA!$B$1:$G$306,4,FALSE)</f>
        <v>758-45</v>
      </c>
      <c r="E60" s="109">
        <f>VLOOKUP($A60,ANAGRAFICA!$B$1:$G$306,5,FALSE)</f>
        <v>3272025072</v>
      </c>
      <c r="F60" s="109">
        <f>VLOOKUP($A60,ANAGRAFICA!$B$1:$G$306,6,FALSE)</f>
        <v>2025</v>
      </c>
      <c r="G60" s="3">
        <v>1.0</v>
      </c>
      <c r="H60" s="233" t="s">
        <v>1275</v>
      </c>
      <c r="I60" s="233" t="s">
        <v>1276</v>
      </c>
      <c r="J60" s="233" t="s">
        <v>1276</v>
      </c>
      <c r="K60" s="234"/>
      <c r="L60" s="234"/>
      <c r="M60" s="237">
        <v>0.03</v>
      </c>
      <c r="N60" s="234"/>
      <c r="O60" s="237">
        <v>0.7</v>
      </c>
      <c r="P60" s="235">
        <f t="shared" si="1"/>
        <v>73</v>
      </c>
      <c r="Q60" s="236" t="b">
        <v>1</v>
      </c>
      <c r="R60" s="238">
        <v>45998.0</v>
      </c>
      <c r="S60" s="237" t="s">
        <v>1319</v>
      </c>
      <c r="T60" s="237" t="s">
        <v>1284</v>
      </c>
      <c r="U60" s="236" t="b">
        <v>1</v>
      </c>
      <c r="V60" s="234" t="b">
        <v>0</v>
      </c>
      <c r="W60" s="234" t="b">
        <v>0</v>
      </c>
      <c r="X60" s="234" t="b">
        <v>0</v>
      </c>
      <c r="Y60" s="234" t="b">
        <v>0</v>
      </c>
      <c r="Z60" s="236" t="b">
        <v>0</v>
      </c>
      <c r="AA60" s="237" t="s">
        <v>1290</v>
      </c>
      <c r="AB60" s="237" t="s">
        <v>1291</v>
      </c>
      <c r="AC60" s="234" t="b">
        <v>0</v>
      </c>
      <c r="AD60" s="234" t="b">
        <v>0</v>
      </c>
      <c r="AE60" s="234" t="b">
        <v>0</v>
      </c>
      <c r="AF60" s="234" t="b">
        <v>0</v>
      </c>
      <c r="AG60" s="234" t="b">
        <v>0</v>
      </c>
      <c r="AH60" s="236" t="b">
        <v>1</v>
      </c>
      <c r="AI60" s="234" t="b">
        <v>0</v>
      </c>
      <c r="AJ60" s="234" t="b">
        <v>0</v>
      </c>
      <c r="AK60" s="234" t="b">
        <v>0</v>
      </c>
      <c r="AL60" s="234" t="b">
        <v>0</v>
      </c>
      <c r="AM60" s="234"/>
      <c r="AN60" s="234" t="b">
        <v>0</v>
      </c>
      <c r="AO60" s="234" t="b">
        <v>0</v>
      </c>
      <c r="AP60" s="234" t="b">
        <v>0</v>
      </c>
      <c r="AQ60" s="237" t="s">
        <v>1153</v>
      </c>
      <c r="AR60" s="234" t="b">
        <v>0</v>
      </c>
      <c r="AS60" s="234"/>
      <c r="AT60" s="234"/>
      <c r="AU60" s="234"/>
      <c r="AV60" s="234"/>
      <c r="AW60" s="234" t="b">
        <v>0</v>
      </c>
      <c r="AX60" s="234"/>
      <c r="AY60" s="234"/>
      <c r="AZ60" s="236" t="b">
        <v>1</v>
      </c>
      <c r="BA60" s="238">
        <v>46000.0</v>
      </c>
      <c r="BB60" s="237" t="s">
        <v>473</v>
      </c>
    </row>
    <row r="61">
      <c r="A61" s="57">
        <v>2.1250527E9</v>
      </c>
      <c r="B61" s="109" t="str">
        <f>VLOOKUP($A61,ANAGRAFICA!$B$1:$G$306,2,FALSE)</f>
        <v>GADDA</v>
      </c>
      <c r="C61" s="109" t="str">
        <f>VLOOKUP($A61,ANAGRAFICA!$B$1:$G$306,3,FALSE)</f>
        <v>LILIANA</v>
      </c>
      <c r="D61" s="109" t="str">
        <f>VLOOKUP($A61,ANAGRAFICA!$B$1:$G$306,4,FALSE)</f>
        <v>758-46</v>
      </c>
      <c r="E61" s="109">
        <f>VLOOKUP($A61,ANAGRAFICA!$B$1:$G$306,5,FALSE)</f>
        <v>3272025073</v>
      </c>
      <c r="F61" s="109">
        <f>VLOOKUP($A61,ANAGRAFICA!$B$1:$G$306,6,FALSE)</f>
        <v>2025</v>
      </c>
      <c r="G61" s="3">
        <v>1.0</v>
      </c>
      <c r="H61" s="233" t="s">
        <v>1275</v>
      </c>
      <c r="I61" s="233" t="s">
        <v>1277</v>
      </c>
      <c r="J61" s="233" t="s">
        <v>1277</v>
      </c>
      <c r="K61" s="234"/>
      <c r="L61" s="234"/>
      <c r="M61" s="234"/>
      <c r="N61" s="234"/>
      <c r="O61" s="237">
        <v>0.03</v>
      </c>
      <c r="P61" s="235">
        <f t="shared" si="1"/>
        <v>3</v>
      </c>
      <c r="Q61" s="234" t="b">
        <v>0</v>
      </c>
      <c r="R61" s="234"/>
      <c r="S61" s="234"/>
      <c r="T61" s="234"/>
      <c r="U61" s="234" t="b">
        <v>0</v>
      </c>
      <c r="V61" s="234" t="b">
        <v>0</v>
      </c>
      <c r="W61" s="234" t="b">
        <v>0</v>
      </c>
      <c r="X61" s="234" t="b">
        <v>0</v>
      </c>
      <c r="Y61" s="234" t="b">
        <v>0</v>
      </c>
      <c r="Z61" s="236" t="b">
        <v>0</v>
      </c>
      <c r="AA61" s="234"/>
      <c r="AB61" s="234"/>
      <c r="AC61" s="234" t="b">
        <v>0</v>
      </c>
      <c r="AD61" s="234" t="b">
        <v>0</v>
      </c>
      <c r="AE61" s="236" t="b">
        <v>1</v>
      </c>
      <c r="AF61" s="234" t="b">
        <v>0</v>
      </c>
      <c r="AG61" s="234" t="b">
        <v>0</v>
      </c>
      <c r="AH61" s="234" t="b">
        <v>0</v>
      </c>
      <c r="AI61" s="234" t="b">
        <v>0</v>
      </c>
      <c r="AJ61" s="234" t="b">
        <v>0</v>
      </c>
      <c r="AK61" s="234" t="b">
        <v>0</v>
      </c>
      <c r="AL61" s="234" t="b">
        <v>0</v>
      </c>
      <c r="AM61" s="234"/>
      <c r="AN61" s="234" t="b">
        <v>0</v>
      </c>
      <c r="AO61" s="234" t="b">
        <v>0</v>
      </c>
      <c r="AP61" s="234" t="b">
        <v>0</v>
      </c>
      <c r="AQ61" s="234"/>
      <c r="AR61" s="234" t="b">
        <v>0</v>
      </c>
      <c r="AS61" s="234"/>
      <c r="AT61" s="234"/>
      <c r="AU61" s="234"/>
      <c r="AV61" s="234"/>
      <c r="AW61" s="234" t="b">
        <v>0</v>
      </c>
      <c r="AX61" s="234"/>
      <c r="AY61" s="234"/>
      <c r="AZ61" s="234" t="b">
        <v>0</v>
      </c>
      <c r="BA61" s="234"/>
      <c r="BB61" s="234"/>
    </row>
    <row r="62">
      <c r="A62" s="57">
        <v>2.125053097E9</v>
      </c>
      <c r="B62" s="109" t="str">
        <f>VLOOKUP($A62,ANAGRAFICA!$B$1:$G$306,2,FALSE)</f>
        <v>LISSONI</v>
      </c>
      <c r="C62" s="109" t="str">
        <f>VLOOKUP($A62,ANAGRAFICA!$B$1:$G$306,3,FALSE)</f>
        <v>ALESSANDRA</v>
      </c>
      <c r="D62" s="109" t="str">
        <f>VLOOKUP($A62,ANAGRAFICA!$B$1:$G$306,4,FALSE)</f>
        <v>758-47</v>
      </c>
      <c r="E62" s="109">
        <f>VLOOKUP($A62,ANAGRAFICA!$B$1:$G$306,5,FALSE)</f>
        <v>3272025074</v>
      </c>
      <c r="F62" s="109">
        <f>VLOOKUP($A62,ANAGRAFICA!$B$1:$G$306,6,FALSE)</f>
        <v>2025</v>
      </c>
      <c r="G62" s="3">
        <v>1.0</v>
      </c>
      <c r="H62" s="233" t="s">
        <v>1275</v>
      </c>
      <c r="I62" s="233" t="s">
        <v>1276</v>
      </c>
      <c r="J62" s="233" t="s">
        <v>1276</v>
      </c>
      <c r="K62" s="234"/>
      <c r="L62" s="234"/>
      <c r="M62" s="234"/>
      <c r="N62" s="234"/>
      <c r="O62" s="237">
        <v>0.12</v>
      </c>
      <c r="P62" s="235">
        <f t="shared" si="1"/>
        <v>12</v>
      </c>
      <c r="Q62" s="234" t="b">
        <v>0</v>
      </c>
      <c r="R62" s="234"/>
      <c r="S62" s="234"/>
      <c r="T62" s="234"/>
      <c r="U62" s="234" t="b">
        <v>0</v>
      </c>
      <c r="V62" s="234" t="b">
        <v>0</v>
      </c>
      <c r="W62" s="234" t="b">
        <v>0</v>
      </c>
      <c r="X62" s="234" t="b">
        <v>0</v>
      </c>
      <c r="Y62" s="236" t="b">
        <v>1</v>
      </c>
      <c r="Z62" s="236" t="b">
        <v>0</v>
      </c>
      <c r="AA62" s="237" t="s">
        <v>1290</v>
      </c>
      <c r="AB62" s="237" t="s">
        <v>1281</v>
      </c>
      <c r="AC62" s="234" t="b">
        <v>0</v>
      </c>
      <c r="AD62" s="234" t="b">
        <v>0</v>
      </c>
      <c r="AE62" s="234" t="b">
        <v>0</v>
      </c>
      <c r="AF62" s="234" t="b">
        <v>0</v>
      </c>
      <c r="AG62" s="234" t="b">
        <v>0</v>
      </c>
      <c r="AH62" s="236" t="b">
        <v>1</v>
      </c>
      <c r="AI62" s="234" t="b">
        <v>0</v>
      </c>
      <c r="AJ62" s="234" t="b">
        <v>0</v>
      </c>
      <c r="AK62" s="234" t="b">
        <v>0</v>
      </c>
      <c r="AL62" s="234" t="b">
        <v>0</v>
      </c>
      <c r="AM62" s="234"/>
      <c r="AN62" s="234" t="b">
        <v>0</v>
      </c>
      <c r="AO62" s="236" t="b">
        <v>1</v>
      </c>
      <c r="AP62" s="234" t="b">
        <v>0</v>
      </c>
      <c r="AQ62" s="237" t="s">
        <v>1280</v>
      </c>
      <c r="AR62" s="236" t="b">
        <v>1</v>
      </c>
      <c r="AS62" s="237" t="s">
        <v>1286</v>
      </c>
      <c r="AT62" s="239">
        <v>46009.0</v>
      </c>
      <c r="AU62" s="234"/>
      <c r="AV62" s="237" t="s">
        <v>1153</v>
      </c>
      <c r="AW62" s="234" t="b">
        <v>0</v>
      </c>
      <c r="AX62" s="234"/>
      <c r="AY62" s="234"/>
      <c r="AZ62" s="234" t="b">
        <v>0</v>
      </c>
      <c r="BA62" s="234"/>
      <c r="BB62" s="234"/>
    </row>
    <row r="63">
      <c r="A63" s="57">
        <v>2.126005799E9</v>
      </c>
      <c r="B63" s="109" t="str">
        <f>VLOOKUP($A63,ANAGRAFICA!$B$1:$G$306,2,FALSE)</f>
        <v>MAIORANO</v>
      </c>
      <c r="C63" s="109" t="str">
        <f>VLOOKUP($A63,ANAGRAFICA!$B$1:$G$306,3,FALSE)</f>
        <v>IOLANDA MARIA</v>
      </c>
      <c r="D63" s="109" t="str">
        <f>VLOOKUP($A63,ANAGRAFICA!$B$1:$G$306,4,FALSE)</f>
        <v>758-56</v>
      </c>
      <c r="E63" s="109" t="str">
        <f>VLOOKUP($A63,ANAGRAFICA!$B$1:$G$306,5,FALSE)</f>
        <v/>
      </c>
      <c r="F63" s="109">
        <f>VLOOKUP($A63,ANAGRAFICA!$B$1:$G$306,6,FALSE)</f>
        <v>2026</v>
      </c>
      <c r="G63" s="3">
        <v>1.0</v>
      </c>
      <c r="H63" s="233" t="s">
        <v>1275</v>
      </c>
      <c r="I63" s="233" t="s">
        <v>1295</v>
      </c>
      <c r="J63" s="233" t="s">
        <v>1276</v>
      </c>
      <c r="K63" s="234"/>
      <c r="L63" s="234"/>
      <c r="M63" s="237">
        <v>0.2</v>
      </c>
      <c r="N63" s="234"/>
      <c r="O63" s="237">
        <v>0.34</v>
      </c>
      <c r="P63" s="235">
        <f t="shared" si="1"/>
        <v>54</v>
      </c>
      <c r="Q63" s="236" t="b">
        <v>1</v>
      </c>
      <c r="R63" s="238">
        <v>46063.0</v>
      </c>
      <c r="S63" s="237" t="s">
        <v>1320</v>
      </c>
      <c r="T63" s="237" t="s">
        <v>1284</v>
      </c>
      <c r="U63" s="234" t="b">
        <v>0</v>
      </c>
      <c r="V63" s="234" t="b">
        <v>0</v>
      </c>
      <c r="W63" s="234" t="b">
        <v>0</v>
      </c>
      <c r="X63" s="234" t="b">
        <v>0</v>
      </c>
      <c r="Y63" s="234" t="b">
        <v>0</v>
      </c>
      <c r="Z63" s="236" t="b">
        <v>0</v>
      </c>
      <c r="AA63" s="237" t="s">
        <v>1290</v>
      </c>
      <c r="AB63" s="237" t="s">
        <v>1291</v>
      </c>
      <c r="AC63" s="234" t="b">
        <v>0</v>
      </c>
      <c r="AD63" s="234" t="b">
        <v>0</v>
      </c>
      <c r="AE63" s="234" t="b">
        <v>0</v>
      </c>
      <c r="AF63" s="234" t="b">
        <v>0</v>
      </c>
      <c r="AG63" s="234" t="b">
        <v>0</v>
      </c>
      <c r="AH63" s="236" t="b">
        <v>1</v>
      </c>
      <c r="AI63" s="234" t="b">
        <v>0</v>
      </c>
      <c r="AJ63" s="234" t="b">
        <v>0</v>
      </c>
      <c r="AK63" s="234" t="b">
        <v>0</v>
      </c>
      <c r="AL63" s="236" t="b">
        <v>1</v>
      </c>
      <c r="AM63" s="237" t="s">
        <v>1293</v>
      </c>
      <c r="AN63" s="234" t="b">
        <v>0</v>
      </c>
      <c r="AO63" s="234" t="b">
        <v>0</v>
      </c>
      <c r="AP63" s="236" t="b">
        <v>1</v>
      </c>
      <c r="AQ63" s="237" t="s">
        <v>1285</v>
      </c>
      <c r="AR63" s="234" t="b">
        <v>0</v>
      </c>
      <c r="AS63" s="234"/>
      <c r="AT63" s="234"/>
      <c r="AU63" s="234"/>
      <c r="AV63" s="234"/>
      <c r="AW63" s="234" t="b">
        <v>0</v>
      </c>
      <c r="AX63" s="234"/>
      <c r="AY63" s="234"/>
      <c r="AZ63" s="234" t="b">
        <v>0</v>
      </c>
      <c r="BA63" s="234"/>
      <c r="BB63" s="234"/>
    </row>
    <row r="64">
      <c r="A64" s="57">
        <v>2.126002771E9</v>
      </c>
      <c r="B64" s="109" t="str">
        <f>VLOOKUP($A64,ANAGRAFICA!$B$1:$G$306,2,FALSE)</f>
        <v>LONGOBARDI</v>
      </c>
      <c r="C64" s="109" t="str">
        <f>VLOOKUP($A64,ANAGRAFICA!$B$1:$G$306,3,FALSE)</f>
        <v>FRANCESCO</v>
      </c>
      <c r="D64" s="109" t="str">
        <f>VLOOKUP($A64,ANAGRAFICA!$B$1:$G$306,4,FALSE)</f>
        <v>758-52</v>
      </c>
      <c r="E64" s="109" t="str">
        <f>VLOOKUP($A64,ANAGRAFICA!$B$1:$G$306,5,FALSE)</f>
        <v/>
      </c>
      <c r="F64" s="109">
        <f>VLOOKUP($A64,ANAGRAFICA!$B$1:$G$306,6,FALSE)</f>
        <v>2026</v>
      </c>
      <c r="G64" s="3">
        <v>1.0</v>
      </c>
      <c r="H64" s="233" t="s">
        <v>1275</v>
      </c>
      <c r="I64" s="233" t="s">
        <v>1276</v>
      </c>
      <c r="J64" s="233" t="s">
        <v>1277</v>
      </c>
      <c r="K64" s="234"/>
      <c r="L64" s="237">
        <v>4.0</v>
      </c>
      <c r="M64" s="234"/>
      <c r="N64" s="237">
        <v>0.01</v>
      </c>
      <c r="O64" s="237">
        <v>0.2</v>
      </c>
      <c r="P64" s="235">
        <f t="shared" si="1"/>
        <v>124</v>
      </c>
      <c r="Q64" s="236" t="b">
        <v>0</v>
      </c>
      <c r="R64" s="238"/>
      <c r="S64" s="237"/>
      <c r="T64" s="237" t="s">
        <v>1284</v>
      </c>
      <c r="U64" s="234" t="b">
        <v>0</v>
      </c>
      <c r="V64" s="234" t="b">
        <v>0</v>
      </c>
      <c r="W64" s="234" t="b">
        <v>0</v>
      </c>
      <c r="X64" s="234" t="b">
        <v>0</v>
      </c>
      <c r="Y64" s="234" t="b">
        <v>0</v>
      </c>
      <c r="Z64" s="236" t="b">
        <v>0</v>
      </c>
      <c r="AA64" s="237" t="s">
        <v>1300</v>
      </c>
      <c r="AB64" s="234"/>
      <c r="AC64" s="234" t="b">
        <v>0</v>
      </c>
      <c r="AD64" s="234" t="b">
        <v>0</v>
      </c>
      <c r="AE64" s="234" t="b">
        <v>0</v>
      </c>
      <c r="AF64" s="234" t="b">
        <v>0</v>
      </c>
      <c r="AG64" s="234" t="b">
        <v>0</v>
      </c>
      <c r="AH64" s="234" t="b">
        <v>0</v>
      </c>
      <c r="AI64" s="234" t="b">
        <v>0</v>
      </c>
      <c r="AJ64" s="234" t="b">
        <v>0</v>
      </c>
      <c r="AK64" s="234" t="b">
        <v>0</v>
      </c>
      <c r="AL64" s="234" t="b">
        <v>0</v>
      </c>
      <c r="AM64" s="234"/>
      <c r="AN64" s="234" t="b">
        <v>0</v>
      </c>
      <c r="AO64" s="234" t="b">
        <v>0</v>
      </c>
      <c r="AP64" s="234" t="b">
        <v>0</v>
      </c>
      <c r="AQ64" s="234"/>
      <c r="AR64" s="234" t="b">
        <v>0</v>
      </c>
      <c r="AS64" s="234"/>
      <c r="AT64" s="234"/>
      <c r="AU64" s="234"/>
      <c r="AV64" s="234"/>
      <c r="AW64" s="234" t="b">
        <v>0</v>
      </c>
      <c r="AX64" s="234"/>
      <c r="AY64" s="234"/>
      <c r="AZ64" s="236" t="b">
        <v>0</v>
      </c>
      <c r="BA64" s="238"/>
      <c r="BB64" s="237"/>
    </row>
    <row r="65">
      <c r="A65" s="57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G65" s="3">
        <v>1.0</v>
      </c>
      <c r="H65" s="233"/>
      <c r="I65" s="233"/>
      <c r="J65" s="233"/>
      <c r="K65" s="234"/>
      <c r="L65" s="234"/>
      <c r="M65" s="234"/>
      <c r="N65" s="234"/>
      <c r="O65" s="234"/>
      <c r="P65" s="235">
        <f t="shared" si="1"/>
        <v>0</v>
      </c>
      <c r="Q65" s="234" t="b">
        <v>0</v>
      </c>
      <c r="R65" s="234"/>
      <c r="S65" s="234"/>
      <c r="T65" s="234"/>
      <c r="U65" s="234" t="b">
        <v>0</v>
      </c>
      <c r="V65" s="234" t="b">
        <v>0</v>
      </c>
      <c r="W65" s="234" t="b">
        <v>0</v>
      </c>
      <c r="X65" s="234" t="b">
        <v>0</v>
      </c>
      <c r="Y65" s="234" t="b">
        <v>0</v>
      </c>
      <c r="Z65" s="236" t="b">
        <v>0</v>
      </c>
      <c r="AA65" s="234"/>
      <c r="AB65" s="234"/>
      <c r="AC65" s="234" t="b">
        <v>0</v>
      </c>
      <c r="AD65" s="234" t="b">
        <v>0</v>
      </c>
      <c r="AE65" s="234" t="b">
        <v>0</v>
      </c>
      <c r="AF65" s="234" t="b">
        <v>0</v>
      </c>
      <c r="AG65" s="234" t="b">
        <v>0</v>
      </c>
      <c r="AH65" s="234" t="b">
        <v>0</v>
      </c>
      <c r="AI65" s="234" t="b">
        <v>0</v>
      </c>
      <c r="AJ65" s="234" t="b">
        <v>0</v>
      </c>
      <c r="AK65" s="234" t="b">
        <v>0</v>
      </c>
      <c r="AL65" s="234" t="b">
        <v>0</v>
      </c>
      <c r="AM65" s="234"/>
      <c r="AN65" s="234" t="b">
        <v>0</v>
      </c>
      <c r="AO65" s="234" t="b">
        <v>0</v>
      </c>
      <c r="AP65" s="234" t="b">
        <v>0</v>
      </c>
      <c r="AQ65" s="234"/>
      <c r="AR65" s="234" t="b">
        <v>0</v>
      </c>
      <c r="AS65" s="234"/>
      <c r="AT65" s="234"/>
      <c r="AU65" s="234"/>
      <c r="AV65" s="234"/>
      <c r="AW65" s="234" t="b">
        <v>0</v>
      </c>
      <c r="AX65" s="234"/>
      <c r="AY65" s="234"/>
      <c r="AZ65" s="234" t="b">
        <v>0</v>
      </c>
      <c r="BA65" s="234"/>
      <c r="BB65" s="234"/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H66" s="242"/>
      <c r="I66" s="242"/>
      <c r="J66" s="242"/>
      <c r="K66" s="234"/>
      <c r="L66" s="234"/>
      <c r="M66" s="234"/>
      <c r="N66" s="234"/>
      <c r="O66" s="234"/>
      <c r="P66" s="235">
        <f t="shared" si="1"/>
        <v>0</v>
      </c>
      <c r="Q66" s="234" t="b">
        <v>0</v>
      </c>
      <c r="R66" s="234"/>
      <c r="S66" s="234"/>
      <c r="T66" s="234"/>
      <c r="U66" s="234" t="b">
        <v>0</v>
      </c>
      <c r="V66" s="234" t="b">
        <v>0</v>
      </c>
      <c r="W66" s="234" t="b">
        <v>0</v>
      </c>
      <c r="X66" s="234" t="b">
        <v>0</v>
      </c>
      <c r="Y66" s="234" t="b">
        <v>0</v>
      </c>
      <c r="Z66" s="236" t="b">
        <v>0</v>
      </c>
      <c r="AA66" s="234"/>
      <c r="AB66" s="234"/>
      <c r="AC66" s="234" t="b">
        <v>0</v>
      </c>
      <c r="AD66" s="234" t="b">
        <v>0</v>
      </c>
      <c r="AE66" s="234" t="b">
        <v>0</v>
      </c>
      <c r="AF66" s="234" t="b">
        <v>0</v>
      </c>
      <c r="AG66" s="234" t="b">
        <v>0</v>
      </c>
      <c r="AH66" s="234" t="b">
        <v>0</v>
      </c>
      <c r="AI66" s="234" t="b">
        <v>0</v>
      </c>
      <c r="AJ66" s="234" t="b">
        <v>0</v>
      </c>
      <c r="AK66" s="234" t="b">
        <v>0</v>
      </c>
      <c r="AL66" s="234" t="b">
        <v>0</v>
      </c>
      <c r="AM66" s="234"/>
      <c r="AN66" s="234" t="b">
        <v>0</v>
      </c>
      <c r="AO66" s="234" t="b">
        <v>0</v>
      </c>
      <c r="AP66" s="234" t="b">
        <v>0</v>
      </c>
      <c r="AQ66" s="234"/>
      <c r="AR66" s="234" t="b">
        <v>0</v>
      </c>
      <c r="AS66" s="234"/>
      <c r="AT66" s="234"/>
      <c r="AU66" s="234"/>
      <c r="AV66" s="234"/>
      <c r="AW66" s="234" t="b">
        <v>0</v>
      </c>
      <c r="AX66" s="234"/>
      <c r="AY66" s="234"/>
      <c r="AZ66" s="234" t="b">
        <v>0</v>
      </c>
      <c r="BA66" s="234"/>
      <c r="BB66" s="234"/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H67" s="242"/>
      <c r="I67" s="242"/>
      <c r="J67" s="242"/>
      <c r="K67" s="234"/>
      <c r="L67" s="234"/>
      <c r="M67" s="234"/>
      <c r="N67" s="234"/>
      <c r="O67" s="234"/>
      <c r="P67" s="235">
        <f t="shared" si="1"/>
        <v>0</v>
      </c>
      <c r="Q67" s="234" t="b">
        <v>0</v>
      </c>
      <c r="R67" s="234"/>
      <c r="S67" s="234"/>
      <c r="T67" s="234"/>
      <c r="U67" s="234" t="b">
        <v>0</v>
      </c>
      <c r="V67" s="234" t="b">
        <v>0</v>
      </c>
      <c r="W67" s="234" t="b">
        <v>0</v>
      </c>
      <c r="X67" s="234" t="b">
        <v>0</v>
      </c>
      <c r="Y67" s="234" t="b">
        <v>0</v>
      </c>
      <c r="Z67" s="236" t="b">
        <v>0</v>
      </c>
      <c r="AA67" s="234"/>
      <c r="AB67" s="234"/>
      <c r="AC67" s="234" t="b">
        <v>0</v>
      </c>
      <c r="AD67" s="234" t="b">
        <v>0</v>
      </c>
      <c r="AE67" s="234" t="b">
        <v>0</v>
      </c>
      <c r="AF67" s="234" t="b">
        <v>0</v>
      </c>
      <c r="AG67" s="234" t="b">
        <v>0</v>
      </c>
      <c r="AH67" s="234" t="b">
        <v>0</v>
      </c>
      <c r="AI67" s="234" t="b">
        <v>0</v>
      </c>
      <c r="AJ67" s="234" t="b">
        <v>0</v>
      </c>
      <c r="AK67" s="234" t="b">
        <v>0</v>
      </c>
      <c r="AL67" s="234" t="b">
        <v>0</v>
      </c>
      <c r="AM67" s="234"/>
      <c r="AN67" s="234" t="b">
        <v>0</v>
      </c>
      <c r="AO67" s="234" t="b">
        <v>0</v>
      </c>
      <c r="AP67" s="234" t="b">
        <v>0</v>
      </c>
      <c r="AQ67" s="234"/>
      <c r="AR67" s="234" t="b">
        <v>0</v>
      </c>
      <c r="AS67" s="234"/>
      <c r="AT67" s="234"/>
      <c r="AU67" s="234"/>
      <c r="AV67" s="234"/>
      <c r="AW67" s="234" t="b">
        <v>0</v>
      </c>
      <c r="AX67" s="234"/>
      <c r="AY67" s="234"/>
      <c r="AZ67" s="234" t="b">
        <v>0</v>
      </c>
      <c r="BA67" s="234"/>
      <c r="BB67" s="234"/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H68" s="242"/>
      <c r="I68" s="242"/>
      <c r="J68" s="242"/>
      <c r="K68" s="234"/>
      <c r="L68" s="234"/>
      <c r="M68" s="234"/>
      <c r="N68" s="234"/>
      <c r="O68" s="234"/>
      <c r="P68" s="235">
        <f t="shared" si="1"/>
        <v>0</v>
      </c>
      <c r="Q68" s="234" t="b">
        <v>0</v>
      </c>
      <c r="R68" s="234"/>
      <c r="S68" s="234"/>
      <c r="T68" s="234"/>
      <c r="U68" s="234" t="b">
        <v>0</v>
      </c>
      <c r="V68" s="234" t="b">
        <v>0</v>
      </c>
      <c r="W68" s="234" t="b">
        <v>0</v>
      </c>
      <c r="X68" s="234" t="b">
        <v>0</v>
      </c>
      <c r="Y68" s="234" t="b">
        <v>0</v>
      </c>
      <c r="Z68" s="236" t="b">
        <v>0</v>
      </c>
      <c r="AA68" s="234"/>
      <c r="AB68" s="234"/>
      <c r="AC68" s="234" t="b">
        <v>0</v>
      </c>
      <c r="AD68" s="234" t="b">
        <v>0</v>
      </c>
      <c r="AE68" s="234" t="b">
        <v>0</v>
      </c>
      <c r="AF68" s="234" t="b">
        <v>0</v>
      </c>
      <c r="AG68" s="234" t="b">
        <v>0</v>
      </c>
      <c r="AH68" s="234" t="b">
        <v>0</v>
      </c>
      <c r="AI68" s="234" t="b">
        <v>0</v>
      </c>
      <c r="AJ68" s="234" t="b">
        <v>0</v>
      </c>
      <c r="AK68" s="234" t="b">
        <v>0</v>
      </c>
      <c r="AL68" s="234" t="b">
        <v>0</v>
      </c>
      <c r="AM68" s="234"/>
      <c r="AN68" s="234" t="b">
        <v>0</v>
      </c>
      <c r="AO68" s="234" t="b">
        <v>0</v>
      </c>
      <c r="AP68" s="234" t="b">
        <v>0</v>
      </c>
      <c r="AQ68" s="234"/>
      <c r="AR68" s="234" t="b">
        <v>0</v>
      </c>
      <c r="AS68" s="234"/>
      <c r="AT68" s="234"/>
      <c r="AU68" s="234"/>
      <c r="AV68" s="234"/>
      <c r="AW68" s="234" t="b">
        <v>0</v>
      </c>
      <c r="AX68" s="234"/>
      <c r="AY68" s="234"/>
      <c r="AZ68" s="234" t="b">
        <v>0</v>
      </c>
      <c r="BA68" s="234"/>
      <c r="BB68" s="234"/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H69" s="242"/>
      <c r="I69" s="242"/>
      <c r="J69" s="242"/>
      <c r="K69" s="234"/>
      <c r="L69" s="234"/>
      <c r="M69" s="234"/>
      <c r="N69" s="234"/>
      <c r="O69" s="234"/>
      <c r="P69" s="235">
        <f t="shared" si="1"/>
        <v>0</v>
      </c>
      <c r="Q69" s="234" t="b">
        <v>0</v>
      </c>
      <c r="R69" s="234"/>
      <c r="S69" s="234"/>
      <c r="T69" s="234"/>
      <c r="U69" s="234" t="b">
        <v>0</v>
      </c>
      <c r="V69" s="234" t="b">
        <v>0</v>
      </c>
      <c r="W69" s="234" t="b">
        <v>0</v>
      </c>
      <c r="X69" s="234" t="b">
        <v>0</v>
      </c>
      <c r="Y69" s="234" t="b">
        <v>0</v>
      </c>
      <c r="Z69" s="236" t="b">
        <v>0</v>
      </c>
      <c r="AA69" s="234"/>
      <c r="AB69" s="234"/>
      <c r="AC69" s="234" t="b">
        <v>0</v>
      </c>
      <c r="AD69" s="234" t="b">
        <v>0</v>
      </c>
      <c r="AE69" s="234" t="b">
        <v>0</v>
      </c>
      <c r="AF69" s="234" t="b">
        <v>0</v>
      </c>
      <c r="AG69" s="234" t="b">
        <v>0</v>
      </c>
      <c r="AH69" s="234" t="b">
        <v>0</v>
      </c>
      <c r="AI69" s="234" t="b">
        <v>0</v>
      </c>
      <c r="AJ69" s="234" t="b">
        <v>0</v>
      </c>
      <c r="AK69" s="234" t="b">
        <v>0</v>
      </c>
      <c r="AL69" s="234" t="b">
        <v>0</v>
      </c>
      <c r="AM69" s="234"/>
      <c r="AN69" s="234" t="b">
        <v>0</v>
      </c>
      <c r="AO69" s="234" t="b">
        <v>0</v>
      </c>
      <c r="AP69" s="234" t="b">
        <v>0</v>
      </c>
      <c r="AQ69" s="234"/>
      <c r="AR69" s="234" t="b">
        <v>0</v>
      </c>
      <c r="AS69" s="234"/>
      <c r="AT69" s="234"/>
      <c r="AU69" s="234"/>
      <c r="AV69" s="234"/>
      <c r="AW69" s="234" t="b">
        <v>0</v>
      </c>
      <c r="AX69" s="234"/>
      <c r="AY69" s="234"/>
      <c r="AZ69" s="234" t="b">
        <v>0</v>
      </c>
      <c r="BA69" s="234"/>
      <c r="BB69" s="234"/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H70" s="242"/>
      <c r="I70" s="242"/>
      <c r="J70" s="242"/>
      <c r="K70" s="234"/>
      <c r="L70" s="234"/>
      <c r="M70" s="234"/>
      <c r="N70" s="234"/>
      <c r="O70" s="234"/>
      <c r="P70" s="235">
        <f t="shared" si="1"/>
        <v>0</v>
      </c>
      <c r="Q70" s="234" t="b">
        <v>0</v>
      </c>
      <c r="R70" s="234"/>
      <c r="S70" s="234"/>
      <c r="T70" s="234"/>
      <c r="U70" s="234" t="b">
        <v>0</v>
      </c>
      <c r="V70" s="234" t="b">
        <v>0</v>
      </c>
      <c r="W70" s="234" t="b">
        <v>0</v>
      </c>
      <c r="X70" s="234" t="b">
        <v>0</v>
      </c>
      <c r="Y70" s="234" t="b">
        <v>0</v>
      </c>
      <c r="Z70" s="236" t="b">
        <v>0</v>
      </c>
      <c r="AA70" s="234"/>
      <c r="AB70" s="234"/>
      <c r="AC70" s="234" t="b">
        <v>0</v>
      </c>
      <c r="AD70" s="234" t="b">
        <v>0</v>
      </c>
      <c r="AE70" s="234" t="b">
        <v>0</v>
      </c>
      <c r="AF70" s="234" t="b">
        <v>0</v>
      </c>
      <c r="AG70" s="234" t="b">
        <v>0</v>
      </c>
      <c r="AH70" s="234" t="b">
        <v>0</v>
      </c>
      <c r="AI70" s="234" t="b">
        <v>0</v>
      </c>
      <c r="AJ70" s="234" t="b">
        <v>0</v>
      </c>
      <c r="AK70" s="234" t="b">
        <v>0</v>
      </c>
      <c r="AL70" s="234" t="b">
        <v>0</v>
      </c>
      <c r="AM70" s="234"/>
      <c r="AN70" s="234" t="b">
        <v>0</v>
      </c>
      <c r="AO70" s="234" t="b">
        <v>0</v>
      </c>
      <c r="AP70" s="234" t="b">
        <v>0</v>
      </c>
      <c r="AQ70" s="234"/>
      <c r="AR70" s="234" t="b">
        <v>0</v>
      </c>
      <c r="AS70" s="234"/>
      <c r="AT70" s="234"/>
      <c r="AU70" s="234"/>
      <c r="AV70" s="234"/>
      <c r="AW70" s="234" t="b">
        <v>0</v>
      </c>
      <c r="AX70" s="234"/>
      <c r="AY70" s="234"/>
      <c r="AZ70" s="234" t="b">
        <v>0</v>
      </c>
      <c r="BA70" s="234"/>
      <c r="BB70" s="234"/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H71" s="242"/>
      <c r="I71" s="242"/>
      <c r="J71" s="242"/>
      <c r="K71" s="234"/>
      <c r="L71" s="234"/>
      <c r="M71" s="234"/>
      <c r="N71" s="234"/>
      <c r="O71" s="234"/>
      <c r="P71" s="235">
        <f t="shared" si="1"/>
        <v>0</v>
      </c>
      <c r="Q71" s="234" t="b">
        <v>0</v>
      </c>
      <c r="R71" s="234"/>
      <c r="S71" s="234"/>
      <c r="T71" s="234"/>
      <c r="U71" s="234" t="b">
        <v>0</v>
      </c>
      <c r="V71" s="234" t="b">
        <v>0</v>
      </c>
      <c r="W71" s="234" t="b">
        <v>0</v>
      </c>
      <c r="X71" s="234" t="b">
        <v>0</v>
      </c>
      <c r="Y71" s="234" t="b">
        <v>0</v>
      </c>
      <c r="Z71" s="236" t="b">
        <v>0</v>
      </c>
      <c r="AA71" s="234"/>
      <c r="AB71" s="234"/>
      <c r="AC71" s="234" t="b">
        <v>0</v>
      </c>
      <c r="AD71" s="234" t="b">
        <v>0</v>
      </c>
      <c r="AE71" s="234" t="b">
        <v>0</v>
      </c>
      <c r="AF71" s="234" t="b">
        <v>0</v>
      </c>
      <c r="AG71" s="234" t="b">
        <v>0</v>
      </c>
      <c r="AH71" s="234" t="b">
        <v>0</v>
      </c>
      <c r="AI71" s="234" t="b">
        <v>0</v>
      </c>
      <c r="AJ71" s="234" t="b">
        <v>0</v>
      </c>
      <c r="AK71" s="234" t="b">
        <v>0</v>
      </c>
      <c r="AL71" s="234" t="b">
        <v>0</v>
      </c>
      <c r="AM71" s="234"/>
      <c r="AN71" s="234" t="b">
        <v>0</v>
      </c>
      <c r="AO71" s="234" t="b">
        <v>0</v>
      </c>
      <c r="AP71" s="234" t="b">
        <v>0</v>
      </c>
      <c r="AQ71" s="234"/>
      <c r="AR71" s="234" t="b">
        <v>0</v>
      </c>
      <c r="AS71" s="234"/>
      <c r="AT71" s="234"/>
      <c r="AU71" s="234"/>
      <c r="AV71" s="234"/>
      <c r="AW71" s="234" t="b">
        <v>0</v>
      </c>
      <c r="AX71" s="234"/>
      <c r="AY71" s="234"/>
      <c r="AZ71" s="234" t="b">
        <v>0</v>
      </c>
      <c r="BA71" s="234"/>
      <c r="BB71" s="234"/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H72" s="242"/>
      <c r="I72" s="242"/>
      <c r="J72" s="242"/>
      <c r="K72" s="234"/>
      <c r="L72" s="234"/>
      <c r="M72" s="234"/>
      <c r="N72" s="234"/>
      <c r="O72" s="234"/>
      <c r="P72" s="235">
        <f t="shared" si="1"/>
        <v>0</v>
      </c>
      <c r="Q72" s="234" t="b">
        <v>0</v>
      </c>
      <c r="R72" s="234"/>
      <c r="S72" s="234"/>
      <c r="T72" s="234"/>
      <c r="U72" s="234" t="b">
        <v>0</v>
      </c>
      <c r="V72" s="234" t="b">
        <v>0</v>
      </c>
      <c r="W72" s="234" t="b">
        <v>0</v>
      </c>
      <c r="X72" s="234" t="b">
        <v>0</v>
      </c>
      <c r="Y72" s="234" t="b">
        <v>0</v>
      </c>
      <c r="Z72" s="236" t="b">
        <v>0</v>
      </c>
      <c r="AA72" s="234"/>
      <c r="AB72" s="234"/>
      <c r="AC72" s="234" t="b">
        <v>0</v>
      </c>
      <c r="AD72" s="234" t="b">
        <v>0</v>
      </c>
      <c r="AE72" s="234" t="b">
        <v>0</v>
      </c>
      <c r="AF72" s="234" t="b">
        <v>0</v>
      </c>
      <c r="AG72" s="234" t="b">
        <v>0</v>
      </c>
      <c r="AH72" s="234" t="b">
        <v>0</v>
      </c>
      <c r="AI72" s="234" t="b">
        <v>0</v>
      </c>
      <c r="AJ72" s="234" t="b">
        <v>0</v>
      </c>
      <c r="AK72" s="234" t="b">
        <v>0</v>
      </c>
      <c r="AL72" s="234" t="b">
        <v>0</v>
      </c>
      <c r="AM72" s="234"/>
      <c r="AN72" s="234" t="b">
        <v>0</v>
      </c>
      <c r="AO72" s="234" t="b">
        <v>0</v>
      </c>
      <c r="AP72" s="234" t="b">
        <v>0</v>
      </c>
      <c r="AQ72" s="234"/>
      <c r="AR72" s="234" t="b">
        <v>0</v>
      </c>
      <c r="AS72" s="234"/>
      <c r="AT72" s="234"/>
      <c r="AU72" s="234"/>
      <c r="AV72" s="234"/>
      <c r="AW72" s="234" t="b">
        <v>0</v>
      </c>
      <c r="AX72" s="234"/>
      <c r="AY72" s="234"/>
      <c r="AZ72" s="234" t="b">
        <v>0</v>
      </c>
      <c r="BA72" s="234"/>
      <c r="BB72" s="234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H73" s="242"/>
      <c r="I73" s="242"/>
      <c r="J73" s="242"/>
      <c r="K73" s="234"/>
      <c r="L73" s="234"/>
      <c r="M73" s="234"/>
      <c r="N73" s="234"/>
      <c r="O73" s="234"/>
      <c r="P73" s="235">
        <f t="shared" si="1"/>
        <v>0</v>
      </c>
      <c r="Q73" s="234" t="b">
        <v>0</v>
      </c>
      <c r="R73" s="234"/>
      <c r="S73" s="234"/>
      <c r="T73" s="234"/>
      <c r="U73" s="234" t="b">
        <v>0</v>
      </c>
      <c r="V73" s="234" t="b">
        <v>0</v>
      </c>
      <c r="W73" s="234" t="b">
        <v>0</v>
      </c>
      <c r="X73" s="234" t="b">
        <v>0</v>
      </c>
      <c r="Y73" s="234" t="b">
        <v>0</v>
      </c>
      <c r="Z73" s="236" t="b">
        <v>0</v>
      </c>
      <c r="AA73" s="234"/>
      <c r="AB73" s="234"/>
      <c r="AC73" s="234" t="b">
        <v>0</v>
      </c>
      <c r="AD73" s="234" t="b">
        <v>0</v>
      </c>
      <c r="AE73" s="234" t="b">
        <v>0</v>
      </c>
      <c r="AF73" s="234" t="b">
        <v>0</v>
      </c>
      <c r="AG73" s="234" t="b">
        <v>0</v>
      </c>
      <c r="AH73" s="234" t="b">
        <v>0</v>
      </c>
      <c r="AI73" s="234" t="b">
        <v>0</v>
      </c>
      <c r="AJ73" s="234" t="b">
        <v>0</v>
      </c>
      <c r="AK73" s="234" t="b">
        <v>0</v>
      </c>
      <c r="AL73" s="234" t="b">
        <v>0</v>
      </c>
      <c r="AM73" s="234"/>
      <c r="AN73" s="234" t="b">
        <v>0</v>
      </c>
      <c r="AO73" s="234" t="b">
        <v>0</v>
      </c>
      <c r="AP73" s="234" t="b">
        <v>0</v>
      </c>
      <c r="AQ73" s="234"/>
      <c r="AR73" s="234" t="b">
        <v>0</v>
      </c>
      <c r="AS73" s="234"/>
      <c r="AT73" s="234"/>
      <c r="AU73" s="234"/>
      <c r="AV73" s="234"/>
      <c r="AW73" s="234" t="b">
        <v>0</v>
      </c>
      <c r="AX73" s="234"/>
      <c r="AY73" s="234"/>
      <c r="AZ73" s="234" t="b">
        <v>0</v>
      </c>
      <c r="BA73" s="234"/>
      <c r="BB73" s="234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H74" s="242"/>
      <c r="I74" s="242"/>
      <c r="J74" s="242"/>
      <c r="K74" s="234"/>
      <c r="L74" s="234"/>
      <c r="M74" s="234"/>
      <c r="N74" s="234"/>
      <c r="O74" s="234"/>
      <c r="P74" s="235">
        <f t="shared" si="1"/>
        <v>0</v>
      </c>
      <c r="Q74" s="234" t="b">
        <v>0</v>
      </c>
      <c r="R74" s="234"/>
      <c r="S74" s="234"/>
      <c r="T74" s="234"/>
      <c r="U74" s="234" t="b">
        <v>0</v>
      </c>
      <c r="V74" s="234" t="b">
        <v>0</v>
      </c>
      <c r="W74" s="234" t="b">
        <v>0</v>
      </c>
      <c r="X74" s="234" t="b">
        <v>0</v>
      </c>
      <c r="Y74" s="234" t="b">
        <v>0</v>
      </c>
      <c r="Z74" s="236" t="b">
        <v>0</v>
      </c>
      <c r="AA74" s="234"/>
      <c r="AB74" s="234"/>
      <c r="AC74" s="234" t="b">
        <v>0</v>
      </c>
      <c r="AD74" s="234" t="b">
        <v>0</v>
      </c>
      <c r="AE74" s="234" t="b">
        <v>0</v>
      </c>
      <c r="AF74" s="234" t="b">
        <v>0</v>
      </c>
      <c r="AG74" s="234" t="b">
        <v>0</v>
      </c>
      <c r="AH74" s="234" t="b">
        <v>0</v>
      </c>
      <c r="AI74" s="234" t="b">
        <v>0</v>
      </c>
      <c r="AJ74" s="234" t="b">
        <v>0</v>
      </c>
      <c r="AK74" s="234" t="b">
        <v>0</v>
      </c>
      <c r="AL74" s="234" t="b">
        <v>0</v>
      </c>
      <c r="AM74" s="234"/>
      <c r="AN74" s="234" t="b">
        <v>0</v>
      </c>
      <c r="AO74" s="234" t="b">
        <v>0</v>
      </c>
      <c r="AP74" s="234" t="b">
        <v>0</v>
      </c>
      <c r="AQ74" s="234"/>
      <c r="AR74" s="234" t="b">
        <v>0</v>
      </c>
      <c r="AS74" s="234"/>
      <c r="AT74" s="234"/>
      <c r="AU74" s="234"/>
      <c r="AV74" s="234"/>
      <c r="AW74" s="234" t="b">
        <v>0</v>
      </c>
      <c r="AX74" s="234"/>
      <c r="AY74" s="234"/>
      <c r="AZ74" s="234" t="b">
        <v>0</v>
      </c>
      <c r="BA74" s="234"/>
      <c r="BB74" s="234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H75" s="242"/>
      <c r="I75" s="242"/>
      <c r="J75" s="242"/>
      <c r="K75" s="234"/>
      <c r="L75" s="234"/>
      <c r="M75" s="234"/>
      <c r="N75" s="234"/>
      <c r="O75" s="234"/>
      <c r="P75" s="235">
        <f t="shared" si="1"/>
        <v>0</v>
      </c>
      <c r="Q75" s="234" t="b">
        <v>0</v>
      </c>
      <c r="R75" s="234"/>
      <c r="S75" s="234"/>
      <c r="T75" s="234"/>
      <c r="U75" s="234" t="b">
        <v>0</v>
      </c>
      <c r="V75" s="234" t="b">
        <v>0</v>
      </c>
      <c r="W75" s="234" t="b">
        <v>0</v>
      </c>
      <c r="X75" s="234" t="b">
        <v>0</v>
      </c>
      <c r="Y75" s="234" t="b">
        <v>0</v>
      </c>
      <c r="Z75" s="236" t="b">
        <v>0</v>
      </c>
      <c r="AA75" s="234"/>
      <c r="AB75" s="234"/>
      <c r="AC75" s="234" t="b">
        <v>0</v>
      </c>
      <c r="AD75" s="234" t="b">
        <v>0</v>
      </c>
      <c r="AE75" s="234" t="b">
        <v>0</v>
      </c>
      <c r="AF75" s="234" t="b">
        <v>0</v>
      </c>
      <c r="AG75" s="234" t="b">
        <v>0</v>
      </c>
      <c r="AH75" s="234" t="b">
        <v>0</v>
      </c>
      <c r="AI75" s="234" t="b">
        <v>0</v>
      </c>
      <c r="AJ75" s="234" t="b">
        <v>0</v>
      </c>
      <c r="AK75" s="234" t="b">
        <v>0</v>
      </c>
      <c r="AL75" s="234" t="b">
        <v>0</v>
      </c>
      <c r="AM75" s="234"/>
      <c r="AN75" s="234" t="b">
        <v>0</v>
      </c>
      <c r="AO75" s="234" t="b">
        <v>0</v>
      </c>
      <c r="AP75" s="234" t="b">
        <v>0</v>
      </c>
      <c r="AQ75" s="234"/>
      <c r="AR75" s="234" t="b">
        <v>0</v>
      </c>
      <c r="AS75" s="234"/>
      <c r="AT75" s="234"/>
      <c r="AU75" s="234"/>
      <c r="AV75" s="234"/>
      <c r="AW75" s="234" t="b">
        <v>0</v>
      </c>
      <c r="AX75" s="234"/>
      <c r="AY75" s="234"/>
      <c r="AZ75" s="234" t="b">
        <v>0</v>
      </c>
      <c r="BA75" s="234"/>
      <c r="BB75" s="234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H76" s="242"/>
      <c r="I76" s="242"/>
      <c r="J76" s="242"/>
      <c r="K76" s="234"/>
      <c r="L76" s="234"/>
      <c r="M76" s="234"/>
      <c r="N76" s="234"/>
      <c r="O76" s="234"/>
      <c r="P76" s="235">
        <f t="shared" si="1"/>
        <v>0</v>
      </c>
      <c r="Q76" s="234" t="b">
        <v>0</v>
      </c>
      <c r="R76" s="234"/>
      <c r="S76" s="234"/>
      <c r="T76" s="234"/>
      <c r="U76" s="234" t="b">
        <v>0</v>
      </c>
      <c r="V76" s="234" t="b">
        <v>0</v>
      </c>
      <c r="W76" s="234" t="b">
        <v>0</v>
      </c>
      <c r="X76" s="234" t="b">
        <v>0</v>
      </c>
      <c r="Y76" s="234" t="b">
        <v>0</v>
      </c>
      <c r="Z76" s="236" t="b">
        <v>0</v>
      </c>
      <c r="AA76" s="234"/>
      <c r="AB76" s="234"/>
      <c r="AC76" s="234" t="b">
        <v>0</v>
      </c>
      <c r="AD76" s="234" t="b">
        <v>0</v>
      </c>
      <c r="AE76" s="234" t="b">
        <v>0</v>
      </c>
      <c r="AF76" s="234" t="b">
        <v>0</v>
      </c>
      <c r="AG76" s="234" t="b">
        <v>0</v>
      </c>
      <c r="AH76" s="234" t="b">
        <v>0</v>
      </c>
      <c r="AI76" s="234" t="b">
        <v>0</v>
      </c>
      <c r="AJ76" s="234" t="b">
        <v>0</v>
      </c>
      <c r="AK76" s="234" t="b">
        <v>0</v>
      </c>
      <c r="AL76" s="234" t="b">
        <v>0</v>
      </c>
      <c r="AM76" s="234"/>
      <c r="AN76" s="234" t="b">
        <v>0</v>
      </c>
      <c r="AO76" s="234" t="b">
        <v>0</v>
      </c>
      <c r="AP76" s="234" t="b">
        <v>0</v>
      </c>
      <c r="AQ76" s="234"/>
      <c r="AR76" s="234" t="b">
        <v>0</v>
      </c>
      <c r="AS76" s="234"/>
      <c r="AT76" s="234"/>
      <c r="AU76" s="234"/>
      <c r="AV76" s="234"/>
      <c r="AW76" s="234" t="b">
        <v>0</v>
      </c>
      <c r="AX76" s="234"/>
      <c r="AY76" s="234"/>
      <c r="AZ76" s="234" t="b">
        <v>0</v>
      </c>
      <c r="BA76" s="234"/>
      <c r="BB76" s="234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H77" s="242"/>
      <c r="I77" s="242"/>
      <c r="J77" s="242"/>
      <c r="K77" s="234"/>
      <c r="L77" s="234"/>
      <c r="M77" s="234"/>
      <c r="N77" s="234"/>
      <c r="O77" s="234"/>
      <c r="P77" s="235">
        <f t="shared" si="1"/>
        <v>0</v>
      </c>
      <c r="Q77" s="234" t="b">
        <v>0</v>
      </c>
      <c r="R77" s="234"/>
      <c r="S77" s="234"/>
      <c r="T77" s="234"/>
      <c r="U77" s="234" t="b">
        <v>0</v>
      </c>
      <c r="V77" s="234" t="b">
        <v>0</v>
      </c>
      <c r="W77" s="234" t="b">
        <v>0</v>
      </c>
      <c r="X77" s="234" t="b">
        <v>0</v>
      </c>
      <c r="Y77" s="234" t="b">
        <v>0</v>
      </c>
      <c r="Z77" s="236" t="b">
        <v>0</v>
      </c>
      <c r="AA77" s="234"/>
      <c r="AB77" s="234"/>
      <c r="AC77" s="234" t="b">
        <v>0</v>
      </c>
      <c r="AD77" s="234" t="b">
        <v>0</v>
      </c>
      <c r="AE77" s="234" t="b">
        <v>0</v>
      </c>
      <c r="AF77" s="234" t="b">
        <v>0</v>
      </c>
      <c r="AG77" s="234" t="b">
        <v>0</v>
      </c>
      <c r="AH77" s="234" t="b">
        <v>0</v>
      </c>
      <c r="AI77" s="234" t="b">
        <v>0</v>
      </c>
      <c r="AJ77" s="234" t="b">
        <v>0</v>
      </c>
      <c r="AK77" s="234" t="b">
        <v>0</v>
      </c>
      <c r="AL77" s="234" t="b">
        <v>0</v>
      </c>
      <c r="AM77" s="234"/>
      <c r="AN77" s="234" t="b">
        <v>0</v>
      </c>
      <c r="AO77" s="234" t="b">
        <v>0</v>
      </c>
      <c r="AP77" s="234" t="b">
        <v>0</v>
      </c>
      <c r="AQ77" s="234"/>
      <c r="AR77" s="234" t="b">
        <v>0</v>
      </c>
      <c r="AS77" s="234"/>
      <c r="AT77" s="234"/>
      <c r="AU77" s="234"/>
      <c r="AV77" s="234"/>
      <c r="AW77" s="234" t="b">
        <v>0</v>
      </c>
      <c r="AX77" s="234"/>
      <c r="AY77" s="234"/>
      <c r="AZ77" s="234" t="b">
        <v>0</v>
      </c>
      <c r="BA77" s="234"/>
      <c r="BB77" s="234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H78" s="242"/>
      <c r="I78" s="242"/>
      <c r="J78" s="242"/>
      <c r="K78" s="234"/>
      <c r="L78" s="234"/>
      <c r="M78" s="234"/>
      <c r="N78" s="234"/>
      <c r="O78" s="234"/>
      <c r="P78" s="235">
        <f t="shared" si="1"/>
        <v>0</v>
      </c>
      <c r="Q78" s="234" t="b">
        <v>0</v>
      </c>
      <c r="R78" s="234"/>
      <c r="S78" s="234"/>
      <c r="T78" s="234"/>
      <c r="U78" s="234" t="b">
        <v>0</v>
      </c>
      <c r="V78" s="234" t="b">
        <v>0</v>
      </c>
      <c r="W78" s="234" t="b">
        <v>0</v>
      </c>
      <c r="X78" s="234" t="b">
        <v>0</v>
      </c>
      <c r="Y78" s="234" t="b">
        <v>0</v>
      </c>
      <c r="Z78" s="236" t="b">
        <v>0</v>
      </c>
      <c r="AA78" s="234"/>
      <c r="AB78" s="234"/>
      <c r="AC78" s="234" t="b">
        <v>0</v>
      </c>
      <c r="AD78" s="234" t="b">
        <v>0</v>
      </c>
      <c r="AE78" s="234" t="b">
        <v>0</v>
      </c>
      <c r="AF78" s="234" t="b">
        <v>0</v>
      </c>
      <c r="AG78" s="234" t="b">
        <v>0</v>
      </c>
      <c r="AH78" s="234" t="b">
        <v>0</v>
      </c>
      <c r="AI78" s="234" t="b">
        <v>0</v>
      </c>
      <c r="AJ78" s="234" t="b">
        <v>0</v>
      </c>
      <c r="AK78" s="234" t="b">
        <v>0</v>
      </c>
      <c r="AL78" s="234" t="b">
        <v>0</v>
      </c>
      <c r="AM78" s="234"/>
      <c r="AN78" s="234" t="b">
        <v>0</v>
      </c>
      <c r="AO78" s="234" t="b">
        <v>0</v>
      </c>
      <c r="AP78" s="234" t="b">
        <v>0</v>
      </c>
      <c r="AQ78" s="234"/>
      <c r="AR78" s="234" t="b">
        <v>0</v>
      </c>
      <c r="AS78" s="234"/>
      <c r="AT78" s="234"/>
      <c r="AU78" s="234"/>
      <c r="AV78" s="234"/>
      <c r="AW78" s="234" t="b">
        <v>0</v>
      </c>
      <c r="AX78" s="234"/>
      <c r="AY78" s="234"/>
      <c r="AZ78" s="234" t="b">
        <v>0</v>
      </c>
      <c r="BA78" s="234"/>
      <c r="BB78" s="234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H79" s="242"/>
      <c r="I79" s="242"/>
      <c r="J79" s="242"/>
      <c r="K79" s="234"/>
      <c r="L79" s="234"/>
      <c r="M79" s="234"/>
      <c r="N79" s="234"/>
      <c r="O79" s="234"/>
      <c r="P79" s="235">
        <f t="shared" si="1"/>
        <v>0</v>
      </c>
      <c r="Q79" s="234" t="b">
        <v>0</v>
      </c>
      <c r="R79" s="234"/>
      <c r="S79" s="234"/>
      <c r="T79" s="234"/>
      <c r="U79" s="234" t="b">
        <v>0</v>
      </c>
      <c r="V79" s="234" t="b">
        <v>0</v>
      </c>
      <c r="W79" s="234" t="b">
        <v>0</v>
      </c>
      <c r="X79" s="234" t="b">
        <v>0</v>
      </c>
      <c r="Y79" s="234" t="b">
        <v>0</v>
      </c>
      <c r="Z79" s="236" t="b">
        <v>0</v>
      </c>
      <c r="AA79" s="234"/>
      <c r="AB79" s="234"/>
      <c r="AC79" s="234" t="b">
        <v>0</v>
      </c>
      <c r="AD79" s="234" t="b">
        <v>0</v>
      </c>
      <c r="AE79" s="234" t="b">
        <v>0</v>
      </c>
      <c r="AF79" s="234" t="b">
        <v>0</v>
      </c>
      <c r="AG79" s="234" t="b">
        <v>0</v>
      </c>
      <c r="AH79" s="234" t="b">
        <v>0</v>
      </c>
      <c r="AI79" s="234" t="b">
        <v>0</v>
      </c>
      <c r="AJ79" s="234" t="b">
        <v>0</v>
      </c>
      <c r="AK79" s="234" t="b">
        <v>0</v>
      </c>
      <c r="AL79" s="234" t="b">
        <v>0</v>
      </c>
      <c r="AM79" s="234"/>
      <c r="AN79" s="234" t="b">
        <v>0</v>
      </c>
      <c r="AO79" s="234" t="b">
        <v>0</v>
      </c>
      <c r="AP79" s="234" t="b">
        <v>0</v>
      </c>
      <c r="AQ79" s="234"/>
      <c r="AR79" s="234" t="b">
        <v>0</v>
      </c>
      <c r="AS79" s="234"/>
      <c r="AT79" s="234"/>
      <c r="AU79" s="234"/>
      <c r="AV79" s="234"/>
      <c r="AW79" s="234" t="b">
        <v>0</v>
      </c>
      <c r="AX79" s="234"/>
      <c r="AY79" s="234"/>
      <c r="AZ79" s="234" t="b">
        <v>0</v>
      </c>
      <c r="BA79" s="234"/>
      <c r="BB79" s="234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H80" s="242"/>
      <c r="I80" s="242"/>
      <c r="J80" s="242"/>
      <c r="K80" s="234"/>
      <c r="L80" s="234"/>
      <c r="M80" s="234"/>
      <c r="N80" s="234"/>
      <c r="O80" s="234"/>
      <c r="P80" s="235">
        <f t="shared" si="1"/>
        <v>0</v>
      </c>
      <c r="Q80" s="234" t="b">
        <v>0</v>
      </c>
      <c r="R80" s="234"/>
      <c r="S80" s="234"/>
      <c r="T80" s="234"/>
      <c r="U80" s="234" t="b">
        <v>0</v>
      </c>
      <c r="V80" s="234" t="b">
        <v>0</v>
      </c>
      <c r="W80" s="234" t="b">
        <v>0</v>
      </c>
      <c r="X80" s="234" t="b">
        <v>0</v>
      </c>
      <c r="Y80" s="234" t="b">
        <v>0</v>
      </c>
      <c r="Z80" s="236" t="b">
        <v>0</v>
      </c>
      <c r="AA80" s="234"/>
      <c r="AB80" s="234"/>
      <c r="AC80" s="234" t="b">
        <v>0</v>
      </c>
      <c r="AD80" s="234" t="b">
        <v>0</v>
      </c>
      <c r="AE80" s="234" t="b">
        <v>0</v>
      </c>
      <c r="AF80" s="234" t="b">
        <v>0</v>
      </c>
      <c r="AG80" s="234" t="b">
        <v>0</v>
      </c>
      <c r="AH80" s="234" t="b">
        <v>0</v>
      </c>
      <c r="AI80" s="234" t="b">
        <v>0</v>
      </c>
      <c r="AJ80" s="234" t="b">
        <v>0</v>
      </c>
      <c r="AK80" s="234" t="b">
        <v>0</v>
      </c>
      <c r="AL80" s="234" t="b">
        <v>0</v>
      </c>
      <c r="AM80" s="234"/>
      <c r="AN80" s="234" t="b">
        <v>0</v>
      </c>
      <c r="AO80" s="234" t="b">
        <v>0</v>
      </c>
      <c r="AP80" s="234" t="b">
        <v>0</v>
      </c>
      <c r="AQ80" s="234"/>
      <c r="AR80" s="234" t="b">
        <v>0</v>
      </c>
      <c r="AS80" s="234"/>
      <c r="AT80" s="234"/>
      <c r="AU80" s="234"/>
      <c r="AV80" s="234"/>
      <c r="AW80" s="234" t="b">
        <v>0</v>
      </c>
      <c r="AX80" s="234"/>
      <c r="AY80" s="234"/>
      <c r="AZ80" s="234" t="b">
        <v>0</v>
      </c>
      <c r="BA80" s="234"/>
      <c r="BB80" s="234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H81" s="242"/>
      <c r="I81" s="242"/>
      <c r="J81" s="242"/>
      <c r="K81" s="234"/>
      <c r="L81" s="234"/>
      <c r="M81" s="234"/>
      <c r="N81" s="234"/>
      <c r="O81" s="234"/>
      <c r="P81" s="235">
        <f t="shared" si="1"/>
        <v>0</v>
      </c>
      <c r="Q81" s="234" t="b">
        <v>0</v>
      </c>
      <c r="R81" s="234"/>
      <c r="S81" s="234"/>
      <c r="T81" s="234"/>
      <c r="U81" s="234" t="b">
        <v>0</v>
      </c>
      <c r="V81" s="234" t="b">
        <v>0</v>
      </c>
      <c r="W81" s="234" t="b">
        <v>0</v>
      </c>
      <c r="X81" s="234" t="b">
        <v>0</v>
      </c>
      <c r="Y81" s="234" t="b">
        <v>0</v>
      </c>
      <c r="Z81" s="236" t="b">
        <v>0</v>
      </c>
      <c r="AA81" s="234"/>
      <c r="AB81" s="234"/>
      <c r="AC81" s="234" t="b">
        <v>0</v>
      </c>
      <c r="AD81" s="234" t="b">
        <v>0</v>
      </c>
      <c r="AE81" s="234" t="b">
        <v>0</v>
      </c>
      <c r="AF81" s="234" t="b">
        <v>0</v>
      </c>
      <c r="AG81" s="234" t="b">
        <v>0</v>
      </c>
      <c r="AH81" s="234" t="b">
        <v>0</v>
      </c>
      <c r="AI81" s="234" t="b">
        <v>0</v>
      </c>
      <c r="AJ81" s="234" t="b">
        <v>0</v>
      </c>
      <c r="AK81" s="234" t="b">
        <v>0</v>
      </c>
      <c r="AL81" s="234" t="b">
        <v>0</v>
      </c>
      <c r="AM81" s="234"/>
      <c r="AN81" s="234" t="b">
        <v>0</v>
      </c>
      <c r="AO81" s="234" t="b">
        <v>0</v>
      </c>
      <c r="AP81" s="234" t="b">
        <v>0</v>
      </c>
      <c r="AQ81" s="234"/>
      <c r="AR81" s="234" t="b">
        <v>0</v>
      </c>
      <c r="AS81" s="234"/>
      <c r="AT81" s="234"/>
      <c r="AU81" s="234"/>
      <c r="AV81" s="234"/>
      <c r="AW81" s="234" t="b">
        <v>0</v>
      </c>
      <c r="AX81" s="234"/>
      <c r="AY81" s="234"/>
      <c r="AZ81" s="234" t="b">
        <v>0</v>
      </c>
      <c r="BA81" s="234"/>
      <c r="BB81" s="234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H82" s="242"/>
      <c r="I82" s="242"/>
      <c r="J82" s="242"/>
      <c r="K82" s="234"/>
      <c r="L82" s="234"/>
      <c r="M82" s="234"/>
      <c r="N82" s="234"/>
      <c r="O82" s="234"/>
      <c r="P82" s="235">
        <f t="shared" si="1"/>
        <v>0</v>
      </c>
      <c r="Q82" s="234" t="b">
        <v>0</v>
      </c>
      <c r="R82" s="234"/>
      <c r="S82" s="234"/>
      <c r="T82" s="234"/>
      <c r="U82" s="234" t="b">
        <v>0</v>
      </c>
      <c r="V82" s="234" t="b">
        <v>0</v>
      </c>
      <c r="W82" s="234" t="b">
        <v>0</v>
      </c>
      <c r="X82" s="234" t="b">
        <v>0</v>
      </c>
      <c r="Y82" s="234" t="b">
        <v>0</v>
      </c>
      <c r="Z82" s="236" t="b">
        <v>0</v>
      </c>
      <c r="AA82" s="234"/>
      <c r="AB82" s="234"/>
      <c r="AC82" s="234" t="b">
        <v>0</v>
      </c>
      <c r="AD82" s="234" t="b">
        <v>0</v>
      </c>
      <c r="AE82" s="234" t="b">
        <v>0</v>
      </c>
      <c r="AF82" s="234" t="b">
        <v>0</v>
      </c>
      <c r="AG82" s="234" t="b">
        <v>0</v>
      </c>
      <c r="AH82" s="234" t="b">
        <v>0</v>
      </c>
      <c r="AI82" s="234" t="b">
        <v>0</v>
      </c>
      <c r="AJ82" s="234" t="b">
        <v>0</v>
      </c>
      <c r="AK82" s="234" t="b">
        <v>0</v>
      </c>
      <c r="AL82" s="234" t="b">
        <v>0</v>
      </c>
      <c r="AM82" s="234"/>
      <c r="AN82" s="234" t="b">
        <v>0</v>
      </c>
      <c r="AO82" s="234" t="b">
        <v>0</v>
      </c>
      <c r="AP82" s="234" t="b">
        <v>0</v>
      </c>
      <c r="AQ82" s="234"/>
      <c r="AR82" s="234" t="b">
        <v>0</v>
      </c>
      <c r="AS82" s="234"/>
      <c r="AT82" s="234"/>
      <c r="AU82" s="234"/>
      <c r="AV82" s="234"/>
      <c r="AW82" s="234" t="b">
        <v>0</v>
      </c>
      <c r="AX82" s="234"/>
      <c r="AY82" s="234"/>
      <c r="AZ82" s="234" t="b">
        <v>0</v>
      </c>
      <c r="BA82" s="234"/>
      <c r="BB82" s="234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H83" s="242"/>
      <c r="I83" s="242"/>
      <c r="J83" s="242"/>
      <c r="K83" s="234"/>
      <c r="L83" s="234"/>
      <c r="M83" s="234"/>
      <c r="N83" s="234"/>
      <c r="O83" s="234"/>
      <c r="P83" s="235">
        <f t="shared" si="1"/>
        <v>0</v>
      </c>
      <c r="Q83" s="234" t="b">
        <v>0</v>
      </c>
      <c r="R83" s="234"/>
      <c r="S83" s="234"/>
      <c r="T83" s="234"/>
      <c r="U83" s="234" t="b">
        <v>0</v>
      </c>
      <c r="V83" s="234" t="b">
        <v>0</v>
      </c>
      <c r="W83" s="234" t="b">
        <v>0</v>
      </c>
      <c r="X83" s="234" t="b">
        <v>0</v>
      </c>
      <c r="Y83" s="234" t="b">
        <v>0</v>
      </c>
      <c r="Z83" s="236" t="b">
        <v>0</v>
      </c>
      <c r="AA83" s="234"/>
      <c r="AB83" s="234"/>
      <c r="AC83" s="234" t="b">
        <v>0</v>
      </c>
      <c r="AD83" s="234" t="b">
        <v>0</v>
      </c>
      <c r="AE83" s="234" t="b">
        <v>0</v>
      </c>
      <c r="AF83" s="234" t="b">
        <v>0</v>
      </c>
      <c r="AG83" s="234" t="b">
        <v>0</v>
      </c>
      <c r="AH83" s="234" t="b">
        <v>0</v>
      </c>
      <c r="AI83" s="234" t="b">
        <v>0</v>
      </c>
      <c r="AJ83" s="234" t="b">
        <v>0</v>
      </c>
      <c r="AK83" s="234" t="b">
        <v>0</v>
      </c>
      <c r="AL83" s="234" t="b">
        <v>0</v>
      </c>
      <c r="AM83" s="234"/>
      <c r="AN83" s="234" t="b">
        <v>0</v>
      </c>
      <c r="AO83" s="234" t="b">
        <v>0</v>
      </c>
      <c r="AP83" s="234" t="b">
        <v>0</v>
      </c>
      <c r="AQ83" s="234"/>
      <c r="AR83" s="234" t="b">
        <v>0</v>
      </c>
      <c r="AS83" s="234"/>
      <c r="AT83" s="234"/>
      <c r="AU83" s="234"/>
      <c r="AV83" s="234"/>
      <c r="AW83" s="234" t="b">
        <v>0</v>
      </c>
      <c r="AX83" s="234"/>
      <c r="AY83" s="234"/>
      <c r="AZ83" s="234" t="b">
        <v>0</v>
      </c>
      <c r="BA83" s="234"/>
      <c r="BB83" s="234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H84" s="242"/>
      <c r="I84" s="242"/>
      <c r="J84" s="242"/>
      <c r="K84" s="234"/>
      <c r="L84" s="234"/>
      <c r="M84" s="234"/>
      <c r="N84" s="234"/>
      <c r="O84" s="234"/>
      <c r="P84" s="235">
        <f t="shared" si="1"/>
        <v>0</v>
      </c>
      <c r="Q84" s="234" t="b">
        <v>0</v>
      </c>
      <c r="R84" s="234"/>
      <c r="S84" s="234"/>
      <c r="T84" s="234"/>
      <c r="U84" s="234" t="b">
        <v>0</v>
      </c>
      <c r="V84" s="234" t="b">
        <v>0</v>
      </c>
      <c r="W84" s="234" t="b">
        <v>0</v>
      </c>
      <c r="X84" s="234" t="b">
        <v>0</v>
      </c>
      <c r="Y84" s="234" t="b">
        <v>0</v>
      </c>
      <c r="Z84" s="236" t="b">
        <v>0</v>
      </c>
      <c r="AA84" s="234"/>
      <c r="AB84" s="234"/>
      <c r="AC84" s="234" t="b">
        <v>0</v>
      </c>
      <c r="AD84" s="234" t="b">
        <v>0</v>
      </c>
      <c r="AE84" s="234" t="b">
        <v>0</v>
      </c>
      <c r="AF84" s="234" t="b">
        <v>0</v>
      </c>
      <c r="AG84" s="234" t="b">
        <v>0</v>
      </c>
      <c r="AH84" s="234" t="b">
        <v>0</v>
      </c>
      <c r="AI84" s="234" t="b">
        <v>0</v>
      </c>
      <c r="AJ84" s="234" t="b">
        <v>0</v>
      </c>
      <c r="AK84" s="234" t="b">
        <v>0</v>
      </c>
      <c r="AL84" s="234" t="b">
        <v>0</v>
      </c>
      <c r="AM84" s="234"/>
      <c r="AN84" s="234" t="b">
        <v>0</v>
      </c>
      <c r="AO84" s="234" t="b">
        <v>0</v>
      </c>
      <c r="AP84" s="234" t="b">
        <v>0</v>
      </c>
      <c r="AQ84" s="234"/>
      <c r="AR84" s="234" t="b">
        <v>0</v>
      </c>
      <c r="AS84" s="234"/>
      <c r="AT84" s="234"/>
      <c r="AU84" s="234"/>
      <c r="AV84" s="234"/>
      <c r="AW84" s="234" t="b">
        <v>0</v>
      </c>
      <c r="AX84" s="234"/>
      <c r="AY84" s="234"/>
      <c r="AZ84" s="234" t="b">
        <v>0</v>
      </c>
      <c r="BA84" s="234"/>
      <c r="BB84" s="234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H85" s="242"/>
      <c r="I85" s="242"/>
      <c r="J85" s="242"/>
      <c r="K85" s="234"/>
      <c r="L85" s="234"/>
      <c r="M85" s="234"/>
      <c r="N85" s="234"/>
      <c r="O85" s="234"/>
      <c r="P85" s="235">
        <f t="shared" si="1"/>
        <v>0</v>
      </c>
      <c r="Q85" s="234" t="b">
        <v>0</v>
      </c>
      <c r="R85" s="234"/>
      <c r="S85" s="234"/>
      <c r="T85" s="234"/>
      <c r="U85" s="234" t="b">
        <v>0</v>
      </c>
      <c r="V85" s="234" t="b">
        <v>0</v>
      </c>
      <c r="W85" s="234" t="b">
        <v>0</v>
      </c>
      <c r="X85" s="234" t="b">
        <v>0</v>
      </c>
      <c r="Y85" s="234" t="b">
        <v>0</v>
      </c>
      <c r="Z85" s="236" t="b">
        <v>0</v>
      </c>
      <c r="AA85" s="234"/>
      <c r="AB85" s="234"/>
      <c r="AC85" s="234" t="b">
        <v>0</v>
      </c>
      <c r="AD85" s="234" t="b">
        <v>0</v>
      </c>
      <c r="AE85" s="234" t="b">
        <v>0</v>
      </c>
      <c r="AF85" s="234" t="b">
        <v>0</v>
      </c>
      <c r="AG85" s="234" t="b">
        <v>0</v>
      </c>
      <c r="AH85" s="234" t="b">
        <v>0</v>
      </c>
      <c r="AI85" s="234" t="b">
        <v>0</v>
      </c>
      <c r="AJ85" s="234" t="b">
        <v>0</v>
      </c>
      <c r="AK85" s="234" t="b">
        <v>0</v>
      </c>
      <c r="AL85" s="234" t="b">
        <v>0</v>
      </c>
      <c r="AM85" s="234"/>
      <c r="AN85" s="234" t="b">
        <v>0</v>
      </c>
      <c r="AO85" s="234" t="b">
        <v>0</v>
      </c>
      <c r="AP85" s="234" t="b">
        <v>0</v>
      </c>
      <c r="AQ85" s="234"/>
      <c r="AR85" s="234" t="b">
        <v>0</v>
      </c>
      <c r="AS85" s="234"/>
      <c r="AT85" s="234"/>
      <c r="AU85" s="234"/>
      <c r="AV85" s="234"/>
      <c r="AW85" s="234" t="b">
        <v>0</v>
      </c>
      <c r="AX85" s="234"/>
      <c r="AY85" s="234"/>
      <c r="AZ85" s="234" t="b">
        <v>0</v>
      </c>
      <c r="BA85" s="234"/>
      <c r="BB85" s="234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H86" s="242"/>
      <c r="I86" s="242"/>
      <c r="J86" s="242"/>
      <c r="K86" s="234"/>
      <c r="L86" s="234"/>
      <c r="M86" s="234"/>
      <c r="N86" s="234"/>
      <c r="O86" s="234"/>
      <c r="P86" s="235">
        <f t="shared" si="1"/>
        <v>0</v>
      </c>
      <c r="Q86" s="234" t="b">
        <v>0</v>
      </c>
      <c r="R86" s="234"/>
      <c r="S86" s="234"/>
      <c r="T86" s="234"/>
      <c r="U86" s="234" t="b">
        <v>0</v>
      </c>
      <c r="V86" s="234" t="b">
        <v>0</v>
      </c>
      <c r="W86" s="234" t="b">
        <v>0</v>
      </c>
      <c r="X86" s="234" t="b">
        <v>0</v>
      </c>
      <c r="Y86" s="234" t="b">
        <v>0</v>
      </c>
      <c r="Z86" s="236" t="b">
        <v>0</v>
      </c>
      <c r="AA86" s="234"/>
      <c r="AB86" s="234"/>
      <c r="AC86" s="234" t="b">
        <v>0</v>
      </c>
      <c r="AD86" s="234" t="b">
        <v>0</v>
      </c>
      <c r="AE86" s="234" t="b">
        <v>0</v>
      </c>
      <c r="AF86" s="234" t="b">
        <v>0</v>
      </c>
      <c r="AG86" s="234" t="b">
        <v>0</v>
      </c>
      <c r="AH86" s="234" t="b">
        <v>0</v>
      </c>
      <c r="AI86" s="234" t="b">
        <v>0</v>
      </c>
      <c r="AJ86" s="234" t="b">
        <v>0</v>
      </c>
      <c r="AK86" s="234" t="b">
        <v>0</v>
      </c>
      <c r="AL86" s="234" t="b">
        <v>0</v>
      </c>
      <c r="AM86" s="234"/>
      <c r="AN86" s="234" t="b">
        <v>0</v>
      </c>
      <c r="AO86" s="234" t="b">
        <v>0</v>
      </c>
      <c r="AP86" s="234" t="b">
        <v>0</v>
      </c>
      <c r="AQ86" s="234"/>
      <c r="AR86" s="234" t="b">
        <v>0</v>
      </c>
      <c r="AS86" s="234"/>
      <c r="AT86" s="234"/>
      <c r="AU86" s="234"/>
      <c r="AV86" s="234"/>
      <c r="AW86" s="234" t="b">
        <v>0</v>
      </c>
      <c r="AX86" s="234"/>
      <c r="AY86" s="234"/>
      <c r="AZ86" s="234" t="b">
        <v>0</v>
      </c>
      <c r="BA86" s="234"/>
      <c r="BB86" s="234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H87" s="242"/>
      <c r="I87" s="242"/>
      <c r="J87" s="242"/>
      <c r="K87" s="234"/>
      <c r="L87" s="234"/>
      <c r="M87" s="234"/>
      <c r="N87" s="234"/>
      <c r="O87" s="234"/>
      <c r="P87" s="235">
        <f t="shared" si="1"/>
        <v>0</v>
      </c>
      <c r="Q87" s="234" t="b">
        <v>0</v>
      </c>
      <c r="R87" s="234"/>
      <c r="S87" s="234"/>
      <c r="T87" s="234"/>
      <c r="U87" s="234" t="b">
        <v>0</v>
      </c>
      <c r="V87" s="234" t="b">
        <v>0</v>
      </c>
      <c r="W87" s="234" t="b">
        <v>0</v>
      </c>
      <c r="X87" s="234" t="b">
        <v>0</v>
      </c>
      <c r="Y87" s="234" t="b">
        <v>0</v>
      </c>
      <c r="Z87" s="236" t="b">
        <v>0</v>
      </c>
      <c r="AA87" s="234"/>
      <c r="AB87" s="234"/>
      <c r="AC87" s="234" t="b">
        <v>0</v>
      </c>
      <c r="AD87" s="234" t="b">
        <v>0</v>
      </c>
      <c r="AE87" s="234" t="b">
        <v>0</v>
      </c>
      <c r="AF87" s="234" t="b">
        <v>0</v>
      </c>
      <c r="AG87" s="234" t="b">
        <v>0</v>
      </c>
      <c r="AH87" s="234" t="b">
        <v>0</v>
      </c>
      <c r="AI87" s="234" t="b">
        <v>0</v>
      </c>
      <c r="AJ87" s="234" t="b">
        <v>0</v>
      </c>
      <c r="AK87" s="234" t="b">
        <v>0</v>
      </c>
      <c r="AL87" s="234" t="b">
        <v>0</v>
      </c>
      <c r="AM87" s="234"/>
      <c r="AN87" s="234" t="b">
        <v>0</v>
      </c>
      <c r="AO87" s="234" t="b">
        <v>0</v>
      </c>
      <c r="AP87" s="234" t="b">
        <v>0</v>
      </c>
      <c r="AQ87" s="234"/>
      <c r="AR87" s="234" t="b">
        <v>0</v>
      </c>
      <c r="AS87" s="234"/>
      <c r="AT87" s="234"/>
      <c r="AU87" s="234"/>
      <c r="AV87" s="234"/>
      <c r="AW87" s="234" t="b">
        <v>0</v>
      </c>
      <c r="AX87" s="234"/>
      <c r="AY87" s="234"/>
      <c r="AZ87" s="234" t="b">
        <v>0</v>
      </c>
      <c r="BA87" s="234"/>
      <c r="BB87" s="234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H88" s="242"/>
      <c r="I88" s="242"/>
      <c r="J88" s="242"/>
      <c r="K88" s="234"/>
      <c r="L88" s="234"/>
      <c r="M88" s="234"/>
      <c r="N88" s="234"/>
      <c r="O88" s="234"/>
      <c r="P88" s="235">
        <f t="shared" si="1"/>
        <v>0</v>
      </c>
      <c r="Q88" s="234" t="b">
        <v>0</v>
      </c>
      <c r="R88" s="234"/>
      <c r="S88" s="234"/>
      <c r="T88" s="234"/>
      <c r="U88" s="234" t="b">
        <v>0</v>
      </c>
      <c r="V88" s="234" t="b">
        <v>0</v>
      </c>
      <c r="W88" s="234" t="b">
        <v>0</v>
      </c>
      <c r="X88" s="234" t="b">
        <v>0</v>
      </c>
      <c r="Y88" s="234" t="b">
        <v>0</v>
      </c>
      <c r="Z88" s="236" t="b">
        <v>0</v>
      </c>
      <c r="AA88" s="234"/>
      <c r="AB88" s="234"/>
      <c r="AC88" s="234" t="b">
        <v>0</v>
      </c>
      <c r="AD88" s="234" t="b">
        <v>0</v>
      </c>
      <c r="AE88" s="234" t="b">
        <v>0</v>
      </c>
      <c r="AF88" s="234" t="b">
        <v>0</v>
      </c>
      <c r="AG88" s="234" t="b">
        <v>0</v>
      </c>
      <c r="AH88" s="234" t="b">
        <v>0</v>
      </c>
      <c r="AI88" s="234" t="b">
        <v>0</v>
      </c>
      <c r="AJ88" s="234" t="b">
        <v>0</v>
      </c>
      <c r="AK88" s="234" t="b">
        <v>0</v>
      </c>
      <c r="AL88" s="234" t="b">
        <v>0</v>
      </c>
      <c r="AM88" s="234"/>
      <c r="AN88" s="234" t="b">
        <v>0</v>
      </c>
      <c r="AO88" s="234" t="b">
        <v>0</v>
      </c>
      <c r="AP88" s="234" t="b">
        <v>0</v>
      </c>
      <c r="AQ88" s="234"/>
      <c r="AR88" s="234" t="b">
        <v>0</v>
      </c>
      <c r="AS88" s="234"/>
      <c r="AT88" s="234"/>
      <c r="AU88" s="234"/>
      <c r="AV88" s="234"/>
      <c r="AW88" s="234" t="b">
        <v>0</v>
      </c>
      <c r="AX88" s="234"/>
      <c r="AY88" s="234"/>
      <c r="AZ88" s="234" t="b">
        <v>0</v>
      </c>
      <c r="BA88" s="234"/>
      <c r="BB88" s="234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H89" s="242"/>
      <c r="I89" s="242"/>
      <c r="J89" s="242"/>
      <c r="K89" s="234"/>
      <c r="L89" s="234"/>
      <c r="M89" s="234"/>
      <c r="N89" s="234"/>
      <c r="O89" s="234"/>
      <c r="P89" s="235">
        <f t="shared" si="1"/>
        <v>0</v>
      </c>
      <c r="Q89" s="234" t="b">
        <v>0</v>
      </c>
      <c r="R89" s="234"/>
      <c r="S89" s="234"/>
      <c r="T89" s="234"/>
      <c r="U89" s="234" t="b">
        <v>0</v>
      </c>
      <c r="V89" s="234" t="b">
        <v>0</v>
      </c>
      <c r="W89" s="234" t="b">
        <v>0</v>
      </c>
      <c r="X89" s="234" t="b">
        <v>0</v>
      </c>
      <c r="Y89" s="234" t="b">
        <v>0</v>
      </c>
      <c r="Z89" s="236" t="b">
        <v>0</v>
      </c>
      <c r="AA89" s="234"/>
      <c r="AB89" s="234"/>
      <c r="AC89" s="234" t="b">
        <v>0</v>
      </c>
      <c r="AD89" s="234" t="b">
        <v>0</v>
      </c>
      <c r="AE89" s="234" t="b">
        <v>0</v>
      </c>
      <c r="AF89" s="234" t="b">
        <v>0</v>
      </c>
      <c r="AG89" s="234" t="b">
        <v>0</v>
      </c>
      <c r="AH89" s="234" t="b">
        <v>0</v>
      </c>
      <c r="AI89" s="234" t="b">
        <v>0</v>
      </c>
      <c r="AJ89" s="234" t="b">
        <v>0</v>
      </c>
      <c r="AK89" s="234" t="b">
        <v>0</v>
      </c>
      <c r="AL89" s="234" t="b">
        <v>0</v>
      </c>
      <c r="AM89" s="234"/>
      <c r="AN89" s="234" t="b">
        <v>0</v>
      </c>
      <c r="AO89" s="234" t="b">
        <v>0</v>
      </c>
      <c r="AP89" s="234" t="b">
        <v>0</v>
      </c>
      <c r="AQ89" s="234"/>
      <c r="AR89" s="234" t="b">
        <v>0</v>
      </c>
      <c r="AS89" s="234"/>
      <c r="AT89" s="234"/>
      <c r="AU89" s="234"/>
      <c r="AV89" s="234"/>
      <c r="AW89" s="234" t="b">
        <v>0</v>
      </c>
      <c r="AX89" s="234"/>
      <c r="AY89" s="234"/>
      <c r="AZ89" s="234" t="b">
        <v>0</v>
      </c>
      <c r="BA89" s="234"/>
      <c r="BB89" s="234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H90" s="242"/>
      <c r="I90" s="242"/>
      <c r="J90" s="242"/>
      <c r="K90" s="234"/>
      <c r="L90" s="234"/>
      <c r="M90" s="234"/>
      <c r="N90" s="234"/>
      <c r="O90" s="234"/>
      <c r="P90" s="235">
        <f t="shared" si="1"/>
        <v>0</v>
      </c>
      <c r="Q90" s="234" t="b">
        <v>0</v>
      </c>
      <c r="R90" s="234"/>
      <c r="S90" s="234"/>
      <c r="T90" s="234"/>
      <c r="U90" s="234" t="b">
        <v>0</v>
      </c>
      <c r="V90" s="234" t="b">
        <v>0</v>
      </c>
      <c r="W90" s="234" t="b">
        <v>0</v>
      </c>
      <c r="X90" s="234" t="b">
        <v>0</v>
      </c>
      <c r="Y90" s="234" t="b">
        <v>0</v>
      </c>
      <c r="Z90" s="236" t="b">
        <v>0</v>
      </c>
      <c r="AA90" s="234"/>
      <c r="AB90" s="234"/>
      <c r="AC90" s="234" t="b">
        <v>0</v>
      </c>
      <c r="AD90" s="234" t="b">
        <v>0</v>
      </c>
      <c r="AE90" s="234" t="b">
        <v>0</v>
      </c>
      <c r="AF90" s="234" t="b">
        <v>0</v>
      </c>
      <c r="AG90" s="234" t="b">
        <v>0</v>
      </c>
      <c r="AH90" s="234" t="b">
        <v>0</v>
      </c>
      <c r="AI90" s="234" t="b">
        <v>0</v>
      </c>
      <c r="AJ90" s="234" t="b">
        <v>0</v>
      </c>
      <c r="AK90" s="234" t="b">
        <v>0</v>
      </c>
      <c r="AL90" s="234" t="b">
        <v>0</v>
      </c>
      <c r="AM90" s="234"/>
      <c r="AN90" s="234" t="b">
        <v>0</v>
      </c>
      <c r="AO90" s="234" t="b">
        <v>0</v>
      </c>
      <c r="AP90" s="234" t="b">
        <v>0</v>
      </c>
      <c r="AQ90" s="234"/>
      <c r="AR90" s="234" t="b">
        <v>0</v>
      </c>
      <c r="AS90" s="234"/>
      <c r="AT90" s="234"/>
      <c r="AU90" s="234"/>
      <c r="AV90" s="234"/>
      <c r="AW90" s="234" t="b">
        <v>0</v>
      </c>
      <c r="AX90" s="234"/>
      <c r="AY90" s="234"/>
      <c r="AZ90" s="234" t="b">
        <v>0</v>
      </c>
      <c r="BA90" s="234"/>
      <c r="BB90" s="234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H91" s="242"/>
      <c r="I91" s="242"/>
      <c r="J91" s="242"/>
      <c r="K91" s="234"/>
      <c r="L91" s="234"/>
      <c r="M91" s="234"/>
      <c r="N91" s="234"/>
      <c r="O91" s="234"/>
      <c r="P91" s="235">
        <f t="shared" si="1"/>
        <v>0</v>
      </c>
      <c r="Q91" s="234" t="b">
        <v>0</v>
      </c>
      <c r="R91" s="234"/>
      <c r="S91" s="234"/>
      <c r="T91" s="234"/>
      <c r="U91" s="234" t="b">
        <v>0</v>
      </c>
      <c r="V91" s="234" t="b">
        <v>0</v>
      </c>
      <c r="W91" s="234" t="b">
        <v>0</v>
      </c>
      <c r="X91" s="234" t="b">
        <v>0</v>
      </c>
      <c r="Y91" s="234" t="b">
        <v>0</v>
      </c>
      <c r="Z91" s="236" t="b">
        <v>0</v>
      </c>
      <c r="AA91" s="234"/>
      <c r="AB91" s="234"/>
      <c r="AC91" s="234" t="b">
        <v>0</v>
      </c>
      <c r="AD91" s="234" t="b">
        <v>0</v>
      </c>
      <c r="AE91" s="234" t="b">
        <v>0</v>
      </c>
      <c r="AF91" s="234" t="b">
        <v>0</v>
      </c>
      <c r="AG91" s="234" t="b">
        <v>0</v>
      </c>
      <c r="AH91" s="234" t="b">
        <v>0</v>
      </c>
      <c r="AI91" s="234" t="b">
        <v>0</v>
      </c>
      <c r="AJ91" s="234" t="b">
        <v>0</v>
      </c>
      <c r="AK91" s="234" t="b">
        <v>0</v>
      </c>
      <c r="AL91" s="234" t="b">
        <v>0</v>
      </c>
      <c r="AM91" s="234"/>
      <c r="AN91" s="234" t="b">
        <v>0</v>
      </c>
      <c r="AO91" s="234" t="b">
        <v>0</v>
      </c>
      <c r="AP91" s="234" t="b">
        <v>0</v>
      </c>
      <c r="AQ91" s="234"/>
      <c r="AR91" s="234" t="b">
        <v>0</v>
      </c>
      <c r="AS91" s="234"/>
      <c r="AT91" s="234"/>
      <c r="AU91" s="234"/>
      <c r="AV91" s="234"/>
      <c r="AW91" s="234" t="b">
        <v>0</v>
      </c>
      <c r="AX91" s="234"/>
      <c r="AY91" s="234"/>
      <c r="AZ91" s="234" t="b">
        <v>0</v>
      </c>
      <c r="BA91" s="234"/>
      <c r="BB91" s="234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H92" s="242"/>
      <c r="I92" s="242"/>
      <c r="J92" s="242"/>
      <c r="K92" s="234"/>
      <c r="L92" s="234"/>
      <c r="M92" s="234"/>
      <c r="N92" s="234"/>
      <c r="O92" s="234"/>
      <c r="P92" s="235">
        <f t="shared" si="1"/>
        <v>0</v>
      </c>
      <c r="Q92" s="234" t="b">
        <v>0</v>
      </c>
      <c r="R92" s="234"/>
      <c r="S92" s="234"/>
      <c r="T92" s="234"/>
      <c r="U92" s="234" t="b">
        <v>0</v>
      </c>
      <c r="V92" s="234" t="b">
        <v>0</v>
      </c>
      <c r="W92" s="234" t="b">
        <v>0</v>
      </c>
      <c r="X92" s="234" t="b">
        <v>0</v>
      </c>
      <c r="Y92" s="234" t="b">
        <v>0</v>
      </c>
      <c r="Z92" s="236" t="b">
        <v>0</v>
      </c>
      <c r="AA92" s="234"/>
      <c r="AB92" s="234"/>
      <c r="AC92" s="234" t="b">
        <v>0</v>
      </c>
      <c r="AD92" s="234" t="b">
        <v>0</v>
      </c>
      <c r="AE92" s="234" t="b">
        <v>0</v>
      </c>
      <c r="AF92" s="234" t="b">
        <v>0</v>
      </c>
      <c r="AG92" s="234" t="b">
        <v>0</v>
      </c>
      <c r="AH92" s="234" t="b">
        <v>0</v>
      </c>
      <c r="AI92" s="234" t="b">
        <v>0</v>
      </c>
      <c r="AJ92" s="234" t="b">
        <v>0</v>
      </c>
      <c r="AK92" s="234" t="b">
        <v>0</v>
      </c>
      <c r="AL92" s="234" t="b">
        <v>0</v>
      </c>
      <c r="AM92" s="234"/>
      <c r="AN92" s="234" t="b">
        <v>0</v>
      </c>
      <c r="AO92" s="234" t="b">
        <v>0</v>
      </c>
      <c r="AP92" s="234" t="b">
        <v>0</v>
      </c>
      <c r="AQ92" s="234"/>
      <c r="AR92" s="234" t="b">
        <v>0</v>
      </c>
      <c r="AS92" s="234"/>
      <c r="AT92" s="234"/>
      <c r="AU92" s="234"/>
      <c r="AV92" s="234"/>
      <c r="AW92" s="234" t="b">
        <v>0</v>
      </c>
      <c r="AX92" s="234"/>
      <c r="AY92" s="234"/>
      <c r="AZ92" s="234" t="b">
        <v>0</v>
      </c>
      <c r="BA92" s="234"/>
      <c r="BB92" s="234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H93" s="242"/>
      <c r="I93" s="242"/>
      <c r="J93" s="242"/>
      <c r="K93" s="234"/>
      <c r="L93" s="234"/>
      <c r="M93" s="234"/>
      <c r="N93" s="234"/>
      <c r="O93" s="234"/>
      <c r="P93" s="235">
        <f t="shared" si="1"/>
        <v>0</v>
      </c>
      <c r="Q93" s="234" t="b">
        <v>0</v>
      </c>
      <c r="R93" s="234"/>
      <c r="S93" s="234"/>
      <c r="T93" s="234"/>
      <c r="U93" s="234" t="b">
        <v>0</v>
      </c>
      <c r="V93" s="234" t="b">
        <v>0</v>
      </c>
      <c r="W93" s="234" t="b">
        <v>0</v>
      </c>
      <c r="X93" s="234" t="b">
        <v>0</v>
      </c>
      <c r="Y93" s="234" t="b">
        <v>0</v>
      </c>
      <c r="Z93" s="236" t="b">
        <v>0</v>
      </c>
      <c r="AA93" s="234"/>
      <c r="AB93" s="234"/>
      <c r="AC93" s="234" t="b">
        <v>0</v>
      </c>
      <c r="AD93" s="234" t="b">
        <v>0</v>
      </c>
      <c r="AE93" s="234" t="b">
        <v>0</v>
      </c>
      <c r="AF93" s="234" t="b">
        <v>0</v>
      </c>
      <c r="AG93" s="234" t="b">
        <v>0</v>
      </c>
      <c r="AH93" s="234" t="b">
        <v>0</v>
      </c>
      <c r="AI93" s="234" t="b">
        <v>0</v>
      </c>
      <c r="AJ93" s="234" t="b">
        <v>0</v>
      </c>
      <c r="AK93" s="234" t="b">
        <v>0</v>
      </c>
      <c r="AL93" s="234" t="b">
        <v>0</v>
      </c>
      <c r="AM93" s="234"/>
      <c r="AN93" s="234" t="b">
        <v>0</v>
      </c>
      <c r="AO93" s="234" t="b">
        <v>0</v>
      </c>
      <c r="AP93" s="234" t="b">
        <v>0</v>
      </c>
      <c r="AQ93" s="234"/>
      <c r="AR93" s="234" t="b">
        <v>0</v>
      </c>
      <c r="AS93" s="234"/>
      <c r="AT93" s="234"/>
      <c r="AU93" s="234"/>
      <c r="AV93" s="234"/>
      <c r="AW93" s="234" t="b">
        <v>0</v>
      </c>
      <c r="AX93" s="234"/>
      <c r="AY93" s="234"/>
      <c r="AZ93" s="234" t="b">
        <v>0</v>
      </c>
      <c r="BA93" s="234"/>
      <c r="BB93" s="234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H94" s="242"/>
      <c r="I94" s="242"/>
      <c r="J94" s="242"/>
      <c r="K94" s="234"/>
      <c r="L94" s="234"/>
      <c r="M94" s="234"/>
      <c r="N94" s="234"/>
      <c r="O94" s="234"/>
      <c r="P94" s="235">
        <f t="shared" si="1"/>
        <v>0</v>
      </c>
      <c r="Q94" s="234" t="b">
        <v>0</v>
      </c>
      <c r="R94" s="234"/>
      <c r="S94" s="234"/>
      <c r="T94" s="234"/>
      <c r="U94" s="234" t="b">
        <v>0</v>
      </c>
      <c r="V94" s="234" t="b">
        <v>0</v>
      </c>
      <c r="W94" s="234" t="b">
        <v>0</v>
      </c>
      <c r="X94" s="234" t="b">
        <v>0</v>
      </c>
      <c r="Y94" s="234" t="b">
        <v>0</v>
      </c>
      <c r="Z94" s="236" t="b">
        <v>0</v>
      </c>
      <c r="AA94" s="234"/>
      <c r="AB94" s="234"/>
      <c r="AC94" s="234" t="b">
        <v>0</v>
      </c>
      <c r="AD94" s="234" t="b">
        <v>0</v>
      </c>
      <c r="AE94" s="234" t="b">
        <v>0</v>
      </c>
      <c r="AF94" s="234" t="b">
        <v>0</v>
      </c>
      <c r="AG94" s="234" t="b">
        <v>0</v>
      </c>
      <c r="AH94" s="234" t="b">
        <v>0</v>
      </c>
      <c r="AI94" s="234" t="b">
        <v>0</v>
      </c>
      <c r="AJ94" s="234" t="b">
        <v>0</v>
      </c>
      <c r="AK94" s="234" t="b">
        <v>0</v>
      </c>
      <c r="AL94" s="234" t="b">
        <v>0</v>
      </c>
      <c r="AM94" s="234"/>
      <c r="AN94" s="234" t="b">
        <v>0</v>
      </c>
      <c r="AO94" s="234" t="b">
        <v>0</v>
      </c>
      <c r="AP94" s="234" t="b">
        <v>0</v>
      </c>
      <c r="AQ94" s="234"/>
      <c r="AR94" s="234" t="b">
        <v>0</v>
      </c>
      <c r="AS94" s="234"/>
      <c r="AT94" s="234"/>
      <c r="AU94" s="234"/>
      <c r="AV94" s="234"/>
      <c r="AW94" s="234" t="b">
        <v>0</v>
      </c>
      <c r="AX94" s="234"/>
      <c r="AY94" s="234"/>
      <c r="AZ94" s="234" t="b">
        <v>0</v>
      </c>
      <c r="BA94" s="234"/>
      <c r="BB94" s="234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H95" s="242"/>
      <c r="I95" s="242"/>
      <c r="J95" s="242"/>
      <c r="K95" s="234"/>
      <c r="L95" s="234"/>
      <c r="M95" s="234"/>
      <c r="N95" s="234"/>
      <c r="O95" s="234"/>
      <c r="P95" s="235">
        <f t="shared" si="1"/>
        <v>0</v>
      </c>
      <c r="Q95" s="234" t="b">
        <v>0</v>
      </c>
      <c r="R95" s="234"/>
      <c r="S95" s="234"/>
      <c r="T95" s="234"/>
      <c r="U95" s="234" t="b">
        <v>0</v>
      </c>
      <c r="V95" s="234" t="b">
        <v>0</v>
      </c>
      <c r="W95" s="234" t="b">
        <v>0</v>
      </c>
      <c r="X95" s="234" t="b">
        <v>0</v>
      </c>
      <c r="Y95" s="234" t="b">
        <v>0</v>
      </c>
      <c r="Z95" s="236" t="b">
        <v>0</v>
      </c>
      <c r="AA95" s="234"/>
      <c r="AB95" s="234"/>
      <c r="AC95" s="234" t="b">
        <v>0</v>
      </c>
      <c r="AD95" s="234" t="b">
        <v>0</v>
      </c>
      <c r="AE95" s="234" t="b">
        <v>0</v>
      </c>
      <c r="AF95" s="234" t="b">
        <v>0</v>
      </c>
      <c r="AG95" s="234" t="b">
        <v>0</v>
      </c>
      <c r="AH95" s="234" t="b">
        <v>0</v>
      </c>
      <c r="AI95" s="234" t="b">
        <v>0</v>
      </c>
      <c r="AJ95" s="234" t="b">
        <v>0</v>
      </c>
      <c r="AK95" s="234" t="b">
        <v>0</v>
      </c>
      <c r="AL95" s="234" t="b">
        <v>0</v>
      </c>
      <c r="AM95" s="234"/>
      <c r="AN95" s="234" t="b">
        <v>0</v>
      </c>
      <c r="AO95" s="234" t="b">
        <v>0</v>
      </c>
      <c r="AP95" s="234" t="b">
        <v>0</v>
      </c>
      <c r="AQ95" s="234"/>
      <c r="AR95" s="234" t="b">
        <v>0</v>
      </c>
      <c r="AS95" s="234"/>
      <c r="AT95" s="234"/>
      <c r="AU95" s="234"/>
      <c r="AV95" s="234"/>
      <c r="AW95" s="234" t="b">
        <v>0</v>
      </c>
      <c r="AX95" s="234"/>
      <c r="AY95" s="234"/>
      <c r="AZ95" s="234" t="b">
        <v>0</v>
      </c>
      <c r="BA95" s="234"/>
      <c r="BB95" s="234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H96" s="242"/>
      <c r="I96" s="242"/>
      <c r="J96" s="242"/>
      <c r="K96" s="234"/>
      <c r="L96" s="234"/>
      <c r="M96" s="234"/>
      <c r="N96" s="234"/>
      <c r="O96" s="234"/>
      <c r="P96" s="235">
        <f t="shared" si="1"/>
        <v>0</v>
      </c>
      <c r="Q96" s="234" t="b">
        <v>0</v>
      </c>
      <c r="R96" s="234"/>
      <c r="S96" s="234"/>
      <c r="T96" s="234"/>
      <c r="U96" s="234" t="b">
        <v>0</v>
      </c>
      <c r="V96" s="234" t="b">
        <v>0</v>
      </c>
      <c r="W96" s="234" t="b">
        <v>0</v>
      </c>
      <c r="X96" s="234" t="b">
        <v>0</v>
      </c>
      <c r="Y96" s="234" t="b">
        <v>0</v>
      </c>
      <c r="Z96" s="236" t="b">
        <v>0</v>
      </c>
      <c r="AA96" s="234"/>
      <c r="AB96" s="234"/>
      <c r="AC96" s="234" t="b">
        <v>0</v>
      </c>
      <c r="AD96" s="234" t="b">
        <v>0</v>
      </c>
      <c r="AE96" s="234" t="b">
        <v>0</v>
      </c>
      <c r="AF96" s="234" t="b">
        <v>0</v>
      </c>
      <c r="AG96" s="234" t="b">
        <v>0</v>
      </c>
      <c r="AH96" s="234" t="b">
        <v>0</v>
      </c>
      <c r="AI96" s="234" t="b">
        <v>0</v>
      </c>
      <c r="AJ96" s="234" t="b">
        <v>0</v>
      </c>
      <c r="AK96" s="234" t="b">
        <v>0</v>
      </c>
      <c r="AL96" s="234" t="b">
        <v>0</v>
      </c>
      <c r="AM96" s="234"/>
      <c r="AN96" s="234" t="b">
        <v>0</v>
      </c>
      <c r="AO96" s="234" t="b">
        <v>0</v>
      </c>
      <c r="AP96" s="234" t="b">
        <v>0</v>
      </c>
      <c r="AQ96" s="234"/>
      <c r="AR96" s="234" t="b">
        <v>0</v>
      </c>
      <c r="AS96" s="234"/>
      <c r="AT96" s="234"/>
      <c r="AU96" s="234"/>
      <c r="AV96" s="234"/>
      <c r="AW96" s="234" t="b">
        <v>0</v>
      </c>
      <c r="AX96" s="234"/>
      <c r="AY96" s="234"/>
      <c r="AZ96" s="234" t="b">
        <v>0</v>
      </c>
      <c r="BA96" s="234"/>
      <c r="BB96" s="234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H97" s="242"/>
      <c r="I97" s="242"/>
      <c r="J97" s="242"/>
      <c r="K97" s="234"/>
      <c r="L97" s="234"/>
      <c r="M97" s="234"/>
      <c r="N97" s="234"/>
      <c r="O97" s="234"/>
      <c r="P97" s="235">
        <f t="shared" si="1"/>
        <v>0</v>
      </c>
      <c r="Q97" s="234" t="b">
        <v>0</v>
      </c>
      <c r="R97" s="234"/>
      <c r="S97" s="234"/>
      <c r="T97" s="234"/>
      <c r="U97" s="234" t="b">
        <v>0</v>
      </c>
      <c r="V97" s="234" t="b">
        <v>0</v>
      </c>
      <c r="W97" s="234" t="b">
        <v>0</v>
      </c>
      <c r="X97" s="234" t="b">
        <v>0</v>
      </c>
      <c r="Y97" s="234" t="b">
        <v>0</v>
      </c>
      <c r="Z97" s="236" t="b">
        <v>0</v>
      </c>
      <c r="AA97" s="234"/>
      <c r="AB97" s="234"/>
      <c r="AC97" s="234" t="b">
        <v>0</v>
      </c>
      <c r="AD97" s="234" t="b">
        <v>0</v>
      </c>
      <c r="AE97" s="234" t="b">
        <v>0</v>
      </c>
      <c r="AF97" s="234" t="b">
        <v>0</v>
      </c>
      <c r="AG97" s="234" t="b">
        <v>0</v>
      </c>
      <c r="AH97" s="234" t="b">
        <v>0</v>
      </c>
      <c r="AI97" s="234" t="b">
        <v>0</v>
      </c>
      <c r="AJ97" s="234" t="b">
        <v>0</v>
      </c>
      <c r="AK97" s="234" t="b">
        <v>0</v>
      </c>
      <c r="AL97" s="234" t="b">
        <v>0</v>
      </c>
      <c r="AM97" s="234"/>
      <c r="AN97" s="234" t="b">
        <v>0</v>
      </c>
      <c r="AO97" s="234" t="b">
        <v>0</v>
      </c>
      <c r="AP97" s="234" t="b">
        <v>0</v>
      </c>
      <c r="AQ97" s="234"/>
      <c r="AR97" s="234" t="b">
        <v>0</v>
      </c>
      <c r="AS97" s="234"/>
      <c r="AT97" s="234"/>
      <c r="AU97" s="234"/>
      <c r="AV97" s="234"/>
      <c r="AW97" s="234" t="b">
        <v>0</v>
      </c>
      <c r="AX97" s="234"/>
      <c r="AY97" s="234"/>
      <c r="AZ97" s="234" t="b">
        <v>0</v>
      </c>
      <c r="BA97" s="234"/>
      <c r="BB97" s="234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H98" s="242"/>
      <c r="I98" s="242"/>
      <c r="J98" s="242"/>
      <c r="K98" s="234"/>
      <c r="L98" s="234"/>
      <c r="M98" s="234"/>
      <c r="N98" s="234"/>
      <c r="O98" s="234"/>
      <c r="P98" s="235">
        <f t="shared" si="1"/>
        <v>0</v>
      </c>
      <c r="Q98" s="234" t="b">
        <v>0</v>
      </c>
      <c r="R98" s="234"/>
      <c r="S98" s="234"/>
      <c r="T98" s="234"/>
      <c r="U98" s="234" t="b">
        <v>0</v>
      </c>
      <c r="V98" s="234" t="b">
        <v>0</v>
      </c>
      <c r="W98" s="234" t="b">
        <v>0</v>
      </c>
      <c r="X98" s="234" t="b">
        <v>0</v>
      </c>
      <c r="Y98" s="234" t="b">
        <v>0</v>
      </c>
      <c r="Z98" s="236" t="b">
        <v>0</v>
      </c>
      <c r="AA98" s="234"/>
      <c r="AB98" s="234"/>
      <c r="AC98" s="234" t="b">
        <v>0</v>
      </c>
      <c r="AD98" s="234" t="b">
        <v>0</v>
      </c>
      <c r="AE98" s="234" t="b">
        <v>0</v>
      </c>
      <c r="AF98" s="234" t="b">
        <v>0</v>
      </c>
      <c r="AG98" s="234" t="b">
        <v>0</v>
      </c>
      <c r="AH98" s="234" t="b">
        <v>0</v>
      </c>
      <c r="AI98" s="234" t="b">
        <v>0</v>
      </c>
      <c r="AJ98" s="234" t="b">
        <v>0</v>
      </c>
      <c r="AK98" s="234" t="b">
        <v>0</v>
      </c>
      <c r="AL98" s="234" t="b">
        <v>0</v>
      </c>
      <c r="AM98" s="234"/>
      <c r="AN98" s="234" t="b">
        <v>0</v>
      </c>
      <c r="AO98" s="234" t="b">
        <v>0</v>
      </c>
      <c r="AP98" s="234" t="b">
        <v>0</v>
      </c>
      <c r="AQ98" s="234"/>
      <c r="AR98" s="234" t="b">
        <v>0</v>
      </c>
      <c r="AS98" s="234"/>
      <c r="AT98" s="234"/>
      <c r="AU98" s="234"/>
      <c r="AV98" s="234"/>
      <c r="AW98" s="234" t="b">
        <v>0</v>
      </c>
      <c r="AX98" s="234"/>
      <c r="AY98" s="234"/>
      <c r="AZ98" s="234" t="b">
        <v>0</v>
      </c>
      <c r="BA98" s="234"/>
      <c r="BB98" s="234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H99" s="242"/>
      <c r="I99" s="242"/>
      <c r="J99" s="242"/>
      <c r="K99" s="234"/>
      <c r="L99" s="234"/>
      <c r="M99" s="234"/>
      <c r="N99" s="234"/>
      <c r="O99" s="234"/>
      <c r="P99" s="235">
        <f t="shared" si="1"/>
        <v>0</v>
      </c>
      <c r="Q99" s="234" t="b">
        <v>0</v>
      </c>
      <c r="R99" s="234"/>
      <c r="S99" s="234"/>
      <c r="T99" s="234"/>
      <c r="U99" s="234" t="b">
        <v>0</v>
      </c>
      <c r="V99" s="234" t="b">
        <v>0</v>
      </c>
      <c r="W99" s="234" t="b">
        <v>0</v>
      </c>
      <c r="X99" s="234" t="b">
        <v>0</v>
      </c>
      <c r="Y99" s="234" t="b">
        <v>0</v>
      </c>
      <c r="Z99" s="236" t="b">
        <v>0</v>
      </c>
      <c r="AA99" s="234"/>
      <c r="AB99" s="234"/>
      <c r="AC99" s="234" t="b">
        <v>0</v>
      </c>
      <c r="AD99" s="234" t="b">
        <v>0</v>
      </c>
      <c r="AE99" s="234" t="b">
        <v>0</v>
      </c>
      <c r="AF99" s="234" t="b">
        <v>0</v>
      </c>
      <c r="AG99" s="234" t="b">
        <v>0</v>
      </c>
      <c r="AH99" s="234" t="b">
        <v>0</v>
      </c>
      <c r="AI99" s="234" t="b">
        <v>0</v>
      </c>
      <c r="AJ99" s="234" t="b">
        <v>0</v>
      </c>
      <c r="AK99" s="234" t="b">
        <v>0</v>
      </c>
      <c r="AL99" s="234" t="b">
        <v>0</v>
      </c>
      <c r="AM99" s="234"/>
      <c r="AN99" s="234" t="b">
        <v>0</v>
      </c>
      <c r="AO99" s="234" t="b">
        <v>0</v>
      </c>
      <c r="AP99" s="234" t="b">
        <v>0</v>
      </c>
      <c r="AQ99" s="234"/>
      <c r="AR99" s="234" t="b">
        <v>0</v>
      </c>
      <c r="AS99" s="234"/>
      <c r="AT99" s="234"/>
      <c r="AU99" s="234"/>
      <c r="AV99" s="234"/>
      <c r="AW99" s="234" t="b">
        <v>0</v>
      </c>
      <c r="AX99" s="234"/>
      <c r="AY99" s="234"/>
      <c r="AZ99" s="234" t="b">
        <v>0</v>
      </c>
      <c r="BA99" s="234"/>
      <c r="BB99" s="234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H100" s="242"/>
      <c r="I100" s="242"/>
      <c r="J100" s="242"/>
      <c r="K100" s="234"/>
      <c r="L100" s="234"/>
      <c r="M100" s="234"/>
      <c r="N100" s="234"/>
      <c r="O100" s="234"/>
      <c r="P100" s="235">
        <f t="shared" si="1"/>
        <v>0</v>
      </c>
      <c r="Q100" s="234" t="b">
        <v>0</v>
      </c>
      <c r="R100" s="234"/>
      <c r="S100" s="234"/>
      <c r="T100" s="234"/>
      <c r="U100" s="234" t="b">
        <v>0</v>
      </c>
      <c r="V100" s="234" t="b">
        <v>0</v>
      </c>
      <c r="W100" s="234" t="b">
        <v>0</v>
      </c>
      <c r="X100" s="234" t="b">
        <v>0</v>
      </c>
      <c r="Y100" s="234" t="b">
        <v>0</v>
      </c>
      <c r="Z100" s="236" t="b">
        <v>0</v>
      </c>
      <c r="AA100" s="234"/>
      <c r="AB100" s="234"/>
      <c r="AC100" s="234" t="b">
        <v>0</v>
      </c>
      <c r="AD100" s="234" t="b">
        <v>0</v>
      </c>
      <c r="AE100" s="234" t="b">
        <v>0</v>
      </c>
      <c r="AF100" s="234" t="b">
        <v>0</v>
      </c>
      <c r="AG100" s="234" t="b">
        <v>0</v>
      </c>
      <c r="AH100" s="234" t="b">
        <v>0</v>
      </c>
      <c r="AI100" s="234" t="b">
        <v>0</v>
      </c>
      <c r="AJ100" s="234" t="b">
        <v>0</v>
      </c>
      <c r="AK100" s="234" t="b">
        <v>0</v>
      </c>
      <c r="AL100" s="234" t="b">
        <v>0</v>
      </c>
      <c r="AM100" s="234"/>
      <c r="AN100" s="234" t="b">
        <v>0</v>
      </c>
      <c r="AO100" s="234" t="b">
        <v>0</v>
      </c>
      <c r="AP100" s="234" t="b">
        <v>0</v>
      </c>
      <c r="AQ100" s="234"/>
      <c r="AR100" s="234" t="b">
        <v>0</v>
      </c>
      <c r="AS100" s="234"/>
      <c r="AT100" s="234"/>
      <c r="AU100" s="234"/>
      <c r="AV100" s="234"/>
      <c r="AW100" s="234" t="b">
        <v>0</v>
      </c>
      <c r="AX100" s="234"/>
      <c r="AY100" s="234"/>
      <c r="AZ100" s="234" t="b">
        <v>0</v>
      </c>
      <c r="BA100" s="234"/>
      <c r="BB100" s="234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H101" s="242"/>
      <c r="I101" s="242"/>
      <c r="J101" s="242"/>
      <c r="K101" s="234"/>
      <c r="L101" s="234"/>
      <c r="M101" s="234"/>
      <c r="N101" s="234"/>
      <c r="O101" s="234"/>
      <c r="P101" s="235">
        <f t="shared" si="1"/>
        <v>0</v>
      </c>
      <c r="Q101" s="234" t="b">
        <v>0</v>
      </c>
      <c r="R101" s="234"/>
      <c r="S101" s="234"/>
      <c r="T101" s="234"/>
      <c r="U101" s="234" t="b">
        <v>0</v>
      </c>
      <c r="V101" s="234" t="b">
        <v>0</v>
      </c>
      <c r="W101" s="234" t="b">
        <v>0</v>
      </c>
      <c r="X101" s="234" t="b">
        <v>0</v>
      </c>
      <c r="Y101" s="234" t="b">
        <v>0</v>
      </c>
      <c r="Z101" s="236" t="b">
        <v>0</v>
      </c>
      <c r="AA101" s="234"/>
      <c r="AB101" s="234"/>
      <c r="AC101" s="234" t="b">
        <v>0</v>
      </c>
      <c r="AD101" s="234" t="b">
        <v>0</v>
      </c>
      <c r="AE101" s="234" t="b">
        <v>0</v>
      </c>
      <c r="AF101" s="234" t="b">
        <v>0</v>
      </c>
      <c r="AG101" s="234" t="b">
        <v>0</v>
      </c>
      <c r="AH101" s="234" t="b">
        <v>0</v>
      </c>
      <c r="AI101" s="234" t="b">
        <v>0</v>
      </c>
      <c r="AJ101" s="234" t="b">
        <v>0</v>
      </c>
      <c r="AK101" s="234" t="b">
        <v>0</v>
      </c>
      <c r="AL101" s="234" t="b">
        <v>0</v>
      </c>
      <c r="AM101" s="234"/>
      <c r="AN101" s="234" t="b">
        <v>0</v>
      </c>
      <c r="AO101" s="234" t="b">
        <v>0</v>
      </c>
      <c r="AP101" s="234" t="b">
        <v>0</v>
      </c>
      <c r="AQ101" s="234"/>
      <c r="AR101" s="234" t="b">
        <v>0</v>
      </c>
      <c r="AS101" s="234"/>
      <c r="AT101" s="234"/>
      <c r="AU101" s="234"/>
      <c r="AV101" s="234"/>
      <c r="AW101" s="234" t="b">
        <v>0</v>
      </c>
      <c r="AX101" s="234"/>
      <c r="AY101" s="234"/>
      <c r="AZ101" s="234" t="b">
        <v>0</v>
      </c>
      <c r="BA101" s="234"/>
      <c r="BB101" s="234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H102" s="242"/>
      <c r="I102" s="242"/>
      <c r="J102" s="242"/>
      <c r="K102" s="234"/>
      <c r="L102" s="234"/>
      <c r="M102" s="234"/>
      <c r="N102" s="234"/>
      <c r="O102" s="234"/>
      <c r="P102" s="235">
        <f t="shared" si="1"/>
        <v>0</v>
      </c>
      <c r="Q102" s="234" t="b">
        <v>0</v>
      </c>
      <c r="R102" s="234"/>
      <c r="S102" s="234"/>
      <c r="T102" s="234"/>
      <c r="U102" s="234" t="b">
        <v>0</v>
      </c>
      <c r="V102" s="234" t="b">
        <v>0</v>
      </c>
      <c r="W102" s="234" t="b">
        <v>0</v>
      </c>
      <c r="X102" s="234" t="b">
        <v>0</v>
      </c>
      <c r="Y102" s="234" t="b">
        <v>0</v>
      </c>
      <c r="Z102" s="236" t="b">
        <v>0</v>
      </c>
      <c r="AA102" s="234"/>
      <c r="AB102" s="234"/>
      <c r="AC102" s="234" t="b">
        <v>0</v>
      </c>
      <c r="AD102" s="234" t="b">
        <v>0</v>
      </c>
      <c r="AE102" s="234" t="b">
        <v>0</v>
      </c>
      <c r="AF102" s="234" t="b">
        <v>0</v>
      </c>
      <c r="AG102" s="234" t="b">
        <v>0</v>
      </c>
      <c r="AH102" s="234" t="b">
        <v>0</v>
      </c>
      <c r="AI102" s="234" t="b">
        <v>0</v>
      </c>
      <c r="AJ102" s="234" t="b">
        <v>0</v>
      </c>
      <c r="AK102" s="234" t="b">
        <v>0</v>
      </c>
      <c r="AL102" s="234" t="b">
        <v>0</v>
      </c>
      <c r="AM102" s="234"/>
      <c r="AN102" s="234" t="b">
        <v>0</v>
      </c>
      <c r="AO102" s="234" t="b">
        <v>0</v>
      </c>
      <c r="AP102" s="234" t="b">
        <v>0</v>
      </c>
      <c r="AQ102" s="234"/>
      <c r="AR102" s="234" t="b">
        <v>0</v>
      </c>
      <c r="AS102" s="234"/>
      <c r="AT102" s="234"/>
      <c r="AU102" s="234"/>
      <c r="AV102" s="234"/>
      <c r="AW102" s="234" t="b">
        <v>0</v>
      </c>
      <c r="AX102" s="234"/>
      <c r="AY102" s="234"/>
      <c r="AZ102" s="234" t="b">
        <v>0</v>
      </c>
      <c r="BA102" s="234"/>
      <c r="BB102" s="234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H103" s="242"/>
      <c r="I103" s="242"/>
      <c r="J103" s="242"/>
      <c r="K103" s="234"/>
      <c r="L103" s="234"/>
      <c r="M103" s="234"/>
      <c r="N103" s="234"/>
      <c r="O103" s="234"/>
      <c r="P103" s="235">
        <f t="shared" si="1"/>
        <v>0</v>
      </c>
      <c r="Q103" s="234" t="b">
        <v>0</v>
      </c>
      <c r="R103" s="234"/>
      <c r="S103" s="234"/>
      <c r="T103" s="234"/>
      <c r="U103" s="234" t="b">
        <v>0</v>
      </c>
      <c r="V103" s="234" t="b">
        <v>0</v>
      </c>
      <c r="W103" s="234" t="b">
        <v>0</v>
      </c>
      <c r="X103" s="234" t="b">
        <v>0</v>
      </c>
      <c r="Y103" s="234" t="b">
        <v>0</v>
      </c>
      <c r="Z103" s="236" t="b">
        <v>0</v>
      </c>
      <c r="AA103" s="234"/>
      <c r="AB103" s="234"/>
      <c r="AC103" s="234" t="b">
        <v>0</v>
      </c>
      <c r="AD103" s="234" t="b">
        <v>0</v>
      </c>
      <c r="AE103" s="234" t="b">
        <v>0</v>
      </c>
      <c r="AF103" s="234" t="b">
        <v>0</v>
      </c>
      <c r="AG103" s="234" t="b">
        <v>0</v>
      </c>
      <c r="AH103" s="234" t="b">
        <v>0</v>
      </c>
      <c r="AI103" s="234" t="b">
        <v>0</v>
      </c>
      <c r="AJ103" s="234" t="b">
        <v>0</v>
      </c>
      <c r="AK103" s="234" t="b">
        <v>0</v>
      </c>
      <c r="AL103" s="234" t="b">
        <v>0</v>
      </c>
      <c r="AM103" s="234"/>
      <c r="AN103" s="234" t="b">
        <v>0</v>
      </c>
      <c r="AO103" s="234" t="b">
        <v>0</v>
      </c>
      <c r="AP103" s="234" t="b">
        <v>0</v>
      </c>
      <c r="AQ103" s="234"/>
      <c r="AR103" s="234" t="b">
        <v>0</v>
      </c>
      <c r="AS103" s="234"/>
      <c r="AT103" s="234"/>
      <c r="AU103" s="234"/>
      <c r="AV103" s="234"/>
      <c r="AW103" s="234" t="b">
        <v>0</v>
      </c>
      <c r="AX103" s="234"/>
      <c r="AY103" s="234"/>
      <c r="AZ103" s="234" t="b">
        <v>0</v>
      </c>
      <c r="BA103" s="234"/>
      <c r="BB103" s="234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H104" s="242"/>
      <c r="I104" s="242"/>
      <c r="J104" s="242"/>
      <c r="K104" s="234"/>
      <c r="L104" s="234"/>
      <c r="M104" s="234"/>
      <c r="N104" s="234"/>
      <c r="O104" s="234"/>
      <c r="P104" s="235">
        <f t="shared" si="1"/>
        <v>0</v>
      </c>
      <c r="Q104" s="234" t="b">
        <v>0</v>
      </c>
      <c r="R104" s="234"/>
      <c r="S104" s="234"/>
      <c r="T104" s="234"/>
      <c r="U104" s="234" t="b">
        <v>0</v>
      </c>
      <c r="V104" s="234" t="b">
        <v>0</v>
      </c>
      <c r="W104" s="234" t="b">
        <v>0</v>
      </c>
      <c r="X104" s="234" t="b">
        <v>0</v>
      </c>
      <c r="Y104" s="234" t="b">
        <v>0</v>
      </c>
      <c r="Z104" s="236" t="b">
        <v>0</v>
      </c>
      <c r="AA104" s="234"/>
      <c r="AB104" s="234"/>
      <c r="AC104" s="234" t="b">
        <v>0</v>
      </c>
      <c r="AD104" s="234" t="b">
        <v>0</v>
      </c>
      <c r="AE104" s="234" t="b">
        <v>0</v>
      </c>
      <c r="AF104" s="234" t="b">
        <v>0</v>
      </c>
      <c r="AG104" s="234" t="b">
        <v>0</v>
      </c>
      <c r="AH104" s="234" t="b">
        <v>0</v>
      </c>
      <c r="AI104" s="234" t="b">
        <v>0</v>
      </c>
      <c r="AJ104" s="234" t="b">
        <v>0</v>
      </c>
      <c r="AK104" s="234" t="b">
        <v>0</v>
      </c>
      <c r="AL104" s="234" t="b">
        <v>0</v>
      </c>
      <c r="AM104" s="234"/>
      <c r="AN104" s="234" t="b">
        <v>0</v>
      </c>
      <c r="AO104" s="234" t="b">
        <v>0</v>
      </c>
      <c r="AP104" s="234" t="b">
        <v>0</v>
      </c>
      <c r="AQ104" s="234"/>
      <c r="AR104" s="234" t="b">
        <v>0</v>
      </c>
      <c r="AS104" s="234"/>
      <c r="AT104" s="234"/>
      <c r="AU104" s="234"/>
      <c r="AV104" s="234"/>
      <c r="AW104" s="234" t="b">
        <v>0</v>
      </c>
      <c r="AX104" s="234"/>
      <c r="AY104" s="234"/>
      <c r="AZ104" s="234" t="b">
        <v>0</v>
      </c>
      <c r="BA104" s="234"/>
      <c r="BB104" s="234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H105" s="242"/>
      <c r="I105" s="242"/>
      <c r="J105" s="242"/>
      <c r="K105" s="234"/>
      <c r="L105" s="234"/>
      <c r="M105" s="234"/>
      <c r="N105" s="234"/>
      <c r="O105" s="234"/>
      <c r="P105" s="235">
        <f t="shared" si="1"/>
        <v>0</v>
      </c>
      <c r="Q105" s="234" t="b">
        <v>0</v>
      </c>
      <c r="R105" s="234"/>
      <c r="S105" s="234"/>
      <c r="T105" s="234"/>
      <c r="U105" s="234" t="b">
        <v>0</v>
      </c>
      <c r="V105" s="234" t="b">
        <v>0</v>
      </c>
      <c r="W105" s="234" t="b">
        <v>0</v>
      </c>
      <c r="X105" s="234" t="b">
        <v>0</v>
      </c>
      <c r="Y105" s="234" t="b">
        <v>0</v>
      </c>
      <c r="Z105" s="236" t="b">
        <v>0</v>
      </c>
      <c r="AA105" s="234"/>
      <c r="AB105" s="234"/>
      <c r="AC105" s="234" t="b">
        <v>0</v>
      </c>
      <c r="AD105" s="234" t="b">
        <v>0</v>
      </c>
      <c r="AE105" s="234" t="b">
        <v>0</v>
      </c>
      <c r="AF105" s="234" t="b">
        <v>0</v>
      </c>
      <c r="AG105" s="234" t="b">
        <v>0</v>
      </c>
      <c r="AH105" s="234" t="b">
        <v>0</v>
      </c>
      <c r="AI105" s="234" t="b">
        <v>0</v>
      </c>
      <c r="AJ105" s="234" t="b">
        <v>0</v>
      </c>
      <c r="AK105" s="234" t="b">
        <v>0</v>
      </c>
      <c r="AL105" s="234" t="b">
        <v>0</v>
      </c>
      <c r="AM105" s="234"/>
      <c r="AN105" s="234" t="b">
        <v>0</v>
      </c>
      <c r="AO105" s="234" t="b">
        <v>0</v>
      </c>
      <c r="AP105" s="234" t="b">
        <v>0</v>
      </c>
      <c r="AQ105" s="234"/>
      <c r="AR105" s="234" t="b">
        <v>0</v>
      </c>
      <c r="AS105" s="234"/>
      <c r="AT105" s="234"/>
      <c r="AU105" s="234"/>
      <c r="AV105" s="234"/>
      <c r="AW105" s="234" t="b">
        <v>0</v>
      </c>
      <c r="AX105" s="234"/>
      <c r="AY105" s="234"/>
      <c r="AZ105" s="234" t="b">
        <v>0</v>
      </c>
      <c r="BA105" s="234"/>
      <c r="BB105" s="234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H106" s="242"/>
      <c r="I106" s="242"/>
      <c r="J106" s="242"/>
      <c r="K106" s="234"/>
      <c r="L106" s="234"/>
      <c r="M106" s="234"/>
      <c r="N106" s="234"/>
      <c r="O106" s="234"/>
      <c r="P106" s="235">
        <f t="shared" si="1"/>
        <v>0</v>
      </c>
      <c r="Q106" s="234" t="b">
        <v>0</v>
      </c>
      <c r="R106" s="234"/>
      <c r="S106" s="234"/>
      <c r="T106" s="234"/>
      <c r="U106" s="234" t="b">
        <v>0</v>
      </c>
      <c r="V106" s="234" t="b">
        <v>0</v>
      </c>
      <c r="W106" s="234" t="b">
        <v>0</v>
      </c>
      <c r="X106" s="234" t="b">
        <v>0</v>
      </c>
      <c r="Y106" s="234" t="b">
        <v>0</v>
      </c>
      <c r="Z106" s="236" t="b">
        <v>0</v>
      </c>
      <c r="AA106" s="234"/>
      <c r="AB106" s="234"/>
      <c r="AC106" s="234" t="b">
        <v>0</v>
      </c>
      <c r="AD106" s="234" t="b">
        <v>0</v>
      </c>
      <c r="AE106" s="234" t="b">
        <v>0</v>
      </c>
      <c r="AF106" s="234" t="b">
        <v>0</v>
      </c>
      <c r="AG106" s="234" t="b">
        <v>0</v>
      </c>
      <c r="AH106" s="234" t="b">
        <v>0</v>
      </c>
      <c r="AI106" s="234" t="b">
        <v>0</v>
      </c>
      <c r="AJ106" s="234" t="b">
        <v>0</v>
      </c>
      <c r="AK106" s="234" t="b">
        <v>0</v>
      </c>
      <c r="AL106" s="234" t="b">
        <v>0</v>
      </c>
      <c r="AM106" s="234"/>
      <c r="AN106" s="234" t="b">
        <v>0</v>
      </c>
      <c r="AO106" s="234" t="b">
        <v>0</v>
      </c>
      <c r="AP106" s="234" t="b">
        <v>0</v>
      </c>
      <c r="AQ106" s="234"/>
      <c r="AR106" s="234" t="b">
        <v>0</v>
      </c>
      <c r="AS106" s="234"/>
      <c r="AT106" s="234"/>
      <c r="AU106" s="234"/>
      <c r="AV106" s="234"/>
      <c r="AW106" s="234" t="b">
        <v>0</v>
      </c>
      <c r="AX106" s="234"/>
      <c r="AY106" s="234"/>
      <c r="AZ106" s="234" t="b">
        <v>0</v>
      </c>
      <c r="BA106" s="234"/>
      <c r="BB106" s="234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H107" s="242"/>
      <c r="I107" s="242"/>
      <c r="J107" s="242"/>
      <c r="K107" s="234"/>
      <c r="L107" s="234"/>
      <c r="M107" s="234"/>
      <c r="N107" s="234"/>
      <c r="O107" s="234"/>
      <c r="P107" s="235">
        <f t="shared" si="1"/>
        <v>0</v>
      </c>
      <c r="Q107" s="234" t="b">
        <v>0</v>
      </c>
      <c r="R107" s="234"/>
      <c r="S107" s="234"/>
      <c r="T107" s="234"/>
      <c r="U107" s="234" t="b">
        <v>0</v>
      </c>
      <c r="V107" s="234" t="b">
        <v>0</v>
      </c>
      <c r="W107" s="234" t="b">
        <v>0</v>
      </c>
      <c r="X107" s="234" t="b">
        <v>0</v>
      </c>
      <c r="Y107" s="234" t="b">
        <v>0</v>
      </c>
      <c r="Z107" s="236" t="b">
        <v>0</v>
      </c>
      <c r="AA107" s="234"/>
      <c r="AB107" s="234"/>
      <c r="AC107" s="234" t="b">
        <v>0</v>
      </c>
      <c r="AD107" s="234" t="b">
        <v>0</v>
      </c>
      <c r="AE107" s="234" t="b">
        <v>0</v>
      </c>
      <c r="AF107" s="234" t="b">
        <v>0</v>
      </c>
      <c r="AG107" s="234" t="b">
        <v>0</v>
      </c>
      <c r="AH107" s="234" t="b">
        <v>0</v>
      </c>
      <c r="AI107" s="234" t="b">
        <v>0</v>
      </c>
      <c r="AJ107" s="234" t="b">
        <v>0</v>
      </c>
      <c r="AK107" s="234" t="b">
        <v>0</v>
      </c>
      <c r="AL107" s="234" t="b">
        <v>0</v>
      </c>
      <c r="AM107" s="234"/>
      <c r="AN107" s="234" t="b">
        <v>0</v>
      </c>
      <c r="AO107" s="234" t="b">
        <v>0</v>
      </c>
      <c r="AP107" s="234" t="b">
        <v>0</v>
      </c>
      <c r="AQ107" s="234"/>
      <c r="AR107" s="234" t="b">
        <v>0</v>
      </c>
      <c r="AS107" s="234"/>
      <c r="AT107" s="234"/>
      <c r="AU107" s="234"/>
      <c r="AV107" s="234"/>
      <c r="AW107" s="234" t="b">
        <v>0</v>
      </c>
      <c r="AX107" s="234"/>
      <c r="AY107" s="234"/>
      <c r="AZ107" s="234" t="b">
        <v>0</v>
      </c>
      <c r="BA107" s="234"/>
      <c r="BB107" s="234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H108" s="242"/>
      <c r="I108" s="242"/>
      <c r="J108" s="242"/>
      <c r="K108" s="234"/>
      <c r="L108" s="234"/>
      <c r="M108" s="234"/>
      <c r="N108" s="234"/>
      <c r="O108" s="234"/>
      <c r="P108" s="235">
        <f t="shared" si="1"/>
        <v>0</v>
      </c>
      <c r="Q108" s="234" t="b">
        <v>0</v>
      </c>
      <c r="R108" s="234"/>
      <c r="S108" s="234"/>
      <c r="T108" s="234"/>
      <c r="U108" s="234" t="b">
        <v>0</v>
      </c>
      <c r="V108" s="234" t="b">
        <v>0</v>
      </c>
      <c r="W108" s="234" t="b">
        <v>0</v>
      </c>
      <c r="X108" s="234" t="b">
        <v>0</v>
      </c>
      <c r="Y108" s="234" t="b">
        <v>0</v>
      </c>
      <c r="Z108" s="236" t="b">
        <v>0</v>
      </c>
      <c r="AA108" s="234"/>
      <c r="AB108" s="234"/>
      <c r="AC108" s="234" t="b">
        <v>0</v>
      </c>
      <c r="AD108" s="234" t="b">
        <v>0</v>
      </c>
      <c r="AE108" s="234" t="b">
        <v>0</v>
      </c>
      <c r="AF108" s="234" t="b">
        <v>0</v>
      </c>
      <c r="AG108" s="234" t="b">
        <v>0</v>
      </c>
      <c r="AH108" s="234" t="b">
        <v>0</v>
      </c>
      <c r="AI108" s="234" t="b">
        <v>0</v>
      </c>
      <c r="AJ108" s="234" t="b">
        <v>0</v>
      </c>
      <c r="AK108" s="234" t="b">
        <v>0</v>
      </c>
      <c r="AL108" s="234" t="b">
        <v>0</v>
      </c>
      <c r="AM108" s="234"/>
      <c r="AN108" s="234" t="b">
        <v>0</v>
      </c>
      <c r="AO108" s="234" t="b">
        <v>0</v>
      </c>
      <c r="AP108" s="234" t="b">
        <v>0</v>
      </c>
      <c r="AQ108" s="234"/>
      <c r="AR108" s="234" t="b">
        <v>0</v>
      </c>
      <c r="AS108" s="234"/>
      <c r="AT108" s="234"/>
      <c r="AU108" s="234"/>
      <c r="AV108" s="234"/>
      <c r="AW108" s="234" t="b">
        <v>0</v>
      </c>
      <c r="AX108" s="234"/>
      <c r="AY108" s="234"/>
      <c r="AZ108" s="234" t="b">
        <v>0</v>
      </c>
      <c r="BA108" s="234"/>
      <c r="BB108" s="234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H109" s="242"/>
      <c r="I109" s="242"/>
      <c r="J109" s="242"/>
      <c r="K109" s="234"/>
      <c r="L109" s="234"/>
      <c r="M109" s="234"/>
      <c r="N109" s="234"/>
      <c r="O109" s="234"/>
      <c r="P109" s="235">
        <f t="shared" si="1"/>
        <v>0</v>
      </c>
      <c r="Q109" s="234" t="b">
        <v>0</v>
      </c>
      <c r="R109" s="234"/>
      <c r="S109" s="234"/>
      <c r="T109" s="234"/>
      <c r="U109" s="234" t="b">
        <v>0</v>
      </c>
      <c r="V109" s="234" t="b">
        <v>0</v>
      </c>
      <c r="W109" s="234" t="b">
        <v>0</v>
      </c>
      <c r="X109" s="234" t="b">
        <v>0</v>
      </c>
      <c r="Y109" s="234" t="b">
        <v>0</v>
      </c>
      <c r="Z109" s="236" t="b">
        <v>0</v>
      </c>
      <c r="AA109" s="234"/>
      <c r="AB109" s="234"/>
      <c r="AC109" s="234" t="b">
        <v>0</v>
      </c>
      <c r="AD109" s="234" t="b">
        <v>0</v>
      </c>
      <c r="AE109" s="234" t="b">
        <v>0</v>
      </c>
      <c r="AF109" s="234" t="b">
        <v>0</v>
      </c>
      <c r="AG109" s="234" t="b">
        <v>0</v>
      </c>
      <c r="AH109" s="234" t="b">
        <v>0</v>
      </c>
      <c r="AI109" s="234" t="b">
        <v>0</v>
      </c>
      <c r="AJ109" s="234" t="b">
        <v>0</v>
      </c>
      <c r="AK109" s="234" t="b">
        <v>0</v>
      </c>
      <c r="AL109" s="234" t="b">
        <v>0</v>
      </c>
      <c r="AM109" s="234"/>
      <c r="AN109" s="234" t="b">
        <v>0</v>
      </c>
      <c r="AO109" s="234" t="b">
        <v>0</v>
      </c>
      <c r="AP109" s="234" t="b">
        <v>0</v>
      </c>
      <c r="AQ109" s="234"/>
      <c r="AR109" s="234" t="b">
        <v>0</v>
      </c>
      <c r="AS109" s="234"/>
      <c r="AT109" s="234"/>
      <c r="AU109" s="234"/>
      <c r="AV109" s="234"/>
      <c r="AW109" s="234" t="b">
        <v>0</v>
      </c>
      <c r="AX109" s="234"/>
      <c r="AY109" s="234"/>
      <c r="AZ109" s="234" t="b">
        <v>0</v>
      </c>
      <c r="BA109" s="234"/>
      <c r="BB109" s="234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H110" s="242"/>
      <c r="I110" s="242"/>
      <c r="J110" s="242"/>
      <c r="K110" s="234"/>
      <c r="L110" s="234"/>
      <c r="M110" s="234"/>
      <c r="N110" s="234"/>
      <c r="O110" s="234"/>
      <c r="P110" s="235">
        <f t="shared" si="1"/>
        <v>0</v>
      </c>
      <c r="Q110" s="234" t="b">
        <v>0</v>
      </c>
      <c r="R110" s="234"/>
      <c r="S110" s="234"/>
      <c r="T110" s="234"/>
      <c r="U110" s="234" t="b">
        <v>0</v>
      </c>
      <c r="V110" s="234" t="b">
        <v>0</v>
      </c>
      <c r="W110" s="234" t="b">
        <v>0</v>
      </c>
      <c r="X110" s="234" t="b">
        <v>0</v>
      </c>
      <c r="Y110" s="234" t="b">
        <v>0</v>
      </c>
      <c r="Z110" s="236" t="b">
        <v>0</v>
      </c>
      <c r="AA110" s="234"/>
      <c r="AB110" s="234"/>
      <c r="AC110" s="234" t="b">
        <v>0</v>
      </c>
      <c r="AD110" s="234" t="b">
        <v>0</v>
      </c>
      <c r="AE110" s="234" t="b">
        <v>0</v>
      </c>
      <c r="AF110" s="234" t="b">
        <v>0</v>
      </c>
      <c r="AG110" s="234" t="b">
        <v>0</v>
      </c>
      <c r="AH110" s="234" t="b">
        <v>0</v>
      </c>
      <c r="AI110" s="234" t="b">
        <v>0</v>
      </c>
      <c r="AJ110" s="234" t="b">
        <v>0</v>
      </c>
      <c r="AK110" s="234" t="b">
        <v>0</v>
      </c>
      <c r="AL110" s="234" t="b">
        <v>0</v>
      </c>
      <c r="AM110" s="234"/>
      <c r="AN110" s="234" t="b">
        <v>0</v>
      </c>
      <c r="AO110" s="234" t="b">
        <v>0</v>
      </c>
      <c r="AP110" s="234" t="b">
        <v>0</v>
      </c>
      <c r="AQ110" s="234"/>
      <c r="AR110" s="234" t="b">
        <v>0</v>
      </c>
      <c r="AS110" s="234"/>
      <c r="AT110" s="234"/>
      <c r="AU110" s="234"/>
      <c r="AV110" s="234"/>
      <c r="AW110" s="234" t="b">
        <v>0</v>
      </c>
      <c r="AX110" s="234"/>
      <c r="AY110" s="234"/>
      <c r="AZ110" s="234" t="b">
        <v>0</v>
      </c>
      <c r="BA110" s="234"/>
      <c r="BB110" s="234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H111" s="242"/>
      <c r="I111" s="242"/>
      <c r="J111" s="242"/>
      <c r="K111" s="234"/>
      <c r="L111" s="234"/>
      <c r="M111" s="234"/>
      <c r="N111" s="234"/>
      <c r="O111" s="234"/>
      <c r="P111" s="235">
        <f t="shared" si="1"/>
        <v>0</v>
      </c>
      <c r="Q111" s="234" t="b">
        <v>0</v>
      </c>
      <c r="R111" s="234"/>
      <c r="S111" s="234"/>
      <c r="T111" s="234"/>
      <c r="U111" s="234" t="b">
        <v>0</v>
      </c>
      <c r="V111" s="234" t="b">
        <v>0</v>
      </c>
      <c r="W111" s="234" t="b">
        <v>0</v>
      </c>
      <c r="X111" s="234" t="b">
        <v>0</v>
      </c>
      <c r="Y111" s="234" t="b">
        <v>0</v>
      </c>
      <c r="Z111" s="236" t="b">
        <v>0</v>
      </c>
      <c r="AA111" s="234"/>
      <c r="AB111" s="234"/>
      <c r="AC111" s="234" t="b">
        <v>0</v>
      </c>
      <c r="AD111" s="234" t="b">
        <v>0</v>
      </c>
      <c r="AE111" s="234" t="b">
        <v>0</v>
      </c>
      <c r="AF111" s="234" t="b">
        <v>0</v>
      </c>
      <c r="AG111" s="234" t="b">
        <v>0</v>
      </c>
      <c r="AH111" s="234" t="b">
        <v>0</v>
      </c>
      <c r="AI111" s="234" t="b">
        <v>0</v>
      </c>
      <c r="AJ111" s="234" t="b">
        <v>0</v>
      </c>
      <c r="AK111" s="234" t="b">
        <v>0</v>
      </c>
      <c r="AL111" s="234" t="b">
        <v>0</v>
      </c>
      <c r="AM111" s="234"/>
      <c r="AN111" s="234" t="b">
        <v>0</v>
      </c>
      <c r="AO111" s="234" t="b">
        <v>0</v>
      </c>
      <c r="AP111" s="234" t="b">
        <v>0</v>
      </c>
      <c r="AQ111" s="234"/>
      <c r="AR111" s="234" t="b">
        <v>0</v>
      </c>
      <c r="AS111" s="234"/>
      <c r="AT111" s="234"/>
      <c r="AU111" s="234"/>
      <c r="AV111" s="234"/>
      <c r="AW111" s="234" t="b">
        <v>0</v>
      </c>
      <c r="AX111" s="234"/>
      <c r="AY111" s="234"/>
      <c r="AZ111" s="234" t="b">
        <v>0</v>
      </c>
      <c r="BA111" s="234"/>
      <c r="BB111" s="234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H112" s="242"/>
      <c r="I112" s="242"/>
      <c r="J112" s="242"/>
      <c r="K112" s="234"/>
      <c r="L112" s="234"/>
      <c r="M112" s="234"/>
      <c r="N112" s="234"/>
      <c r="O112" s="234"/>
      <c r="P112" s="235">
        <f t="shared" si="1"/>
        <v>0</v>
      </c>
      <c r="Q112" s="234" t="b">
        <v>0</v>
      </c>
      <c r="R112" s="234"/>
      <c r="S112" s="234"/>
      <c r="T112" s="234"/>
      <c r="U112" s="234" t="b">
        <v>0</v>
      </c>
      <c r="V112" s="234" t="b">
        <v>0</v>
      </c>
      <c r="W112" s="234" t="b">
        <v>0</v>
      </c>
      <c r="X112" s="234" t="b">
        <v>0</v>
      </c>
      <c r="Y112" s="234" t="b">
        <v>0</v>
      </c>
      <c r="Z112" s="236" t="b">
        <v>0</v>
      </c>
      <c r="AA112" s="234"/>
      <c r="AB112" s="234"/>
      <c r="AC112" s="234" t="b">
        <v>0</v>
      </c>
      <c r="AD112" s="234" t="b">
        <v>0</v>
      </c>
      <c r="AE112" s="234" t="b">
        <v>0</v>
      </c>
      <c r="AF112" s="234" t="b">
        <v>0</v>
      </c>
      <c r="AG112" s="234" t="b">
        <v>0</v>
      </c>
      <c r="AH112" s="234" t="b">
        <v>0</v>
      </c>
      <c r="AI112" s="234" t="b">
        <v>0</v>
      </c>
      <c r="AJ112" s="234" t="b">
        <v>0</v>
      </c>
      <c r="AK112" s="234" t="b">
        <v>0</v>
      </c>
      <c r="AL112" s="234" t="b">
        <v>0</v>
      </c>
      <c r="AM112" s="234"/>
      <c r="AN112" s="234" t="b">
        <v>0</v>
      </c>
      <c r="AO112" s="234" t="b">
        <v>0</v>
      </c>
      <c r="AP112" s="234" t="b">
        <v>0</v>
      </c>
      <c r="AQ112" s="234"/>
      <c r="AR112" s="234" t="b">
        <v>0</v>
      </c>
      <c r="AS112" s="234"/>
      <c r="AT112" s="234"/>
      <c r="AU112" s="234"/>
      <c r="AV112" s="234"/>
      <c r="AW112" s="234" t="b">
        <v>0</v>
      </c>
      <c r="AX112" s="234"/>
      <c r="AY112" s="234"/>
      <c r="AZ112" s="234" t="b">
        <v>0</v>
      </c>
      <c r="BA112" s="234"/>
      <c r="BB112" s="234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H113" s="242"/>
      <c r="I113" s="242"/>
      <c r="J113" s="242"/>
      <c r="K113" s="234"/>
      <c r="L113" s="234"/>
      <c r="M113" s="234"/>
      <c r="N113" s="234"/>
      <c r="O113" s="234"/>
      <c r="P113" s="235">
        <f t="shared" si="1"/>
        <v>0</v>
      </c>
      <c r="Q113" s="234" t="b">
        <v>0</v>
      </c>
      <c r="R113" s="234"/>
      <c r="S113" s="234"/>
      <c r="T113" s="234"/>
      <c r="U113" s="234" t="b">
        <v>0</v>
      </c>
      <c r="V113" s="234" t="b">
        <v>0</v>
      </c>
      <c r="W113" s="234" t="b">
        <v>0</v>
      </c>
      <c r="X113" s="234" t="b">
        <v>0</v>
      </c>
      <c r="Y113" s="234" t="b">
        <v>0</v>
      </c>
      <c r="Z113" s="236" t="b">
        <v>0</v>
      </c>
      <c r="AA113" s="234"/>
      <c r="AB113" s="234"/>
      <c r="AC113" s="234" t="b">
        <v>0</v>
      </c>
      <c r="AD113" s="234" t="b">
        <v>0</v>
      </c>
      <c r="AE113" s="234" t="b">
        <v>0</v>
      </c>
      <c r="AF113" s="234" t="b">
        <v>0</v>
      </c>
      <c r="AG113" s="234" t="b">
        <v>0</v>
      </c>
      <c r="AH113" s="234" t="b">
        <v>0</v>
      </c>
      <c r="AI113" s="234" t="b">
        <v>0</v>
      </c>
      <c r="AJ113" s="234" t="b">
        <v>0</v>
      </c>
      <c r="AK113" s="234" t="b">
        <v>0</v>
      </c>
      <c r="AL113" s="234" t="b">
        <v>0</v>
      </c>
      <c r="AM113" s="234"/>
      <c r="AN113" s="234" t="b">
        <v>0</v>
      </c>
      <c r="AO113" s="234" t="b">
        <v>0</v>
      </c>
      <c r="AP113" s="234" t="b">
        <v>0</v>
      </c>
      <c r="AQ113" s="234"/>
      <c r="AR113" s="234" t="b">
        <v>0</v>
      </c>
      <c r="AS113" s="234"/>
      <c r="AT113" s="234"/>
      <c r="AU113" s="234"/>
      <c r="AV113" s="234"/>
      <c r="AW113" s="234" t="b">
        <v>0</v>
      </c>
      <c r="AX113" s="234"/>
      <c r="AY113" s="234"/>
      <c r="AZ113" s="234" t="b">
        <v>0</v>
      </c>
      <c r="BA113" s="234"/>
      <c r="BB113" s="234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H114" s="242"/>
      <c r="I114" s="242"/>
      <c r="J114" s="242"/>
      <c r="K114" s="234"/>
      <c r="L114" s="234"/>
      <c r="M114" s="234"/>
      <c r="N114" s="234"/>
      <c r="O114" s="234"/>
      <c r="P114" s="235">
        <f t="shared" si="1"/>
        <v>0</v>
      </c>
      <c r="Q114" s="234" t="b">
        <v>0</v>
      </c>
      <c r="R114" s="234"/>
      <c r="S114" s="234"/>
      <c r="T114" s="234"/>
      <c r="U114" s="234" t="b">
        <v>0</v>
      </c>
      <c r="V114" s="234" t="b">
        <v>0</v>
      </c>
      <c r="W114" s="234" t="b">
        <v>0</v>
      </c>
      <c r="X114" s="234" t="b">
        <v>0</v>
      </c>
      <c r="Y114" s="234" t="b">
        <v>0</v>
      </c>
      <c r="Z114" s="236" t="b">
        <v>0</v>
      </c>
      <c r="AA114" s="234"/>
      <c r="AB114" s="234"/>
      <c r="AC114" s="234" t="b">
        <v>0</v>
      </c>
      <c r="AD114" s="234" t="b">
        <v>0</v>
      </c>
      <c r="AE114" s="234" t="b">
        <v>0</v>
      </c>
      <c r="AF114" s="234" t="b">
        <v>0</v>
      </c>
      <c r="AG114" s="234" t="b">
        <v>0</v>
      </c>
      <c r="AH114" s="234" t="b">
        <v>0</v>
      </c>
      <c r="AI114" s="234" t="b">
        <v>0</v>
      </c>
      <c r="AJ114" s="234" t="b">
        <v>0</v>
      </c>
      <c r="AK114" s="234" t="b">
        <v>0</v>
      </c>
      <c r="AL114" s="234" t="b">
        <v>0</v>
      </c>
      <c r="AM114" s="234"/>
      <c r="AN114" s="234" t="b">
        <v>0</v>
      </c>
      <c r="AO114" s="234" t="b">
        <v>0</v>
      </c>
      <c r="AP114" s="234" t="b">
        <v>0</v>
      </c>
      <c r="AQ114" s="234"/>
      <c r="AR114" s="234" t="b">
        <v>0</v>
      </c>
      <c r="AS114" s="234"/>
      <c r="AT114" s="234"/>
      <c r="AU114" s="234"/>
      <c r="AV114" s="234"/>
      <c r="AW114" s="234" t="b">
        <v>0</v>
      </c>
      <c r="AX114" s="234"/>
      <c r="AY114" s="234"/>
      <c r="AZ114" s="234" t="b">
        <v>0</v>
      </c>
      <c r="BA114" s="234"/>
      <c r="BB114" s="234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H115" s="242"/>
      <c r="I115" s="242"/>
      <c r="J115" s="242"/>
      <c r="K115" s="234"/>
      <c r="L115" s="234"/>
      <c r="M115" s="234"/>
      <c r="N115" s="234"/>
      <c r="O115" s="234"/>
      <c r="P115" s="235">
        <f t="shared" si="1"/>
        <v>0</v>
      </c>
      <c r="Q115" s="234" t="b">
        <v>0</v>
      </c>
      <c r="R115" s="234"/>
      <c r="S115" s="234"/>
      <c r="T115" s="234"/>
      <c r="U115" s="234" t="b">
        <v>0</v>
      </c>
      <c r="V115" s="234" t="b">
        <v>0</v>
      </c>
      <c r="W115" s="234" t="b">
        <v>0</v>
      </c>
      <c r="X115" s="234" t="b">
        <v>0</v>
      </c>
      <c r="Y115" s="234" t="b">
        <v>0</v>
      </c>
      <c r="Z115" s="236" t="b">
        <v>0</v>
      </c>
      <c r="AA115" s="234"/>
      <c r="AB115" s="234"/>
      <c r="AC115" s="234" t="b">
        <v>0</v>
      </c>
      <c r="AD115" s="234" t="b">
        <v>0</v>
      </c>
      <c r="AE115" s="234" t="b">
        <v>0</v>
      </c>
      <c r="AF115" s="234" t="b">
        <v>0</v>
      </c>
      <c r="AG115" s="234" t="b">
        <v>0</v>
      </c>
      <c r="AH115" s="234" t="b">
        <v>0</v>
      </c>
      <c r="AI115" s="234" t="b">
        <v>0</v>
      </c>
      <c r="AJ115" s="234" t="b">
        <v>0</v>
      </c>
      <c r="AK115" s="234" t="b">
        <v>0</v>
      </c>
      <c r="AL115" s="234" t="b">
        <v>0</v>
      </c>
      <c r="AM115" s="234"/>
      <c r="AN115" s="234" t="b">
        <v>0</v>
      </c>
      <c r="AO115" s="234" t="b">
        <v>0</v>
      </c>
      <c r="AP115" s="234" t="b">
        <v>0</v>
      </c>
      <c r="AQ115" s="234"/>
      <c r="AR115" s="234" t="b">
        <v>0</v>
      </c>
      <c r="AS115" s="234"/>
      <c r="AT115" s="234"/>
      <c r="AU115" s="234"/>
      <c r="AV115" s="234"/>
      <c r="AW115" s="234" t="b">
        <v>0</v>
      </c>
      <c r="AX115" s="234"/>
      <c r="AY115" s="234"/>
      <c r="AZ115" s="234" t="b">
        <v>0</v>
      </c>
      <c r="BA115" s="234"/>
      <c r="BB115" s="234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H116" s="242"/>
      <c r="I116" s="242"/>
      <c r="J116" s="242"/>
      <c r="K116" s="234"/>
      <c r="L116" s="234"/>
      <c r="M116" s="234"/>
      <c r="N116" s="234"/>
      <c r="O116" s="234"/>
      <c r="P116" s="235">
        <f t="shared" si="1"/>
        <v>0</v>
      </c>
      <c r="Q116" s="234" t="b">
        <v>0</v>
      </c>
      <c r="R116" s="234"/>
      <c r="S116" s="234"/>
      <c r="T116" s="234"/>
      <c r="U116" s="234" t="b">
        <v>0</v>
      </c>
      <c r="V116" s="234" t="b">
        <v>0</v>
      </c>
      <c r="W116" s="234" t="b">
        <v>0</v>
      </c>
      <c r="X116" s="234" t="b">
        <v>0</v>
      </c>
      <c r="Y116" s="234" t="b">
        <v>0</v>
      </c>
      <c r="Z116" s="236" t="b">
        <v>0</v>
      </c>
      <c r="AA116" s="234"/>
      <c r="AB116" s="234"/>
      <c r="AC116" s="234" t="b">
        <v>0</v>
      </c>
      <c r="AD116" s="234" t="b">
        <v>0</v>
      </c>
      <c r="AE116" s="234" t="b">
        <v>0</v>
      </c>
      <c r="AF116" s="234" t="b">
        <v>0</v>
      </c>
      <c r="AG116" s="234" t="b">
        <v>0</v>
      </c>
      <c r="AH116" s="234" t="b">
        <v>0</v>
      </c>
      <c r="AI116" s="234" t="b">
        <v>0</v>
      </c>
      <c r="AJ116" s="234" t="b">
        <v>0</v>
      </c>
      <c r="AK116" s="234" t="b">
        <v>0</v>
      </c>
      <c r="AL116" s="234" t="b">
        <v>0</v>
      </c>
      <c r="AM116" s="234"/>
      <c r="AN116" s="234" t="b">
        <v>0</v>
      </c>
      <c r="AO116" s="234" t="b">
        <v>0</v>
      </c>
      <c r="AP116" s="234" t="b">
        <v>0</v>
      </c>
      <c r="AQ116" s="234"/>
      <c r="AR116" s="234" t="b">
        <v>0</v>
      </c>
      <c r="AS116" s="234"/>
      <c r="AT116" s="234"/>
      <c r="AU116" s="234"/>
      <c r="AV116" s="234"/>
      <c r="AW116" s="234" t="b">
        <v>0</v>
      </c>
      <c r="AX116" s="234"/>
      <c r="AY116" s="234"/>
      <c r="AZ116" s="234" t="b">
        <v>0</v>
      </c>
      <c r="BA116" s="234"/>
      <c r="BB116" s="234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H117" s="242"/>
      <c r="I117" s="242"/>
      <c r="J117" s="242"/>
      <c r="K117" s="234"/>
      <c r="L117" s="234"/>
      <c r="M117" s="234"/>
      <c r="N117" s="234"/>
      <c r="O117" s="234"/>
      <c r="P117" s="235">
        <f t="shared" si="1"/>
        <v>0</v>
      </c>
      <c r="Q117" s="234" t="b">
        <v>0</v>
      </c>
      <c r="R117" s="234"/>
      <c r="S117" s="234"/>
      <c r="T117" s="234"/>
      <c r="U117" s="234" t="b">
        <v>0</v>
      </c>
      <c r="V117" s="234" t="b">
        <v>0</v>
      </c>
      <c r="W117" s="234" t="b">
        <v>0</v>
      </c>
      <c r="X117" s="234" t="b">
        <v>0</v>
      </c>
      <c r="Y117" s="234" t="b">
        <v>0</v>
      </c>
      <c r="Z117" s="236" t="b">
        <v>0</v>
      </c>
      <c r="AA117" s="234"/>
      <c r="AB117" s="234"/>
      <c r="AC117" s="234" t="b">
        <v>0</v>
      </c>
      <c r="AD117" s="234" t="b">
        <v>0</v>
      </c>
      <c r="AE117" s="234" t="b">
        <v>0</v>
      </c>
      <c r="AF117" s="234" t="b">
        <v>0</v>
      </c>
      <c r="AG117" s="234" t="b">
        <v>0</v>
      </c>
      <c r="AH117" s="234" t="b">
        <v>0</v>
      </c>
      <c r="AI117" s="234" t="b">
        <v>0</v>
      </c>
      <c r="AJ117" s="234" t="b">
        <v>0</v>
      </c>
      <c r="AK117" s="234" t="b">
        <v>0</v>
      </c>
      <c r="AL117" s="234" t="b">
        <v>0</v>
      </c>
      <c r="AM117" s="234"/>
      <c r="AN117" s="234" t="b">
        <v>0</v>
      </c>
      <c r="AO117" s="234" t="b">
        <v>0</v>
      </c>
      <c r="AP117" s="234" t="b">
        <v>0</v>
      </c>
      <c r="AQ117" s="234"/>
      <c r="AR117" s="234" t="b">
        <v>0</v>
      </c>
      <c r="AS117" s="234"/>
      <c r="AT117" s="234"/>
      <c r="AU117" s="234"/>
      <c r="AV117" s="234"/>
      <c r="AW117" s="234" t="b">
        <v>0</v>
      </c>
      <c r="AX117" s="234"/>
      <c r="AY117" s="234"/>
      <c r="AZ117" s="234" t="b">
        <v>0</v>
      </c>
      <c r="BA117" s="234"/>
      <c r="BB117" s="234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H118" s="242"/>
      <c r="I118" s="242"/>
      <c r="J118" s="242"/>
      <c r="K118" s="234"/>
      <c r="L118" s="234"/>
      <c r="M118" s="234"/>
      <c r="N118" s="234"/>
      <c r="O118" s="234"/>
      <c r="P118" s="235">
        <f t="shared" si="1"/>
        <v>0</v>
      </c>
      <c r="Q118" s="234" t="b">
        <v>0</v>
      </c>
      <c r="R118" s="234"/>
      <c r="S118" s="234"/>
      <c r="T118" s="234"/>
      <c r="U118" s="234" t="b">
        <v>0</v>
      </c>
      <c r="V118" s="234" t="b">
        <v>0</v>
      </c>
      <c r="W118" s="234" t="b">
        <v>0</v>
      </c>
      <c r="X118" s="234" t="b">
        <v>0</v>
      </c>
      <c r="Y118" s="234" t="b">
        <v>0</v>
      </c>
      <c r="Z118" s="236" t="b">
        <v>0</v>
      </c>
      <c r="AA118" s="234"/>
      <c r="AB118" s="234"/>
      <c r="AC118" s="234" t="b">
        <v>0</v>
      </c>
      <c r="AD118" s="234" t="b">
        <v>0</v>
      </c>
      <c r="AE118" s="234" t="b">
        <v>0</v>
      </c>
      <c r="AF118" s="234" t="b">
        <v>0</v>
      </c>
      <c r="AG118" s="234" t="b">
        <v>0</v>
      </c>
      <c r="AH118" s="234" t="b">
        <v>0</v>
      </c>
      <c r="AI118" s="234" t="b">
        <v>0</v>
      </c>
      <c r="AJ118" s="234" t="b">
        <v>0</v>
      </c>
      <c r="AK118" s="234" t="b">
        <v>0</v>
      </c>
      <c r="AL118" s="234" t="b">
        <v>0</v>
      </c>
      <c r="AM118" s="234"/>
      <c r="AN118" s="234" t="b">
        <v>0</v>
      </c>
      <c r="AO118" s="234" t="b">
        <v>0</v>
      </c>
      <c r="AP118" s="234" t="b">
        <v>0</v>
      </c>
      <c r="AQ118" s="234"/>
      <c r="AR118" s="234" t="b">
        <v>0</v>
      </c>
      <c r="AS118" s="234"/>
      <c r="AT118" s="234"/>
      <c r="AU118" s="234"/>
      <c r="AV118" s="234"/>
      <c r="AW118" s="234" t="b">
        <v>0</v>
      </c>
      <c r="AX118" s="234"/>
      <c r="AY118" s="234"/>
      <c r="AZ118" s="234" t="b">
        <v>0</v>
      </c>
      <c r="BA118" s="234"/>
      <c r="BB118" s="234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H119" s="242"/>
      <c r="I119" s="242"/>
      <c r="J119" s="242"/>
      <c r="K119" s="234"/>
      <c r="L119" s="234"/>
      <c r="M119" s="234"/>
      <c r="N119" s="234"/>
      <c r="O119" s="234"/>
      <c r="P119" s="235">
        <f t="shared" si="1"/>
        <v>0</v>
      </c>
      <c r="Q119" s="234" t="b">
        <v>0</v>
      </c>
      <c r="R119" s="234"/>
      <c r="S119" s="234"/>
      <c r="T119" s="234"/>
      <c r="U119" s="234" t="b">
        <v>0</v>
      </c>
      <c r="V119" s="234" t="b">
        <v>0</v>
      </c>
      <c r="W119" s="234" t="b">
        <v>0</v>
      </c>
      <c r="X119" s="234" t="b">
        <v>0</v>
      </c>
      <c r="Y119" s="234" t="b">
        <v>0</v>
      </c>
      <c r="Z119" s="236" t="b">
        <v>0</v>
      </c>
      <c r="AA119" s="234"/>
      <c r="AB119" s="234"/>
      <c r="AC119" s="234" t="b">
        <v>0</v>
      </c>
      <c r="AD119" s="234" t="b">
        <v>0</v>
      </c>
      <c r="AE119" s="234" t="b">
        <v>0</v>
      </c>
      <c r="AF119" s="234" t="b">
        <v>0</v>
      </c>
      <c r="AG119" s="234" t="b">
        <v>0</v>
      </c>
      <c r="AH119" s="234" t="b">
        <v>0</v>
      </c>
      <c r="AI119" s="234" t="b">
        <v>0</v>
      </c>
      <c r="AJ119" s="234" t="b">
        <v>0</v>
      </c>
      <c r="AK119" s="234" t="b">
        <v>0</v>
      </c>
      <c r="AL119" s="234" t="b">
        <v>0</v>
      </c>
      <c r="AM119" s="234"/>
      <c r="AN119" s="234" t="b">
        <v>0</v>
      </c>
      <c r="AO119" s="234" t="b">
        <v>0</v>
      </c>
      <c r="AP119" s="234" t="b">
        <v>0</v>
      </c>
      <c r="AQ119" s="234"/>
      <c r="AR119" s="234" t="b">
        <v>0</v>
      </c>
      <c r="AS119" s="234"/>
      <c r="AT119" s="234"/>
      <c r="AU119" s="234"/>
      <c r="AV119" s="234"/>
      <c r="AW119" s="234" t="b">
        <v>0</v>
      </c>
      <c r="AX119" s="234"/>
      <c r="AY119" s="234"/>
      <c r="AZ119" s="234" t="b">
        <v>0</v>
      </c>
      <c r="BA119" s="234"/>
      <c r="BB119" s="234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H120" s="242"/>
      <c r="I120" s="242"/>
      <c r="J120" s="242"/>
      <c r="K120" s="234"/>
      <c r="L120" s="234"/>
      <c r="M120" s="234"/>
      <c r="N120" s="234"/>
      <c r="O120" s="234"/>
      <c r="P120" s="235">
        <f t="shared" si="1"/>
        <v>0</v>
      </c>
      <c r="Q120" s="234" t="b">
        <v>0</v>
      </c>
      <c r="R120" s="234"/>
      <c r="S120" s="234"/>
      <c r="T120" s="234"/>
      <c r="U120" s="234" t="b">
        <v>0</v>
      </c>
      <c r="V120" s="234" t="b">
        <v>0</v>
      </c>
      <c r="W120" s="234" t="b">
        <v>0</v>
      </c>
      <c r="X120" s="234" t="b">
        <v>0</v>
      </c>
      <c r="Y120" s="234" t="b">
        <v>0</v>
      </c>
      <c r="Z120" s="236" t="b">
        <v>0</v>
      </c>
      <c r="AA120" s="234"/>
      <c r="AB120" s="234"/>
      <c r="AC120" s="234" t="b">
        <v>0</v>
      </c>
      <c r="AD120" s="234" t="b">
        <v>0</v>
      </c>
      <c r="AE120" s="234" t="b">
        <v>0</v>
      </c>
      <c r="AF120" s="234" t="b">
        <v>0</v>
      </c>
      <c r="AG120" s="234" t="b">
        <v>0</v>
      </c>
      <c r="AH120" s="234" t="b">
        <v>0</v>
      </c>
      <c r="AI120" s="234" t="b">
        <v>0</v>
      </c>
      <c r="AJ120" s="234" t="b">
        <v>0</v>
      </c>
      <c r="AK120" s="234" t="b">
        <v>0</v>
      </c>
      <c r="AL120" s="234" t="b">
        <v>0</v>
      </c>
      <c r="AM120" s="234"/>
      <c r="AN120" s="234" t="b">
        <v>0</v>
      </c>
      <c r="AO120" s="234" t="b">
        <v>0</v>
      </c>
      <c r="AP120" s="234" t="b">
        <v>0</v>
      </c>
      <c r="AQ120" s="234"/>
      <c r="AR120" s="234" t="b">
        <v>0</v>
      </c>
      <c r="AS120" s="234"/>
      <c r="AT120" s="234"/>
      <c r="AU120" s="234"/>
      <c r="AV120" s="234"/>
      <c r="AW120" s="234" t="b">
        <v>0</v>
      </c>
      <c r="AX120" s="234"/>
      <c r="AY120" s="234"/>
      <c r="AZ120" s="234" t="b">
        <v>0</v>
      </c>
      <c r="BA120" s="234"/>
      <c r="BB120" s="234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H121" s="242"/>
      <c r="I121" s="242"/>
      <c r="J121" s="242"/>
      <c r="K121" s="234"/>
      <c r="L121" s="234"/>
      <c r="M121" s="234"/>
      <c r="N121" s="234"/>
      <c r="O121" s="234"/>
      <c r="P121" s="235">
        <f t="shared" si="1"/>
        <v>0</v>
      </c>
      <c r="Q121" s="234" t="b">
        <v>0</v>
      </c>
      <c r="R121" s="234"/>
      <c r="S121" s="234"/>
      <c r="T121" s="234"/>
      <c r="U121" s="234" t="b">
        <v>0</v>
      </c>
      <c r="V121" s="234" t="b">
        <v>0</v>
      </c>
      <c r="W121" s="234" t="b">
        <v>0</v>
      </c>
      <c r="X121" s="234" t="b">
        <v>0</v>
      </c>
      <c r="Y121" s="234" t="b">
        <v>0</v>
      </c>
      <c r="Z121" s="236" t="b">
        <v>0</v>
      </c>
      <c r="AA121" s="234"/>
      <c r="AB121" s="234"/>
      <c r="AC121" s="234" t="b">
        <v>0</v>
      </c>
      <c r="AD121" s="234" t="b">
        <v>0</v>
      </c>
      <c r="AE121" s="234" t="b">
        <v>0</v>
      </c>
      <c r="AF121" s="234" t="b">
        <v>0</v>
      </c>
      <c r="AG121" s="234" t="b">
        <v>0</v>
      </c>
      <c r="AH121" s="234" t="b">
        <v>0</v>
      </c>
      <c r="AI121" s="234" t="b">
        <v>0</v>
      </c>
      <c r="AJ121" s="234" t="b">
        <v>0</v>
      </c>
      <c r="AK121" s="234" t="b">
        <v>0</v>
      </c>
      <c r="AL121" s="234" t="b">
        <v>0</v>
      </c>
      <c r="AM121" s="234"/>
      <c r="AN121" s="234" t="b">
        <v>0</v>
      </c>
      <c r="AO121" s="234" t="b">
        <v>0</v>
      </c>
      <c r="AP121" s="234" t="b">
        <v>0</v>
      </c>
      <c r="AQ121" s="234"/>
      <c r="AR121" s="234" t="b">
        <v>0</v>
      </c>
      <c r="AS121" s="234"/>
      <c r="AT121" s="234"/>
      <c r="AU121" s="234"/>
      <c r="AV121" s="234"/>
      <c r="AW121" s="234" t="b">
        <v>0</v>
      </c>
      <c r="AX121" s="234"/>
      <c r="AY121" s="234"/>
      <c r="AZ121" s="234" t="b">
        <v>0</v>
      </c>
      <c r="BA121" s="234"/>
      <c r="BB121" s="234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H122" s="242"/>
      <c r="I122" s="242"/>
      <c r="J122" s="242"/>
      <c r="K122" s="234"/>
      <c r="L122" s="234"/>
      <c r="M122" s="234"/>
      <c r="N122" s="234"/>
      <c r="O122" s="234"/>
      <c r="P122" s="235">
        <f t="shared" si="1"/>
        <v>0</v>
      </c>
      <c r="Q122" s="234" t="b">
        <v>0</v>
      </c>
      <c r="R122" s="234"/>
      <c r="S122" s="234"/>
      <c r="T122" s="234"/>
      <c r="U122" s="234" t="b">
        <v>0</v>
      </c>
      <c r="V122" s="234" t="b">
        <v>0</v>
      </c>
      <c r="W122" s="234" t="b">
        <v>0</v>
      </c>
      <c r="X122" s="234" t="b">
        <v>0</v>
      </c>
      <c r="Y122" s="234" t="b">
        <v>0</v>
      </c>
      <c r="Z122" s="236" t="b">
        <v>0</v>
      </c>
      <c r="AA122" s="234"/>
      <c r="AB122" s="234"/>
      <c r="AC122" s="234" t="b">
        <v>0</v>
      </c>
      <c r="AD122" s="234" t="b">
        <v>0</v>
      </c>
      <c r="AE122" s="234" t="b">
        <v>0</v>
      </c>
      <c r="AF122" s="234" t="b">
        <v>0</v>
      </c>
      <c r="AG122" s="234" t="b">
        <v>0</v>
      </c>
      <c r="AH122" s="234" t="b">
        <v>0</v>
      </c>
      <c r="AI122" s="234" t="b">
        <v>0</v>
      </c>
      <c r="AJ122" s="234" t="b">
        <v>0</v>
      </c>
      <c r="AK122" s="234" t="b">
        <v>0</v>
      </c>
      <c r="AL122" s="234" t="b">
        <v>0</v>
      </c>
      <c r="AM122" s="234"/>
      <c r="AN122" s="234" t="b">
        <v>0</v>
      </c>
      <c r="AO122" s="234" t="b">
        <v>0</v>
      </c>
      <c r="AP122" s="234" t="b">
        <v>0</v>
      </c>
      <c r="AQ122" s="234"/>
      <c r="AR122" s="234" t="b">
        <v>0</v>
      </c>
      <c r="AS122" s="234"/>
      <c r="AT122" s="234"/>
      <c r="AU122" s="234"/>
      <c r="AV122" s="234"/>
      <c r="AW122" s="234" t="b">
        <v>0</v>
      </c>
      <c r="AX122" s="234"/>
      <c r="AY122" s="234"/>
      <c r="AZ122" s="234" t="b">
        <v>0</v>
      </c>
      <c r="BA122" s="234"/>
      <c r="BB122" s="234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H123" s="242"/>
      <c r="I123" s="242"/>
      <c r="J123" s="242"/>
      <c r="K123" s="234"/>
      <c r="L123" s="234"/>
      <c r="M123" s="234"/>
      <c r="N123" s="234"/>
      <c r="O123" s="234"/>
      <c r="P123" s="235">
        <f t="shared" si="1"/>
        <v>0</v>
      </c>
      <c r="Q123" s="234" t="b">
        <v>0</v>
      </c>
      <c r="R123" s="234"/>
      <c r="S123" s="234"/>
      <c r="T123" s="234"/>
      <c r="U123" s="234" t="b">
        <v>0</v>
      </c>
      <c r="V123" s="234" t="b">
        <v>0</v>
      </c>
      <c r="W123" s="234" t="b">
        <v>0</v>
      </c>
      <c r="X123" s="234" t="b">
        <v>0</v>
      </c>
      <c r="Y123" s="234" t="b">
        <v>0</v>
      </c>
      <c r="Z123" s="236" t="b">
        <v>0</v>
      </c>
      <c r="AA123" s="234"/>
      <c r="AB123" s="234"/>
      <c r="AC123" s="234" t="b">
        <v>0</v>
      </c>
      <c r="AD123" s="234" t="b">
        <v>0</v>
      </c>
      <c r="AE123" s="234" t="b">
        <v>0</v>
      </c>
      <c r="AF123" s="234" t="b">
        <v>0</v>
      </c>
      <c r="AG123" s="234" t="b">
        <v>0</v>
      </c>
      <c r="AH123" s="234" t="b">
        <v>0</v>
      </c>
      <c r="AI123" s="234" t="b">
        <v>0</v>
      </c>
      <c r="AJ123" s="234" t="b">
        <v>0</v>
      </c>
      <c r="AK123" s="234" t="b">
        <v>0</v>
      </c>
      <c r="AL123" s="234" t="b">
        <v>0</v>
      </c>
      <c r="AM123" s="234"/>
      <c r="AN123" s="234" t="b">
        <v>0</v>
      </c>
      <c r="AO123" s="234" t="b">
        <v>0</v>
      </c>
      <c r="AP123" s="234" t="b">
        <v>0</v>
      </c>
      <c r="AQ123" s="234"/>
      <c r="AR123" s="234" t="b">
        <v>0</v>
      </c>
      <c r="AS123" s="234"/>
      <c r="AT123" s="234"/>
      <c r="AU123" s="234"/>
      <c r="AV123" s="234"/>
      <c r="AW123" s="234" t="b">
        <v>0</v>
      </c>
      <c r="AX123" s="234"/>
      <c r="AY123" s="234"/>
      <c r="AZ123" s="234" t="b">
        <v>0</v>
      </c>
      <c r="BA123" s="234"/>
      <c r="BB123" s="234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H124" s="242"/>
      <c r="I124" s="242"/>
      <c r="J124" s="242"/>
      <c r="K124" s="234"/>
      <c r="L124" s="234"/>
      <c r="M124" s="234"/>
      <c r="N124" s="234"/>
      <c r="O124" s="234"/>
      <c r="P124" s="235">
        <f t="shared" si="1"/>
        <v>0</v>
      </c>
      <c r="Q124" s="234" t="b">
        <v>0</v>
      </c>
      <c r="R124" s="234"/>
      <c r="S124" s="234"/>
      <c r="T124" s="234"/>
      <c r="U124" s="234" t="b">
        <v>0</v>
      </c>
      <c r="V124" s="234" t="b">
        <v>0</v>
      </c>
      <c r="W124" s="234" t="b">
        <v>0</v>
      </c>
      <c r="X124" s="234" t="b">
        <v>0</v>
      </c>
      <c r="Y124" s="234" t="b">
        <v>0</v>
      </c>
      <c r="Z124" s="236" t="b">
        <v>0</v>
      </c>
      <c r="AA124" s="234"/>
      <c r="AB124" s="234"/>
      <c r="AC124" s="234" t="b">
        <v>0</v>
      </c>
      <c r="AD124" s="234" t="b">
        <v>0</v>
      </c>
      <c r="AE124" s="234" t="b">
        <v>0</v>
      </c>
      <c r="AF124" s="234" t="b">
        <v>0</v>
      </c>
      <c r="AG124" s="234" t="b">
        <v>0</v>
      </c>
      <c r="AH124" s="234" t="b">
        <v>0</v>
      </c>
      <c r="AI124" s="234" t="b">
        <v>0</v>
      </c>
      <c r="AJ124" s="234" t="b">
        <v>0</v>
      </c>
      <c r="AK124" s="234" t="b">
        <v>0</v>
      </c>
      <c r="AL124" s="234" t="b">
        <v>0</v>
      </c>
      <c r="AM124" s="234"/>
      <c r="AN124" s="234" t="b">
        <v>0</v>
      </c>
      <c r="AO124" s="234" t="b">
        <v>0</v>
      </c>
      <c r="AP124" s="234" t="b">
        <v>0</v>
      </c>
      <c r="AQ124" s="234"/>
      <c r="AR124" s="234" t="b">
        <v>0</v>
      </c>
      <c r="AS124" s="234"/>
      <c r="AT124" s="234"/>
      <c r="AU124" s="234"/>
      <c r="AV124" s="234"/>
      <c r="AW124" s="234" t="b">
        <v>0</v>
      </c>
      <c r="AX124" s="234"/>
      <c r="AY124" s="234"/>
      <c r="AZ124" s="234" t="b">
        <v>0</v>
      </c>
      <c r="BA124" s="234"/>
      <c r="BB124" s="234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H125" s="242"/>
      <c r="I125" s="242"/>
      <c r="J125" s="242"/>
      <c r="K125" s="234"/>
      <c r="L125" s="234"/>
      <c r="M125" s="234"/>
      <c r="N125" s="234"/>
      <c r="O125" s="234"/>
      <c r="P125" s="235">
        <f t="shared" si="1"/>
        <v>0</v>
      </c>
      <c r="Q125" s="234" t="b">
        <v>0</v>
      </c>
      <c r="R125" s="234"/>
      <c r="S125" s="234"/>
      <c r="T125" s="234"/>
      <c r="U125" s="234" t="b">
        <v>0</v>
      </c>
      <c r="V125" s="234" t="b">
        <v>0</v>
      </c>
      <c r="W125" s="234" t="b">
        <v>0</v>
      </c>
      <c r="X125" s="234" t="b">
        <v>0</v>
      </c>
      <c r="Y125" s="234" t="b">
        <v>0</v>
      </c>
      <c r="Z125" s="236" t="b">
        <v>0</v>
      </c>
      <c r="AA125" s="234"/>
      <c r="AB125" s="234"/>
      <c r="AC125" s="234" t="b">
        <v>0</v>
      </c>
      <c r="AD125" s="234" t="b">
        <v>0</v>
      </c>
      <c r="AE125" s="234" t="b">
        <v>0</v>
      </c>
      <c r="AF125" s="234" t="b">
        <v>0</v>
      </c>
      <c r="AG125" s="234" t="b">
        <v>0</v>
      </c>
      <c r="AH125" s="234" t="b">
        <v>0</v>
      </c>
      <c r="AI125" s="234" t="b">
        <v>0</v>
      </c>
      <c r="AJ125" s="234" t="b">
        <v>0</v>
      </c>
      <c r="AK125" s="234" t="b">
        <v>0</v>
      </c>
      <c r="AL125" s="234" t="b">
        <v>0</v>
      </c>
      <c r="AM125" s="234"/>
      <c r="AN125" s="234" t="b">
        <v>0</v>
      </c>
      <c r="AO125" s="234" t="b">
        <v>0</v>
      </c>
      <c r="AP125" s="234" t="b">
        <v>0</v>
      </c>
      <c r="AQ125" s="234"/>
      <c r="AR125" s="234" t="b">
        <v>0</v>
      </c>
      <c r="AS125" s="234"/>
      <c r="AT125" s="234"/>
      <c r="AU125" s="234"/>
      <c r="AV125" s="234"/>
      <c r="AW125" s="234" t="b">
        <v>0</v>
      </c>
      <c r="AX125" s="234"/>
      <c r="AY125" s="234"/>
      <c r="AZ125" s="234" t="b">
        <v>0</v>
      </c>
      <c r="BA125" s="234"/>
      <c r="BB125" s="234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H126" s="242"/>
      <c r="I126" s="242"/>
      <c r="J126" s="242"/>
      <c r="K126" s="234"/>
      <c r="L126" s="234"/>
      <c r="M126" s="234"/>
      <c r="N126" s="234"/>
      <c r="O126" s="234"/>
      <c r="P126" s="235">
        <f t="shared" si="1"/>
        <v>0</v>
      </c>
      <c r="Q126" s="234" t="b">
        <v>0</v>
      </c>
      <c r="R126" s="234"/>
      <c r="S126" s="234"/>
      <c r="T126" s="234"/>
      <c r="U126" s="234" t="b">
        <v>0</v>
      </c>
      <c r="V126" s="234" t="b">
        <v>0</v>
      </c>
      <c r="W126" s="234" t="b">
        <v>0</v>
      </c>
      <c r="X126" s="234" t="b">
        <v>0</v>
      </c>
      <c r="Y126" s="234" t="b">
        <v>0</v>
      </c>
      <c r="Z126" s="236" t="b">
        <v>0</v>
      </c>
      <c r="AA126" s="234"/>
      <c r="AB126" s="234"/>
      <c r="AC126" s="234" t="b">
        <v>0</v>
      </c>
      <c r="AD126" s="234" t="b">
        <v>0</v>
      </c>
      <c r="AE126" s="234" t="b">
        <v>0</v>
      </c>
      <c r="AF126" s="234" t="b">
        <v>0</v>
      </c>
      <c r="AG126" s="234" t="b">
        <v>0</v>
      </c>
      <c r="AH126" s="234" t="b">
        <v>0</v>
      </c>
      <c r="AI126" s="234" t="b">
        <v>0</v>
      </c>
      <c r="AJ126" s="234" t="b">
        <v>0</v>
      </c>
      <c r="AK126" s="234" t="b">
        <v>0</v>
      </c>
      <c r="AL126" s="234" t="b">
        <v>0</v>
      </c>
      <c r="AM126" s="234"/>
      <c r="AN126" s="234" t="b">
        <v>0</v>
      </c>
      <c r="AO126" s="234" t="b">
        <v>0</v>
      </c>
      <c r="AP126" s="234" t="b">
        <v>0</v>
      </c>
      <c r="AQ126" s="234"/>
      <c r="AR126" s="234" t="b">
        <v>0</v>
      </c>
      <c r="AS126" s="234"/>
      <c r="AT126" s="234"/>
      <c r="AU126" s="234"/>
      <c r="AV126" s="234"/>
      <c r="AW126" s="234" t="b">
        <v>0</v>
      </c>
      <c r="AX126" s="234"/>
      <c r="AY126" s="234"/>
      <c r="AZ126" s="234" t="b">
        <v>0</v>
      </c>
      <c r="BA126" s="234"/>
      <c r="BB126" s="234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H127" s="242"/>
      <c r="I127" s="242"/>
      <c r="J127" s="242"/>
      <c r="K127" s="234"/>
      <c r="L127" s="234"/>
      <c r="M127" s="234"/>
      <c r="N127" s="234"/>
      <c r="O127" s="234"/>
      <c r="P127" s="235">
        <f t="shared" si="1"/>
        <v>0</v>
      </c>
      <c r="Q127" s="234" t="b">
        <v>0</v>
      </c>
      <c r="R127" s="234"/>
      <c r="S127" s="234"/>
      <c r="T127" s="234"/>
      <c r="U127" s="234" t="b">
        <v>0</v>
      </c>
      <c r="V127" s="234" t="b">
        <v>0</v>
      </c>
      <c r="W127" s="234" t="b">
        <v>0</v>
      </c>
      <c r="X127" s="234" t="b">
        <v>0</v>
      </c>
      <c r="Y127" s="234" t="b">
        <v>0</v>
      </c>
      <c r="Z127" s="236" t="b">
        <v>0</v>
      </c>
      <c r="AA127" s="234"/>
      <c r="AB127" s="234"/>
      <c r="AC127" s="234" t="b">
        <v>0</v>
      </c>
      <c r="AD127" s="234" t="b">
        <v>0</v>
      </c>
      <c r="AE127" s="234" t="b">
        <v>0</v>
      </c>
      <c r="AF127" s="234" t="b">
        <v>0</v>
      </c>
      <c r="AG127" s="234" t="b">
        <v>0</v>
      </c>
      <c r="AH127" s="234" t="b">
        <v>0</v>
      </c>
      <c r="AI127" s="234" t="b">
        <v>0</v>
      </c>
      <c r="AJ127" s="234" t="b">
        <v>0</v>
      </c>
      <c r="AK127" s="234" t="b">
        <v>0</v>
      </c>
      <c r="AL127" s="234" t="b">
        <v>0</v>
      </c>
      <c r="AM127" s="234"/>
      <c r="AN127" s="234" t="b">
        <v>0</v>
      </c>
      <c r="AO127" s="234" t="b">
        <v>0</v>
      </c>
      <c r="AP127" s="234" t="b">
        <v>0</v>
      </c>
      <c r="AQ127" s="234"/>
      <c r="AR127" s="234" t="b">
        <v>0</v>
      </c>
      <c r="AS127" s="234"/>
      <c r="AT127" s="234"/>
      <c r="AU127" s="234"/>
      <c r="AV127" s="234"/>
      <c r="AW127" s="234" t="b">
        <v>0</v>
      </c>
      <c r="AX127" s="234"/>
      <c r="AY127" s="234"/>
      <c r="AZ127" s="234" t="b">
        <v>0</v>
      </c>
      <c r="BA127" s="234"/>
      <c r="BB127" s="234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H128" s="242"/>
      <c r="I128" s="242"/>
      <c r="J128" s="242"/>
      <c r="K128" s="234"/>
      <c r="L128" s="234"/>
      <c r="M128" s="234"/>
      <c r="N128" s="234"/>
      <c r="O128" s="234"/>
      <c r="P128" s="235">
        <f t="shared" si="1"/>
        <v>0</v>
      </c>
      <c r="Q128" s="234" t="b">
        <v>0</v>
      </c>
      <c r="R128" s="234"/>
      <c r="S128" s="234"/>
      <c r="T128" s="234"/>
      <c r="U128" s="234" t="b">
        <v>0</v>
      </c>
      <c r="V128" s="234" t="b">
        <v>0</v>
      </c>
      <c r="W128" s="234" t="b">
        <v>0</v>
      </c>
      <c r="X128" s="234" t="b">
        <v>0</v>
      </c>
      <c r="Y128" s="234" t="b">
        <v>0</v>
      </c>
      <c r="Z128" s="236" t="b">
        <v>0</v>
      </c>
      <c r="AA128" s="234"/>
      <c r="AB128" s="234"/>
      <c r="AC128" s="234" t="b">
        <v>0</v>
      </c>
      <c r="AD128" s="234" t="b">
        <v>0</v>
      </c>
      <c r="AE128" s="234" t="b">
        <v>0</v>
      </c>
      <c r="AF128" s="234" t="b">
        <v>0</v>
      </c>
      <c r="AG128" s="234" t="b">
        <v>0</v>
      </c>
      <c r="AH128" s="234" t="b">
        <v>0</v>
      </c>
      <c r="AI128" s="234" t="b">
        <v>0</v>
      </c>
      <c r="AJ128" s="234" t="b">
        <v>0</v>
      </c>
      <c r="AK128" s="234" t="b">
        <v>0</v>
      </c>
      <c r="AL128" s="234" t="b">
        <v>0</v>
      </c>
      <c r="AM128" s="234"/>
      <c r="AN128" s="234" t="b">
        <v>0</v>
      </c>
      <c r="AO128" s="234" t="b">
        <v>0</v>
      </c>
      <c r="AP128" s="234" t="b">
        <v>0</v>
      </c>
      <c r="AQ128" s="234"/>
      <c r="AR128" s="234" t="b">
        <v>0</v>
      </c>
      <c r="AS128" s="234"/>
      <c r="AT128" s="234"/>
      <c r="AU128" s="234"/>
      <c r="AV128" s="234"/>
      <c r="AW128" s="234" t="b">
        <v>0</v>
      </c>
      <c r="AX128" s="234"/>
      <c r="AY128" s="234"/>
      <c r="AZ128" s="234" t="b">
        <v>0</v>
      </c>
      <c r="BA128" s="234"/>
      <c r="BB128" s="234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H129" s="242"/>
      <c r="I129" s="242"/>
      <c r="J129" s="242"/>
      <c r="K129" s="234"/>
      <c r="L129" s="234"/>
      <c r="M129" s="234"/>
      <c r="N129" s="234"/>
      <c r="O129" s="234"/>
      <c r="P129" s="235">
        <f t="shared" si="1"/>
        <v>0</v>
      </c>
      <c r="Q129" s="234" t="b">
        <v>0</v>
      </c>
      <c r="R129" s="234"/>
      <c r="S129" s="234"/>
      <c r="T129" s="234"/>
      <c r="U129" s="234" t="b">
        <v>0</v>
      </c>
      <c r="V129" s="234" t="b">
        <v>0</v>
      </c>
      <c r="W129" s="234" t="b">
        <v>0</v>
      </c>
      <c r="X129" s="234" t="b">
        <v>0</v>
      </c>
      <c r="Y129" s="234" t="b">
        <v>0</v>
      </c>
      <c r="Z129" s="236" t="b">
        <v>0</v>
      </c>
      <c r="AA129" s="234"/>
      <c r="AB129" s="234"/>
      <c r="AC129" s="234" t="b">
        <v>0</v>
      </c>
      <c r="AD129" s="234" t="b">
        <v>0</v>
      </c>
      <c r="AE129" s="234" t="b">
        <v>0</v>
      </c>
      <c r="AF129" s="234" t="b">
        <v>0</v>
      </c>
      <c r="AG129" s="234" t="b">
        <v>0</v>
      </c>
      <c r="AH129" s="234" t="b">
        <v>0</v>
      </c>
      <c r="AI129" s="234" t="b">
        <v>0</v>
      </c>
      <c r="AJ129" s="234" t="b">
        <v>0</v>
      </c>
      <c r="AK129" s="234" t="b">
        <v>0</v>
      </c>
      <c r="AL129" s="234" t="b">
        <v>0</v>
      </c>
      <c r="AM129" s="234"/>
      <c r="AN129" s="234" t="b">
        <v>0</v>
      </c>
      <c r="AO129" s="234" t="b">
        <v>0</v>
      </c>
      <c r="AP129" s="234" t="b">
        <v>0</v>
      </c>
      <c r="AQ129" s="234"/>
      <c r="AR129" s="234" t="b">
        <v>0</v>
      </c>
      <c r="AS129" s="234"/>
      <c r="AT129" s="234"/>
      <c r="AU129" s="234"/>
      <c r="AV129" s="234"/>
      <c r="AW129" s="234" t="b">
        <v>0</v>
      </c>
      <c r="AX129" s="234"/>
      <c r="AY129" s="234"/>
      <c r="AZ129" s="234" t="b">
        <v>0</v>
      </c>
      <c r="BA129" s="234"/>
      <c r="BB129" s="234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H130" s="242"/>
      <c r="I130" s="242"/>
      <c r="J130" s="242"/>
      <c r="K130" s="234"/>
      <c r="L130" s="234"/>
      <c r="M130" s="234"/>
      <c r="N130" s="234"/>
      <c r="O130" s="234"/>
      <c r="P130" s="235">
        <f t="shared" si="1"/>
        <v>0</v>
      </c>
      <c r="Q130" s="234" t="b">
        <v>0</v>
      </c>
      <c r="R130" s="234"/>
      <c r="S130" s="234"/>
      <c r="T130" s="234"/>
      <c r="U130" s="234" t="b">
        <v>0</v>
      </c>
      <c r="V130" s="234" t="b">
        <v>0</v>
      </c>
      <c r="W130" s="234" t="b">
        <v>0</v>
      </c>
      <c r="X130" s="234" t="b">
        <v>0</v>
      </c>
      <c r="Y130" s="234" t="b">
        <v>0</v>
      </c>
      <c r="Z130" s="236" t="b">
        <v>0</v>
      </c>
      <c r="AA130" s="234"/>
      <c r="AB130" s="234"/>
      <c r="AC130" s="234" t="b">
        <v>0</v>
      </c>
      <c r="AD130" s="234" t="b">
        <v>0</v>
      </c>
      <c r="AE130" s="234" t="b">
        <v>0</v>
      </c>
      <c r="AF130" s="234" t="b">
        <v>0</v>
      </c>
      <c r="AG130" s="234" t="b">
        <v>0</v>
      </c>
      <c r="AH130" s="234" t="b">
        <v>0</v>
      </c>
      <c r="AI130" s="234" t="b">
        <v>0</v>
      </c>
      <c r="AJ130" s="234" t="b">
        <v>0</v>
      </c>
      <c r="AK130" s="234" t="b">
        <v>0</v>
      </c>
      <c r="AL130" s="234" t="b">
        <v>0</v>
      </c>
      <c r="AM130" s="234"/>
      <c r="AN130" s="234" t="b">
        <v>0</v>
      </c>
      <c r="AO130" s="234" t="b">
        <v>0</v>
      </c>
      <c r="AP130" s="234" t="b">
        <v>0</v>
      </c>
      <c r="AQ130" s="234"/>
      <c r="AR130" s="234" t="b">
        <v>0</v>
      </c>
      <c r="AS130" s="234"/>
      <c r="AT130" s="234"/>
      <c r="AU130" s="234"/>
      <c r="AV130" s="234"/>
      <c r="AW130" s="234" t="b">
        <v>0</v>
      </c>
      <c r="AX130" s="234"/>
      <c r="AY130" s="234"/>
      <c r="AZ130" s="234" t="b">
        <v>0</v>
      </c>
      <c r="BA130" s="234"/>
      <c r="BB130" s="234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H131" s="242"/>
      <c r="I131" s="242"/>
      <c r="J131" s="242"/>
      <c r="K131" s="234"/>
      <c r="L131" s="234"/>
      <c r="M131" s="234"/>
      <c r="N131" s="234"/>
      <c r="O131" s="234"/>
      <c r="P131" s="235">
        <f t="shared" si="1"/>
        <v>0</v>
      </c>
      <c r="Q131" s="234" t="b">
        <v>0</v>
      </c>
      <c r="R131" s="234"/>
      <c r="S131" s="234"/>
      <c r="T131" s="234"/>
      <c r="U131" s="234" t="b">
        <v>0</v>
      </c>
      <c r="V131" s="234" t="b">
        <v>0</v>
      </c>
      <c r="W131" s="234" t="b">
        <v>0</v>
      </c>
      <c r="X131" s="234" t="b">
        <v>0</v>
      </c>
      <c r="Y131" s="234" t="b">
        <v>0</v>
      </c>
      <c r="Z131" s="236" t="b">
        <v>0</v>
      </c>
      <c r="AA131" s="234"/>
      <c r="AB131" s="234"/>
      <c r="AC131" s="234" t="b">
        <v>0</v>
      </c>
      <c r="AD131" s="234" t="b">
        <v>0</v>
      </c>
      <c r="AE131" s="234" t="b">
        <v>0</v>
      </c>
      <c r="AF131" s="234" t="b">
        <v>0</v>
      </c>
      <c r="AG131" s="234" t="b">
        <v>0</v>
      </c>
      <c r="AH131" s="234" t="b">
        <v>0</v>
      </c>
      <c r="AI131" s="234" t="b">
        <v>0</v>
      </c>
      <c r="AJ131" s="234" t="b">
        <v>0</v>
      </c>
      <c r="AK131" s="234" t="b">
        <v>0</v>
      </c>
      <c r="AL131" s="234" t="b">
        <v>0</v>
      </c>
      <c r="AM131" s="234"/>
      <c r="AN131" s="234" t="b">
        <v>0</v>
      </c>
      <c r="AO131" s="234" t="b">
        <v>0</v>
      </c>
      <c r="AP131" s="234" t="b">
        <v>0</v>
      </c>
      <c r="AQ131" s="234"/>
      <c r="AR131" s="234" t="b">
        <v>0</v>
      </c>
      <c r="AS131" s="234"/>
      <c r="AT131" s="234"/>
      <c r="AU131" s="234"/>
      <c r="AV131" s="234"/>
      <c r="AW131" s="234" t="b">
        <v>0</v>
      </c>
      <c r="AX131" s="234"/>
      <c r="AY131" s="234"/>
      <c r="AZ131" s="234" t="b">
        <v>0</v>
      </c>
      <c r="BA131" s="234"/>
      <c r="BB131" s="234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H132" s="242"/>
      <c r="I132" s="242"/>
      <c r="J132" s="242"/>
      <c r="K132" s="234"/>
      <c r="L132" s="234"/>
      <c r="M132" s="234"/>
      <c r="N132" s="234"/>
      <c r="O132" s="234"/>
      <c r="P132" s="235">
        <f t="shared" si="1"/>
        <v>0</v>
      </c>
      <c r="Q132" s="234" t="b">
        <v>0</v>
      </c>
      <c r="R132" s="234"/>
      <c r="S132" s="234"/>
      <c r="T132" s="234"/>
      <c r="U132" s="234" t="b">
        <v>0</v>
      </c>
      <c r="V132" s="234" t="b">
        <v>0</v>
      </c>
      <c r="W132" s="234" t="b">
        <v>0</v>
      </c>
      <c r="X132" s="234" t="b">
        <v>0</v>
      </c>
      <c r="Y132" s="234" t="b">
        <v>0</v>
      </c>
      <c r="Z132" s="236" t="b">
        <v>0</v>
      </c>
      <c r="AA132" s="234"/>
      <c r="AB132" s="234"/>
      <c r="AC132" s="234" t="b">
        <v>0</v>
      </c>
      <c r="AD132" s="234" t="b">
        <v>0</v>
      </c>
      <c r="AE132" s="234" t="b">
        <v>0</v>
      </c>
      <c r="AF132" s="234" t="b">
        <v>0</v>
      </c>
      <c r="AG132" s="234" t="b">
        <v>0</v>
      </c>
      <c r="AH132" s="234" t="b">
        <v>0</v>
      </c>
      <c r="AI132" s="234" t="b">
        <v>0</v>
      </c>
      <c r="AJ132" s="234" t="b">
        <v>0</v>
      </c>
      <c r="AK132" s="234" t="b">
        <v>0</v>
      </c>
      <c r="AL132" s="234" t="b">
        <v>0</v>
      </c>
      <c r="AM132" s="234"/>
      <c r="AN132" s="234" t="b">
        <v>0</v>
      </c>
      <c r="AO132" s="234" t="b">
        <v>0</v>
      </c>
      <c r="AP132" s="234" t="b">
        <v>0</v>
      </c>
      <c r="AQ132" s="234"/>
      <c r="AR132" s="234" t="b">
        <v>0</v>
      </c>
      <c r="AS132" s="234"/>
      <c r="AT132" s="234"/>
      <c r="AU132" s="234"/>
      <c r="AV132" s="234"/>
      <c r="AW132" s="234" t="b">
        <v>0</v>
      </c>
      <c r="AX132" s="234"/>
      <c r="AY132" s="234"/>
      <c r="AZ132" s="234" t="b">
        <v>0</v>
      </c>
      <c r="BA132" s="234"/>
      <c r="BB132" s="234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H133" s="242"/>
      <c r="I133" s="242"/>
      <c r="J133" s="242"/>
      <c r="K133" s="234"/>
      <c r="L133" s="234"/>
      <c r="M133" s="234"/>
      <c r="N133" s="234"/>
      <c r="O133" s="234"/>
      <c r="P133" s="235">
        <f t="shared" si="1"/>
        <v>0</v>
      </c>
      <c r="Q133" s="234" t="b">
        <v>0</v>
      </c>
      <c r="R133" s="234"/>
      <c r="S133" s="234"/>
      <c r="T133" s="234"/>
      <c r="U133" s="234" t="b">
        <v>0</v>
      </c>
      <c r="V133" s="234" t="b">
        <v>0</v>
      </c>
      <c r="W133" s="234" t="b">
        <v>0</v>
      </c>
      <c r="X133" s="234" t="b">
        <v>0</v>
      </c>
      <c r="Y133" s="234" t="b">
        <v>0</v>
      </c>
      <c r="Z133" s="236" t="b">
        <v>0</v>
      </c>
      <c r="AA133" s="234"/>
      <c r="AB133" s="234"/>
      <c r="AC133" s="234" t="b">
        <v>0</v>
      </c>
      <c r="AD133" s="234" t="b">
        <v>0</v>
      </c>
      <c r="AE133" s="234" t="b">
        <v>0</v>
      </c>
      <c r="AF133" s="234" t="b">
        <v>0</v>
      </c>
      <c r="AG133" s="234" t="b">
        <v>0</v>
      </c>
      <c r="AH133" s="234" t="b">
        <v>0</v>
      </c>
      <c r="AI133" s="234" t="b">
        <v>0</v>
      </c>
      <c r="AJ133" s="234" t="b">
        <v>0</v>
      </c>
      <c r="AK133" s="234" t="b">
        <v>0</v>
      </c>
      <c r="AL133" s="234" t="b">
        <v>0</v>
      </c>
      <c r="AM133" s="234"/>
      <c r="AN133" s="234" t="b">
        <v>0</v>
      </c>
      <c r="AO133" s="234" t="b">
        <v>0</v>
      </c>
      <c r="AP133" s="234" t="b">
        <v>0</v>
      </c>
      <c r="AQ133" s="234"/>
      <c r="AR133" s="234" t="b">
        <v>0</v>
      </c>
      <c r="AS133" s="234"/>
      <c r="AT133" s="234"/>
      <c r="AU133" s="234"/>
      <c r="AV133" s="234"/>
      <c r="AW133" s="234" t="b">
        <v>0</v>
      </c>
      <c r="AX133" s="234"/>
      <c r="AY133" s="234"/>
      <c r="AZ133" s="234" t="b">
        <v>0</v>
      </c>
      <c r="BA133" s="234"/>
      <c r="BB133" s="234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H134" s="242"/>
      <c r="I134" s="242"/>
      <c r="J134" s="242"/>
      <c r="K134" s="234"/>
      <c r="L134" s="234"/>
      <c r="M134" s="234"/>
      <c r="N134" s="234"/>
      <c r="O134" s="234"/>
      <c r="P134" s="235">
        <f t="shared" si="1"/>
        <v>0</v>
      </c>
      <c r="Q134" s="234" t="b">
        <v>0</v>
      </c>
      <c r="R134" s="234"/>
      <c r="S134" s="234"/>
      <c r="T134" s="234"/>
      <c r="U134" s="234" t="b">
        <v>0</v>
      </c>
      <c r="V134" s="234" t="b">
        <v>0</v>
      </c>
      <c r="W134" s="234" t="b">
        <v>0</v>
      </c>
      <c r="X134" s="234" t="b">
        <v>0</v>
      </c>
      <c r="Y134" s="234" t="b">
        <v>0</v>
      </c>
      <c r="Z134" s="236" t="b">
        <v>0</v>
      </c>
      <c r="AA134" s="234"/>
      <c r="AB134" s="234"/>
      <c r="AC134" s="234" t="b">
        <v>0</v>
      </c>
      <c r="AD134" s="234" t="b">
        <v>0</v>
      </c>
      <c r="AE134" s="234" t="b">
        <v>0</v>
      </c>
      <c r="AF134" s="234" t="b">
        <v>0</v>
      </c>
      <c r="AG134" s="234" t="b">
        <v>0</v>
      </c>
      <c r="AH134" s="234" t="b">
        <v>0</v>
      </c>
      <c r="AI134" s="234" t="b">
        <v>0</v>
      </c>
      <c r="AJ134" s="234" t="b">
        <v>0</v>
      </c>
      <c r="AK134" s="234" t="b">
        <v>0</v>
      </c>
      <c r="AL134" s="234" t="b">
        <v>0</v>
      </c>
      <c r="AM134" s="234"/>
      <c r="AN134" s="234" t="b">
        <v>0</v>
      </c>
      <c r="AO134" s="234" t="b">
        <v>0</v>
      </c>
      <c r="AP134" s="234" t="b">
        <v>0</v>
      </c>
      <c r="AQ134" s="234"/>
      <c r="AR134" s="234" t="b">
        <v>0</v>
      </c>
      <c r="AS134" s="234"/>
      <c r="AT134" s="234"/>
      <c r="AU134" s="234"/>
      <c r="AV134" s="234"/>
      <c r="AW134" s="234" t="b">
        <v>0</v>
      </c>
      <c r="AX134" s="234"/>
      <c r="AY134" s="234"/>
      <c r="AZ134" s="234" t="b">
        <v>0</v>
      </c>
      <c r="BA134" s="234"/>
      <c r="BB134" s="234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H135" s="242"/>
      <c r="I135" s="242"/>
      <c r="J135" s="242"/>
      <c r="K135" s="234"/>
      <c r="L135" s="234"/>
      <c r="M135" s="234"/>
      <c r="N135" s="234"/>
      <c r="O135" s="234"/>
      <c r="P135" s="235">
        <f t="shared" si="1"/>
        <v>0</v>
      </c>
      <c r="Q135" s="234" t="b">
        <v>0</v>
      </c>
      <c r="R135" s="234"/>
      <c r="S135" s="234"/>
      <c r="T135" s="234"/>
      <c r="U135" s="234" t="b">
        <v>0</v>
      </c>
      <c r="V135" s="234" t="b">
        <v>0</v>
      </c>
      <c r="W135" s="234" t="b">
        <v>0</v>
      </c>
      <c r="X135" s="234" t="b">
        <v>0</v>
      </c>
      <c r="Y135" s="234" t="b">
        <v>0</v>
      </c>
      <c r="Z135" s="236" t="b">
        <v>0</v>
      </c>
      <c r="AA135" s="234"/>
      <c r="AB135" s="234"/>
      <c r="AC135" s="234" t="b">
        <v>0</v>
      </c>
      <c r="AD135" s="234" t="b">
        <v>0</v>
      </c>
      <c r="AE135" s="234" t="b">
        <v>0</v>
      </c>
      <c r="AF135" s="234" t="b">
        <v>0</v>
      </c>
      <c r="AG135" s="234" t="b">
        <v>0</v>
      </c>
      <c r="AH135" s="234" t="b">
        <v>0</v>
      </c>
      <c r="AI135" s="234" t="b">
        <v>0</v>
      </c>
      <c r="AJ135" s="234" t="b">
        <v>0</v>
      </c>
      <c r="AK135" s="234" t="b">
        <v>0</v>
      </c>
      <c r="AL135" s="234" t="b">
        <v>0</v>
      </c>
      <c r="AM135" s="234"/>
      <c r="AN135" s="234" t="b">
        <v>0</v>
      </c>
      <c r="AO135" s="234" t="b">
        <v>0</v>
      </c>
      <c r="AP135" s="234" t="b">
        <v>0</v>
      </c>
      <c r="AQ135" s="234"/>
      <c r="AR135" s="234" t="b">
        <v>0</v>
      </c>
      <c r="AS135" s="234"/>
      <c r="AT135" s="234"/>
      <c r="AU135" s="234"/>
      <c r="AV135" s="234"/>
      <c r="AW135" s="234" t="b">
        <v>0</v>
      </c>
      <c r="AX135" s="234"/>
      <c r="AY135" s="234"/>
      <c r="AZ135" s="234" t="b">
        <v>0</v>
      </c>
      <c r="BA135" s="234"/>
      <c r="BB135" s="234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H136" s="242"/>
      <c r="I136" s="242"/>
      <c r="J136" s="242"/>
      <c r="K136" s="234"/>
      <c r="L136" s="234"/>
      <c r="M136" s="234"/>
      <c r="N136" s="234"/>
      <c r="O136" s="234"/>
      <c r="P136" s="235">
        <f t="shared" si="1"/>
        <v>0</v>
      </c>
      <c r="Q136" s="234" t="b">
        <v>0</v>
      </c>
      <c r="R136" s="234"/>
      <c r="S136" s="234"/>
      <c r="T136" s="234"/>
      <c r="U136" s="234" t="b">
        <v>0</v>
      </c>
      <c r="V136" s="234" t="b">
        <v>0</v>
      </c>
      <c r="W136" s="234" t="b">
        <v>0</v>
      </c>
      <c r="X136" s="234" t="b">
        <v>0</v>
      </c>
      <c r="Y136" s="234" t="b">
        <v>0</v>
      </c>
      <c r="Z136" s="236" t="b">
        <v>0</v>
      </c>
      <c r="AA136" s="234"/>
      <c r="AB136" s="234"/>
      <c r="AC136" s="234" t="b">
        <v>0</v>
      </c>
      <c r="AD136" s="234" t="b">
        <v>0</v>
      </c>
      <c r="AE136" s="234" t="b">
        <v>0</v>
      </c>
      <c r="AF136" s="234" t="b">
        <v>0</v>
      </c>
      <c r="AG136" s="234" t="b">
        <v>0</v>
      </c>
      <c r="AH136" s="234" t="b">
        <v>0</v>
      </c>
      <c r="AI136" s="234" t="b">
        <v>0</v>
      </c>
      <c r="AJ136" s="234" t="b">
        <v>0</v>
      </c>
      <c r="AK136" s="234" t="b">
        <v>0</v>
      </c>
      <c r="AL136" s="234" t="b">
        <v>0</v>
      </c>
      <c r="AM136" s="234"/>
      <c r="AN136" s="234" t="b">
        <v>0</v>
      </c>
      <c r="AO136" s="234" t="b">
        <v>0</v>
      </c>
      <c r="AP136" s="234" t="b">
        <v>0</v>
      </c>
      <c r="AQ136" s="234"/>
      <c r="AR136" s="234" t="b">
        <v>0</v>
      </c>
      <c r="AS136" s="234"/>
      <c r="AT136" s="234"/>
      <c r="AU136" s="234"/>
      <c r="AV136" s="234"/>
      <c r="AW136" s="234" t="b">
        <v>0</v>
      </c>
      <c r="AX136" s="234"/>
      <c r="AY136" s="234"/>
      <c r="AZ136" s="234" t="b">
        <v>0</v>
      </c>
      <c r="BA136" s="234"/>
      <c r="BB136" s="234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H137" s="242"/>
      <c r="I137" s="242"/>
      <c r="J137" s="242"/>
      <c r="K137" s="234"/>
      <c r="L137" s="234"/>
      <c r="M137" s="234"/>
      <c r="N137" s="234"/>
      <c r="O137" s="234"/>
      <c r="P137" s="235">
        <f t="shared" si="1"/>
        <v>0</v>
      </c>
      <c r="Q137" s="234" t="b">
        <v>0</v>
      </c>
      <c r="R137" s="234"/>
      <c r="S137" s="234"/>
      <c r="T137" s="234"/>
      <c r="U137" s="234" t="b">
        <v>0</v>
      </c>
      <c r="V137" s="234" t="b">
        <v>0</v>
      </c>
      <c r="W137" s="234" t="b">
        <v>0</v>
      </c>
      <c r="X137" s="234" t="b">
        <v>0</v>
      </c>
      <c r="Y137" s="234" t="b">
        <v>0</v>
      </c>
      <c r="Z137" s="236" t="b">
        <v>0</v>
      </c>
      <c r="AA137" s="234"/>
      <c r="AB137" s="234"/>
      <c r="AC137" s="234" t="b">
        <v>0</v>
      </c>
      <c r="AD137" s="234" t="b">
        <v>0</v>
      </c>
      <c r="AE137" s="234" t="b">
        <v>0</v>
      </c>
      <c r="AF137" s="234" t="b">
        <v>0</v>
      </c>
      <c r="AG137" s="234" t="b">
        <v>0</v>
      </c>
      <c r="AH137" s="234" t="b">
        <v>0</v>
      </c>
      <c r="AI137" s="234" t="b">
        <v>0</v>
      </c>
      <c r="AJ137" s="234" t="b">
        <v>0</v>
      </c>
      <c r="AK137" s="234" t="b">
        <v>0</v>
      </c>
      <c r="AL137" s="234" t="b">
        <v>0</v>
      </c>
      <c r="AM137" s="234"/>
      <c r="AN137" s="234" t="b">
        <v>0</v>
      </c>
      <c r="AO137" s="234" t="b">
        <v>0</v>
      </c>
      <c r="AP137" s="234" t="b">
        <v>0</v>
      </c>
      <c r="AQ137" s="234"/>
      <c r="AR137" s="234" t="b">
        <v>0</v>
      </c>
      <c r="AS137" s="234"/>
      <c r="AT137" s="234"/>
      <c r="AU137" s="234"/>
      <c r="AV137" s="234"/>
      <c r="AW137" s="234" t="b">
        <v>0</v>
      </c>
      <c r="AX137" s="234"/>
      <c r="AY137" s="234"/>
      <c r="AZ137" s="234" t="b">
        <v>0</v>
      </c>
      <c r="BA137" s="234"/>
      <c r="BB137" s="234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H138" s="242"/>
      <c r="I138" s="242"/>
      <c r="J138" s="242"/>
      <c r="K138" s="234"/>
      <c r="L138" s="234"/>
      <c r="M138" s="234"/>
      <c r="N138" s="234"/>
      <c r="O138" s="234"/>
      <c r="P138" s="235">
        <f t="shared" si="1"/>
        <v>0</v>
      </c>
      <c r="Q138" s="234" t="b">
        <v>0</v>
      </c>
      <c r="R138" s="234"/>
      <c r="S138" s="234"/>
      <c r="T138" s="234"/>
      <c r="U138" s="234" t="b">
        <v>0</v>
      </c>
      <c r="V138" s="234" t="b">
        <v>0</v>
      </c>
      <c r="W138" s="234" t="b">
        <v>0</v>
      </c>
      <c r="X138" s="234" t="b">
        <v>0</v>
      </c>
      <c r="Y138" s="234" t="b">
        <v>0</v>
      </c>
      <c r="Z138" s="236" t="b">
        <v>0</v>
      </c>
      <c r="AA138" s="234"/>
      <c r="AB138" s="234"/>
      <c r="AC138" s="234" t="b">
        <v>0</v>
      </c>
      <c r="AD138" s="234" t="b">
        <v>0</v>
      </c>
      <c r="AE138" s="234" t="b">
        <v>0</v>
      </c>
      <c r="AF138" s="234" t="b">
        <v>0</v>
      </c>
      <c r="AG138" s="234" t="b">
        <v>0</v>
      </c>
      <c r="AH138" s="234" t="b">
        <v>0</v>
      </c>
      <c r="AI138" s="234" t="b">
        <v>0</v>
      </c>
      <c r="AJ138" s="234" t="b">
        <v>0</v>
      </c>
      <c r="AK138" s="234" t="b">
        <v>0</v>
      </c>
      <c r="AL138" s="234" t="b">
        <v>0</v>
      </c>
      <c r="AM138" s="234"/>
      <c r="AN138" s="234" t="b">
        <v>0</v>
      </c>
      <c r="AO138" s="234" t="b">
        <v>0</v>
      </c>
      <c r="AP138" s="234" t="b">
        <v>0</v>
      </c>
      <c r="AQ138" s="234"/>
      <c r="AR138" s="234" t="b">
        <v>0</v>
      </c>
      <c r="AS138" s="234"/>
      <c r="AT138" s="234"/>
      <c r="AU138" s="234"/>
      <c r="AV138" s="234"/>
      <c r="AW138" s="234" t="b">
        <v>0</v>
      </c>
      <c r="AX138" s="234"/>
      <c r="AY138" s="234"/>
      <c r="AZ138" s="234" t="b">
        <v>0</v>
      </c>
      <c r="BA138" s="234"/>
      <c r="BB138" s="234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H139" s="242"/>
      <c r="I139" s="242"/>
      <c r="J139" s="242"/>
      <c r="K139" s="234"/>
      <c r="L139" s="234"/>
      <c r="M139" s="234"/>
      <c r="N139" s="234"/>
      <c r="O139" s="234"/>
      <c r="P139" s="235">
        <f t="shared" si="1"/>
        <v>0</v>
      </c>
      <c r="Q139" s="234" t="b">
        <v>0</v>
      </c>
      <c r="R139" s="234"/>
      <c r="S139" s="234"/>
      <c r="T139" s="234"/>
      <c r="U139" s="234" t="b">
        <v>0</v>
      </c>
      <c r="V139" s="234" t="b">
        <v>0</v>
      </c>
      <c r="W139" s="234" t="b">
        <v>0</v>
      </c>
      <c r="X139" s="234" t="b">
        <v>0</v>
      </c>
      <c r="Y139" s="234" t="b">
        <v>0</v>
      </c>
      <c r="Z139" s="236" t="b">
        <v>0</v>
      </c>
      <c r="AA139" s="234"/>
      <c r="AB139" s="234"/>
      <c r="AC139" s="234" t="b">
        <v>0</v>
      </c>
      <c r="AD139" s="234" t="b">
        <v>0</v>
      </c>
      <c r="AE139" s="234" t="b">
        <v>0</v>
      </c>
      <c r="AF139" s="234" t="b">
        <v>0</v>
      </c>
      <c r="AG139" s="234" t="b">
        <v>0</v>
      </c>
      <c r="AH139" s="234" t="b">
        <v>0</v>
      </c>
      <c r="AI139" s="234" t="b">
        <v>0</v>
      </c>
      <c r="AJ139" s="234" t="b">
        <v>0</v>
      </c>
      <c r="AK139" s="234" t="b">
        <v>0</v>
      </c>
      <c r="AL139" s="234" t="b">
        <v>0</v>
      </c>
      <c r="AM139" s="234"/>
      <c r="AN139" s="234" t="b">
        <v>0</v>
      </c>
      <c r="AO139" s="234" t="b">
        <v>0</v>
      </c>
      <c r="AP139" s="234" t="b">
        <v>0</v>
      </c>
      <c r="AQ139" s="234"/>
      <c r="AR139" s="234" t="b">
        <v>0</v>
      </c>
      <c r="AS139" s="234"/>
      <c r="AT139" s="234"/>
      <c r="AU139" s="234"/>
      <c r="AV139" s="234"/>
      <c r="AW139" s="234" t="b">
        <v>0</v>
      </c>
      <c r="AX139" s="234"/>
      <c r="AY139" s="234"/>
      <c r="AZ139" s="234" t="b">
        <v>0</v>
      </c>
      <c r="BA139" s="234"/>
      <c r="BB139" s="234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H140" s="242"/>
      <c r="I140" s="242"/>
      <c r="J140" s="242"/>
      <c r="K140" s="234"/>
      <c r="L140" s="234"/>
      <c r="M140" s="234"/>
      <c r="N140" s="234"/>
      <c r="O140" s="234"/>
      <c r="P140" s="235">
        <f t="shared" si="1"/>
        <v>0</v>
      </c>
      <c r="Q140" s="234" t="b">
        <v>0</v>
      </c>
      <c r="R140" s="234"/>
      <c r="S140" s="234"/>
      <c r="T140" s="234"/>
      <c r="U140" s="234" t="b">
        <v>0</v>
      </c>
      <c r="V140" s="234" t="b">
        <v>0</v>
      </c>
      <c r="W140" s="234" t="b">
        <v>0</v>
      </c>
      <c r="X140" s="234" t="b">
        <v>0</v>
      </c>
      <c r="Y140" s="234" t="b">
        <v>0</v>
      </c>
      <c r="Z140" s="236" t="b">
        <v>0</v>
      </c>
      <c r="AA140" s="234"/>
      <c r="AB140" s="234"/>
      <c r="AC140" s="234" t="b">
        <v>0</v>
      </c>
      <c r="AD140" s="234" t="b">
        <v>0</v>
      </c>
      <c r="AE140" s="234" t="b">
        <v>0</v>
      </c>
      <c r="AF140" s="234" t="b">
        <v>0</v>
      </c>
      <c r="AG140" s="234" t="b">
        <v>0</v>
      </c>
      <c r="AH140" s="234" t="b">
        <v>0</v>
      </c>
      <c r="AI140" s="234" t="b">
        <v>0</v>
      </c>
      <c r="AJ140" s="234" t="b">
        <v>0</v>
      </c>
      <c r="AK140" s="234" t="b">
        <v>0</v>
      </c>
      <c r="AL140" s="234" t="b">
        <v>0</v>
      </c>
      <c r="AM140" s="234"/>
      <c r="AN140" s="234" t="b">
        <v>0</v>
      </c>
      <c r="AO140" s="234" t="b">
        <v>0</v>
      </c>
      <c r="AP140" s="234" t="b">
        <v>0</v>
      </c>
      <c r="AQ140" s="234"/>
      <c r="AR140" s="234" t="b">
        <v>0</v>
      </c>
      <c r="AS140" s="234"/>
      <c r="AT140" s="234"/>
      <c r="AU140" s="234"/>
      <c r="AV140" s="234"/>
      <c r="AW140" s="234" t="b">
        <v>0</v>
      </c>
      <c r="AX140" s="234"/>
      <c r="AY140" s="234"/>
      <c r="AZ140" s="234" t="b">
        <v>0</v>
      </c>
      <c r="BA140" s="234"/>
      <c r="BB140" s="234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H141" s="242"/>
      <c r="I141" s="242"/>
      <c r="J141" s="242"/>
      <c r="K141" s="234"/>
      <c r="L141" s="234"/>
      <c r="M141" s="234"/>
      <c r="N141" s="234"/>
      <c r="O141" s="234"/>
      <c r="P141" s="235">
        <f t="shared" si="1"/>
        <v>0</v>
      </c>
      <c r="Q141" s="234" t="b">
        <v>0</v>
      </c>
      <c r="R141" s="234"/>
      <c r="S141" s="234"/>
      <c r="T141" s="234"/>
      <c r="U141" s="234" t="b">
        <v>0</v>
      </c>
      <c r="V141" s="234" t="b">
        <v>0</v>
      </c>
      <c r="W141" s="234" t="b">
        <v>0</v>
      </c>
      <c r="X141" s="234" t="b">
        <v>0</v>
      </c>
      <c r="Y141" s="234" t="b">
        <v>0</v>
      </c>
      <c r="Z141" s="236" t="b">
        <v>0</v>
      </c>
      <c r="AA141" s="234"/>
      <c r="AB141" s="234"/>
      <c r="AC141" s="234" t="b">
        <v>0</v>
      </c>
      <c r="AD141" s="234" t="b">
        <v>0</v>
      </c>
      <c r="AE141" s="234" t="b">
        <v>0</v>
      </c>
      <c r="AF141" s="234" t="b">
        <v>0</v>
      </c>
      <c r="AG141" s="234" t="b">
        <v>0</v>
      </c>
      <c r="AH141" s="234" t="b">
        <v>0</v>
      </c>
      <c r="AI141" s="234" t="b">
        <v>0</v>
      </c>
      <c r="AJ141" s="234" t="b">
        <v>0</v>
      </c>
      <c r="AK141" s="234" t="b">
        <v>0</v>
      </c>
      <c r="AL141" s="234" t="b">
        <v>0</v>
      </c>
      <c r="AM141" s="234"/>
      <c r="AN141" s="234" t="b">
        <v>0</v>
      </c>
      <c r="AO141" s="234" t="b">
        <v>0</v>
      </c>
      <c r="AP141" s="234" t="b">
        <v>0</v>
      </c>
      <c r="AQ141" s="234"/>
      <c r="AR141" s="234" t="b">
        <v>0</v>
      </c>
      <c r="AS141" s="234"/>
      <c r="AT141" s="234"/>
      <c r="AU141" s="234"/>
      <c r="AV141" s="234"/>
      <c r="AW141" s="234" t="b">
        <v>0</v>
      </c>
      <c r="AX141" s="234"/>
      <c r="AY141" s="234"/>
      <c r="AZ141" s="234" t="b">
        <v>0</v>
      </c>
      <c r="BA141" s="234"/>
      <c r="BB141" s="234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H142" s="242"/>
      <c r="I142" s="242"/>
      <c r="J142" s="242"/>
      <c r="K142" s="234"/>
      <c r="L142" s="234"/>
      <c r="M142" s="234"/>
      <c r="N142" s="234"/>
      <c r="O142" s="234"/>
      <c r="P142" s="235">
        <f t="shared" si="1"/>
        <v>0</v>
      </c>
      <c r="Q142" s="234" t="b">
        <v>0</v>
      </c>
      <c r="R142" s="234"/>
      <c r="S142" s="234"/>
      <c r="T142" s="234"/>
      <c r="U142" s="234" t="b">
        <v>0</v>
      </c>
      <c r="V142" s="234" t="b">
        <v>0</v>
      </c>
      <c r="W142" s="234" t="b">
        <v>0</v>
      </c>
      <c r="X142" s="234" t="b">
        <v>0</v>
      </c>
      <c r="Y142" s="234" t="b">
        <v>0</v>
      </c>
      <c r="Z142" s="236" t="b">
        <v>0</v>
      </c>
      <c r="AA142" s="234"/>
      <c r="AB142" s="234"/>
      <c r="AC142" s="234" t="b">
        <v>0</v>
      </c>
      <c r="AD142" s="234" t="b">
        <v>0</v>
      </c>
      <c r="AE142" s="234" t="b">
        <v>0</v>
      </c>
      <c r="AF142" s="234" t="b">
        <v>0</v>
      </c>
      <c r="AG142" s="234" t="b">
        <v>0</v>
      </c>
      <c r="AH142" s="234" t="b">
        <v>0</v>
      </c>
      <c r="AI142" s="234" t="b">
        <v>0</v>
      </c>
      <c r="AJ142" s="234" t="b">
        <v>0</v>
      </c>
      <c r="AK142" s="234" t="b">
        <v>0</v>
      </c>
      <c r="AL142" s="234" t="b">
        <v>0</v>
      </c>
      <c r="AM142" s="234"/>
      <c r="AN142" s="234" t="b">
        <v>0</v>
      </c>
      <c r="AO142" s="234" t="b">
        <v>0</v>
      </c>
      <c r="AP142" s="234" t="b">
        <v>0</v>
      </c>
      <c r="AQ142" s="234"/>
      <c r="AR142" s="234" t="b">
        <v>0</v>
      </c>
      <c r="AS142" s="234"/>
      <c r="AT142" s="234"/>
      <c r="AU142" s="234"/>
      <c r="AV142" s="234"/>
      <c r="AW142" s="234" t="b">
        <v>0</v>
      </c>
      <c r="AX142" s="234"/>
      <c r="AY142" s="234"/>
      <c r="AZ142" s="234" t="b">
        <v>0</v>
      </c>
      <c r="BA142" s="234"/>
      <c r="BB142" s="234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H143" s="242"/>
      <c r="I143" s="242"/>
      <c r="J143" s="242"/>
      <c r="K143" s="234"/>
      <c r="L143" s="234"/>
      <c r="M143" s="234"/>
      <c r="N143" s="234"/>
      <c r="O143" s="234"/>
      <c r="P143" s="235">
        <f t="shared" si="1"/>
        <v>0</v>
      </c>
      <c r="Q143" s="234" t="b">
        <v>0</v>
      </c>
      <c r="R143" s="234"/>
      <c r="S143" s="234"/>
      <c r="T143" s="234"/>
      <c r="U143" s="234" t="b">
        <v>0</v>
      </c>
      <c r="V143" s="234" t="b">
        <v>0</v>
      </c>
      <c r="W143" s="234" t="b">
        <v>0</v>
      </c>
      <c r="X143" s="234" t="b">
        <v>0</v>
      </c>
      <c r="Y143" s="234" t="b">
        <v>0</v>
      </c>
      <c r="Z143" s="236" t="b">
        <v>0</v>
      </c>
      <c r="AA143" s="234"/>
      <c r="AB143" s="234"/>
      <c r="AC143" s="234" t="b">
        <v>0</v>
      </c>
      <c r="AD143" s="234" t="b">
        <v>0</v>
      </c>
      <c r="AE143" s="234" t="b">
        <v>0</v>
      </c>
      <c r="AF143" s="234" t="b">
        <v>0</v>
      </c>
      <c r="AG143" s="234" t="b">
        <v>0</v>
      </c>
      <c r="AH143" s="234" t="b">
        <v>0</v>
      </c>
      <c r="AI143" s="234" t="b">
        <v>0</v>
      </c>
      <c r="AJ143" s="234" t="b">
        <v>0</v>
      </c>
      <c r="AK143" s="234" t="b">
        <v>0</v>
      </c>
      <c r="AL143" s="234" t="b">
        <v>0</v>
      </c>
      <c r="AM143" s="234"/>
      <c r="AN143" s="234" t="b">
        <v>0</v>
      </c>
      <c r="AO143" s="234" t="b">
        <v>0</v>
      </c>
      <c r="AP143" s="234" t="b">
        <v>0</v>
      </c>
      <c r="AQ143" s="234"/>
      <c r="AR143" s="234" t="b">
        <v>0</v>
      </c>
      <c r="AS143" s="234"/>
      <c r="AT143" s="234"/>
      <c r="AU143" s="234"/>
      <c r="AV143" s="234"/>
      <c r="AW143" s="234" t="b">
        <v>0</v>
      </c>
      <c r="AX143" s="234"/>
      <c r="AY143" s="234"/>
      <c r="AZ143" s="234" t="b">
        <v>0</v>
      </c>
      <c r="BA143" s="234"/>
      <c r="BB143" s="234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H144" s="242"/>
      <c r="I144" s="242"/>
      <c r="J144" s="242"/>
      <c r="K144" s="234"/>
      <c r="L144" s="234"/>
      <c r="M144" s="234"/>
      <c r="N144" s="234"/>
      <c r="O144" s="234"/>
      <c r="P144" s="235">
        <f t="shared" si="1"/>
        <v>0</v>
      </c>
      <c r="Q144" s="234" t="b">
        <v>0</v>
      </c>
      <c r="R144" s="234"/>
      <c r="S144" s="234"/>
      <c r="T144" s="234"/>
      <c r="U144" s="234" t="b">
        <v>0</v>
      </c>
      <c r="V144" s="234" t="b">
        <v>0</v>
      </c>
      <c r="W144" s="234" t="b">
        <v>0</v>
      </c>
      <c r="X144" s="234" t="b">
        <v>0</v>
      </c>
      <c r="Y144" s="234" t="b">
        <v>0</v>
      </c>
      <c r="Z144" s="236" t="b">
        <v>0</v>
      </c>
      <c r="AA144" s="234"/>
      <c r="AB144" s="234"/>
      <c r="AC144" s="234" t="b">
        <v>0</v>
      </c>
      <c r="AD144" s="234" t="b">
        <v>0</v>
      </c>
      <c r="AE144" s="234" t="b">
        <v>0</v>
      </c>
      <c r="AF144" s="234" t="b">
        <v>0</v>
      </c>
      <c r="AG144" s="234" t="b">
        <v>0</v>
      </c>
      <c r="AH144" s="234" t="b">
        <v>0</v>
      </c>
      <c r="AI144" s="234" t="b">
        <v>0</v>
      </c>
      <c r="AJ144" s="234" t="b">
        <v>0</v>
      </c>
      <c r="AK144" s="234" t="b">
        <v>0</v>
      </c>
      <c r="AL144" s="234" t="b">
        <v>0</v>
      </c>
      <c r="AM144" s="234"/>
      <c r="AN144" s="234" t="b">
        <v>0</v>
      </c>
      <c r="AO144" s="234" t="b">
        <v>0</v>
      </c>
      <c r="AP144" s="234" t="b">
        <v>0</v>
      </c>
      <c r="AQ144" s="234"/>
      <c r="AR144" s="234" t="b">
        <v>0</v>
      </c>
      <c r="AS144" s="234"/>
      <c r="AT144" s="234"/>
      <c r="AU144" s="234"/>
      <c r="AV144" s="234"/>
      <c r="AW144" s="234" t="b">
        <v>0</v>
      </c>
      <c r="AX144" s="234"/>
      <c r="AY144" s="234"/>
      <c r="AZ144" s="234" t="b">
        <v>0</v>
      </c>
      <c r="BA144" s="234"/>
      <c r="BB144" s="234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H145" s="242"/>
      <c r="I145" s="242"/>
      <c r="J145" s="242"/>
      <c r="K145" s="234"/>
      <c r="L145" s="234"/>
      <c r="M145" s="234"/>
      <c r="N145" s="234"/>
      <c r="O145" s="234"/>
      <c r="P145" s="235">
        <f t="shared" si="1"/>
        <v>0</v>
      </c>
      <c r="Q145" s="234" t="b">
        <v>0</v>
      </c>
      <c r="R145" s="234"/>
      <c r="S145" s="234"/>
      <c r="T145" s="234"/>
      <c r="U145" s="234" t="b">
        <v>0</v>
      </c>
      <c r="V145" s="234" t="b">
        <v>0</v>
      </c>
      <c r="W145" s="234" t="b">
        <v>0</v>
      </c>
      <c r="X145" s="234" t="b">
        <v>0</v>
      </c>
      <c r="Y145" s="234" t="b">
        <v>0</v>
      </c>
      <c r="Z145" s="236" t="b">
        <v>0</v>
      </c>
      <c r="AA145" s="234"/>
      <c r="AB145" s="234"/>
      <c r="AC145" s="234" t="b">
        <v>0</v>
      </c>
      <c r="AD145" s="234" t="b">
        <v>0</v>
      </c>
      <c r="AE145" s="234" t="b">
        <v>0</v>
      </c>
      <c r="AF145" s="234" t="b">
        <v>0</v>
      </c>
      <c r="AG145" s="234" t="b">
        <v>0</v>
      </c>
      <c r="AH145" s="234" t="b">
        <v>0</v>
      </c>
      <c r="AI145" s="234" t="b">
        <v>0</v>
      </c>
      <c r="AJ145" s="234" t="b">
        <v>0</v>
      </c>
      <c r="AK145" s="234" t="b">
        <v>0</v>
      </c>
      <c r="AL145" s="234" t="b">
        <v>0</v>
      </c>
      <c r="AM145" s="234"/>
      <c r="AN145" s="234" t="b">
        <v>0</v>
      </c>
      <c r="AO145" s="234" t="b">
        <v>0</v>
      </c>
      <c r="AP145" s="234" t="b">
        <v>0</v>
      </c>
      <c r="AQ145" s="234"/>
      <c r="AR145" s="234" t="b">
        <v>0</v>
      </c>
      <c r="AS145" s="234"/>
      <c r="AT145" s="234"/>
      <c r="AU145" s="234"/>
      <c r="AV145" s="234"/>
      <c r="AW145" s="234" t="b">
        <v>0</v>
      </c>
      <c r="AX145" s="234"/>
      <c r="AY145" s="234"/>
      <c r="AZ145" s="234" t="b">
        <v>0</v>
      </c>
      <c r="BA145" s="234"/>
      <c r="BB145" s="234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H146" s="242"/>
      <c r="I146" s="242"/>
      <c r="J146" s="242"/>
      <c r="K146" s="234"/>
      <c r="L146" s="234"/>
      <c r="M146" s="234"/>
      <c r="N146" s="234"/>
      <c r="O146" s="234"/>
      <c r="P146" s="235">
        <f t="shared" si="1"/>
        <v>0</v>
      </c>
      <c r="Q146" s="234" t="b">
        <v>0</v>
      </c>
      <c r="R146" s="234"/>
      <c r="S146" s="234"/>
      <c r="T146" s="234"/>
      <c r="U146" s="234" t="b">
        <v>0</v>
      </c>
      <c r="V146" s="234" t="b">
        <v>0</v>
      </c>
      <c r="W146" s="234" t="b">
        <v>0</v>
      </c>
      <c r="X146" s="234" t="b">
        <v>0</v>
      </c>
      <c r="Y146" s="234" t="b">
        <v>0</v>
      </c>
      <c r="Z146" s="236" t="b">
        <v>0</v>
      </c>
      <c r="AA146" s="234"/>
      <c r="AB146" s="234"/>
      <c r="AC146" s="234" t="b">
        <v>0</v>
      </c>
      <c r="AD146" s="234" t="b">
        <v>0</v>
      </c>
      <c r="AE146" s="234" t="b">
        <v>0</v>
      </c>
      <c r="AF146" s="234" t="b">
        <v>0</v>
      </c>
      <c r="AG146" s="234" t="b">
        <v>0</v>
      </c>
      <c r="AH146" s="234" t="b">
        <v>0</v>
      </c>
      <c r="AI146" s="234" t="b">
        <v>0</v>
      </c>
      <c r="AJ146" s="234" t="b">
        <v>0</v>
      </c>
      <c r="AK146" s="234" t="b">
        <v>0</v>
      </c>
      <c r="AL146" s="234" t="b">
        <v>0</v>
      </c>
      <c r="AM146" s="234"/>
      <c r="AN146" s="234" t="b">
        <v>0</v>
      </c>
      <c r="AO146" s="234" t="b">
        <v>0</v>
      </c>
      <c r="AP146" s="234" t="b">
        <v>0</v>
      </c>
      <c r="AQ146" s="234"/>
      <c r="AR146" s="234" t="b">
        <v>0</v>
      </c>
      <c r="AS146" s="234"/>
      <c r="AT146" s="234"/>
      <c r="AU146" s="234"/>
      <c r="AV146" s="234"/>
      <c r="AW146" s="234" t="b">
        <v>0</v>
      </c>
      <c r="AX146" s="234"/>
      <c r="AY146" s="234"/>
      <c r="AZ146" s="234" t="b">
        <v>0</v>
      </c>
      <c r="BA146" s="234"/>
      <c r="BB146" s="234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H147" s="242"/>
      <c r="I147" s="242"/>
      <c r="J147" s="242"/>
      <c r="K147" s="234"/>
      <c r="L147" s="234"/>
      <c r="M147" s="234"/>
      <c r="N147" s="234"/>
      <c r="O147" s="234"/>
      <c r="P147" s="235">
        <f t="shared" si="1"/>
        <v>0</v>
      </c>
      <c r="Q147" s="234" t="b">
        <v>0</v>
      </c>
      <c r="R147" s="234"/>
      <c r="S147" s="234"/>
      <c r="T147" s="234"/>
      <c r="U147" s="234" t="b">
        <v>0</v>
      </c>
      <c r="V147" s="234" t="b">
        <v>0</v>
      </c>
      <c r="W147" s="234" t="b">
        <v>0</v>
      </c>
      <c r="X147" s="234" t="b">
        <v>0</v>
      </c>
      <c r="Y147" s="234" t="b">
        <v>0</v>
      </c>
      <c r="Z147" s="236" t="b">
        <v>0</v>
      </c>
      <c r="AA147" s="234"/>
      <c r="AB147" s="234"/>
      <c r="AC147" s="234" t="b">
        <v>0</v>
      </c>
      <c r="AD147" s="234" t="b">
        <v>0</v>
      </c>
      <c r="AE147" s="234" t="b">
        <v>0</v>
      </c>
      <c r="AF147" s="234" t="b">
        <v>0</v>
      </c>
      <c r="AG147" s="234" t="b">
        <v>0</v>
      </c>
      <c r="AH147" s="234" t="b">
        <v>0</v>
      </c>
      <c r="AI147" s="234" t="b">
        <v>0</v>
      </c>
      <c r="AJ147" s="234" t="b">
        <v>0</v>
      </c>
      <c r="AK147" s="234" t="b">
        <v>0</v>
      </c>
      <c r="AL147" s="234" t="b">
        <v>0</v>
      </c>
      <c r="AM147" s="234"/>
      <c r="AN147" s="234" t="b">
        <v>0</v>
      </c>
      <c r="AO147" s="234" t="b">
        <v>0</v>
      </c>
      <c r="AP147" s="234" t="b">
        <v>0</v>
      </c>
      <c r="AQ147" s="234"/>
      <c r="AR147" s="234" t="b">
        <v>0</v>
      </c>
      <c r="AS147" s="234"/>
      <c r="AT147" s="234"/>
      <c r="AU147" s="234"/>
      <c r="AV147" s="234"/>
      <c r="AW147" s="234" t="b">
        <v>0</v>
      </c>
      <c r="AX147" s="234"/>
      <c r="AY147" s="234"/>
      <c r="AZ147" s="234" t="b">
        <v>0</v>
      </c>
      <c r="BA147" s="234"/>
      <c r="BB147" s="234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H148" s="242"/>
      <c r="I148" s="242"/>
      <c r="J148" s="242"/>
      <c r="K148" s="234"/>
      <c r="L148" s="234"/>
      <c r="M148" s="234"/>
      <c r="N148" s="234"/>
      <c r="O148" s="234"/>
      <c r="P148" s="235">
        <f t="shared" si="1"/>
        <v>0</v>
      </c>
      <c r="Q148" s="234" t="b">
        <v>0</v>
      </c>
      <c r="R148" s="234"/>
      <c r="S148" s="234"/>
      <c r="T148" s="234"/>
      <c r="U148" s="234" t="b">
        <v>0</v>
      </c>
      <c r="V148" s="234" t="b">
        <v>0</v>
      </c>
      <c r="W148" s="234" t="b">
        <v>0</v>
      </c>
      <c r="X148" s="234" t="b">
        <v>0</v>
      </c>
      <c r="Y148" s="234" t="b">
        <v>0</v>
      </c>
      <c r="Z148" s="236" t="b">
        <v>0</v>
      </c>
      <c r="AA148" s="234"/>
      <c r="AB148" s="234"/>
      <c r="AC148" s="234" t="b">
        <v>0</v>
      </c>
      <c r="AD148" s="234" t="b">
        <v>0</v>
      </c>
      <c r="AE148" s="234" t="b">
        <v>0</v>
      </c>
      <c r="AF148" s="234" t="b">
        <v>0</v>
      </c>
      <c r="AG148" s="234" t="b">
        <v>0</v>
      </c>
      <c r="AH148" s="234" t="b">
        <v>0</v>
      </c>
      <c r="AI148" s="234" t="b">
        <v>0</v>
      </c>
      <c r="AJ148" s="234" t="b">
        <v>0</v>
      </c>
      <c r="AK148" s="234" t="b">
        <v>0</v>
      </c>
      <c r="AL148" s="234" t="b">
        <v>0</v>
      </c>
      <c r="AM148" s="234"/>
      <c r="AN148" s="234" t="b">
        <v>0</v>
      </c>
      <c r="AO148" s="234" t="b">
        <v>0</v>
      </c>
      <c r="AP148" s="234" t="b">
        <v>0</v>
      </c>
      <c r="AQ148" s="234"/>
      <c r="AR148" s="234" t="b">
        <v>0</v>
      </c>
      <c r="AS148" s="234"/>
      <c r="AT148" s="234"/>
      <c r="AU148" s="234"/>
      <c r="AV148" s="234"/>
      <c r="AW148" s="234" t="b">
        <v>0</v>
      </c>
      <c r="AX148" s="234"/>
      <c r="AY148" s="234"/>
      <c r="AZ148" s="234" t="b">
        <v>0</v>
      </c>
      <c r="BA148" s="234"/>
      <c r="BB148" s="234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H149" s="242"/>
      <c r="I149" s="242"/>
      <c r="J149" s="242"/>
      <c r="K149" s="234"/>
      <c r="L149" s="234"/>
      <c r="M149" s="234"/>
      <c r="N149" s="234"/>
      <c r="O149" s="234"/>
      <c r="P149" s="235">
        <f t="shared" si="1"/>
        <v>0</v>
      </c>
      <c r="Q149" s="234" t="b">
        <v>0</v>
      </c>
      <c r="R149" s="234"/>
      <c r="S149" s="234"/>
      <c r="T149" s="234"/>
      <c r="U149" s="234" t="b">
        <v>0</v>
      </c>
      <c r="V149" s="234" t="b">
        <v>0</v>
      </c>
      <c r="W149" s="234" t="b">
        <v>0</v>
      </c>
      <c r="X149" s="234" t="b">
        <v>0</v>
      </c>
      <c r="Y149" s="234" t="b">
        <v>0</v>
      </c>
      <c r="Z149" s="236" t="b">
        <v>0</v>
      </c>
      <c r="AA149" s="234"/>
      <c r="AB149" s="234"/>
      <c r="AC149" s="234" t="b">
        <v>0</v>
      </c>
      <c r="AD149" s="234" t="b">
        <v>0</v>
      </c>
      <c r="AE149" s="234" t="b">
        <v>0</v>
      </c>
      <c r="AF149" s="234" t="b">
        <v>0</v>
      </c>
      <c r="AG149" s="234" t="b">
        <v>0</v>
      </c>
      <c r="AH149" s="234" t="b">
        <v>0</v>
      </c>
      <c r="AI149" s="234" t="b">
        <v>0</v>
      </c>
      <c r="AJ149" s="234" t="b">
        <v>0</v>
      </c>
      <c r="AK149" s="234" t="b">
        <v>0</v>
      </c>
      <c r="AL149" s="234" t="b">
        <v>0</v>
      </c>
      <c r="AM149" s="234"/>
      <c r="AN149" s="234" t="b">
        <v>0</v>
      </c>
      <c r="AO149" s="234" t="b">
        <v>0</v>
      </c>
      <c r="AP149" s="234" t="b">
        <v>0</v>
      </c>
      <c r="AQ149" s="234"/>
      <c r="AR149" s="234" t="b">
        <v>0</v>
      </c>
      <c r="AS149" s="234"/>
      <c r="AT149" s="234"/>
      <c r="AU149" s="234"/>
      <c r="AV149" s="234"/>
      <c r="AW149" s="234" t="b">
        <v>0</v>
      </c>
      <c r="AX149" s="234"/>
      <c r="AY149" s="234"/>
      <c r="AZ149" s="234" t="b">
        <v>0</v>
      </c>
      <c r="BA149" s="234"/>
      <c r="BB149" s="234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H150" s="242"/>
      <c r="I150" s="242"/>
      <c r="J150" s="242"/>
      <c r="K150" s="234"/>
      <c r="L150" s="234"/>
      <c r="M150" s="234"/>
      <c r="N150" s="234"/>
      <c r="O150" s="234"/>
      <c r="P150" s="235">
        <f t="shared" si="1"/>
        <v>0</v>
      </c>
      <c r="Q150" s="234" t="b">
        <v>0</v>
      </c>
      <c r="R150" s="234"/>
      <c r="S150" s="234"/>
      <c r="T150" s="234"/>
      <c r="U150" s="234" t="b">
        <v>0</v>
      </c>
      <c r="V150" s="234" t="b">
        <v>0</v>
      </c>
      <c r="W150" s="234" t="b">
        <v>0</v>
      </c>
      <c r="X150" s="234" t="b">
        <v>0</v>
      </c>
      <c r="Y150" s="234" t="b">
        <v>0</v>
      </c>
      <c r="Z150" s="236" t="b">
        <v>0</v>
      </c>
      <c r="AA150" s="234"/>
      <c r="AB150" s="234"/>
      <c r="AC150" s="234" t="b">
        <v>0</v>
      </c>
      <c r="AD150" s="234" t="b">
        <v>0</v>
      </c>
      <c r="AE150" s="234" t="b">
        <v>0</v>
      </c>
      <c r="AF150" s="234" t="b">
        <v>0</v>
      </c>
      <c r="AG150" s="234" t="b">
        <v>0</v>
      </c>
      <c r="AH150" s="234" t="b">
        <v>0</v>
      </c>
      <c r="AI150" s="234" t="b">
        <v>0</v>
      </c>
      <c r="AJ150" s="234" t="b">
        <v>0</v>
      </c>
      <c r="AK150" s="234" t="b">
        <v>0</v>
      </c>
      <c r="AL150" s="234" t="b">
        <v>0</v>
      </c>
      <c r="AM150" s="234"/>
      <c r="AN150" s="234" t="b">
        <v>0</v>
      </c>
      <c r="AO150" s="234" t="b">
        <v>0</v>
      </c>
      <c r="AP150" s="234" t="b">
        <v>0</v>
      </c>
      <c r="AQ150" s="234"/>
      <c r="AR150" s="234" t="b">
        <v>0</v>
      </c>
      <c r="AS150" s="234"/>
      <c r="AT150" s="234"/>
      <c r="AU150" s="234"/>
      <c r="AV150" s="234"/>
      <c r="AW150" s="234" t="b">
        <v>0</v>
      </c>
      <c r="AX150" s="234"/>
      <c r="AY150" s="234"/>
      <c r="AZ150" s="234" t="b">
        <v>0</v>
      </c>
      <c r="BA150" s="234"/>
      <c r="BB150" s="234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H151" s="242"/>
      <c r="I151" s="242"/>
      <c r="J151" s="242"/>
      <c r="K151" s="234"/>
      <c r="L151" s="234"/>
      <c r="M151" s="234"/>
      <c r="N151" s="234"/>
      <c r="O151" s="234"/>
      <c r="P151" s="235">
        <f t="shared" si="1"/>
        <v>0</v>
      </c>
      <c r="Q151" s="234" t="b">
        <v>0</v>
      </c>
      <c r="R151" s="234"/>
      <c r="S151" s="234"/>
      <c r="T151" s="234"/>
      <c r="U151" s="234" t="b">
        <v>0</v>
      </c>
      <c r="V151" s="234" t="b">
        <v>0</v>
      </c>
      <c r="W151" s="234" t="b">
        <v>0</v>
      </c>
      <c r="X151" s="234" t="b">
        <v>0</v>
      </c>
      <c r="Y151" s="234" t="b">
        <v>0</v>
      </c>
      <c r="Z151" s="236" t="b">
        <v>0</v>
      </c>
      <c r="AA151" s="234"/>
      <c r="AB151" s="234"/>
      <c r="AC151" s="234" t="b">
        <v>0</v>
      </c>
      <c r="AD151" s="234" t="b">
        <v>0</v>
      </c>
      <c r="AE151" s="234" t="b">
        <v>0</v>
      </c>
      <c r="AF151" s="234" t="b">
        <v>0</v>
      </c>
      <c r="AG151" s="234" t="b">
        <v>0</v>
      </c>
      <c r="AH151" s="234" t="b">
        <v>0</v>
      </c>
      <c r="AI151" s="234" t="b">
        <v>0</v>
      </c>
      <c r="AJ151" s="234" t="b">
        <v>0</v>
      </c>
      <c r="AK151" s="234" t="b">
        <v>0</v>
      </c>
      <c r="AL151" s="234" t="b">
        <v>0</v>
      </c>
      <c r="AM151" s="234"/>
      <c r="AN151" s="234" t="b">
        <v>0</v>
      </c>
      <c r="AO151" s="234" t="b">
        <v>0</v>
      </c>
      <c r="AP151" s="234" t="b">
        <v>0</v>
      </c>
      <c r="AQ151" s="234"/>
      <c r="AR151" s="234" t="b">
        <v>0</v>
      </c>
      <c r="AS151" s="234"/>
      <c r="AT151" s="234"/>
      <c r="AU151" s="234"/>
      <c r="AV151" s="234"/>
      <c r="AW151" s="234" t="b">
        <v>0</v>
      </c>
      <c r="AX151" s="234"/>
      <c r="AY151" s="234"/>
      <c r="AZ151" s="234" t="b">
        <v>0</v>
      </c>
      <c r="BA151" s="234"/>
      <c r="BB151" s="234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H152" s="242"/>
      <c r="I152" s="242"/>
      <c r="J152" s="242"/>
      <c r="K152" s="234"/>
      <c r="L152" s="234"/>
      <c r="M152" s="234"/>
      <c r="N152" s="234"/>
      <c r="O152" s="234"/>
      <c r="P152" s="235">
        <f t="shared" si="1"/>
        <v>0</v>
      </c>
      <c r="Q152" s="234" t="b">
        <v>0</v>
      </c>
      <c r="R152" s="234"/>
      <c r="S152" s="234"/>
      <c r="T152" s="234"/>
      <c r="U152" s="234" t="b">
        <v>0</v>
      </c>
      <c r="V152" s="234" t="b">
        <v>0</v>
      </c>
      <c r="W152" s="234" t="b">
        <v>0</v>
      </c>
      <c r="X152" s="234" t="b">
        <v>0</v>
      </c>
      <c r="Y152" s="234" t="b">
        <v>0</v>
      </c>
      <c r="Z152" s="236" t="b">
        <v>0</v>
      </c>
      <c r="AA152" s="234"/>
      <c r="AB152" s="234"/>
      <c r="AC152" s="234" t="b">
        <v>0</v>
      </c>
      <c r="AD152" s="234" t="b">
        <v>0</v>
      </c>
      <c r="AE152" s="234" t="b">
        <v>0</v>
      </c>
      <c r="AF152" s="234" t="b">
        <v>0</v>
      </c>
      <c r="AG152" s="234" t="b">
        <v>0</v>
      </c>
      <c r="AH152" s="234" t="b">
        <v>0</v>
      </c>
      <c r="AI152" s="234" t="b">
        <v>0</v>
      </c>
      <c r="AJ152" s="234" t="b">
        <v>0</v>
      </c>
      <c r="AK152" s="234" t="b">
        <v>0</v>
      </c>
      <c r="AL152" s="234" t="b">
        <v>0</v>
      </c>
      <c r="AM152" s="234"/>
      <c r="AN152" s="234" t="b">
        <v>0</v>
      </c>
      <c r="AO152" s="234" t="b">
        <v>0</v>
      </c>
      <c r="AP152" s="234" t="b">
        <v>0</v>
      </c>
      <c r="AQ152" s="234"/>
      <c r="AR152" s="234" t="b">
        <v>0</v>
      </c>
      <c r="AS152" s="234"/>
      <c r="AT152" s="234"/>
      <c r="AU152" s="234"/>
      <c r="AV152" s="234"/>
      <c r="AW152" s="234" t="b">
        <v>0</v>
      </c>
      <c r="AX152" s="234"/>
      <c r="AY152" s="234"/>
      <c r="AZ152" s="234" t="b">
        <v>0</v>
      </c>
      <c r="BA152" s="234"/>
      <c r="BB152" s="234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H153" s="242"/>
      <c r="I153" s="242"/>
      <c r="J153" s="242"/>
      <c r="K153" s="234"/>
      <c r="L153" s="234"/>
      <c r="M153" s="234"/>
      <c r="N153" s="234"/>
      <c r="O153" s="234"/>
      <c r="P153" s="235">
        <f t="shared" si="1"/>
        <v>0</v>
      </c>
      <c r="Q153" s="234" t="b">
        <v>0</v>
      </c>
      <c r="R153" s="234"/>
      <c r="S153" s="234"/>
      <c r="T153" s="234"/>
      <c r="U153" s="234" t="b">
        <v>0</v>
      </c>
      <c r="V153" s="234" t="b">
        <v>0</v>
      </c>
      <c r="W153" s="234" t="b">
        <v>0</v>
      </c>
      <c r="X153" s="234" t="b">
        <v>0</v>
      </c>
      <c r="Y153" s="234" t="b">
        <v>0</v>
      </c>
      <c r="Z153" s="236" t="b">
        <v>0</v>
      </c>
      <c r="AA153" s="234"/>
      <c r="AB153" s="234"/>
      <c r="AC153" s="234" t="b">
        <v>0</v>
      </c>
      <c r="AD153" s="234" t="b">
        <v>0</v>
      </c>
      <c r="AE153" s="234" t="b">
        <v>0</v>
      </c>
      <c r="AF153" s="234" t="b">
        <v>0</v>
      </c>
      <c r="AG153" s="234" t="b">
        <v>0</v>
      </c>
      <c r="AH153" s="234" t="b">
        <v>0</v>
      </c>
      <c r="AI153" s="234" t="b">
        <v>0</v>
      </c>
      <c r="AJ153" s="234" t="b">
        <v>0</v>
      </c>
      <c r="AK153" s="234" t="b">
        <v>0</v>
      </c>
      <c r="AL153" s="234" t="b">
        <v>0</v>
      </c>
      <c r="AM153" s="234"/>
      <c r="AN153" s="234" t="b">
        <v>0</v>
      </c>
      <c r="AO153" s="234" t="b">
        <v>0</v>
      </c>
      <c r="AP153" s="234" t="b">
        <v>0</v>
      </c>
      <c r="AQ153" s="234"/>
      <c r="AR153" s="234" t="b">
        <v>0</v>
      </c>
      <c r="AS153" s="234"/>
      <c r="AT153" s="234"/>
      <c r="AU153" s="234"/>
      <c r="AV153" s="234"/>
      <c r="AW153" s="234" t="b">
        <v>0</v>
      </c>
      <c r="AX153" s="234"/>
      <c r="AY153" s="234"/>
      <c r="AZ153" s="234" t="b">
        <v>0</v>
      </c>
      <c r="BA153" s="234"/>
      <c r="BB153" s="234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H154" s="242"/>
      <c r="I154" s="242"/>
      <c r="J154" s="242"/>
      <c r="K154" s="234"/>
      <c r="L154" s="234"/>
      <c r="M154" s="234"/>
      <c r="N154" s="234"/>
      <c r="O154" s="234"/>
      <c r="P154" s="235">
        <f t="shared" si="1"/>
        <v>0</v>
      </c>
      <c r="Q154" s="234" t="b">
        <v>0</v>
      </c>
      <c r="R154" s="234"/>
      <c r="S154" s="234"/>
      <c r="T154" s="234"/>
      <c r="U154" s="234" t="b">
        <v>0</v>
      </c>
      <c r="V154" s="234" t="b">
        <v>0</v>
      </c>
      <c r="W154" s="234" t="b">
        <v>0</v>
      </c>
      <c r="X154" s="234" t="b">
        <v>0</v>
      </c>
      <c r="Y154" s="234" t="b">
        <v>0</v>
      </c>
      <c r="Z154" s="236" t="b">
        <v>0</v>
      </c>
      <c r="AA154" s="234"/>
      <c r="AB154" s="234"/>
      <c r="AC154" s="234" t="b">
        <v>0</v>
      </c>
      <c r="AD154" s="234" t="b">
        <v>0</v>
      </c>
      <c r="AE154" s="234" t="b">
        <v>0</v>
      </c>
      <c r="AF154" s="234" t="b">
        <v>0</v>
      </c>
      <c r="AG154" s="234" t="b">
        <v>0</v>
      </c>
      <c r="AH154" s="234" t="b">
        <v>0</v>
      </c>
      <c r="AI154" s="234" t="b">
        <v>0</v>
      </c>
      <c r="AJ154" s="234" t="b">
        <v>0</v>
      </c>
      <c r="AK154" s="234" t="b">
        <v>0</v>
      </c>
      <c r="AL154" s="234" t="b">
        <v>0</v>
      </c>
      <c r="AM154" s="234"/>
      <c r="AN154" s="234" t="b">
        <v>0</v>
      </c>
      <c r="AO154" s="234" t="b">
        <v>0</v>
      </c>
      <c r="AP154" s="234" t="b">
        <v>0</v>
      </c>
      <c r="AQ154" s="234"/>
      <c r="AR154" s="234" t="b">
        <v>0</v>
      </c>
      <c r="AS154" s="234"/>
      <c r="AT154" s="234"/>
      <c r="AU154" s="234"/>
      <c r="AV154" s="234"/>
      <c r="AW154" s="234" t="b">
        <v>0</v>
      </c>
      <c r="AX154" s="234"/>
      <c r="AY154" s="234"/>
      <c r="AZ154" s="234" t="b">
        <v>0</v>
      </c>
      <c r="BA154" s="234"/>
      <c r="BB154" s="234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H155" s="242"/>
      <c r="I155" s="242"/>
      <c r="J155" s="242"/>
      <c r="K155" s="234"/>
      <c r="L155" s="234"/>
      <c r="M155" s="234"/>
      <c r="N155" s="234"/>
      <c r="O155" s="234"/>
      <c r="P155" s="235">
        <f t="shared" si="1"/>
        <v>0</v>
      </c>
      <c r="Q155" s="234" t="b">
        <v>0</v>
      </c>
      <c r="R155" s="234"/>
      <c r="S155" s="234"/>
      <c r="T155" s="234"/>
      <c r="U155" s="234" t="b">
        <v>0</v>
      </c>
      <c r="V155" s="234" t="b">
        <v>0</v>
      </c>
      <c r="W155" s="234" t="b">
        <v>0</v>
      </c>
      <c r="X155" s="234" t="b">
        <v>0</v>
      </c>
      <c r="Y155" s="234" t="b">
        <v>0</v>
      </c>
      <c r="Z155" s="236" t="b">
        <v>0</v>
      </c>
      <c r="AA155" s="234"/>
      <c r="AB155" s="234"/>
      <c r="AC155" s="234" t="b">
        <v>0</v>
      </c>
      <c r="AD155" s="234" t="b">
        <v>0</v>
      </c>
      <c r="AE155" s="234" t="b">
        <v>0</v>
      </c>
      <c r="AF155" s="234" t="b">
        <v>0</v>
      </c>
      <c r="AG155" s="234" t="b">
        <v>0</v>
      </c>
      <c r="AH155" s="234" t="b">
        <v>0</v>
      </c>
      <c r="AI155" s="234" t="b">
        <v>0</v>
      </c>
      <c r="AJ155" s="234" t="b">
        <v>0</v>
      </c>
      <c r="AK155" s="234" t="b">
        <v>0</v>
      </c>
      <c r="AL155" s="234" t="b">
        <v>0</v>
      </c>
      <c r="AM155" s="234"/>
      <c r="AN155" s="234" t="b">
        <v>0</v>
      </c>
      <c r="AO155" s="234" t="b">
        <v>0</v>
      </c>
      <c r="AP155" s="234" t="b">
        <v>0</v>
      </c>
      <c r="AQ155" s="234"/>
      <c r="AR155" s="234" t="b">
        <v>0</v>
      </c>
      <c r="AS155" s="234"/>
      <c r="AT155" s="234"/>
      <c r="AU155" s="234"/>
      <c r="AV155" s="234"/>
      <c r="AW155" s="234" t="b">
        <v>0</v>
      </c>
      <c r="AX155" s="234"/>
      <c r="AY155" s="234"/>
      <c r="AZ155" s="234" t="b">
        <v>0</v>
      </c>
      <c r="BA155" s="234"/>
      <c r="BB155" s="234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H156" s="242"/>
      <c r="I156" s="242"/>
      <c r="J156" s="242"/>
      <c r="K156" s="234"/>
      <c r="L156" s="234"/>
      <c r="M156" s="234"/>
      <c r="N156" s="234"/>
      <c r="O156" s="234"/>
      <c r="P156" s="235">
        <f t="shared" si="1"/>
        <v>0</v>
      </c>
      <c r="Q156" s="234" t="b">
        <v>0</v>
      </c>
      <c r="R156" s="234"/>
      <c r="S156" s="234"/>
      <c r="T156" s="234"/>
      <c r="U156" s="234" t="b">
        <v>0</v>
      </c>
      <c r="V156" s="234" t="b">
        <v>0</v>
      </c>
      <c r="W156" s="234" t="b">
        <v>0</v>
      </c>
      <c r="X156" s="234" t="b">
        <v>0</v>
      </c>
      <c r="Y156" s="234" t="b">
        <v>0</v>
      </c>
      <c r="Z156" s="236" t="b">
        <v>0</v>
      </c>
      <c r="AA156" s="234"/>
      <c r="AB156" s="234"/>
      <c r="AC156" s="234" t="b">
        <v>0</v>
      </c>
      <c r="AD156" s="234" t="b">
        <v>0</v>
      </c>
      <c r="AE156" s="234" t="b">
        <v>0</v>
      </c>
      <c r="AF156" s="234" t="b">
        <v>0</v>
      </c>
      <c r="AG156" s="234" t="b">
        <v>0</v>
      </c>
      <c r="AH156" s="234" t="b">
        <v>0</v>
      </c>
      <c r="AI156" s="234" t="b">
        <v>0</v>
      </c>
      <c r="AJ156" s="234" t="b">
        <v>0</v>
      </c>
      <c r="AK156" s="234" t="b">
        <v>0</v>
      </c>
      <c r="AL156" s="234" t="b">
        <v>0</v>
      </c>
      <c r="AM156" s="234"/>
      <c r="AN156" s="234" t="b">
        <v>0</v>
      </c>
      <c r="AO156" s="234" t="b">
        <v>0</v>
      </c>
      <c r="AP156" s="234" t="b">
        <v>0</v>
      </c>
      <c r="AQ156" s="234"/>
      <c r="AR156" s="234" t="b">
        <v>0</v>
      </c>
      <c r="AS156" s="234"/>
      <c r="AT156" s="234"/>
      <c r="AU156" s="234"/>
      <c r="AV156" s="234"/>
      <c r="AW156" s="234" t="b">
        <v>0</v>
      </c>
      <c r="AX156" s="234"/>
      <c r="AY156" s="234"/>
      <c r="AZ156" s="234" t="b">
        <v>0</v>
      </c>
      <c r="BA156" s="234"/>
      <c r="BB156" s="234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H157" s="242"/>
      <c r="I157" s="242"/>
      <c r="J157" s="242"/>
      <c r="K157" s="234"/>
      <c r="L157" s="234"/>
      <c r="M157" s="234"/>
      <c r="N157" s="234"/>
      <c r="O157" s="234"/>
      <c r="P157" s="235">
        <f t="shared" si="1"/>
        <v>0</v>
      </c>
      <c r="Q157" s="234" t="b">
        <v>0</v>
      </c>
      <c r="R157" s="234"/>
      <c r="S157" s="234"/>
      <c r="T157" s="234"/>
      <c r="U157" s="234" t="b">
        <v>0</v>
      </c>
      <c r="V157" s="234" t="b">
        <v>0</v>
      </c>
      <c r="W157" s="234" t="b">
        <v>0</v>
      </c>
      <c r="X157" s="234" t="b">
        <v>0</v>
      </c>
      <c r="Y157" s="234" t="b">
        <v>0</v>
      </c>
      <c r="Z157" s="236" t="b">
        <v>0</v>
      </c>
      <c r="AA157" s="234"/>
      <c r="AB157" s="234"/>
      <c r="AC157" s="234" t="b">
        <v>0</v>
      </c>
      <c r="AD157" s="234" t="b">
        <v>0</v>
      </c>
      <c r="AE157" s="234" t="b">
        <v>0</v>
      </c>
      <c r="AF157" s="234" t="b">
        <v>0</v>
      </c>
      <c r="AG157" s="234" t="b">
        <v>0</v>
      </c>
      <c r="AH157" s="234" t="b">
        <v>0</v>
      </c>
      <c r="AI157" s="234" t="b">
        <v>0</v>
      </c>
      <c r="AJ157" s="234" t="b">
        <v>0</v>
      </c>
      <c r="AK157" s="234" t="b">
        <v>0</v>
      </c>
      <c r="AL157" s="234" t="b">
        <v>0</v>
      </c>
      <c r="AM157" s="234"/>
      <c r="AN157" s="234" t="b">
        <v>0</v>
      </c>
      <c r="AO157" s="234" t="b">
        <v>0</v>
      </c>
      <c r="AP157" s="234" t="b">
        <v>0</v>
      </c>
      <c r="AQ157" s="234"/>
      <c r="AR157" s="234" t="b">
        <v>0</v>
      </c>
      <c r="AS157" s="234"/>
      <c r="AT157" s="234"/>
      <c r="AU157" s="234"/>
      <c r="AV157" s="234"/>
      <c r="AW157" s="234" t="b">
        <v>0</v>
      </c>
      <c r="AX157" s="234"/>
      <c r="AY157" s="234"/>
      <c r="AZ157" s="234" t="b">
        <v>0</v>
      </c>
      <c r="BA157" s="234"/>
      <c r="BB157" s="234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H158" s="242"/>
      <c r="I158" s="242"/>
      <c r="J158" s="242"/>
      <c r="K158" s="234"/>
      <c r="L158" s="234"/>
      <c r="M158" s="234"/>
      <c r="N158" s="234"/>
      <c r="O158" s="234"/>
      <c r="P158" s="235">
        <f t="shared" si="1"/>
        <v>0</v>
      </c>
      <c r="Q158" s="234" t="b">
        <v>0</v>
      </c>
      <c r="R158" s="234"/>
      <c r="S158" s="234"/>
      <c r="T158" s="234"/>
      <c r="U158" s="234" t="b">
        <v>0</v>
      </c>
      <c r="V158" s="234" t="b">
        <v>0</v>
      </c>
      <c r="W158" s="234" t="b">
        <v>0</v>
      </c>
      <c r="X158" s="234" t="b">
        <v>0</v>
      </c>
      <c r="Y158" s="234" t="b">
        <v>0</v>
      </c>
      <c r="Z158" s="236" t="b">
        <v>0</v>
      </c>
      <c r="AA158" s="234"/>
      <c r="AB158" s="234"/>
      <c r="AC158" s="234" t="b">
        <v>0</v>
      </c>
      <c r="AD158" s="234" t="b">
        <v>0</v>
      </c>
      <c r="AE158" s="234" t="b">
        <v>0</v>
      </c>
      <c r="AF158" s="234" t="b">
        <v>0</v>
      </c>
      <c r="AG158" s="234" t="b">
        <v>0</v>
      </c>
      <c r="AH158" s="234" t="b">
        <v>0</v>
      </c>
      <c r="AI158" s="234" t="b">
        <v>0</v>
      </c>
      <c r="AJ158" s="234" t="b">
        <v>0</v>
      </c>
      <c r="AK158" s="234" t="b">
        <v>0</v>
      </c>
      <c r="AL158" s="234" t="b">
        <v>0</v>
      </c>
      <c r="AM158" s="234"/>
      <c r="AN158" s="234" t="b">
        <v>0</v>
      </c>
      <c r="AO158" s="234" t="b">
        <v>0</v>
      </c>
      <c r="AP158" s="234" t="b">
        <v>0</v>
      </c>
      <c r="AQ158" s="234"/>
      <c r="AR158" s="234" t="b">
        <v>0</v>
      </c>
      <c r="AS158" s="234"/>
      <c r="AT158" s="234"/>
      <c r="AU158" s="234"/>
      <c r="AV158" s="234"/>
      <c r="AW158" s="234" t="b">
        <v>0</v>
      </c>
      <c r="AX158" s="234"/>
      <c r="AY158" s="234"/>
      <c r="AZ158" s="234" t="b">
        <v>0</v>
      </c>
      <c r="BA158" s="234"/>
      <c r="BB158" s="234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H159" s="242"/>
      <c r="I159" s="242"/>
      <c r="J159" s="242"/>
      <c r="K159" s="234"/>
      <c r="L159" s="234"/>
      <c r="M159" s="234"/>
      <c r="N159" s="234"/>
      <c r="O159" s="234"/>
      <c r="P159" s="235">
        <f t="shared" si="1"/>
        <v>0</v>
      </c>
      <c r="Q159" s="234" t="b">
        <v>0</v>
      </c>
      <c r="R159" s="234"/>
      <c r="S159" s="234"/>
      <c r="T159" s="234"/>
      <c r="U159" s="234" t="b">
        <v>0</v>
      </c>
      <c r="V159" s="234" t="b">
        <v>0</v>
      </c>
      <c r="W159" s="234" t="b">
        <v>0</v>
      </c>
      <c r="X159" s="234" t="b">
        <v>0</v>
      </c>
      <c r="Y159" s="234" t="b">
        <v>0</v>
      </c>
      <c r="Z159" s="236" t="b">
        <v>0</v>
      </c>
      <c r="AA159" s="234"/>
      <c r="AB159" s="234"/>
      <c r="AC159" s="234" t="b">
        <v>0</v>
      </c>
      <c r="AD159" s="234" t="b">
        <v>0</v>
      </c>
      <c r="AE159" s="234" t="b">
        <v>0</v>
      </c>
      <c r="AF159" s="234" t="b">
        <v>0</v>
      </c>
      <c r="AG159" s="234" t="b">
        <v>0</v>
      </c>
      <c r="AH159" s="234" t="b">
        <v>0</v>
      </c>
      <c r="AI159" s="234" t="b">
        <v>0</v>
      </c>
      <c r="AJ159" s="234" t="b">
        <v>0</v>
      </c>
      <c r="AK159" s="234" t="b">
        <v>0</v>
      </c>
      <c r="AL159" s="234" t="b">
        <v>0</v>
      </c>
      <c r="AM159" s="234"/>
      <c r="AN159" s="234" t="b">
        <v>0</v>
      </c>
      <c r="AO159" s="234" t="b">
        <v>0</v>
      </c>
      <c r="AP159" s="234" t="b">
        <v>0</v>
      </c>
      <c r="AQ159" s="234"/>
      <c r="AR159" s="234" t="b">
        <v>0</v>
      </c>
      <c r="AS159" s="234"/>
      <c r="AT159" s="234"/>
      <c r="AU159" s="234"/>
      <c r="AV159" s="234"/>
      <c r="AW159" s="234" t="b">
        <v>0</v>
      </c>
      <c r="AX159" s="234"/>
      <c r="AY159" s="234"/>
      <c r="AZ159" s="234" t="b">
        <v>0</v>
      </c>
      <c r="BA159" s="234"/>
      <c r="BB159" s="234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H160" s="242"/>
      <c r="I160" s="242"/>
      <c r="J160" s="242"/>
      <c r="K160" s="234"/>
      <c r="L160" s="234"/>
      <c r="M160" s="234"/>
      <c r="N160" s="234"/>
      <c r="O160" s="234"/>
      <c r="P160" s="235">
        <f t="shared" si="1"/>
        <v>0</v>
      </c>
      <c r="Q160" s="234" t="b">
        <v>0</v>
      </c>
      <c r="R160" s="234"/>
      <c r="S160" s="234"/>
      <c r="T160" s="234"/>
      <c r="U160" s="234" t="b">
        <v>0</v>
      </c>
      <c r="V160" s="234" t="b">
        <v>0</v>
      </c>
      <c r="W160" s="234" t="b">
        <v>0</v>
      </c>
      <c r="X160" s="234" t="b">
        <v>0</v>
      </c>
      <c r="Y160" s="234" t="b">
        <v>0</v>
      </c>
      <c r="Z160" s="236" t="b">
        <v>0</v>
      </c>
      <c r="AA160" s="234"/>
      <c r="AB160" s="234"/>
      <c r="AC160" s="234" t="b">
        <v>0</v>
      </c>
      <c r="AD160" s="234" t="b">
        <v>0</v>
      </c>
      <c r="AE160" s="234" t="b">
        <v>0</v>
      </c>
      <c r="AF160" s="234" t="b">
        <v>0</v>
      </c>
      <c r="AG160" s="234" t="b">
        <v>0</v>
      </c>
      <c r="AH160" s="234" t="b">
        <v>0</v>
      </c>
      <c r="AI160" s="234" t="b">
        <v>0</v>
      </c>
      <c r="AJ160" s="234" t="b">
        <v>0</v>
      </c>
      <c r="AK160" s="234" t="b">
        <v>0</v>
      </c>
      <c r="AL160" s="234" t="b">
        <v>0</v>
      </c>
      <c r="AM160" s="234"/>
      <c r="AN160" s="234" t="b">
        <v>0</v>
      </c>
      <c r="AO160" s="234" t="b">
        <v>0</v>
      </c>
      <c r="AP160" s="234" t="b">
        <v>0</v>
      </c>
      <c r="AQ160" s="234"/>
      <c r="AR160" s="234" t="b">
        <v>0</v>
      </c>
      <c r="AS160" s="234"/>
      <c r="AT160" s="234"/>
      <c r="AU160" s="234"/>
      <c r="AV160" s="234"/>
      <c r="AW160" s="234" t="b">
        <v>0</v>
      </c>
      <c r="AX160" s="234"/>
      <c r="AY160" s="234"/>
      <c r="AZ160" s="234" t="b">
        <v>0</v>
      </c>
      <c r="BA160" s="234"/>
      <c r="BB160" s="234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H161" s="242"/>
      <c r="I161" s="242"/>
      <c r="J161" s="242"/>
      <c r="K161" s="234"/>
      <c r="L161" s="234"/>
      <c r="M161" s="234"/>
      <c r="N161" s="234"/>
      <c r="O161" s="234"/>
      <c r="P161" s="235">
        <f t="shared" si="1"/>
        <v>0</v>
      </c>
      <c r="Q161" s="234" t="b">
        <v>0</v>
      </c>
      <c r="R161" s="234"/>
      <c r="S161" s="234"/>
      <c r="T161" s="234"/>
      <c r="U161" s="234" t="b">
        <v>0</v>
      </c>
      <c r="V161" s="234" t="b">
        <v>0</v>
      </c>
      <c r="W161" s="234" t="b">
        <v>0</v>
      </c>
      <c r="X161" s="234" t="b">
        <v>0</v>
      </c>
      <c r="Y161" s="234" t="b">
        <v>0</v>
      </c>
      <c r="Z161" s="236" t="b">
        <v>0</v>
      </c>
      <c r="AA161" s="234"/>
      <c r="AB161" s="234"/>
      <c r="AC161" s="234" t="b">
        <v>0</v>
      </c>
      <c r="AD161" s="234" t="b">
        <v>0</v>
      </c>
      <c r="AE161" s="234" t="b">
        <v>0</v>
      </c>
      <c r="AF161" s="234" t="b">
        <v>0</v>
      </c>
      <c r="AG161" s="234" t="b">
        <v>0</v>
      </c>
      <c r="AH161" s="234" t="b">
        <v>0</v>
      </c>
      <c r="AI161" s="234" t="b">
        <v>0</v>
      </c>
      <c r="AJ161" s="234" t="b">
        <v>0</v>
      </c>
      <c r="AK161" s="234" t="b">
        <v>0</v>
      </c>
      <c r="AL161" s="234" t="b">
        <v>0</v>
      </c>
      <c r="AM161" s="234"/>
      <c r="AN161" s="234" t="b">
        <v>0</v>
      </c>
      <c r="AO161" s="234" t="b">
        <v>0</v>
      </c>
      <c r="AP161" s="234" t="b">
        <v>0</v>
      </c>
      <c r="AQ161" s="234"/>
      <c r="AR161" s="234" t="b">
        <v>0</v>
      </c>
      <c r="AS161" s="234"/>
      <c r="AT161" s="234"/>
      <c r="AU161" s="234"/>
      <c r="AV161" s="234"/>
      <c r="AW161" s="234" t="b">
        <v>0</v>
      </c>
      <c r="AX161" s="234"/>
      <c r="AY161" s="234"/>
      <c r="AZ161" s="234" t="b">
        <v>0</v>
      </c>
      <c r="BA161" s="234"/>
      <c r="BB161" s="234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H162" s="242"/>
      <c r="I162" s="242"/>
      <c r="J162" s="242"/>
      <c r="K162" s="234"/>
      <c r="L162" s="234"/>
      <c r="M162" s="234"/>
      <c r="N162" s="234"/>
      <c r="O162" s="234"/>
      <c r="P162" s="235">
        <f t="shared" si="1"/>
        <v>0</v>
      </c>
      <c r="Q162" s="234" t="b">
        <v>0</v>
      </c>
      <c r="R162" s="234"/>
      <c r="S162" s="234"/>
      <c r="T162" s="234"/>
      <c r="U162" s="234" t="b">
        <v>0</v>
      </c>
      <c r="V162" s="234" t="b">
        <v>0</v>
      </c>
      <c r="W162" s="234" t="b">
        <v>0</v>
      </c>
      <c r="X162" s="234" t="b">
        <v>0</v>
      </c>
      <c r="Y162" s="234" t="b">
        <v>0</v>
      </c>
      <c r="Z162" s="236" t="b">
        <v>0</v>
      </c>
      <c r="AA162" s="234"/>
      <c r="AB162" s="234"/>
      <c r="AC162" s="234" t="b">
        <v>0</v>
      </c>
      <c r="AD162" s="234" t="b">
        <v>0</v>
      </c>
      <c r="AE162" s="234" t="b">
        <v>0</v>
      </c>
      <c r="AF162" s="234" t="b">
        <v>0</v>
      </c>
      <c r="AG162" s="234" t="b">
        <v>0</v>
      </c>
      <c r="AH162" s="234" t="b">
        <v>0</v>
      </c>
      <c r="AI162" s="234" t="b">
        <v>0</v>
      </c>
      <c r="AJ162" s="234" t="b">
        <v>0</v>
      </c>
      <c r="AK162" s="234" t="b">
        <v>0</v>
      </c>
      <c r="AL162" s="234" t="b">
        <v>0</v>
      </c>
      <c r="AM162" s="234"/>
      <c r="AN162" s="234" t="b">
        <v>0</v>
      </c>
      <c r="AO162" s="234" t="b">
        <v>0</v>
      </c>
      <c r="AP162" s="234" t="b">
        <v>0</v>
      </c>
      <c r="AQ162" s="234"/>
      <c r="AR162" s="234" t="b">
        <v>0</v>
      </c>
      <c r="AS162" s="234"/>
      <c r="AT162" s="234"/>
      <c r="AU162" s="234"/>
      <c r="AV162" s="234"/>
      <c r="AW162" s="234" t="b">
        <v>0</v>
      </c>
      <c r="AX162" s="234"/>
      <c r="AY162" s="234"/>
      <c r="AZ162" s="234" t="b">
        <v>0</v>
      </c>
      <c r="BA162" s="234"/>
      <c r="BB162" s="234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H163" s="242"/>
      <c r="I163" s="242"/>
      <c r="J163" s="242"/>
      <c r="K163" s="234"/>
      <c r="L163" s="234"/>
      <c r="M163" s="234"/>
      <c r="N163" s="234"/>
      <c r="O163" s="234"/>
      <c r="P163" s="235">
        <f t="shared" si="1"/>
        <v>0</v>
      </c>
      <c r="Q163" s="234" t="b">
        <v>0</v>
      </c>
      <c r="R163" s="234"/>
      <c r="S163" s="234"/>
      <c r="T163" s="234"/>
      <c r="U163" s="234" t="b">
        <v>0</v>
      </c>
      <c r="V163" s="234" t="b">
        <v>0</v>
      </c>
      <c r="W163" s="234" t="b">
        <v>0</v>
      </c>
      <c r="X163" s="234" t="b">
        <v>0</v>
      </c>
      <c r="Y163" s="234" t="b">
        <v>0</v>
      </c>
      <c r="Z163" s="236" t="b">
        <v>0</v>
      </c>
      <c r="AA163" s="234"/>
      <c r="AB163" s="234"/>
      <c r="AC163" s="234" t="b">
        <v>0</v>
      </c>
      <c r="AD163" s="234" t="b">
        <v>0</v>
      </c>
      <c r="AE163" s="234" t="b">
        <v>0</v>
      </c>
      <c r="AF163" s="234" t="b">
        <v>0</v>
      </c>
      <c r="AG163" s="234" t="b">
        <v>0</v>
      </c>
      <c r="AH163" s="234" t="b">
        <v>0</v>
      </c>
      <c r="AI163" s="234" t="b">
        <v>0</v>
      </c>
      <c r="AJ163" s="234" t="b">
        <v>0</v>
      </c>
      <c r="AK163" s="234" t="b">
        <v>0</v>
      </c>
      <c r="AL163" s="234" t="b">
        <v>0</v>
      </c>
      <c r="AM163" s="234"/>
      <c r="AN163" s="234" t="b">
        <v>0</v>
      </c>
      <c r="AO163" s="234" t="b">
        <v>0</v>
      </c>
      <c r="AP163" s="234" t="b">
        <v>0</v>
      </c>
      <c r="AQ163" s="234"/>
      <c r="AR163" s="234" t="b">
        <v>0</v>
      </c>
      <c r="AS163" s="234"/>
      <c r="AT163" s="234"/>
      <c r="AU163" s="234"/>
      <c r="AV163" s="234"/>
      <c r="AW163" s="234" t="b">
        <v>0</v>
      </c>
      <c r="AX163" s="234"/>
      <c r="AY163" s="234"/>
      <c r="AZ163" s="234" t="b">
        <v>0</v>
      </c>
      <c r="BA163" s="234"/>
      <c r="BB163" s="234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H164" s="242"/>
      <c r="I164" s="242"/>
      <c r="J164" s="242"/>
      <c r="K164" s="234"/>
      <c r="L164" s="234"/>
      <c r="M164" s="234"/>
      <c r="N164" s="234"/>
      <c r="O164" s="234"/>
      <c r="P164" s="235">
        <f t="shared" si="1"/>
        <v>0</v>
      </c>
      <c r="Q164" s="234" t="b">
        <v>0</v>
      </c>
      <c r="R164" s="234"/>
      <c r="S164" s="234"/>
      <c r="T164" s="234"/>
      <c r="U164" s="234" t="b">
        <v>0</v>
      </c>
      <c r="V164" s="234" t="b">
        <v>0</v>
      </c>
      <c r="W164" s="234" t="b">
        <v>0</v>
      </c>
      <c r="X164" s="234" t="b">
        <v>0</v>
      </c>
      <c r="Y164" s="234" t="b">
        <v>0</v>
      </c>
      <c r="Z164" s="236" t="b">
        <v>0</v>
      </c>
      <c r="AA164" s="234"/>
      <c r="AB164" s="234"/>
      <c r="AC164" s="234" t="b">
        <v>0</v>
      </c>
      <c r="AD164" s="234" t="b">
        <v>0</v>
      </c>
      <c r="AE164" s="234" t="b">
        <v>0</v>
      </c>
      <c r="AF164" s="234" t="b">
        <v>0</v>
      </c>
      <c r="AG164" s="234" t="b">
        <v>0</v>
      </c>
      <c r="AH164" s="234" t="b">
        <v>0</v>
      </c>
      <c r="AI164" s="234" t="b">
        <v>0</v>
      </c>
      <c r="AJ164" s="234" t="b">
        <v>0</v>
      </c>
      <c r="AK164" s="234" t="b">
        <v>0</v>
      </c>
      <c r="AL164" s="234" t="b">
        <v>0</v>
      </c>
      <c r="AM164" s="234"/>
      <c r="AN164" s="234" t="b">
        <v>0</v>
      </c>
      <c r="AO164" s="234" t="b">
        <v>0</v>
      </c>
      <c r="AP164" s="234" t="b">
        <v>0</v>
      </c>
      <c r="AQ164" s="234"/>
      <c r="AR164" s="234" t="b">
        <v>0</v>
      </c>
      <c r="AS164" s="234"/>
      <c r="AT164" s="234"/>
      <c r="AU164" s="234"/>
      <c r="AV164" s="234"/>
      <c r="AW164" s="234" t="b">
        <v>0</v>
      </c>
      <c r="AX164" s="234"/>
      <c r="AY164" s="234"/>
      <c r="AZ164" s="234" t="b">
        <v>0</v>
      </c>
      <c r="BA164" s="234"/>
      <c r="BB164" s="234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H165" s="242"/>
      <c r="I165" s="242"/>
      <c r="J165" s="242"/>
      <c r="K165" s="234"/>
      <c r="L165" s="234"/>
      <c r="M165" s="234"/>
      <c r="N165" s="234"/>
      <c r="O165" s="234"/>
      <c r="P165" s="235">
        <f t="shared" si="1"/>
        <v>0</v>
      </c>
      <c r="Q165" s="234" t="b">
        <v>0</v>
      </c>
      <c r="R165" s="234"/>
      <c r="S165" s="234"/>
      <c r="T165" s="234"/>
      <c r="U165" s="234" t="b">
        <v>0</v>
      </c>
      <c r="V165" s="234" t="b">
        <v>0</v>
      </c>
      <c r="W165" s="234" t="b">
        <v>0</v>
      </c>
      <c r="X165" s="234" t="b">
        <v>0</v>
      </c>
      <c r="Y165" s="234" t="b">
        <v>0</v>
      </c>
      <c r="Z165" s="236" t="b">
        <v>0</v>
      </c>
      <c r="AA165" s="234"/>
      <c r="AB165" s="234"/>
      <c r="AC165" s="234" t="b">
        <v>0</v>
      </c>
      <c r="AD165" s="234" t="b">
        <v>0</v>
      </c>
      <c r="AE165" s="234" t="b">
        <v>0</v>
      </c>
      <c r="AF165" s="234" t="b">
        <v>0</v>
      </c>
      <c r="AG165" s="234" t="b">
        <v>0</v>
      </c>
      <c r="AH165" s="234" t="b">
        <v>0</v>
      </c>
      <c r="AI165" s="234" t="b">
        <v>0</v>
      </c>
      <c r="AJ165" s="234" t="b">
        <v>0</v>
      </c>
      <c r="AK165" s="234" t="b">
        <v>0</v>
      </c>
      <c r="AL165" s="234" t="b">
        <v>0</v>
      </c>
      <c r="AM165" s="234"/>
      <c r="AN165" s="234" t="b">
        <v>0</v>
      </c>
      <c r="AO165" s="234" t="b">
        <v>0</v>
      </c>
      <c r="AP165" s="234" t="b">
        <v>0</v>
      </c>
      <c r="AQ165" s="234"/>
      <c r="AR165" s="234" t="b">
        <v>0</v>
      </c>
      <c r="AS165" s="234"/>
      <c r="AT165" s="234"/>
      <c r="AU165" s="234"/>
      <c r="AV165" s="234"/>
      <c r="AW165" s="234" t="b">
        <v>0</v>
      </c>
      <c r="AX165" s="234"/>
      <c r="AY165" s="234"/>
      <c r="AZ165" s="234" t="b">
        <v>0</v>
      </c>
      <c r="BA165" s="234"/>
      <c r="BB165" s="234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H166" s="242"/>
      <c r="I166" s="242"/>
      <c r="J166" s="242"/>
      <c r="K166" s="234"/>
      <c r="L166" s="234"/>
      <c r="M166" s="234"/>
      <c r="N166" s="234"/>
      <c r="O166" s="234"/>
      <c r="P166" s="235">
        <f t="shared" si="1"/>
        <v>0</v>
      </c>
      <c r="Q166" s="234" t="b">
        <v>0</v>
      </c>
      <c r="R166" s="234"/>
      <c r="S166" s="234"/>
      <c r="T166" s="234"/>
      <c r="U166" s="234" t="b">
        <v>0</v>
      </c>
      <c r="V166" s="234" t="b">
        <v>0</v>
      </c>
      <c r="W166" s="234" t="b">
        <v>0</v>
      </c>
      <c r="X166" s="234" t="b">
        <v>0</v>
      </c>
      <c r="Y166" s="234" t="b">
        <v>0</v>
      </c>
      <c r="Z166" s="236" t="b">
        <v>0</v>
      </c>
      <c r="AA166" s="234"/>
      <c r="AB166" s="234"/>
      <c r="AC166" s="234" t="b">
        <v>0</v>
      </c>
      <c r="AD166" s="234" t="b">
        <v>0</v>
      </c>
      <c r="AE166" s="234" t="b">
        <v>0</v>
      </c>
      <c r="AF166" s="234" t="b">
        <v>0</v>
      </c>
      <c r="AG166" s="234" t="b">
        <v>0</v>
      </c>
      <c r="AH166" s="234" t="b">
        <v>0</v>
      </c>
      <c r="AI166" s="234" t="b">
        <v>0</v>
      </c>
      <c r="AJ166" s="234" t="b">
        <v>0</v>
      </c>
      <c r="AK166" s="234" t="b">
        <v>0</v>
      </c>
      <c r="AL166" s="234" t="b">
        <v>0</v>
      </c>
      <c r="AM166" s="234"/>
      <c r="AN166" s="234" t="b">
        <v>0</v>
      </c>
      <c r="AO166" s="234" t="b">
        <v>0</v>
      </c>
      <c r="AP166" s="234" t="b">
        <v>0</v>
      </c>
      <c r="AQ166" s="234"/>
      <c r="AR166" s="234" t="b">
        <v>0</v>
      </c>
      <c r="AS166" s="234"/>
      <c r="AT166" s="234"/>
      <c r="AU166" s="234"/>
      <c r="AV166" s="234"/>
      <c r="AW166" s="234" t="b">
        <v>0</v>
      </c>
      <c r="AX166" s="234"/>
      <c r="AY166" s="234"/>
      <c r="AZ166" s="234" t="b">
        <v>0</v>
      </c>
      <c r="BA166" s="234"/>
      <c r="BB166" s="234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H167" s="242"/>
      <c r="I167" s="242"/>
      <c r="J167" s="242"/>
      <c r="K167" s="234"/>
      <c r="L167" s="234"/>
      <c r="M167" s="234"/>
      <c r="N167" s="234"/>
      <c r="O167" s="234"/>
      <c r="P167" s="235">
        <f t="shared" si="1"/>
        <v>0</v>
      </c>
      <c r="Q167" s="234" t="b">
        <v>0</v>
      </c>
      <c r="R167" s="234"/>
      <c r="S167" s="234"/>
      <c r="T167" s="234"/>
      <c r="U167" s="234" t="b">
        <v>0</v>
      </c>
      <c r="V167" s="234" t="b">
        <v>0</v>
      </c>
      <c r="W167" s="234" t="b">
        <v>0</v>
      </c>
      <c r="X167" s="234" t="b">
        <v>0</v>
      </c>
      <c r="Y167" s="234" t="b">
        <v>0</v>
      </c>
      <c r="Z167" s="236" t="b">
        <v>0</v>
      </c>
      <c r="AA167" s="234"/>
      <c r="AB167" s="234"/>
      <c r="AC167" s="234" t="b">
        <v>0</v>
      </c>
      <c r="AD167" s="234" t="b">
        <v>0</v>
      </c>
      <c r="AE167" s="234" t="b">
        <v>0</v>
      </c>
      <c r="AF167" s="234" t="b">
        <v>0</v>
      </c>
      <c r="AG167" s="234" t="b">
        <v>0</v>
      </c>
      <c r="AH167" s="234" t="b">
        <v>0</v>
      </c>
      <c r="AI167" s="234" t="b">
        <v>0</v>
      </c>
      <c r="AJ167" s="234" t="b">
        <v>0</v>
      </c>
      <c r="AK167" s="234" t="b">
        <v>0</v>
      </c>
      <c r="AL167" s="234" t="b">
        <v>0</v>
      </c>
      <c r="AM167" s="234"/>
      <c r="AN167" s="234" t="b">
        <v>0</v>
      </c>
      <c r="AO167" s="234" t="b">
        <v>0</v>
      </c>
      <c r="AP167" s="234" t="b">
        <v>0</v>
      </c>
      <c r="AQ167" s="234"/>
      <c r="AR167" s="234" t="b">
        <v>0</v>
      </c>
      <c r="AS167" s="234"/>
      <c r="AT167" s="234"/>
      <c r="AU167" s="234"/>
      <c r="AV167" s="234"/>
      <c r="AW167" s="234" t="b">
        <v>0</v>
      </c>
      <c r="AX167" s="234"/>
      <c r="AY167" s="234"/>
      <c r="AZ167" s="234" t="b">
        <v>0</v>
      </c>
      <c r="BA167" s="234"/>
      <c r="BB167" s="234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H168" s="242"/>
      <c r="I168" s="242"/>
      <c r="J168" s="242"/>
      <c r="K168" s="234"/>
      <c r="L168" s="234"/>
      <c r="M168" s="234"/>
      <c r="N168" s="234"/>
      <c r="O168" s="234"/>
      <c r="P168" s="235">
        <f t="shared" si="1"/>
        <v>0</v>
      </c>
      <c r="Q168" s="234" t="b">
        <v>0</v>
      </c>
      <c r="R168" s="234"/>
      <c r="S168" s="234"/>
      <c r="T168" s="234"/>
      <c r="U168" s="234" t="b">
        <v>0</v>
      </c>
      <c r="V168" s="234" t="b">
        <v>0</v>
      </c>
      <c r="W168" s="234" t="b">
        <v>0</v>
      </c>
      <c r="X168" s="234" t="b">
        <v>0</v>
      </c>
      <c r="Y168" s="234" t="b">
        <v>0</v>
      </c>
      <c r="Z168" s="236" t="b">
        <v>0</v>
      </c>
      <c r="AA168" s="234"/>
      <c r="AB168" s="234"/>
      <c r="AC168" s="234" t="b">
        <v>0</v>
      </c>
      <c r="AD168" s="234" t="b">
        <v>0</v>
      </c>
      <c r="AE168" s="234" t="b">
        <v>0</v>
      </c>
      <c r="AF168" s="234" t="b">
        <v>0</v>
      </c>
      <c r="AG168" s="234" t="b">
        <v>0</v>
      </c>
      <c r="AH168" s="234" t="b">
        <v>0</v>
      </c>
      <c r="AI168" s="234" t="b">
        <v>0</v>
      </c>
      <c r="AJ168" s="234" t="b">
        <v>0</v>
      </c>
      <c r="AK168" s="234" t="b">
        <v>0</v>
      </c>
      <c r="AL168" s="234" t="b">
        <v>0</v>
      </c>
      <c r="AM168" s="234"/>
      <c r="AN168" s="234" t="b">
        <v>0</v>
      </c>
      <c r="AO168" s="234" t="b">
        <v>0</v>
      </c>
      <c r="AP168" s="234" t="b">
        <v>0</v>
      </c>
      <c r="AQ168" s="234"/>
      <c r="AR168" s="234" t="b">
        <v>0</v>
      </c>
      <c r="AS168" s="234"/>
      <c r="AT168" s="234"/>
      <c r="AU168" s="234"/>
      <c r="AV168" s="234"/>
      <c r="AW168" s="234" t="b">
        <v>0</v>
      </c>
      <c r="AX168" s="234"/>
      <c r="AY168" s="234"/>
      <c r="AZ168" s="234" t="b">
        <v>0</v>
      </c>
      <c r="BA168" s="234"/>
      <c r="BB168" s="234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H169" s="242"/>
      <c r="I169" s="242"/>
      <c r="J169" s="242"/>
      <c r="K169" s="234"/>
      <c r="L169" s="234"/>
      <c r="M169" s="234"/>
      <c r="N169" s="234"/>
      <c r="O169" s="234"/>
      <c r="P169" s="235">
        <f t="shared" si="1"/>
        <v>0</v>
      </c>
      <c r="Q169" s="234" t="b">
        <v>0</v>
      </c>
      <c r="R169" s="234"/>
      <c r="S169" s="234"/>
      <c r="T169" s="234"/>
      <c r="U169" s="234" t="b">
        <v>0</v>
      </c>
      <c r="V169" s="234" t="b">
        <v>0</v>
      </c>
      <c r="W169" s="234" t="b">
        <v>0</v>
      </c>
      <c r="X169" s="234" t="b">
        <v>0</v>
      </c>
      <c r="Y169" s="234" t="b">
        <v>0</v>
      </c>
      <c r="Z169" s="236" t="b">
        <v>0</v>
      </c>
      <c r="AA169" s="234"/>
      <c r="AB169" s="234"/>
      <c r="AC169" s="234" t="b">
        <v>0</v>
      </c>
      <c r="AD169" s="234" t="b">
        <v>0</v>
      </c>
      <c r="AE169" s="234" t="b">
        <v>0</v>
      </c>
      <c r="AF169" s="234" t="b">
        <v>0</v>
      </c>
      <c r="AG169" s="234" t="b">
        <v>0</v>
      </c>
      <c r="AH169" s="234" t="b">
        <v>0</v>
      </c>
      <c r="AI169" s="234" t="b">
        <v>0</v>
      </c>
      <c r="AJ169" s="234" t="b">
        <v>0</v>
      </c>
      <c r="AK169" s="234" t="b">
        <v>0</v>
      </c>
      <c r="AL169" s="234" t="b">
        <v>0</v>
      </c>
      <c r="AM169" s="234"/>
      <c r="AN169" s="234" t="b">
        <v>0</v>
      </c>
      <c r="AO169" s="234" t="b">
        <v>0</v>
      </c>
      <c r="AP169" s="234" t="b">
        <v>0</v>
      </c>
      <c r="AQ169" s="234"/>
      <c r="AR169" s="234" t="b">
        <v>0</v>
      </c>
      <c r="AS169" s="234"/>
      <c r="AT169" s="234"/>
      <c r="AU169" s="234"/>
      <c r="AV169" s="234"/>
      <c r="AW169" s="234" t="b">
        <v>0</v>
      </c>
      <c r="AX169" s="234"/>
      <c r="AY169" s="234"/>
      <c r="AZ169" s="234" t="b">
        <v>0</v>
      </c>
      <c r="BA169" s="234"/>
      <c r="BB169" s="234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H170" s="242"/>
      <c r="I170" s="242"/>
      <c r="J170" s="242"/>
      <c r="K170" s="234"/>
      <c r="L170" s="234"/>
      <c r="M170" s="234"/>
      <c r="N170" s="234"/>
      <c r="O170" s="234"/>
      <c r="P170" s="235">
        <f t="shared" si="1"/>
        <v>0</v>
      </c>
      <c r="Q170" s="234" t="b">
        <v>0</v>
      </c>
      <c r="R170" s="234"/>
      <c r="S170" s="234"/>
      <c r="T170" s="234"/>
      <c r="U170" s="234" t="b">
        <v>0</v>
      </c>
      <c r="V170" s="234" t="b">
        <v>0</v>
      </c>
      <c r="W170" s="234" t="b">
        <v>0</v>
      </c>
      <c r="X170" s="234" t="b">
        <v>0</v>
      </c>
      <c r="Y170" s="234" t="b">
        <v>0</v>
      </c>
      <c r="Z170" s="236" t="b">
        <v>0</v>
      </c>
      <c r="AA170" s="234"/>
      <c r="AB170" s="234"/>
      <c r="AC170" s="234" t="b">
        <v>0</v>
      </c>
      <c r="AD170" s="234" t="b">
        <v>0</v>
      </c>
      <c r="AE170" s="234" t="b">
        <v>0</v>
      </c>
      <c r="AF170" s="234" t="b">
        <v>0</v>
      </c>
      <c r="AG170" s="234" t="b">
        <v>0</v>
      </c>
      <c r="AH170" s="234" t="b">
        <v>0</v>
      </c>
      <c r="AI170" s="234" t="b">
        <v>0</v>
      </c>
      <c r="AJ170" s="234" t="b">
        <v>0</v>
      </c>
      <c r="AK170" s="234" t="b">
        <v>0</v>
      </c>
      <c r="AL170" s="234" t="b">
        <v>0</v>
      </c>
      <c r="AM170" s="234"/>
      <c r="AN170" s="234" t="b">
        <v>0</v>
      </c>
      <c r="AO170" s="234" t="b">
        <v>0</v>
      </c>
      <c r="AP170" s="234" t="b">
        <v>0</v>
      </c>
      <c r="AQ170" s="234"/>
      <c r="AR170" s="234" t="b">
        <v>0</v>
      </c>
      <c r="AS170" s="234"/>
      <c r="AT170" s="234"/>
      <c r="AU170" s="234"/>
      <c r="AV170" s="234"/>
      <c r="AW170" s="234" t="b">
        <v>0</v>
      </c>
      <c r="AX170" s="234"/>
      <c r="AY170" s="234"/>
      <c r="AZ170" s="234" t="b">
        <v>0</v>
      </c>
      <c r="BA170" s="234"/>
      <c r="BB170" s="234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H171" s="242"/>
      <c r="I171" s="242"/>
      <c r="J171" s="242"/>
      <c r="K171" s="234"/>
      <c r="L171" s="234"/>
      <c r="M171" s="234"/>
      <c r="N171" s="234"/>
      <c r="O171" s="234"/>
      <c r="P171" s="235">
        <f t="shared" si="1"/>
        <v>0</v>
      </c>
      <c r="Q171" s="234" t="b">
        <v>0</v>
      </c>
      <c r="R171" s="234"/>
      <c r="S171" s="234"/>
      <c r="T171" s="234"/>
      <c r="U171" s="234" t="b">
        <v>0</v>
      </c>
      <c r="V171" s="234" t="b">
        <v>0</v>
      </c>
      <c r="W171" s="234" t="b">
        <v>0</v>
      </c>
      <c r="X171" s="234" t="b">
        <v>0</v>
      </c>
      <c r="Y171" s="234" t="b">
        <v>0</v>
      </c>
      <c r="Z171" s="236" t="b">
        <v>0</v>
      </c>
      <c r="AA171" s="234"/>
      <c r="AB171" s="234"/>
      <c r="AC171" s="234" t="b">
        <v>0</v>
      </c>
      <c r="AD171" s="234" t="b">
        <v>0</v>
      </c>
      <c r="AE171" s="234" t="b">
        <v>0</v>
      </c>
      <c r="AF171" s="234" t="b">
        <v>0</v>
      </c>
      <c r="AG171" s="234" t="b">
        <v>0</v>
      </c>
      <c r="AH171" s="234" t="b">
        <v>0</v>
      </c>
      <c r="AI171" s="234" t="b">
        <v>0</v>
      </c>
      <c r="AJ171" s="234" t="b">
        <v>0</v>
      </c>
      <c r="AK171" s="234" t="b">
        <v>0</v>
      </c>
      <c r="AL171" s="234" t="b">
        <v>0</v>
      </c>
      <c r="AM171" s="234"/>
      <c r="AN171" s="234" t="b">
        <v>0</v>
      </c>
      <c r="AO171" s="234" t="b">
        <v>0</v>
      </c>
      <c r="AP171" s="234" t="b">
        <v>0</v>
      </c>
      <c r="AQ171" s="234"/>
      <c r="AR171" s="234" t="b">
        <v>0</v>
      </c>
      <c r="AS171" s="234"/>
      <c r="AT171" s="234"/>
      <c r="AU171" s="234"/>
      <c r="AV171" s="234"/>
      <c r="AW171" s="234" t="b">
        <v>0</v>
      </c>
      <c r="AX171" s="234"/>
      <c r="AY171" s="234"/>
      <c r="AZ171" s="234" t="b">
        <v>0</v>
      </c>
      <c r="BA171" s="234"/>
      <c r="BB171" s="234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H172" s="242"/>
      <c r="I172" s="242"/>
      <c r="J172" s="242"/>
      <c r="K172" s="234"/>
      <c r="L172" s="234"/>
      <c r="M172" s="234"/>
      <c r="N172" s="234"/>
      <c r="O172" s="234"/>
      <c r="P172" s="235">
        <f t="shared" si="1"/>
        <v>0</v>
      </c>
      <c r="Q172" s="234" t="b">
        <v>0</v>
      </c>
      <c r="R172" s="234"/>
      <c r="S172" s="234"/>
      <c r="T172" s="234"/>
      <c r="U172" s="234" t="b">
        <v>0</v>
      </c>
      <c r="V172" s="234" t="b">
        <v>0</v>
      </c>
      <c r="W172" s="234" t="b">
        <v>0</v>
      </c>
      <c r="X172" s="234" t="b">
        <v>0</v>
      </c>
      <c r="Y172" s="234" t="b">
        <v>0</v>
      </c>
      <c r="Z172" s="236" t="b">
        <v>0</v>
      </c>
      <c r="AA172" s="234"/>
      <c r="AB172" s="234"/>
      <c r="AC172" s="234" t="b">
        <v>0</v>
      </c>
      <c r="AD172" s="234" t="b">
        <v>0</v>
      </c>
      <c r="AE172" s="234" t="b">
        <v>0</v>
      </c>
      <c r="AF172" s="234" t="b">
        <v>0</v>
      </c>
      <c r="AG172" s="234" t="b">
        <v>0</v>
      </c>
      <c r="AH172" s="234" t="b">
        <v>0</v>
      </c>
      <c r="AI172" s="234" t="b">
        <v>0</v>
      </c>
      <c r="AJ172" s="234" t="b">
        <v>0</v>
      </c>
      <c r="AK172" s="234" t="b">
        <v>0</v>
      </c>
      <c r="AL172" s="234" t="b">
        <v>0</v>
      </c>
      <c r="AM172" s="234"/>
      <c r="AN172" s="234" t="b">
        <v>0</v>
      </c>
      <c r="AO172" s="234" t="b">
        <v>0</v>
      </c>
      <c r="AP172" s="234" t="b">
        <v>0</v>
      </c>
      <c r="AQ172" s="234"/>
      <c r="AR172" s="234" t="b">
        <v>0</v>
      </c>
      <c r="AS172" s="234"/>
      <c r="AT172" s="234"/>
      <c r="AU172" s="234"/>
      <c r="AV172" s="234"/>
      <c r="AW172" s="234" t="b">
        <v>0</v>
      </c>
      <c r="AX172" s="234"/>
      <c r="AY172" s="234"/>
      <c r="AZ172" s="234" t="b">
        <v>0</v>
      </c>
      <c r="BA172" s="234"/>
      <c r="BB172" s="234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H173" s="242"/>
      <c r="I173" s="242"/>
      <c r="J173" s="242"/>
      <c r="K173" s="234"/>
      <c r="L173" s="234"/>
      <c r="M173" s="234"/>
      <c r="N173" s="234"/>
      <c r="O173" s="234"/>
      <c r="P173" s="235">
        <f t="shared" si="1"/>
        <v>0</v>
      </c>
      <c r="Q173" s="234" t="b">
        <v>0</v>
      </c>
      <c r="R173" s="234"/>
      <c r="S173" s="234"/>
      <c r="T173" s="234"/>
      <c r="U173" s="234" t="b">
        <v>0</v>
      </c>
      <c r="V173" s="234" t="b">
        <v>0</v>
      </c>
      <c r="W173" s="234" t="b">
        <v>0</v>
      </c>
      <c r="X173" s="234" t="b">
        <v>0</v>
      </c>
      <c r="Y173" s="234" t="b">
        <v>0</v>
      </c>
      <c r="Z173" s="236" t="b">
        <v>0</v>
      </c>
      <c r="AA173" s="234"/>
      <c r="AB173" s="234"/>
      <c r="AC173" s="234" t="b">
        <v>0</v>
      </c>
      <c r="AD173" s="234" t="b">
        <v>0</v>
      </c>
      <c r="AE173" s="234" t="b">
        <v>0</v>
      </c>
      <c r="AF173" s="234" t="b">
        <v>0</v>
      </c>
      <c r="AG173" s="234" t="b">
        <v>0</v>
      </c>
      <c r="AH173" s="234" t="b">
        <v>0</v>
      </c>
      <c r="AI173" s="234" t="b">
        <v>0</v>
      </c>
      <c r="AJ173" s="234" t="b">
        <v>0</v>
      </c>
      <c r="AK173" s="234" t="b">
        <v>0</v>
      </c>
      <c r="AL173" s="234" t="b">
        <v>0</v>
      </c>
      <c r="AM173" s="234"/>
      <c r="AN173" s="234" t="b">
        <v>0</v>
      </c>
      <c r="AO173" s="234" t="b">
        <v>0</v>
      </c>
      <c r="AP173" s="234" t="b">
        <v>0</v>
      </c>
      <c r="AQ173" s="234"/>
      <c r="AR173" s="234" t="b">
        <v>0</v>
      </c>
      <c r="AS173" s="234"/>
      <c r="AT173" s="234"/>
      <c r="AU173" s="234"/>
      <c r="AV173" s="234"/>
      <c r="AW173" s="234" t="b">
        <v>0</v>
      </c>
      <c r="AX173" s="234"/>
      <c r="AY173" s="234"/>
      <c r="AZ173" s="234" t="b">
        <v>0</v>
      </c>
      <c r="BA173" s="234"/>
      <c r="BB173" s="234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H174" s="242"/>
      <c r="I174" s="242"/>
      <c r="J174" s="242"/>
      <c r="K174" s="234"/>
      <c r="L174" s="234"/>
      <c r="M174" s="234"/>
      <c r="N174" s="234"/>
      <c r="O174" s="234"/>
      <c r="P174" s="235">
        <f t="shared" si="1"/>
        <v>0</v>
      </c>
      <c r="Q174" s="234" t="b">
        <v>0</v>
      </c>
      <c r="R174" s="234"/>
      <c r="S174" s="234"/>
      <c r="T174" s="234"/>
      <c r="U174" s="234" t="b">
        <v>0</v>
      </c>
      <c r="V174" s="234" t="b">
        <v>0</v>
      </c>
      <c r="W174" s="234" t="b">
        <v>0</v>
      </c>
      <c r="X174" s="234" t="b">
        <v>0</v>
      </c>
      <c r="Y174" s="234" t="b">
        <v>0</v>
      </c>
      <c r="Z174" s="236" t="b">
        <v>0</v>
      </c>
      <c r="AA174" s="234"/>
      <c r="AB174" s="234"/>
      <c r="AC174" s="234" t="b">
        <v>0</v>
      </c>
      <c r="AD174" s="234" t="b">
        <v>0</v>
      </c>
      <c r="AE174" s="234" t="b">
        <v>0</v>
      </c>
      <c r="AF174" s="234" t="b">
        <v>0</v>
      </c>
      <c r="AG174" s="234" t="b">
        <v>0</v>
      </c>
      <c r="AH174" s="234" t="b">
        <v>0</v>
      </c>
      <c r="AI174" s="234" t="b">
        <v>0</v>
      </c>
      <c r="AJ174" s="234" t="b">
        <v>0</v>
      </c>
      <c r="AK174" s="234" t="b">
        <v>0</v>
      </c>
      <c r="AL174" s="234" t="b">
        <v>0</v>
      </c>
      <c r="AM174" s="234"/>
      <c r="AN174" s="234" t="b">
        <v>0</v>
      </c>
      <c r="AO174" s="234" t="b">
        <v>0</v>
      </c>
      <c r="AP174" s="234" t="b">
        <v>0</v>
      </c>
      <c r="AQ174" s="234"/>
      <c r="AR174" s="234" t="b">
        <v>0</v>
      </c>
      <c r="AS174" s="234"/>
      <c r="AT174" s="234"/>
      <c r="AU174" s="234"/>
      <c r="AV174" s="234"/>
      <c r="AW174" s="234" t="b">
        <v>0</v>
      </c>
      <c r="AX174" s="234"/>
      <c r="AY174" s="234"/>
      <c r="AZ174" s="234" t="b">
        <v>0</v>
      </c>
      <c r="BA174" s="234"/>
      <c r="BB174" s="234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H175" s="242"/>
      <c r="I175" s="242"/>
      <c r="J175" s="242"/>
      <c r="K175" s="234"/>
      <c r="L175" s="234"/>
      <c r="M175" s="234"/>
      <c r="N175" s="234"/>
      <c r="O175" s="234"/>
      <c r="P175" s="235">
        <f t="shared" si="1"/>
        <v>0</v>
      </c>
      <c r="Q175" s="234" t="b">
        <v>0</v>
      </c>
      <c r="R175" s="234"/>
      <c r="S175" s="234"/>
      <c r="T175" s="234"/>
      <c r="U175" s="234" t="b">
        <v>0</v>
      </c>
      <c r="V175" s="234" t="b">
        <v>0</v>
      </c>
      <c r="W175" s="234" t="b">
        <v>0</v>
      </c>
      <c r="X175" s="234" t="b">
        <v>0</v>
      </c>
      <c r="Y175" s="234" t="b">
        <v>0</v>
      </c>
      <c r="Z175" s="236" t="b">
        <v>0</v>
      </c>
      <c r="AA175" s="234"/>
      <c r="AB175" s="234"/>
      <c r="AC175" s="234" t="b">
        <v>0</v>
      </c>
      <c r="AD175" s="234" t="b">
        <v>0</v>
      </c>
      <c r="AE175" s="234" t="b">
        <v>0</v>
      </c>
      <c r="AF175" s="234" t="b">
        <v>0</v>
      </c>
      <c r="AG175" s="234" t="b">
        <v>0</v>
      </c>
      <c r="AH175" s="234" t="b">
        <v>0</v>
      </c>
      <c r="AI175" s="234" t="b">
        <v>0</v>
      </c>
      <c r="AJ175" s="234" t="b">
        <v>0</v>
      </c>
      <c r="AK175" s="234" t="b">
        <v>0</v>
      </c>
      <c r="AL175" s="234" t="b">
        <v>0</v>
      </c>
      <c r="AM175" s="234"/>
      <c r="AN175" s="234" t="b">
        <v>0</v>
      </c>
      <c r="AO175" s="234" t="b">
        <v>0</v>
      </c>
      <c r="AP175" s="234" t="b">
        <v>0</v>
      </c>
      <c r="AQ175" s="234"/>
      <c r="AR175" s="234" t="b">
        <v>0</v>
      </c>
      <c r="AS175" s="234"/>
      <c r="AT175" s="234"/>
      <c r="AU175" s="234"/>
      <c r="AV175" s="234"/>
      <c r="AW175" s="234" t="b">
        <v>0</v>
      </c>
      <c r="AX175" s="234"/>
      <c r="AY175" s="234"/>
      <c r="AZ175" s="234" t="b">
        <v>0</v>
      </c>
      <c r="BA175" s="234"/>
      <c r="BB175" s="234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H176" s="242"/>
      <c r="I176" s="242"/>
      <c r="J176" s="242"/>
      <c r="K176" s="234"/>
      <c r="L176" s="234"/>
      <c r="M176" s="234"/>
      <c r="N176" s="234"/>
      <c r="O176" s="234"/>
      <c r="P176" s="235">
        <f t="shared" si="1"/>
        <v>0</v>
      </c>
      <c r="Q176" s="234" t="b">
        <v>0</v>
      </c>
      <c r="R176" s="234"/>
      <c r="S176" s="234"/>
      <c r="T176" s="234"/>
      <c r="U176" s="234" t="b">
        <v>0</v>
      </c>
      <c r="V176" s="234" t="b">
        <v>0</v>
      </c>
      <c r="W176" s="234" t="b">
        <v>0</v>
      </c>
      <c r="X176" s="234" t="b">
        <v>0</v>
      </c>
      <c r="Y176" s="234" t="b">
        <v>0</v>
      </c>
      <c r="Z176" s="236" t="b">
        <v>0</v>
      </c>
      <c r="AA176" s="234"/>
      <c r="AB176" s="234"/>
      <c r="AC176" s="234" t="b">
        <v>0</v>
      </c>
      <c r="AD176" s="234" t="b">
        <v>0</v>
      </c>
      <c r="AE176" s="234" t="b">
        <v>0</v>
      </c>
      <c r="AF176" s="234" t="b">
        <v>0</v>
      </c>
      <c r="AG176" s="234" t="b">
        <v>0</v>
      </c>
      <c r="AH176" s="234" t="b">
        <v>0</v>
      </c>
      <c r="AI176" s="234" t="b">
        <v>0</v>
      </c>
      <c r="AJ176" s="234" t="b">
        <v>0</v>
      </c>
      <c r="AK176" s="234" t="b">
        <v>0</v>
      </c>
      <c r="AL176" s="234" t="b">
        <v>0</v>
      </c>
      <c r="AM176" s="234"/>
      <c r="AN176" s="234" t="b">
        <v>0</v>
      </c>
      <c r="AO176" s="234" t="b">
        <v>0</v>
      </c>
      <c r="AP176" s="234" t="b">
        <v>0</v>
      </c>
      <c r="AQ176" s="234"/>
      <c r="AR176" s="234" t="b">
        <v>0</v>
      </c>
      <c r="AS176" s="234"/>
      <c r="AT176" s="234"/>
      <c r="AU176" s="234"/>
      <c r="AV176" s="234"/>
      <c r="AW176" s="234" t="b">
        <v>0</v>
      </c>
      <c r="AX176" s="234"/>
      <c r="AY176" s="234"/>
      <c r="AZ176" s="234" t="b">
        <v>0</v>
      </c>
      <c r="BA176" s="234"/>
      <c r="BB176" s="234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H177" s="242"/>
      <c r="I177" s="242"/>
      <c r="J177" s="242"/>
      <c r="K177" s="234"/>
      <c r="L177" s="234"/>
      <c r="M177" s="234"/>
      <c r="N177" s="234"/>
      <c r="O177" s="234"/>
      <c r="P177" s="235">
        <f t="shared" si="1"/>
        <v>0</v>
      </c>
      <c r="Q177" s="234" t="b">
        <v>0</v>
      </c>
      <c r="R177" s="234"/>
      <c r="S177" s="234"/>
      <c r="T177" s="234"/>
      <c r="U177" s="234" t="b">
        <v>0</v>
      </c>
      <c r="V177" s="234" t="b">
        <v>0</v>
      </c>
      <c r="W177" s="234" t="b">
        <v>0</v>
      </c>
      <c r="X177" s="234" t="b">
        <v>0</v>
      </c>
      <c r="Y177" s="234" t="b">
        <v>0</v>
      </c>
      <c r="Z177" s="236" t="b">
        <v>0</v>
      </c>
      <c r="AA177" s="234"/>
      <c r="AB177" s="234"/>
      <c r="AC177" s="234" t="b">
        <v>0</v>
      </c>
      <c r="AD177" s="234" t="b">
        <v>0</v>
      </c>
      <c r="AE177" s="234" t="b">
        <v>0</v>
      </c>
      <c r="AF177" s="234" t="b">
        <v>0</v>
      </c>
      <c r="AG177" s="234" t="b">
        <v>0</v>
      </c>
      <c r="AH177" s="234" t="b">
        <v>0</v>
      </c>
      <c r="AI177" s="234" t="b">
        <v>0</v>
      </c>
      <c r="AJ177" s="234" t="b">
        <v>0</v>
      </c>
      <c r="AK177" s="234" t="b">
        <v>0</v>
      </c>
      <c r="AL177" s="234" t="b">
        <v>0</v>
      </c>
      <c r="AM177" s="234"/>
      <c r="AN177" s="234" t="b">
        <v>0</v>
      </c>
      <c r="AO177" s="234" t="b">
        <v>0</v>
      </c>
      <c r="AP177" s="234" t="b">
        <v>0</v>
      </c>
      <c r="AQ177" s="234"/>
      <c r="AR177" s="234" t="b">
        <v>0</v>
      </c>
      <c r="AS177" s="234"/>
      <c r="AT177" s="234"/>
      <c r="AU177" s="234"/>
      <c r="AV177" s="234"/>
      <c r="AW177" s="234" t="b">
        <v>0</v>
      </c>
      <c r="AX177" s="234"/>
      <c r="AY177" s="234"/>
      <c r="AZ177" s="234" t="b">
        <v>0</v>
      </c>
      <c r="BA177" s="234"/>
      <c r="BB177" s="234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H178" s="242"/>
      <c r="I178" s="242"/>
      <c r="J178" s="242"/>
      <c r="K178" s="234"/>
      <c r="L178" s="234"/>
      <c r="M178" s="234"/>
      <c r="N178" s="234"/>
      <c r="O178" s="234"/>
      <c r="P178" s="235">
        <f t="shared" si="1"/>
        <v>0</v>
      </c>
      <c r="Q178" s="234" t="b">
        <v>0</v>
      </c>
      <c r="R178" s="234"/>
      <c r="S178" s="234"/>
      <c r="T178" s="234"/>
      <c r="U178" s="234" t="b">
        <v>0</v>
      </c>
      <c r="V178" s="234" t="b">
        <v>0</v>
      </c>
      <c r="W178" s="234" t="b">
        <v>0</v>
      </c>
      <c r="X178" s="234" t="b">
        <v>0</v>
      </c>
      <c r="Y178" s="234" t="b">
        <v>0</v>
      </c>
      <c r="Z178" s="236" t="b">
        <v>0</v>
      </c>
      <c r="AA178" s="234"/>
      <c r="AB178" s="234"/>
      <c r="AC178" s="234" t="b">
        <v>0</v>
      </c>
      <c r="AD178" s="234" t="b">
        <v>0</v>
      </c>
      <c r="AE178" s="234" t="b">
        <v>0</v>
      </c>
      <c r="AF178" s="234" t="b">
        <v>0</v>
      </c>
      <c r="AG178" s="234" t="b">
        <v>0</v>
      </c>
      <c r="AH178" s="234" t="b">
        <v>0</v>
      </c>
      <c r="AI178" s="234" t="b">
        <v>0</v>
      </c>
      <c r="AJ178" s="234" t="b">
        <v>0</v>
      </c>
      <c r="AK178" s="234" t="b">
        <v>0</v>
      </c>
      <c r="AL178" s="234" t="b">
        <v>0</v>
      </c>
      <c r="AM178" s="234"/>
      <c r="AN178" s="234" t="b">
        <v>0</v>
      </c>
      <c r="AO178" s="234" t="b">
        <v>0</v>
      </c>
      <c r="AP178" s="234" t="b">
        <v>0</v>
      </c>
      <c r="AQ178" s="234"/>
      <c r="AR178" s="234" t="b">
        <v>0</v>
      </c>
      <c r="AS178" s="234"/>
      <c r="AT178" s="234"/>
      <c r="AU178" s="234"/>
      <c r="AV178" s="234"/>
      <c r="AW178" s="234" t="b">
        <v>0</v>
      </c>
      <c r="AX178" s="234"/>
      <c r="AY178" s="234"/>
      <c r="AZ178" s="234" t="b">
        <v>0</v>
      </c>
      <c r="BA178" s="234"/>
      <c r="BB178" s="234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H179" s="242"/>
      <c r="I179" s="242"/>
      <c r="J179" s="242"/>
      <c r="K179" s="234"/>
      <c r="L179" s="234"/>
      <c r="M179" s="234"/>
      <c r="N179" s="234"/>
      <c r="O179" s="234"/>
      <c r="P179" s="235">
        <f t="shared" si="1"/>
        <v>0</v>
      </c>
      <c r="Q179" s="234" t="b">
        <v>0</v>
      </c>
      <c r="R179" s="234"/>
      <c r="S179" s="234"/>
      <c r="T179" s="234"/>
      <c r="U179" s="234" t="b">
        <v>0</v>
      </c>
      <c r="V179" s="234" t="b">
        <v>0</v>
      </c>
      <c r="W179" s="234" t="b">
        <v>0</v>
      </c>
      <c r="X179" s="234" t="b">
        <v>0</v>
      </c>
      <c r="Y179" s="234" t="b">
        <v>0</v>
      </c>
      <c r="Z179" s="236" t="b">
        <v>0</v>
      </c>
      <c r="AA179" s="234"/>
      <c r="AB179" s="234"/>
      <c r="AC179" s="234" t="b">
        <v>0</v>
      </c>
      <c r="AD179" s="234" t="b">
        <v>0</v>
      </c>
      <c r="AE179" s="234" t="b">
        <v>0</v>
      </c>
      <c r="AF179" s="234" t="b">
        <v>0</v>
      </c>
      <c r="AG179" s="234" t="b">
        <v>0</v>
      </c>
      <c r="AH179" s="234" t="b">
        <v>0</v>
      </c>
      <c r="AI179" s="234" t="b">
        <v>0</v>
      </c>
      <c r="AJ179" s="234" t="b">
        <v>0</v>
      </c>
      <c r="AK179" s="234" t="b">
        <v>0</v>
      </c>
      <c r="AL179" s="234" t="b">
        <v>0</v>
      </c>
      <c r="AM179" s="234"/>
      <c r="AN179" s="234" t="b">
        <v>0</v>
      </c>
      <c r="AO179" s="234" t="b">
        <v>0</v>
      </c>
      <c r="AP179" s="234" t="b">
        <v>0</v>
      </c>
      <c r="AQ179" s="234"/>
      <c r="AR179" s="234" t="b">
        <v>0</v>
      </c>
      <c r="AS179" s="234"/>
      <c r="AT179" s="234"/>
      <c r="AU179" s="234"/>
      <c r="AV179" s="234"/>
      <c r="AW179" s="234" t="b">
        <v>0</v>
      </c>
      <c r="AX179" s="234"/>
      <c r="AY179" s="234"/>
      <c r="AZ179" s="234" t="b">
        <v>0</v>
      </c>
      <c r="BA179" s="234"/>
      <c r="BB179" s="234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H180" s="242"/>
      <c r="I180" s="242"/>
      <c r="J180" s="242"/>
      <c r="K180" s="234"/>
      <c r="L180" s="234"/>
      <c r="M180" s="234"/>
      <c r="N180" s="234"/>
      <c r="O180" s="234"/>
      <c r="P180" s="235">
        <f t="shared" si="1"/>
        <v>0</v>
      </c>
      <c r="Q180" s="234" t="b">
        <v>0</v>
      </c>
      <c r="R180" s="234"/>
      <c r="S180" s="234"/>
      <c r="T180" s="234"/>
      <c r="U180" s="234" t="b">
        <v>0</v>
      </c>
      <c r="V180" s="234" t="b">
        <v>0</v>
      </c>
      <c r="W180" s="234" t="b">
        <v>0</v>
      </c>
      <c r="X180" s="234" t="b">
        <v>0</v>
      </c>
      <c r="Y180" s="234" t="b">
        <v>0</v>
      </c>
      <c r="Z180" s="236" t="b">
        <v>0</v>
      </c>
      <c r="AA180" s="234"/>
      <c r="AB180" s="234"/>
      <c r="AC180" s="234" t="b">
        <v>0</v>
      </c>
      <c r="AD180" s="234" t="b">
        <v>0</v>
      </c>
      <c r="AE180" s="234" t="b">
        <v>0</v>
      </c>
      <c r="AF180" s="234" t="b">
        <v>0</v>
      </c>
      <c r="AG180" s="234" t="b">
        <v>0</v>
      </c>
      <c r="AH180" s="234" t="b">
        <v>0</v>
      </c>
      <c r="AI180" s="234" t="b">
        <v>0</v>
      </c>
      <c r="AJ180" s="234" t="b">
        <v>0</v>
      </c>
      <c r="AK180" s="234" t="b">
        <v>0</v>
      </c>
      <c r="AL180" s="234" t="b">
        <v>0</v>
      </c>
      <c r="AM180" s="234"/>
      <c r="AN180" s="234" t="b">
        <v>0</v>
      </c>
      <c r="AO180" s="234" t="b">
        <v>0</v>
      </c>
      <c r="AP180" s="234" t="b">
        <v>0</v>
      </c>
      <c r="AQ180" s="234"/>
      <c r="AR180" s="234" t="b">
        <v>0</v>
      </c>
      <c r="AS180" s="234"/>
      <c r="AT180" s="234"/>
      <c r="AU180" s="234"/>
      <c r="AV180" s="234"/>
      <c r="AW180" s="234" t="b">
        <v>0</v>
      </c>
      <c r="AX180" s="234"/>
      <c r="AY180" s="234"/>
      <c r="AZ180" s="234" t="b">
        <v>0</v>
      </c>
      <c r="BA180" s="234"/>
      <c r="BB180" s="234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H181" s="242"/>
      <c r="I181" s="242"/>
      <c r="J181" s="242"/>
      <c r="K181" s="234"/>
      <c r="L181" s="234"/>
      <c r="M181" s="234"/>
      <c r="N181" s="234"/>
      <c r="O181" s="234"/>
      <c r="P181" s="235">
        <f t="shared" si="1"/>
        <v>0</v>
      </c>
      <c r="Q181" s="234" t="b">
        <v>0</v>
      </c>
      <c r="R181" s="234"/>
      <c r="S181" s="234"/>
      <c r="T181" s="234"/>
      <c r="U181" s="234" t="b">
        <v>0</v>
      </c>
      <c r="V181" s="234" t="b">
        <v>0</v>
      </c>
      <c r="W181" s="234" t="b">
        <v>0</v>
      </c>
      <c r="X181" s="234" t="b">
        <v>0</v>
      </c>
      <c r="Y181" s="234" t="b">
        <v>0</v>
      </c>
      <c r="Z181" s="236" t="b">
        <v>0</v>
      </c>
      <c r="AA181" s="234"/>
      <c r="AB181" s="234"/>
      <c r="AC181" s="234" t="b">
        <v>0</v>
      </c>
      <c r="AD181" s="234" t="b">
        <v>0</v>
      </c>
      <c r="AE181" s="234" t="b">
        <v>0</v>
      </c>
      <c r="AF181" s="234" t="b">
        <v>0</v>
      </c>
      <c r="AG181" s="234" t="b">
        <v>0</v>
      </c>
      <c r="AH181" s="234" t="b">
        <v>0</v>
      </c>
      <c r="AI181" s="234" t="b">
        <v>0</v>
      </c>
      <c r="AJ181" s="234" t="b">
        <v>0</v>
      </c>
      <c r="AK181" s="234" t="b">
        <v>0</v>
      </c>
      <c r="AL181" s="234" t="b">
        <v>0</v>
      </c>
      <c r="AM181" s="234"/>
      <c r="AN181" s="234" t="b">
        <v>0</v>
      </c>
      <c r="AO181" s="234" t="b">
        <v>0</v>
      </c>
      <c r="AP181" s="234" t="b">
        <v>0</v>
      </c>
      <c r="AQ181" s="234"/>
      <c r="AR181" s="234" t="b">
        <v>0</v>
      </c>
      <c r="AS181" s="234"/>
      <c r="AT181" s="234"/>
      <c r="AU181" s="234"/>
      <c r="AV181" s="234"/>
      <c r="AW181" s="234" t="b">
        <v>0</v>
      </c>
      <c r="AX181" s="234"/>
      <c r="AY181" s="234"/>
      <c r="AZ181" s="234" t="b">
        <v>0</v>
      </c>
      <c r="BA181" s="234"/>
      <c r="BB181" s="234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H182" s="242"/>
      <c r="I182" s="242"/>
      <c r="J182" s="242"/>
      <c r="K182" s="234"/>
      <c r="L182" s="234"/>
      <c r="M182" s="234"/>
      <c r="N182" s="234"/>
      <c r="O182" s="234"/>
      <c r="P182" s="235">
        <f t="shared" si="1"/>
        <v>0</v>
      </c>
      <c r="Q182" s="234" t="b">
        <v>0</v>
      </c>
      <c r="R182" s="234"/>
      <c r="S182" s="234"/>
      <c r="T182" s="234"/>
      <c r="U182" s="234" t="b">
        <v>0</v>
      </c>
      <c r="V182" s="234" t="b">
        <v>0</v>
      </c>
      <c r="W182" s="234" t="b">
        <v>0</v>
      </c>
      <c r="X182" s="234" t="b">
        <v>0</v>
      </c>
      <c r="Y182" s="234" t="b">
        <v>0</v>
      </c>
      <c r="Z182" s="236" t="b">
        <v>0</v>
      </c>
      <c r="AA182" s="234"/>
      <c r="AB182" s="234"/>
      <c r="AC182" s="234" t="b">
        <v>0</v>
      </c>
      <c r="AD182" s="234" t="b">
        <v>0</v>
      </c>
      <c r="AE182" s="234" t="b">
        <v>0</v>
      </c>
      <c r="AF182" s="234" t="b">
        <v>0</v>
      </c>
      <c r="AG182" s="234" t="b">
        <v>0</v>
      </c>
      <c r="AH182" s="234" t="b">
        <v>0</v>
      </c>
      <c r="AI182" s="234" t="b">
        <v>0</v>
      </c>
      <c r="AJ182" s="234" t="b">
        <v>0</v>
      </c>
      <c r="AK182" s="234" t="b">
        <v>0</v>
      </c>
      <c r="AL182" s="234" t="b">
        <v>0</v>
      </c>
      <c r="AM182" s="234"/>
      <c r="AN182" s="234" t="b">
        <v>0</v>
      </c>
      <c r="AO182" s="234" t="b">
        <v>0</v>
      </c>
      <c r="AP182" s="234" t="b">
        <v>0</v>
      </c>
      <c r="AQ182" s="234"/>
      <c r="AR182" s="234" t="b">
        <v>0</v>
      </c>
      <c r="AS182" s="234"/>
      <c r="AT182" s="234"/>
      <c r="AU182" s="234"/>
      <c r="AV182" s="234"/>
      <c r="AW182" s="234" t="b">
        <v>0</v>
      </c>
      <c r="AX182" s="234"/>
      <c r="AY182" s="234"/>
      <c r="AZ182" s="234" t="b">
        <v>0</v>
      </c>
      <c r="BA182" s="234"/>
      <c r="BB182" s="234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H183" s="242"/>
      <c r="I183" s="242"/>
      <c r="J183" s="242"/>
      <c r="K183" s="234"/>
      <c r="L183" s="234"/>
      <c r="M183" s="234"/>
      <c r="N183" s="234"/>
      <c r="O183" s="234"/>
      <c r="P183" s="235">
        <f t="shared" si="1"/>
        <v>0</v>
      </c>
      <c r="Q183" s="234" t="b">
        <v>0</v>
      </c>
      <c r="R183" s="234"/>
      <c r="S183" s="234"/>
      <c r="T183" s="234"/>
      <c r="U183" s="234" t="b">
        <v>0</v>
      </c>
      <c r="V183" s="234" t="b">
        <v>0</v>
      </c>
      <c r="W183" s="234" t="b">
        <v>0</v>
      </c>
      <c r="X183" s="234" t="b">
        <v>0</v>
      </c>
      <c r="Y183" s="234" t="b">
        <v>0</v>
      </c>
      <c r="Z183" s="236" t="b">
        <v>0</v>
      </c>
      <c r="AA183" s="234"/>
      <c r="AB183" s="234"/>
      <c r="AC183" s="234" t="b">
        <v>0</v>
      </c>
      <c r="AD183" s="234" t="b">
        <v>0</v>
      </c>
      <c r="AE183" s="234" t="b">
        <v>0</v>
      </c>
      <c r="AF183" s="234" t="b">
        <v>0</v>
      </c>
      <c r="AG183" s="234" t="b">
        <v>0</v>
      </c>
      <c r="AH183" s="234" t="b">
        <v>0</v>
      </c>
      <c r="AI183" s="234" t="b">
        <v>0</v>
      </c>
      <c r="AJ183" s="234" t="b">
        <v>0</v>
      </c>
      <c r="AK183" s="234" t="b">
        <v>0</v>
      </c>
      <c r="AL183" s="234" t="b">
        <v>0</v>
      </c>
      <c r="AM183" s="234"/>
      <c r="AN183" s="234" t="b">
        <v>0</v>
      </c>
      <c r="AO183" s="234" t="b">
        <v>0</v>
      </c>
      <c r="AP183" s="234" t="b">
        <v>0</v>
      </c>
      <c r="AQ183" s="234"/>
      <c r="AR183" s="234" t="b">
        <v>0</v>
      </c>
      <c r="AS183" s="234"/>
      <c r="AT183" s="234"/>
      <c r="AU183" s="234"/>
      <c r="AV183" s="234"/>
      <c r="AW183" s="234" t="b">
        <v>0</v>
      </c>
      <c r="AX183" s="234"/>
      <c r="AY183" s="234"/>
      <c r="AZ183" s="234" t="b">
        <v>0</v>
      </c>
      <c r="BA183" s="234"/>
      <c r="BB183" s="234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H184" s="242"/>
      <c r="I184" s="242"/>
      <c r="J184" s="242"/>
      <c r="K184" s="234"/>
      <c r="L184" s="234"/>
      <c r="M184" s="234"/>
      <c r="N184" s="234"/>
      <c r="O184" s="234"/>
      <c r="P184" s="235">
        <f t="shared" si="1"/>
        <v>0</v>
      </c>
      <c r="Q184" s="234" t="b">
        <v>0</v>
      </c>
      <c r="R184" s="234"/>
      <c r="S184" s="234"/>
      <c r="T184" s="234"/>
      <c r="U184" s="234" t="b">
        <v>0</v>
      </c>
      <c r="V184" s="234" t="b">
        <v>0</v>
      </c>
      <c r="W184" s="234" t="b">
        <v>0</v>
      </c>
      <c r="X184" s="234" t="b">
        <v>0</v>
      </c>
      <c r="Y184" s="234" t="b">
        <v>0</v>
      </c>
      <c r="Z184" s="236" t="b">
        <v>0</v>
      </c>
      <c r="AA184" s="234"/>
      <c r="AB184" s="234"/>
      <c r="AC184" s="234" t="b">
        <v>0</v>
      </c>
      <c r="AD184" s="234" t="b">
        <v>0</v>
      </c>
      <c r="AE184" s="234" t="b">
        <v>0</v>
      </c>
      <c r="AF184" s="234" t="b">
        <v>0</v>
      </c>
      <c r="AG184" s="234" t="b">
        <v>0</v>
      </c>
      <c r="AH184" s="234" t="b">
        <v>0</v>
      </c>
      <c r="AI184" s="234" t="b">
        <v>0</v>
      </c>
      <c r="AJ184" s="234" t="b">
        <v>0</v>
      </c>
      <c r="AK184" s="234" t="b">
        <v>0</v>
      </c>
      <c r="AL184" s="234" t="b">
        <v>0</v>
      </c>
      <c r="AM184" s="234"/>
      <c r="AN184" s="234" t="b">
        <v>0</v>
      </c>
      <c r="AO184" s="234" t="b">
        <v>0</v>
      </c>
      <c r="AP184" s="234" t="b">
        <v>0</v>
      </c>
      <c r="AQ184" s="234"/>
      <c r="AR184" s="234" t="b">
        <v>0</v>
      </c>
      <c r="AS184" s="234"/>
      <c r="AT184" s="234"/>
      <c r="AU184" s="234"/>
      <c r="AV184" s="234"/>
      <c r="AW184" s="234" t="b">
        <v>0</v>
      </c>
      <c r="AX184" s="234"/>
      <c r="AY184" s="234"/>
      <c r="AZ184" s="234" t="b">
        <v>0</v>
      </c>
      <c r="BA184" s="234"/>
      <c r="BB184" s="234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H185" s="242"/>
      <c r="I185" s="242"/>
      <c r="J185" s="242"/>
      <c r="K185" s="234"/>
      <c r="L185" s="234"/>
      <c r="M185" s="234"/>
      <c r="N185" s="234"/>
      <c r="O185" s="234"/>
      <c r="P185" s="235">
        <f t="shared" si="1"/>
        <v>0</v>
      </c>
      <c r="Q185" s="234" t="b">
        <v>0</v>
      </c>
      <c r="R185" s="234"/>
      <c r="S185" s="234"/>
      <c r="T185" s="234"/>
      <c r="U185" s="234" t="b">
        <v>0</v>
      </c>
      <c r="V185" s="234" t="b">
        <v>0</v>
      </c>
      <c r="W185" s="234" t="b">
        <v>0</v>
      </c>
      <c r="X185" s="234" t="b">
        <v>0</v>
      </c>
      <c r="Y185" s="234" t="b">
        <v>0</v>
      </c>
      <c r="Z185" s="236" t="b">
        <v>0</v>
      </c>
      <c r="AA185" s="234"/>
      <c r="AB185" s="234"/>
      <c r="AC185" s="234" t="b">
        <v>0</v>
      </c>
      <c r="AD185" s="234" t="b">
        <v>0</v>
      </c>
      <c r="AE185" s="234" t="b">
        <v>0</v>
      </c>
      <c r="AF185" s="234" t="b">
        <v>0</v>
      </c>
      <c r="AG185" s="234" t="b">
        <v>0</v>
      </c>
      <c r="AH185" s="234" t="b">
        <v>0</v>
      </c>
      <c r="AI185" s="234" t="b">
        <v>0</v>
      </c>
      <c r="AJ185" s="234" t="b">
        <v>0</v>
      </c>
      <c r="AK185" s="234" t="b">
        <v>0</v>
      </c>
      <c r="AL185" s="234" t="b">
        <v>0</v>
      </c>
      <c r="AM185" s="234"/>
      <c r="AN185" s="234" t="b">
        <v>0</v>
      </c>
      <c r="AO185" s="234" t="b">
        <v>0</v>
      </c>
      <c r="AP185" s="234" t="b">
        <v>0</v>
      </c>
      <c r="AQ185" s="234"/>
      <c r="AR185" s="234" t="b">
        <v>0</v>
      </c>
      <c r="AS185" s="234"/>
      <c r="AT185" s="234"/>
      <c r="AU185" s="234"/>
      <c r="AV185" s="234"/>
      <c r="AW185" s="234" t="b">
        <v>0</v>
      </c>
      <c r="AX185" s="234"/>
      <c r="AY185" s="234"/>
      <c r="AZ185" s="234" t="b">
        <v>0</v>
      </c>
      <c r="BA185" s="234"/>
      <c r="BB185" s="234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H186" s="242"/>
      <c r="I186" s="242"/>
      <c r="J186" s="242"/>
      <c r="K186" s="234"/>
      <c r="L186" s="234"/>
      <c r="M186" s="234"/>
      <c r="N186" s="234"/>
      <c r="O186" s="234"/>
      <c r="P186" s="235">
        <f t="shared" si="1"/>
        <v>0</v>
      </c>
      <c r="Q186" s="234" t="b">
        <v>0</v>
      </c>
      <c r="R186" s="234"/>
      <c r="S186" s="234"/>
      <c r="T186" s="234"/>
      <c r="U186" s="234" t="b">
        <v>0</v>
      </c>
      <c r="V186" s="234" t="b">
        <v>0</v>
      </c>
      <c r="W186" s="234" t="b">
        <v>0</v>
      </c>
      <c r="X186" s="234" t="b">
        <v>0</v>
      </c>
      <c r="Y186" s="234" t="b">
        <v>0</v>
      </c>
      <c r="Z186" s="236" t="b">
        <v>0</v>
      </c>
      <c r="AA186" s="234"/>
      <c r="AB186" s="234"/>
      <c r="AC186" s="234" t="b">
        <v>0</v>
      </c>
      <c r="AD186" s="234" t="b">
        <v>0</v>
      </c>
      <c r="AE186" s="234" t="b">
        <v>0</v>
      </c>
      <c r="AF186" s="234" t="b">
        <v>0</v>
      </c>
      <c r="AG186" s="234" t="b">
        <v>0</v>
      </c>
      <c r="AH186" s="234" t="b">
        <v>0</v>
      </c>
      <c r="AI186" s="234" t="b">
        <v>0</v>
      </c>
      <c r="AJ186" s="234" t="b">
        <v>0</v>
      </c>
      <c r="AK186" s="234" t="b">
        <v>0</v>
      </c>
      <c r="AL186" s="234" t="b">
        <v>0</v>
      </c>
      <c r="AM186" s="234"/>
      <c r="AN186" s="234" t="b">
        <v>0</v>
      </c>
      <c r="AO186" s="234" t="b">
        <v>0</v>
      </c>
      <c r="AP186" s="234" t="b">
        <v>0</v>
      </c>
      <c r="AQ186" s="234"/>
      <c r="AR186" s="234" t="b">
        <v>0</v>
      </c>
      <c r="AS186" s="234"/>
      <c r="AT186" s="234"/>
      <c r="AU186" s="234"/>
      <c r="AV186" s="234"/>
      <c r="AW186" s="234" t="b">
        <v>0</v>
      </c>
      <c r="AX186" s="234"/>
      <c r="AY186" s="234"/>
      <c r="AZ186" s="234" t="b">
        <v>0</v>
      </c>
      <c r="BA186" s="234"/>
      <c r="BB186" s="234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H187" s="242"/>
      <c r="I187" s="242"/>
      <c r="J187" s="242"/>
      <c r="K187" s="234"/>
      <c r="L187" s="234"/>
      <c r="M187" s="234"/>
      <c r="N187" s="234"/>
      <c r="O187" s="234"/>
      <c r="P187" s="235">
        <f t="shared" si="1"/>
        <v>0</v>
      </c>
      <c r="Q187" s="234" t="b">
        <v>0</v>
      </c>
      <c r="R187" s="234"/>
      <c r="S187" s="234"/>
      <c r="T187" s="234"/>
      <c r="U187" s="234" t="b">
        <v>0</v>
      </c>
      <c r="V187" s="234" t="b">
        <v>0</v>
      </c>
      <c r="W187" s="234" t="b">
        <v>0</v>
      </c>
      <c r="X187" s="234" t="b">
        <v>0</v>
      </c>
      <c r="Y187" s="234" t="b">
        <v>0</v>
      </c>
      <c r="Z187" s="236" t="b">
        <v>0</v>
      </c>
      <c r="AA187" s="234"/>
      <c r="AB187" s="234"/>
      <c r="AC187" s="234" t="b">
        <v>0</v>
      </c>
      <c r="AD187" s="234" t="b">
        <v>0</v>
      </c>
      <c r="AE187" s="234" t="b">
        <v>0</v>
      </c>
      <c r="AF187" s="234" t="b">
        <v>0</v>
      </c>
      <c r="AG187" s="234" t="b">
        <v>0</v>
      </c>
      <c r="AH187" s="234" t="b">
        <v>0</v>
      </c>
      <c r="AI187" s="234" t="b">
        <v>0</v>
      </c>
      <c r="AJ187" s="234" t="b">
        <v>0</v>
      </c>
      <c r="AK187" s="234" t="b">
        <v>0</v>
      </c>
      <c r="AL187" s="234" t="b">
        <v>0</v>
      </c>
      <c r="AM187" s="234"/>
      <c r="AN187" s="234" t="b">
        <v>0</v>
      </c>
      <c r="AO187" s="234" t="b">
        <v>0</v>
      </c>
      <c r="AP187" s="234" t="b">
        <v>0</v>
      </c>
      <c r="AQ187" s="234"/>
      <c r="AR187" s="234" t="b">
        <v>0</v>
      </c>
      <c r="AS187" s="234"/>
      <c r="AT187" s="234"/>
      <c r="AU187" s="234"/>
      <c r="AV187" s="234"/>
      <c r="AW187" s="234" t="b">
        <v>0</v>
      </c>
      <c r="AX187" s="234"/>
      <c r="AY187" s="234"/>
      <c r="AZ187" s="234" t="b">
        <v>0</v>
      </c>
      <c r="BA187" s="234"/>
      <c r="BB187" s="234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H188" s="242"/>
      <c r="I188" s="242"/>
      <c r="J188" s="242"/>
      <c r="K188" s="234"/>
      <c r="L188" s="234"/>
      <c r="M188" s="234"/>
      <c r="N188" s="234"/>
      <c r="O188" s="234"/>
      <c r="P188" s="235">
        <f t="shared" si="1"/>
        <v>0</v>
      </c>
      <c r="Q188" s="234" t="b">
        <v>0</v>
      </c>
      <c r="R188" s="234"/>
      <c r="S188" s="234"/>
      <c r="T188" s="234"/>
      <c r="U188" s="234" t="b">
        <v>0</v>
      </c>
      <c r="V188" s="234" t="b">
        <v>0</v>
      </c>
      <c r="W188" s="234" t="b">
        <v>0</v>
      </c>
      <c r="X188" s="234" t="b">
        <v>0</v>
      </c>
      <c r="Y188" s="234" t="b">
        <v>0</v>
      </c>
      <c r="Z188" s="236" t="b">
        <v>0</v>
      </c>
      <c r="AA188" s="234"/>
      <c r="AB188" s="234"/>
      <c r="AC188" s="234" t="b">
        <v>0</v>
      </c>
      <c r="AD188" s="234" t="b">
        <v>0</v>
      </c>
      <c r="AE188" s="234" t="b">
        <v>0</v>
      </c>
      <c r="AF188" s="234" t="b">
        <v>0</v>
      </c>
      <c r="AG188" s="234" t="b">
        <v>0</v>
      </c>
      <c r="AH188" s="234" t="b">
        <v>0</v>
      </c>
      <c r="AI188" s="234" t="b">
        <v>0</v>
      </c>
      <c r="AJ188" s="234" t="b">
        <v>0</v>
      </c>
      <c r="AK188" s="234" t="b">
        <v>0</v>
      </c>
      <c r="AL188" s="234" t="b">
        <v>0</v>
      </c>
      <c r="AM188" s="234"/>
      <c r="AN188" s="234" t="b">
        <v>0</v>
      </c>
      <c r="AO188" s="234" t="b">
        <v>0</v>
      </c>
      <c r="AP188" s="234" t="b">
        <v>0</v>
      </c>
      <c r="AQ188" s="234"/>
      <c r="AR188" s="234" t="b">
        <v>0</v>
      </c>
      <c r="AS188" s="234"/>
      <c r="AT188" s="234"/>
      <c r="AU188" s="234"/>
      <c r="AV188" s="234"/>
      <c r="AW188" s="234" t="b">
        <v>0</v>
      </c>
      <c r="AX188" s="234"/>
      <c r="AY188" s="234"/>
      <c r="AZ188" s="234" t="b">
        <v>0</v>
      </c>
      <c r="BA188" s="234"/>
      <c r="BB188" s="234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H189" s="242"/>
      <c r="I189" s="242"/>
      <c r="J189" s="242"/>
      <c r="K189" s="234"/>
      <c r="L189" s="234"/>
      <c r="M189" s="234"/>
      <c r="N189" s="234"/>
      <c r="O189" s="234"/>
      <c r="P189" s="235">
        <f t="shared" si="1"/>
        <v>0</v>
      </c>
      <c r="Q189" s="234" t="b">
        <v>0</v>
      </c>
      <c r="R189" s="234"/>
      <c r="S189" s="234"/>
      <c r="T189" s="234"/>
      <c r="U189" s="234" t="b">
        <v>0</v>
      </c>
      <c r="V189" s="234" t="b">
        <v>0</v>
      </c>
      <c r="W189" s="234" t="b">
        <v>0</v>
      </c>
      <c r="X189" s="234" t="b">
        <v>0</v>
      </c>
      <c r="Y189" s="234" t="b">
        <v>0</v>
      </c>
      <c r="Z189" s="236" t="b">
        <v>0</v>
      </c>
      <c r="AA189" s="234"/>
      <c r="AB189" s="234"/>
      <c r="AC189" s="234" t="b">
        <v>0</v>
      </c>
      <c r="AD189" s="234" t="b">
        <v>0</v>
      </c>
      <c r="AE189" s="234" t="b">
        <v>0</v>
      </c>
      <c r="AF189" s="234" t="b">
        <v>0</v>
      </c>
      <c r="AG189" s="234" t="b">
        <v>0</v>
      </c>
      <c r="AH189" s="234" t="b">
        <v>0</v>
      </c>
      <c r="AI189" s="234" t="b">
        <v>0</v>
      </c>
      <c r="AJ189" s="234" t="b">
        <v>0</v>
      </c>
      <c r="AK189" s="234" t="b">
        <v>0</v>
      </c>
      <c r="AL189" s="234" t="b">
        <v>0</v>
      </c>
      <c r="AM189" s="234"/>
      <c r="AN189" s="234" t="b">
        <v>0</v>
      </c>
      <c r="AO189" s="234" t="b">
        <v>0</v>
      </c>
      <c r="AP189" s="234" t="b">
        <v>0</v>
      </c>
      <c r="AQ189" s="234"/>
      <c r="AR189" s="234" t="b">
        <v>0</v>
      </c>
      <c r="AS189" s="234"/>
      <c r="AT189" s="234"/>
      <c r="AU189" s="234"/>
      <c r="AV189" s="234"/>
      <c r="AW189" s="234" t="b">
        <v>0</v>
      </c>
      <c r="AX189" s="234"/>
      <c r="AY189" s="234"/>
      <c r="AZ189" s="234" t="b">
        <v>0</v>
      </c>
      <c r="BA189" s="234"/>
      <c r="BB189" s="234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H190" s="242"/>
      <c r="I190" s="242"/>
      <c r="J190" s="242"/>
      <c r="K190" s="234"/>
      <c r="L190" s="234"/>
      <c r="M190" s="234"/>
      <c r="N190" s="234"/>
      <c r="O190" s="234"/>
      <c r="P190" s="235">
        <f t="shared" si="1"/>
        <v>0</v>
      </c>
      <c r="Q190" s="234" t="b">
        <v>0</v>
      </c>
      <c r="R190" s="234"/>
      <c r="S190" s="234"/>
      <c r="T190" s="234"/>
      <c r="U190" s="234" t="b">
        <v>0</v>
      </c>
      <c r="V190" s="234" t="b">
        <v>0</v>
      </c>
      <c r="W190" s="234" t="b">
        <v>0</v>
      </c>
      <c r="X190" s="234" t="b">
        <v>0</v>
      </c>
      <c r="Y190" s="234" t="b">
        <v>0</v>
      </c>
      <c r="Z190" s="236" t="b">
        <v>0</v>
      </c>
      <c r="AA190" s="234"/>
      <c r="AB190" s="234"/>
      <c r="AC190" s="234" t="b">
        <v>0</v>
      </c>
      <c r="AD190" s="234" t="b">
        <v>0</v>
      </c>
      <c r="AE190" s="234" t="b">
        <v>0</v>
      </c>
      <c r="AF190" s="234" t="b">
        <v>0</v>
      </c>
      <c r="AG190" s="234" t="b">
        <v>0</v>
      </c>
      <c r="AH190" s="234" t="b">
        <v>0</v>
      </c>
      <c r="AI190" s="234" t="b">
        <v>0</v>
      </c>
      <c r="AJ190" s="234" t="b">
        <v>0</v>
      </c>
      <c r="AK190" s="234" t="b">
        <v>0</v>
      </c>
      <c r="AL190" s="234" t="b">
        <v>0</v>
      </c>
      <c r="AM190" s="234"/>
      <c r="AN190" s="234" t="b">
        <v>0</v>
      </c>
      <c r="AO190" s="234" t="b">
        <v>0</v>
      </c>
      <c r="AP190" s="234" t="b">
        <v>0</v>
      </c>
      <c r="AQ190" s="234"/>
      <c r="AR190" s="234" t="b">
        <v>0</v>
      </c>
      <c r="AS190" s="234"/>
      <c r="AT190" s="234"/>
      <c r="AU190" s="234"/>
      <c r="AV190" s="234"/>
      <c r="AW190" s="234" t="b">
        <v>0</v>
      </c>
      <c r="AX190" s="234"/>
      <c r="AY190" s="234"/>
      <c r="AZ190" s="234" t="b">
        <v>0</v>
      </c>
      <c r="BA190" s="234"/>
      <c r="BB190" s="234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H191" s="242"/>
      <c r="I191" s="242"/>
      <c r="J191" s="242"/>
      <c r="K191" s="234"/>
      <c r="L191" s="234"/>
      <c r="M191" s="234"/>
      <c r="N191" s="234"/>
      <c r="O191" s="234"/>
      <c r="P191" s="235">
        <f t="shared" si="1"/>
        <v>0</v>
      </c>
      <c r="Q191" s="234" t="b">
        <v>0</v>
      </c>
      <c r="R191" s="234"/>
      <c r="S191" s="234"/>
      <c r="T191" s="234"/>
      <c r="U191" s="234" t="b">
        <v>0</v>
      </c>
      <c r="V191" s="234" t="b">
        <v>0</v>
      </c>
      <c r="W191" s="234" t="b">
        <v>0</v>
      </c>
      <c r="X191" s="234" t="b">
        <v>0</v>
      </c>
      <c r="Y191" s="234" t="b">
        <v>0</v>
      </c>
      <c r="Z191" s="236" t="b">
        <v>0</v>
      </c>
      <c r="AA191" s="234"/>
      <c r="AB191" s="234"/>
      <c r="AC191" s="234" t="b">
        <v>0</v>
      </c>
      <c r="AD191" s="234" t="b">
        <v>0</v>
      </c>
      <c r="AE191" s="234" t="b">
        <v>0</v>
      </c>
      <c r="AF191" s="234" t="b">
        <v>0</v>
      </c>
      <c r="AG191" s="234" t="b">
        <v>0</v>
      </c>
      <c r="AH191" s="234" t="b">
        <v>0</v>
      </c>
      <c r="AI191" s="234" t="b">
        <v>0</v>
      </c>
      <c r="AJ191" s="234" t="b">
        <v>0</v>
      </c>
      <c r="AK191" s="234" t="b">
        <v>0</v>
      </c>
      <c r="AL191" s="234" t="b">
        <v>0</v>
      </c>
      <c r="AM191" s="234"/>
      <c r="AN191" s="234" t="b">
        <v>0</v>
      </c>
      <c r="AO191" s="234" t="b">
        <v>0</v>
      </c>
      <c r="AP191" s="234" t="b">
        <v>0</v>
      </c>
      <c r="AQ191" s="234"/>
      <c r="AR191" s="234" t="b">
        <v>0</v>
      </c>
      <c r="AS191" s="234"/>
      <c r="AT191" s="234"/>
      <c r="AU191" s="234"/>
      <c r="AV191" s="234"/>
      <c r="AW191" s="234" t="b">
        <v>0</v>
      </c>
      <c r="AX191" s="234"/>
      <c r="AY191" s="234"/>
      <c r="AZ191" s="234" t="b">
        <v>0</v>
      </c>
      <c r="BA191" s="234"/>
      <c r="BB191" s="234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H192" s="242"/>
      <c r="I192" s="242"/>
      <c r="J192" s="242"/>
      <c r="K192" s="234"/>
      <c r="L192" s="234"/>
      <c r="M192" s="234"/>
      <c r="N192" s="234"/>
      <c r="O192" s="234"/>
      <c r="P192" s="235">
        <f t="shared" si="1"/>
        <v>0</v>
      </c>
      <c r="Q192" s="234" t="b">
        <v>0</v>
      </c>
      <c r="R192" s="234"/>
      <c r="S192" s="234"/>
      <c r="T192" s="234"/>
      <c r="U192" s="234" t="b">
        <v>0</v>
      </c>
      <c r="V192" s="234" t="b">
        <v>0</v>
      </c>
      <c r="W192" s="234" t="b">
        <v>0</v>
      </c>
      <c r="X192" s="234" t="b">
        <v>0</v>
      </c>
      <c r="Y192" s="234" t="b">
        <v>0</v>
      </c>
      <c r="Z192" s="236" t="b">
        <v>0</v>
      </c>
      <c r="AA192" s="234"/>
      <c r="AB192" s="234"/>
      <c r="AC192" s="234" t="b">
        <v>0</v>
      </c>
      <c r="AD192" s="234" t="b">
        <v>0</v>
      </c>
      <c r="AE192" s="234" t="b">
        <v>0</v>
      </c>
      <c r="AF192" s="234" t="b">
        <v>0</v>
      </c>
      <c r="AG192" s="234" t="b">
        <v>0</v>
      </c>
      <c r="AH192" s="234" t="b">
        <v>0</v>
      </c>
      <c r="AI192" s="234" t="b">
        <v>0</v>
      </c>
      <c r="AJ192" s="234" t="b">
        <v>0</v>
      </c>
      <c r="AK192" s="234" t="b">
        <v>0</v>
      </c>
      <c r="AL192" s="234" t="b">
        <v>0</v>
      </c>
      <c r="AM192" s="234"/>
      <c r="AN192" s="234" t="b">
        <v>0</v>
      </c>
      <c r="AO192" s="234" t="b">
        <v>0</v>
      </c>
      <c r="AP192" s="234" t="b">
        <v>0</v>
      </c>
      <c r="AQ192" s="234"/>
      <c r="AR192" s="234" t="b">
        <v>0</v>
      </c>
      <c r="AS192" s="234"/>
      <c r="AT192" s="234"/>
      <c r="AU192" s="234"/>
      <c r="AV192" s="234"/>
      <c r="AW192" s="234" t="b">
        <v>0</v>
      </c>
      <c r="AX192" s="234"/>
      <c r="AY192" s="234"/>
      <c r="AZ192" s="234" t="b">
        <v>0</v>
      </c>
      <c r="BA192" s="234"/>
      <c r="BB192" s="234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H193" s="242"/>
      <c r="I193" s="242"/>
      <c r="J193" s="242"/>
      <c r="K193" s="234"/>
      <c r="L193" s="234"/>
      <c r="M193" s="234"/>
      <c r="N193" s="234"/>
      <c r="O193" s="234"/>
      <c r="P193" s="235">
        <f t="shared" si="1"/>
        <v>0</v>
      </c>
      <c r="Q193" s="234" t="b">
        <v>0</v>
      </c>
      <c r="R193" s="234"/>
      <c r="S193" s="234"/>
      <c r="T193" s="234"/>
      <c r="U193" s="234" t="b">
        <v>0</v>
      </c>
      <c r="V193" s="234" t="b">
        <v>0</v>
      </c>
      <c r="W193" s="234" t="b">
        <v>0</v>
      </c>
      <c r="X193" s="234" t="b">
        <v>0</v>
      </c>
      <c r="Y193" s="234" t="b">
        <v>0</v>
      </c>
      <c r="Z193" s="236" t="b">
        <v>0</v>
      </c>
      <c r="AA193" s="234"/>
      <c r="AB193" s="234"/>
      <c r="AC193" s="234" t="b">
        <v>0</v>
      </c>
      <c r="AD193" s="234" t="b">
        <v>0</v>
      </c>
      <c r="AE193" s="234" t="b">
        <v>0</v>
      </c>
      <c r="AF193" s="234" t="b">
        <v>0</v>
      </c>
      <c r="AG193" s="234" t="b">
        <v>0</v>
      </c>
      <c r="AH193" s="234" t="b">
        <v>0</v>
      </c>
      <c r="AI193" s="234" t="b">
        <v>0</v>
      </c>
      <c r="AJ193" s="234" t="b">
        <v>0</v>
      </c>
      <c r="AK193" s="234" t="b">
        <v>0</v>
      </c>
      <c r="AL193" s="234" t="b">
        <v>0</v>
      </c>
      <c r="AM193" s="234"/>
      <c r="AN193" s="234" t="b">
        <v>0</v>
      </c>
      <c r="AO193" s="234" t="b">
        <v>0</v>
      </c>
      <c r="AP193" s="234" t="b">
        <v>0</v>
      </c>
      <c r="AQ193" s="234"/>
      <c r="AR193" s="234" t="b">
        <v>0</v>
      </c>
      <c r="AS193" s="234"/>
      <c r="AT193" s="234"/>
      <c r="AU193" s="234"/>
      <c r="AV193" s="234"/>
      <c r="AW193" s="234" t="b">
        <v>0</v>
      </c>
      <c r="AX193" s="234"/>
      <c r="AY193" s="234"/>
      <c r="AZ193" s="234" t="b">
        <v>0</v>
      </c>
      <c r="BA193" s="234"/>
      <c r="BB193" s="234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H194" s="242"/>
      <c r="I194" s="242"/>
      <c r="J194" s="242"/>
      <c r="K194" s="234"/>
      <c r="L194" s="234"/>
      <c r="M194" s="234"/>
      <c r="N194" s="234"/>
      <c r="O194" s="234"/>
      <c r="P194" s="235">
        <f t="shared" si="1"/>
        <v>0</v>
      </c>
      <c r="Q194" s="234" t="b">
        <v>0</v>
      </c>
      <c r="R194" s="234"/>
      <c r="S194" s="234"/>
      <c r="T194" s="234"/>
      <c r="U194" s="234" t="b">
        <v>0</v>
      </c>
      <c r="V194" s="234" t="b">
        <v>0</v>
      </c>
      <c r="W194" s="234" t="b">
        <v>0</v>
      </c>
      <c r="X194" s="234" t="b">
        <v>0</v>
      </c>
      <c r="Y194" s="234" t="b">
        <v>0</v>
      </c>
      <c r="Z194" s="236" t="b">
        <v>0</v>
      </c>
      <c r="AA194" s="234"/>
      <c r="AB194" s="234"/>
      <c r="AC194" s="234" t="b">
        <v>0</v>
      </c>
      <c r="AD194" s="234" t="b">
        <v>0</v>
      </c>
      <c r="AE194" s="234" t="b">
        <v>0</v>
      </c>
      <c r="AF194" s="234" t="b">
        <v>0</v>
      </c>
      <c r="AG194" s="234" t="b">
        <v>0</v>
      </c>
      <c r="AH194" s="234" t="b">
        <v>0</v>
      </c>
      <c r="AI194" s="234" t="b">
        <v>0</v>
      </c>
      <c r="AJ194" s="234" t="b">
        <v>0</v>
      </c>
      <c r="AK194" s="234" t="b">
        <v>0</v>
      </c>
      <c r="AL194" s="234" t="b">
        <v>0</v>
      </c>
      <c r="AM194" s="234"/>
      <c r="AN194" s="234" t="b">
        <v>0</v>
      </c>
      <c r="AO194" s="234" t="b">
        <v>0</v>
      </c>
      <c r="AP194" s="234" t="b">
        <v>0</v>
      </c>
      <c r="AQ194" s="234"/>
      <c r="AR194" s="234" t="b">
        <v>0</v>
      </c>
      <c r="AS194" s="234"/>
      <c r="AT194" s="234"/>
      <c r="AU194" s="234"/>
      <c r="AV194" s="234"/>
      <c r="AW194" s="234" t="b">
        <v>0</v>
      </c>
      <c r="AX194" s="234"/>
      <c r="AY194" s="234"/>
      <c r="AZ194" s="234" t="b">
        <v>0</v>
      </c>
      <c r="BA194" s="234"/>
      <c r="BB194" s="234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H195" s="242"/>
      <c r="I195" s="242"/>
      <c r="J195" s="242"/>
      <c r="K195" s="234"/>
      <c r="L195" s="234"/>
      <c r="M195" s="234"/>
      <c r="N195" s="234"/>
      <c r="O195" s="234"/>
      <c r="P195" s="235">
        <f t="shared" si="1"/>
        <v>0</v>
      </c>
      <c r="Q195" s="234" t="b">
        <v>0</v>
      </c>
      <c r="R195" s="234"/>
      <c r="S195" s="234"/>
      <c r="T195" s="234"/>
      <c r="U195" s="234" t="b">
        <v>0</v>
      </c>
      <c r="V195" s="234" t="b">
        <v>0</v>
      </c>
      <c r="W195" s="234" t="b">
        <v>0</v>
      </c>
      <c r="X195" s="234" t="b">
        <v>0</v>
      </c>
      <c r="Y195" s="234" t="b">
        <v>0</v>
      </c>
      <c r="Z195" s="236" t="b">
        <v>0</v>
      </c>
      <c r="AA195" s="234"/>
      <c r="AB195" s="234"/>
      <c r="AC195" s="234" t="b">
        <v>0</v>
      </c>
      <c r="AD195" s="234" t="b">
        <v>0</v>
      </c>
      <c r="AE195" s="234" t="b">
        <v>0</v>
      </c>
      <c r="AF195" s="234" t="b">
        <v>0</v>
      </c>
      <c r="AG195" s="234" t="b">
        <v>0</v>
      </c>
      <c r="AH195" s="234" t="b">
        <v>0</v>
      </c>
      <c r="AI195" s="234" t="b">
        <v>0</v>
      </c>
      <c r="AJ195" s="234" t="b">
        <v>0</v>
      </c>
      <c r="AK195" s="234" t="b">
        <v>0</v>
      </c>
      <c r="AL195" s="234" t="b">
        <v>0</v>
      </c>
      <c r="AM195" s="234"/>
      <c r="AN195" s="234" t="b">
        <v>0</v>
      </c>
      <c r="AO195" s="234" t="b">
        <v>0</v>
      </c>
      <c r="AP195" s="234" t="b">
        <v>0</v>
      </c>
      <c r="AQ195" s="234"/>
      <c r="AR195" s="234" t="b">
        <v>0</v>
      </c>
      <c r="AS195" s="234"/>
      <c r="AT195" s="234"/>
      <c r="AU195" s="234"/>
      <c r="AV195" s="234"/>
      <c r="AW195" s="234" t="b">
        <v>0</v>
      </c>
      <c r="AX195" s="234"/>
      <c r="AY195" s="234"/>
      <c r="AZ195" s="234" t="b">
        <v>0</v>
      </c>
      <c r="BA195" s="234"/>
      <c r="BB195" s="234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H196" s="242"/>
      <c r="I196" s="242"/>
      <c r="J196" s="242"/>
      <c r="K196" s="234"/>
      <c r="L196" s="234"/>
      <c r="M196" s="234"/>
      <c r="N196" s="234"/>
      <c r="O196" s="234"/>
      <c r="P196" s="235">
        <f t="shared" si="1"/>
        <v>0</v>
      </c>
      <c r="Q196" s="234" t="b">
        <v>0</v>
      </c>
      <c r="R196" s="234"/>
      <c r="S196" s="234"/>
      <c r="T196" s="234"/>
      <c r="U196" s="234" t="b">
        <v>0</v>
      </c>
      <c r="V196" s="234" t="b">
        <v>0</v>
      </c>
      <c r="W196" s="234" t="b">
        <v>0</v>
      </c>
      <c r="X196" s="234" t="b">
        <v>0</v>
      </c>
      <c r="Y196" s="234" t="b">
        <v>0</v>
      </c>
      <c r="Z196" s="236" t="b">
        <v>0</v>
      </c>
      <c r="AA196" s="234"/>
      <c r="AB196" s="234"/>
      <c r="AC196" s="234" t="b">
        <v>0</v>
      </c>
      <c r="AD196" s="234" t="b">
        <v>0</v>
      </c>
      <c r="AE196" s="234" t="b">
        <v>0</v>
      </c>
      <c r="AF196" s="234" t="b">
        <v>0</v>
      </c>
      <c r="AG196" s="234" t="b">
        <v>0</v>
      </c>
      <c r="AH196" s="234" t="b">
        <v>0</v>
      </c>
      <c r="AI196" s="234" t="b">
        <v>0</v>
      </c>
      <c r="AJ196" s="234" t="b">
        <v>0</v>
      </c>
      <c r="AK196" s="234" t="b">
        <v>0</v>
      </c>
      <c r="AL196" s="234" t="b">
        <v>0</v>
      </c>
      <c r="AM196" s="234"/>
      <c r="AN196" s="234" t="b">
        <v>0</v>
      </c>
      <c r="AO196" s="234" t="b">
        <v>0</v>
      </c>
      <c r="AP196" s="234" t="b">
        <v>0</v>
      </c>
      <c r="AQ196" s="234"/>
      <c r="AR196" s="234" t="b">
        <v>0</v>
      </c>
      <c r="AS196" s="234"/>
      <c r="AT196" s="234"/>
      <c r="AU196" s="234"/>
      <c r="AV196" s="234"/>
      <c r="AW196" s="234" t="b">
        <v>0</v>
      </c>
      <c r="AX196" s="234"/>
      <c r="AY196" s="234"/>
      <c r="AZ196" s="234" t="b">
        <v>0</v>
      </c>
      <c r="BA196" s="234"/>
      <c r="BB196" s="234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H197" s="242"/>
      <c r="I197" s="242"/>
      <c r="J197" s="242"/>
      <c r="K197" s="234"/>
      <c r="L197" s="234"/>
      <c r="M197" s="234"/>
      <c r="N197" s="234"/>
      <c r="O197" s="234"/>
      <c r="P197" s="235">
        <f t="shared" si="1"/>
        <v>0</v>
      </c>
      <c r="Q197" s="234" t="b">
        <v>0</v>
      </c>
      <c r="R197" s="234"/>
      <c r="S197" s="234"/>
      <c r="T197" s="234"/>
      <c r="U197" s="234" t="b">
        <v>0</v>
      </c>
      <c r="V197" s="234" t="b">
        <v>0</v>
      </c>
      <c r="W197" s="234" t="b">
        <v>0</v>
      </c>
      <c r="X197" s="234" t="b">
        <v>0</v>
      </c>
      <c r="Y197" s="234" t="b">
        <v>0</v>
      </c>
      <c r="Z197" s="236" t="b">
        <v>0</v>
      </c>
      <c r="AA197" s="234"/>
      <c r="AB197" s="234"/>
      <c r="AC197" s="234" t="b">
        <v>0</v>
      </c>
      <c r="AD197" s="234" t="b">
        <v>0</v>
      </c>
      <c r="AE197" s="234" t="b">
        <v>0</v>
      </c>
      <c r="AF197" s="234" t="b">
        <v>0</v>
      </c>
      <c r="AG197" s="234" t="b">
        <v>0</v>
      </c>
      <c r="AH197" s="234" t="b">
        <v>0</v>
      </c>
      <c r="AI197" s="234" t="b">
        <v>0</v>
      </c>
      <c r="AJ197" s="234" t="b">
        <v>0</v>
      </c>
      <c r="AK197" s="234" t="b">
        <v>0</v>
      </c>
      <c r="AL197" s="234" t="b">
        <v>0</v>
      </c>
      <c r="AM197" s="234"/>
      <c r="AN197" s="234" t="b">
        <v>0</v>
      </c>
      <c r="AO197" s="234" t="b">
        <v>0</v>
      </c>
      <c r="AP197" s="234" t="b">
        <v>0</v>
      </c>
      <c r="AQ197" s="234"/>
      <c r="AR197" s="234" t="b">
        <v>0</v>
      </c>
      <c r="AS197" s="234"/>
      <c r="AT197" s="234"/>
      <c r="AU197" s="234"/>
      <c r="AV197" s="234"/>
      <c r="AW197" s="234" t="b">
        <v>0</v>
      </c>
      <c r="AX197" s="234"/>
      <c r="AY197" s="234"/>
      <c r="AZ197" s="234" t="b">
        <v>0</v>
      </c>
      <c r="BA197" s="234"/>
      <c r="BB197" s="234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H198" s="242"/>
      <c r="I198" s="242"/>
      <c r="J198" s="242"/>
      <c r="K198" s="234"/>
      <c r="L198" s="234"/>
      <c r="M198" s="234"/>
      <c r="N198" s="234"/>
      <c r="O198" s="234"/>
      <c r="P198" s="235">
        <f t="shared" si="1"/>
        <v>0</v>
      </c>
      <c r="Q198" s="234" t="b">
        <v>0</v>
      </c>
      <c r="R198" s="234"/>
      <c r="S198" s="234"/>
      <c r="T198" s="234"/>
      <c r="U198" s="234" t="b">
        <v>0</v>
      </c>
      <c r="V198" s="234" t="b">
        <v>0</v>
      </c>
      <c r="W198" s="234" t="b">
        <v>0</v>
      </c>
      <c r="X198" s="234" t="b">
        <v>0</v>
      </c>
      <c r="Y198" s="234" t="b">
        <v>0</v>
      </c>
      <c r="Z198" s="236" t="b">
        <v>0</v>
      </c>
      <c r="AA198" s="234"/>
      <c r="AB198" s="234"/>
      <c r="AC198" s="234" t="b">
        <v>0</v>
      </c>
      <c r="AD198" s="234" t="b">
        <v>0</v>
      </c>
      <c r="AE198" s="234" t="b">
        <v>0</v>
      </c>
      <c r="AF198" s="234" t="b">
        <v>0</v>
      </c>
      <c r="AG198" s="234" t="b">
        <v>0</v>
      </c>
      <c r="AH198" s="234" t="b">
        <v>0</v>
      </c>
      <c r="AI198" s="234" t="b">
        <v>0</v>
      </c>
      <c r="AJ198" s="234" t="b">
        <v>0</v>
      </c>
      <c r="AK198" s="234" t="b">
        <v>0</v>
      </c>
      <c r="AL198" s="234" t="b">
        <v>0</v>
      </c>
      <c r="AM198" s="234"/>
      <c r="AN198" s="234" t="b">
        <v>0</v>
      </c>
      <c r="AO198" s="234" t="b">
        <v>0</v>
      </c>
      <c r="AP198" s="234" t="b">
        <v>0</v>
      </c>
      <c r="AQ198" s="234"/>
      <c r="AR198" s="234" t="b">
        <v>0</v>
      </c>
      <c r="AS198" s="234"/>
      <c r="AT198" s="234"/>
      <c r="AU198" s="234"/>
      <c r="AV198" s="234"/>
      <c r="AW198" s="234" t="b">
        <v>0</v>
      </c>
      <c r="AX198" s="234"/>
      <c r="AY198" s="234"/>
      <c r="AZ198" s="234" t="b">
        <v>0</v>
      </c>
      <c r="BA198" s="234"/>
      <c r="BB198" s="234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H199" s="242"/>
      <c r="I199" s="242"/>
      <c r="J199" s="242"/>
      <c r="K199" s="234"/>
      <c r="L199" s="234"/>
      <c r="M199" s="234"/>
      <c r="N199" s="234"/>
      <c r="O199" s="234"/>
      <c r="P199" s="235">
        <f t="shared" si="1"/>
        <v>0</v>
      </c>
      <c r="Q199" s="234" t="b">
        <v>0</v>
      </c>
      <c r="R199" s="234"/>
      <c r="S199" s="234"/>
      <c r="T199" s="234"/>
      <c r="U199" s="234" t="b">
        <v>0</v>
      </c>
      <c r="V199" s="234" t="b">
        <v>0</v>
      </c>
      <c r="W199" s="234" t="b">
        <v>0</v>
      </c>
      <c r="X199" s="234" t="b">
        <v>0</v>
      </c>
      <c r="Y199" s="234" t="b">
        <v>0</v>
      </c>
      <c r="Z199" s="236" t="b">
        <v>0</v>
      </c>
      <c r="AA199" s="234"/>
      <c r="AB199" s="234"/>
      <c r="AC199" s="234" t="b">
        <v>0</v>
      </c>
      <c r="AD199" s="234" t="b">
        <v>0</v>
      </c>
      <c r="AE199" s="234" t="b">
        <v>0</v>
      </c>
      <c r="AF199" s="234" t="b">
        <v>0</v>
      </c>
      <c r="AG199" s="234" t="b">
        <v>0</v>
      </c>
      <c r="AH199" s="234" t="b">
        <v>0</v>
      </c>
      <c r="AI199" s="234" t="b">
        <v>0</v>
      </c>
      <c r="AJ199" s="234" t="b">
        <v>0</v>
      </c>
      <c r="AK199" s="234" t="b">
        <v>0</v>
      </c>
      <c r="AL199" s="234" t="b">
        <v>0</v>
      </c>
      <c r="AM199" s="234"/>
      <c r="AN199" s="234" t="b">
        <v>0</v>
      </c>
      <c r="AO199" s="234" t="b">
        <v>0</v>
      </c>
      <c r="AP199" s="234" t="b">
        <v>0</v>
      </c>
      <c r="AQ199" s="234"/>
      <c r="AR199" s="234" t="b">
        <v>0</v>
      </c>
      <c r="AS199" s="234"/>
      <c r="AT199" s="234"/>
      <c r="AU199" s="234"/>
      <c r="AV199" s="234"/>
      <c r="AW199" s="234" t="b">
        <v>0</v>
      </c>
      <c r="AX199" s="234"/>
      <c r="AY199" s="234"/>
      <c r="AZ199" s="234" t="b">
        <v>0</v>
      </c>
      <c r="BA199" s="234"/>
      <c r="BB199" s="234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H200" s="242"/>
      <c r="I200" s="242"/>
      <c r="J200" s="242"/>
      <c r="K200" s="234"/>
      <c r="L200" s="234"/>
      <c r="M200" s="234"/>
      <c r="N200" s="234"/>
      <c r="O200" s="234"/>
      <c r="P200" s="235">
        <f t="shared" si="1"/>
        <v>0</v>
      </c>
      <c r="Q200" s="234" t="b">
        <v>0</v>
      </c>
      <c r="R200" s="234"/>
      <c r="S200" s="234"/>
      <c r="T200" s="234"/>
      <c r="U200" s="234" t="b">
        <v>0</v>
      </c>
      <c r="V200" s="234" t="b">
        <v>0</v>
      </c>
      <c r="W200" s="234" t="b">
        <v>0</v>
      </c>
      <c r="X200" s="234" t="b">
        <v>0</v>
      </c>
      <c r="Y200" s="234" t="b">
        <v>0</v>
      </c>
      <c r="Z200" s="236" t="b">
        <v>0</v>
      </c>
      <c r="AA200" s="234"/>
      <c r="AB200" s="234"/>
      <c r="AC200" s="234" t="b">
        <v>0</v>
      </c>
      <c r="AD200" s="234" t="b">
        <v>0</v>
      </c>
      <c r="AE200" s="234" t="b">
        <v>0</v>
      </c>
      <c r="AF200" s="234" t="b">
        <v>0</v>
      </c>
      <c r="AG200" s="234" t="b">
        <v>0</v>
      </c>
      <c r="AH200" s="234" t="b">
        <v>0</v>
      </c>
      <c r="AI200" s="234" t="b">
        <v>0</v>
      </c>
      <c r="AJ200" s="234" t="b">
        <v>0</v>
      </c>
      <c r="AK200" s="234" t="b">
        <v>0</v>
      </c>
      <c r="AL200" s="234" t="b">
        <v>0</v>
      </c>
      <c r="AM200" s="234"/>
      <c r="AN200" s="234" t="b">
        <v>0</v>
      </c>
      <c r="AO200" s="234" t="b">
        <v>0</v>
      </c>
      <c r="AP200" s="234" t="b">
        <v>0</v>
      </c>
      <c r="AQ200" s="234"/>
      <c r="AR200" s="234" t="b">
        <v>0</v>
      </c>
      <c r="AS200" s="234"/>
      <c r="AT200" s="234"/>
      <c r="AU200" s="234"/>
      <c r="AV200" s="234"/>
      <c r="AW200" s="234" t="b">
        <v>0</v>
      </c>
      <c r="AX200" s="234"/>
      <c r="AY200" s="234"/>
      <c r="AZ200" s="234" t="b">
        <v>0</v>
      </c>
      <c r="BA200" s="234"/>
      <c r="BB200" s="234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H201" s="242"/>
      <c r="I201" s="242"/>
      <c r="J201" s="242"/>
      <c r="K201" s="234"/>
      <c r="L201" s="234"/>
      <c r="M201" s="234"/>
      <c r="N201" s="234"/>
      <c r="O201" s="234"/>
      <c r="P201" s="235">
        <f t="shared" si="1"/>
        <v>0</v>
      </c>
      <c r="Q201" s="234" t="b">
        <v>0</v>
      </c>
      <c r="R201" s="234"/>
      <c r="S201" s="234"/>
      <c r="T201" s="234"/>
      <c r="U201" s="234" t="b">
        <v>0</v>
      </c>
      <c r="V201" s="234" t="b">
        <v>0</v>
      </c>
      <c r="W201" s="234" t="b">
        <v>0</v>
      </c>
      <c r="X201" s="234" t="b">
        <v>0</v>
      </c>
      <c r="Y201" s="234" t="b">
        <v>0</v>
      </c>
      <c r="Z201" s="236" t="b">
        <v>0</v>
      </c>
      <c r="AA201" s="234"/>
      <c r="AB201" s="234"/>
      <c r="AC201" s="234" t="b">
        <v>0</v>
      </c>
      <c r="AD201" s="234" t="b">
        <v>0</v>
      </c>
      <c r="AE201" s="234" t="b">
        <v>0</v>
      </c>
      <c r="AF201" s="234" t="b">
        <v>0</v>
      </c>
      <c r="AG201" s="234" t="b">
        <v>0</v>
      </c>
      <c r="AH201" s="234" t="b">
        <v>0</v>
      </c>
      <c r="AI201" s="234" t="b">
        <v>0</v>
      </c>
      <c r="AJ201" s="234" t="b">
        <v>0</v>
      </c>
      <c r="AK201" s="234" t="b">
        <v>0</v>
      </c>
      <c r="AL201" s="234" t="b">
        <v>0</v>
      </c>
      <c r="AM201" s="234"/>
      <c r="AN201" s="234" t="b">
        <v>0</v>
      </c>
      <c r="AO201" s="234" t="b">
        <v>0</v>
      </c>
      <c r="AP201" s="234" t="b">
        <v>0</v>
      </c>
      <c r="AQ201" s="234"/>
      <c r="AR201" s="234" t="b">
        <v>0</v>
      </c>
      <c r="AS201" s="234"/>
      <c r="AT201" s="234"/>
      <c r="AU201" s="234"/>
      <c r="AV201" s="234"/>
      <c r="AW201" s="234" t="b">
        <v>0</v>
      </c>
      <c r="AX201" s="234"/>
      <c r="AY201" s="234"/>
      <c r="AZ201" s="234" t="b">
        <v>0</v>
      </c>
      <c r="BA201" s="234"/>
      <c r="BB201" s="234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H202" s="242"/>
      <c r="I202" s="242"/>
      <c r="J202" s="242"/>
      <c r="K202" s="234"/>
      <c r="L202" s="234"/>
      <c r="M202" s="234"/>
      <c r="N202" s="234"/>
      <c r="O202" s="234"/>
      <c r="P202" s="235">
        <f t="shared" si="1"/>
        <v>0</v>
      </c>
      <c r="Q202" s="234" t="b">
        <v>0</v>
      </c>
      <c r="R202" s="234"/>
      <c r="S202" s="234"/>
      <c r="T202" s="234"/>
      <c r="U202" s="234" t="b">
        <v>0</v>
      </c>
      <c r="V202" s="234" t="b">
        <v>0</v>
      </c>
      <c r="W202" s="234" t="b">
        <v>0</v>
      </c>
      <c r="X202" s="234" t="b">
        <v>0</v>
      </c>
      <c r="Y202" s="234" t="b">
        <v>0</v>
      </c>
      <c r="Z202" s="236" t="b">
        <v>0</v>
      </c>
      <c r="AA202" s="234"/>
      <c r="AB202" s="234"/>
      <c r="AC202" s="234" t="b">
        <v>0</v>
      </c>
      <c r="AD202" s="234" t="b">
        <v>0</v>
      </c>
      <c r="AE202" s="234" t="b">
        <v>0</v>
      </c>
      <c r="AF202" s="234" t="b">
        <v>0</v>
      </c>
      <c r="AG202" s="234" t="b">
        <v>0</v>
      </c>
      <c r="AH202" s="234" t="b">
        <v>0</v>
      </c>
      <c r="AI202" s="234" t="b">
        <v>0</v>
      </c>
      <c r="AJ202" s="234" t="b">
        <v>0</v>
      </c>
      <c r="AK202" s="234" t="b">
        <v>0</v>
      </c>
      <c r="AL202" s="234" t="b">
        <v>0</v>
      </c>
      <c r="AM202" s="234"/>
      <c r="AN202" s="234" t="b">
        <v>0</v>
      </c>
      <c r="AO202" s="234" t="b">
        <v>0</v>
      </c>
      <c r="AP202" s="234" t="b">
        <v>0</v>
      </c>
      <c r="AQ202" s="234"/>
      <c r="AR202" s="234" t="b">
        <v>0</v>
      </c>
      <c r="AS202" s="234"/>
      <c r="AT202" s="234"/>
      <c r="AU202" s="234"/>
      <c r="AV202" s="234"/>
      <c r="AW202" s="234" t="b">
        <v>0</v>
      </c>
      <c r="AX202" s="234"/>
      <c r="AY202" s="234"/>
      <c r="AZ202" s="234" t="b">
        <v>0</v>
      </c>
      <c r="BA202" s="234"/>
      <c r="BB202" s="234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H203" s="242"/>
      <c r="I203" s="242"/>
      <c r="J203" s="242"/>
      <c r="K203" s="234"/>
      <c r="L203" s="234"/>
      <c r="M203" s="234"/>
      <c r="N203" s="234"/>
      <c r="O203" s="234"/>
      <c r="P203" s="235">
        <f t="shared" si="1"/>
        <v>0</v>
      </c>
      <c r="Q203" s="234" t="b">
        <v>0</v>
      </c>
      <c r="R203" s="234"/>
      <c r="S203" s="234"/>
      <c r="T203" s="234"/>
      <c r="U203" s="234" t="b">
        <v>0</v>
      </c>
      <c r="V203" s="234" t="b">
        <v>0</v>
      </c>
      <c r="W203" s="234" t="b">
        <v>0</v>
      </c>
      <c r="X203" s="234" t="b">
        <v>0</v>
      </c>
      <c r="Y203" s="234" t="b">
        <v>0</v>
      </c>
      <c r="Z203" s="236" t="b">
        <v>0</v>
      </c>
      <c r="AA203" s="234"/>
      <c r="AB203" s="234"/>
      <c r="AC203" s="234" t="b">
        <v>0</v>
      </c>
      <c r="AD203" s="234" t="b">
        <v>0</v>
      </c>
      <c r="AE203" s="234" t="b">
        <v>0</v>
      </c>
      <c r="AF203" s="234" t="b">
        <v>0</v>
      </c>
      <c r="AG203" s="234" t="b">
        <v>0</v>
      </c>
      <c r="AH203" s="234" t="b">
        <v>0</v>
      </c>
      <c r="AI203" s="234" t="b">
        <v>0</v>
      </c>
      <c r="AJ203" s="234" t="b">
        <v>0</v>
      </c>
      <c r="AK203" s="234" t="b">
        <v>0</v>
      </c>
      <c r="AL203" s="234" t="b">
        <v>0</v>
      </c>
      <c r="AM203" s="234"/>
      <c r="AN203" s="234" t="b">
        <v>0</v>
      </c>
      <c r="AO203" s="234" t="b">
        <v>0</v>
      </c>
      <c r="AP203" s="234" t="b">
        <v>0</v>
      </c>
      <c r="AQ203" s="234"/>
      <c r="AR203" s="234" t="b">
        <v>0</v>
      </c>
      <c r="AS203" s="234"/>
      <c r="AT203" s="234"/>
      <c r="AU203" s="234"/>
      <c r="AV203" s="234"/>
      <c r="AW203" s="234" t="b">
        <v>0</v>
      </c>
      <c r="AX203" s="234"/>
      <c r="AY203" s="234"/>
      <c r="AZ203" s="234" t="b">
        <v>0</v>
      </c>
      <c r="BA203" s="234"/>
      <c r="BB203" s="234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H204" s="242"/>
      <c r="I204" s="242"/>
      <c r="J204" s="242"/>
      <c r="K204" s="234"/>
      <c r="L204" s="234"/>
      <c r="M204" s="234"/>
      <c r="N204" s="234"/>
      <c r="O204" s="234"/>
      <c r="P204" s="235">
        <f t="shared" si="1"/>
        <v>0</v>
      </c>
      <c r="Q204" s="234" t="b">
        <v>0</v>
      </c>
      <c r="R204" s="234"/>
      <c r="S204" s="234"/>
      <c r="T204" s="234"/>
      <c r="U204" s="234" t="b">
        <v>0</v>
      </c>
      <c r="V204" s="234" t="b">
        <v>0</v>
      </c>
      <c r="W204" s="234" t="b">
        <v>0</v>
      </c>
      <c r="X204" s="234" t="b">
        <v>0</v>
      </c>
      <c r="Y204" s="234" t="b">
        <v>0</v>
      </c>
      <c r="Z204" s="236" t="b">
        <v>0</v>
      </c>
      <c r="AA204" s="234"/>
      <c r="AB204" s="234"/>
      <c r="AC204" s="234" t="b">
        <v>0</v>
      </c>
      <c r="AD204" s="234" t="b">
        <v>0</v>
      </c>
      <c r="AE204" s="234" t="b">
        <v>0</v>
      </c>
      <c r="AF204" s="234" t="b">
        <v>0</v>
      </c>
      <c r="AG204" s="234" t="b">
        <v>0</v>
      </c>
      <c r="AH204" s="234" t="b">
        <v>0</v>
      </c>
      <c r="AI204" s="234" t="b">
        <v>0</v>
      </c>
      <c r="AJ204" s="234" t="b">
        <v>0</v>
      </c>
      <c r="AK204" s="234" t="b">
        <v>0</v>
      </c>
      <c r="AL204" s="234" t="b">
        <v>0</v>
      </c>
      <c r="AM204" s="234"/>
      <c r="AN204" s="234" t="b">
        <v>0</v>
      </c>
      <c r="AO204" s="234" t="b">
        <v>0</v>
      </c>
      <c r="AP204" s="234" t="b">
        <v>0</v>
      </c>
      <c r="AQ204" s="234"/>
      <c r="AR204" s="234" t="b">
        <v>0</v>
      </c>
      <c r="AS204" s="234"/>
      <c r="AT204" s="234"/>
      <c r="AU204" s="234"/>
      <c r="AV204" s="234"/>
      <c r="AW204" s="234" t="b">
        <v>0</v>
      </c>
      <c r="AX204" s="234"/>
      <c r="AY204" s="234"/>
      <c r="AZ204" s="234" t="b">
        <v>0</v>
      </c>
      <c r="BA204" s="234"/>
      <c r="BB204" s="234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H205" s="242"/>
      <c r="I205" s="242"/>
      <c r="J205" s="242"/>
      <c r="K205" s="234"/>
      <c r="L205" s="234"/>
      <c r="M205" s="234"/>
      <c r="N205" s="234"/>
      <c r="O205" s="234"/>
      <c r="P205" s="235">
        <f t="shared" si="1"/>
        <v>0</v>
      </c>
      <c r="Q205" s="234" t="b">
        <v>0</v>
      </c>
      <c r="R205" s="234"/>
      <c r="S205" s="234"/>
      <c r="T205" s="234"/>
      <c r="U205" s="234" t="b">
        <v>0</v>
      </c>
      <c r="V205" s="234" t="b">
        <v>0</v>
      </c>
      <c r="W205" s="234" t="b">
        <v>0</v>
      </c>
      <c r="X205" s="234" t="b">
        <v>0</v>
      </c>
      <c r="Y205" s="234" t="b">
        <v>0</v>
      </c>
      <c r="Z205" s="236" t="b">
        <v>0</v>
      </c>
      <c r="AA205" s="234"/>
      <c r="AB205" s="234"/>
      <c r="AC205" s="234" t="b">
        <v>0</v>
      </c>
      <c r="AD205" s="234" t="b">
        <v>0</v>
      </c>
      <c r="AE205" s="234" t="b">
        <v>0</v>
      </c>
      <c r="AF205" s="234" t="b">
        <v>0</v>
      </c>
      <c r="AG205" s="234" t="b">
        <v>0</v>
      </c>
      <c r="AH205" s="234" t="b">
        <v>0</v>
      </c>
      <c r="AI205" s="234" t="b">
        <v>0</v>
      </c>
      <c r="AJ205" s="234" t="b">
        <v>0</v>
      </c>
      <c r="AK205" s="234" t="b">
        <v>0</v>
      </c>
      <c r="AL205" s="234" t="b">
        <v>0</v>
      </c>
      <c r="AM205" s="234"/>
      <c r="AN205" s="234" t="b">
        <v>0</v>
      </c>
      <c r="AO205" s="234" t="b">
        <v>0</v>
      </c>
      <c r="AP205" s="234" t="b">
        <v>0</v>
      </c>
      <c r="AQ205" s="234"/>
      <c r="AR205" s="234" t="b">
        <v>0</v>
      </c>
      <c r="AS205" s="234"/>
      <c r="AT205" s="234"/>
      <c r="AU205" s="234"/>
      <c r="AV205" s="234"/>
      <c r="AW205" s="234" t="b">
        <v>0</v>
      </c>
      <c r="AX205" s="234"/>
      <c r="AY205" s="234"/>
      <c r="AZ205" s="234" t="b">
        <v>0</v>
      </c>
      <c r="BA205" s="234"/>
      <c r="BB205" s="234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H206" s="242"/>
      <c r="I206" s="242"/>
      <c r="J206" s="242"/>
      <c r="K206" s="234"/>
      <c r="L206" s="234"/>
      <c r="M206" s="234"/>
      <c r="N206" s="234"/>
      <c r="O206" s="234"/>
      <c r="P206" s="235">
        <f t="shared" si="1"/>
        <v>0</v>
      </c>
      <c r="Q206" s="234" t="b">
        <v>0</v>
      </c>
      <c r="R206" s="234"/>
      <c r="S206" s="234"/>
      <c r="T206" s="234"/>
      <c r="U206" s="234" t="b">
        <v>0</v>
      </c>
      <c r="V206" s="234" t="b">
        <v>0</v>
      </c>
      <c r="W206" s="234" t="b">
        <v>0</v>
      </c>
      <c r="X206" s="234" t="b">
        <v>0</v>
      </c>
      <c r="Y206" s="234" t="b">
        <v>0</v>
      </c>
      <c r="Z206" s="236" t="b">
        <v>0</v>
      </c>
      <c r="AA206" s="234"/>
      <c r="AB206" s="234"/>
      <c r="AC206" s="234" t="b">
        <v>0</v>
      </c>
      <c r="AD206" s="234" t="b">
        <v>0</v>
      </c>
      <c r="AE206" s="234" t="b">
        <v>0</v>
      </c>
      <c r="AF206" s="234" t="b">
        <v>0</v>
      </c>
      <c r="AG206" s="234" t="b">
        <v>0</v>
      </c>
      <c r="AH206" s="234" t="b">
        <v>0</v>
      </c>
      <c r="AI206" s="234" t="b">
        <v>0</v>
      </c>
      <c r="AJ206" s="234" t="b">
        <v>0</v>
      </c>
      <c r="AK206" s="234" t="b">
        <v>0</v>
      </c>
      <c r="AL206" s="234" t="b">
        <v>0</v>
      </c>
      <c r="AM206" s="234"/>
      <c r="AN206" s="234" t="b">
        <v>0</v>
      </c>
      <c r="AO206" s="234" t="b">
        <v>0</v>
      </c>
      <c r="AP206" s="234" t="b">
        <v>0</v>
      </c>
      <c r="AQ206" s="234"/>
      <c r="AR206" s="234" t="b">
        <v>0</v>
      </c>
      <c r="AS206" s="234"/>
      <c r="AT206" s="234"/>
      <c r="AU206" s="234"/>
      <c r="AV206" s="234"/>
      <c r="AW206" s="234" t="b">
        <v>0</v>
      </c>
      <c r="AX206" s="234"/>
      <c r="AY206" s="234"/>
      <c r="AZ206" s="234" t="b">
        <v>0</v>
      </c>
      <c r="BA206" s="234"/>
      <c r="BB206" s="234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H207" s="242"/>
      <c r="I207" s="242"/>
      <c r="J207" s="242"/>
      <c r="K207" s="234"/>
      <c r="L207" s="234"/>
      <c r="M207" s="234"/>
      <c r="N207" s="234"/>
      <c r="O207" s="234"/>
      <c r="P207" s="235">
        <f t="shared" si="1"/>
        <v>0</v>
      </c>
      <c r="Q207" s="234" t="b">
        <v>0</v>
      </c>
      <c r="R207" s="234"/>
      <c r="S207" s="234"/>
      <c r="T207" s="234"/>
      <c r="U207" s="234" t="b">
        <v>0</v>
      </c>
      <c r="V207" s="234" t="b">
        <v>0</v>
      </c>
      <c r="W207" s="234" t="b">
        <v>0</v>
      </c>
      <c r="X207" s="234" t="b">
        <v>0</v>
      </c>
      <c r="Y207" s="234" t="b">
        <v>0</v>
      </c>
      <c r="Z207" s="236" t="b">
        <v>0</v>
      </c>
      <c r="AA207" s="234"/>
      <c r="AB207" s="234"/>
      <c r="AC207" s="234" t="b">
        <v>0</v>
      </c>
      <c r="AD207" s="234" t="b">
        <v>0</v>
      </c>
      <c r="AE207" s="234" t="b">
        <v>0</v>
      </c>
      <c r="AF207" s="234" t="b">
        <v>0</v>
      </c>
      <c r="AG207" s="234" t="b">
        <v>0</v>
      </c>
      <c r="AH207" s="234" t="b">
        <v>0</v>
      </c>
      <c r="AI207" s="234" t="b">
        <v>0</v>
      </c>
      <c r="AJ207" s="234" t="b">
        <v>0</v>
      </c>
      <c r="AK207" s="234" t="b">
        <v>0</v>
      </c>
      <c r="AL207" s="234" t="b">
        <v>0</v>
      </c>
      <c r="AM207" s="234"/>
      <c r="AN207" s="234" t="b">
        <v>0</v>
      </c>
      <c r="AO207" s="234" t="b">
        <v>0</v>
      </c>
      <c r="AP207" s="234" t="b">
        <v>0</v>
      </c>
      <c r="AQ207" s="234"/>
      <c r="AR207" s="234" t="b">
        <v>0</v>
      </c>
      <c r="AS207" s="234"/>
      <c r="AT207" s="234"/>
      <c r="AU207" s="234"/>
      <c r="AV207" s="234"/>
      <c r="AW207" s="234" t="b">
        <v>0</v>
      </c>
      <c r="AX207" s="234"/>
      <c r="AY207" s="234"/>
      <c r="AZ207" s="234" t="b">
        <v>0</v>
      </c>
      <c r="BA207" s="234"/>
      <c r="BB207" s="234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H208" s="242"/>
      <c r="I208" s="242"/>
      <c r="J208" s="242"/>
      <c r="K208" s="234"/>
      <c r="L208" s="234"/>
      <c r="M208" s="234"/>
      <c r="N208" s="234"/>
      <c r="O208" s="234"/>
      <c r="P208" s="235">
        <f t="shared" si="1"/>
        <v>0</v>
      </c>
      <c r="Q208" s="234" t="b">
        <v>0</v>
      </c>
      <c r="R208" s="234"/>
      <c r="S208" s="234"/>
      <c r="T208" s="234"/>
      <c r="U208" s="234" t="b">
        <v>0</v>
      </c>
      <c r="V208" s="234" t="b">
        <v>0</v>
      </c>
      <c r="W208" s="234" t="b">
        <v>0</v>
      </c>
      <c r="X208" s="234" t="b">
        <v>0</v>
      </c>
      <c r="Y208" s="234" t="b">
        <v>0</v>
      </c>
      <c r="Z208" s="236" t="b">
        <v>0</v>
      </c>
      <c r="AA208" s="234"/>
      <c r="AB208" s="234"/>
      <c r="AC208" s="234" t="b">
        <v>0</v>
      </c>
      <c r="AD208" s="234" t="b">
        <v>0</v>
      </c>
      <c r="AE208" s="234" t="b">
        <v>0</v>
      </c>
      <c r="AF208" s="234" t="b">
        <v>0</v>
      </c>
      <c r="AG208" s="234" t="b">
        <v>0</v>
      </c>
      <c r="AH208" s="234" t="b">
        <v>0</v>
      </c>
      <c r="AI208" s="234" t="b">
        <v>0</v>
      </c>
      <c r="AJ208" s="234" t="b">
        <v>0</v>
      </c>
      <c r="AK208" s="234" t="b">
        <v>0</v>
      </c>
      <c r="AL208" s="234" t="b">
        <v>0</v>
      </c>
      <c r="AM208" s="234"/>
      <c r="AN208" s="234" t="b">
        <v>0</v>
      </c>
      <c r="AO208" s="234" t="b">
        <v>0</v>
      </c>
      <c r="AP208" s="234" t="b">
        <v>0</v>
      </c>
      <c r="AQ208" s="234"/>
      <c r="AR208" s="234" t="b">
        <v>0</v>
      </c>
      <c r="AS208" s="234"/>
      <c r="AT208" s="234"/>
      <c r="AU208" s="234"/>
      <c r="AV208" s="234"/>
      <c r="AW208" s="234" t="b">
        <v>0</v>
      </c>
      <c r="AX208" s="234"/>
      <c r="AY208" s="234"/>
      <c r="AZ208" s="234" t="b">
        <v>0</v>
      </c>
      <c r="BA208" s="234"/>
      <c r="BB208" s="234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H209" s="242"/>
      <c r="I209" s="242"/>
      <c r="J209" s="242"/>
      <c r="K209" s="234"/>
      <c r="L209" s="234"/>
      <c r="M209" s="234"/>
      <c r="N209" s="234"/>
      <c r="O209" s="234"/>
      <c r="P209" s="235">
        <f t="shared" si="1"/>
        <v>0</v>
      </c>
      <c r="Q209" s="234" t="b">
        <v>0</v>
      </c>
      <c r="R209" s="234"/>
      <c r="S209" s="234"/>
      <c r="T209" s="234"/>
      <c r="U209" s="234" t="b">
        <v>0</v>
      </c>
      <c r="V209" s="234" t="b">
        <v>0</v>
      </c>
      <c r="W209" s="234" t="b">
        <v>0</v>
      </c>
      <c r="X209" s="234" t="b">
        <v>0</v>
      </c>
      <c r="Y209" s="234" t="b">
        <v>0</v>
      </c>
      <c r="Z209" s="236" t="b">
        <v>0</v>
      </c>
      <c r="AA209" s="234"/>
      <c r="AB209" s="234"/>
      <c r="AC209" s="234" t="b">
        <v>0</v>
      </c>
      <c r="AD209" s="234" t="b">
        <v>0</v>
      </c>
      <c r="AE209" s="234" t="b">
        <v>0</v>
      </c>
      <c r="AF209" s="234" t="b">
        <v>0</v>
      </c>
      <c r="AG209" s="234" t="b">
        <v>0</v>
      </c>
      <c r="AH209" s="234" t="b">
        <v>0</v>
      </c>
      <c r="AI209" s="234" t="b">
        <v>0</v>
      </c>
      <c r="AJ209" s="234" t="b">
        <v>0</v>
      </c>
      <c r="AK209" s="234" t="b">
        <v>0</v>
      </c>
      <c r="AL209" s="234" t="b">
        <v>0</v>
      </c>
      <c r="AM209" s="234"/>
      <c r="AN209" s="234" t="b">
        <v>0</v>
      </c>
      <c r="AO209" s="234" t="b">
        <v>0</v>
      </c>
      <c r="AP209" s="234" t="b">
        <v>0</v>
      </c>
      <c r="AQ209" s="234"/>
      <c r="AR209" s="234" t="b">
        <v>0</v>
      </c>
      <c r="AS209" s="234"/>
      <c r="AT209" s="234"/>
      <c r="AU209" s="234"/>
      <c r="AV209" s="234"/>
      <c r="AW209" s="234" t="b">
        <v>0</v>
      </c>
      <c r="AX209" s="234"/>
      <c r="AY209" s="234"/>
      <c r="AZ209" s="234" t="b">
        <v>0</v>
      </c>
      <c r="BA209" s="234"/>
      <c r="BB209" s="234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H210" s="242"/>
      <c r="I210" s="242"/>
      <c r="J210" s="242"/>
      <c r="K210" s="234"/>
      <c r="L210" s="234"/>
      <c r="M210" s="234"/>
      <c r="N210" s="234"/>
      <c r="O210" s="234"/>
      <c r="P210" s="235">
        <f t="shared" si="1"/>
        <v>0</v>
      </c>
      <c r="Q210" s="234" t="b">
        <v>0</v>
      </c>
      <c r="R210" s="234"/>
      <c r="S210" s="234"/>
      <c r="T210" s="234"/>
      <c r="U210" s="234" t="b">
        <v>0</v>
      </c>
      <c r="V210" s="234" t="b">
        <v>0</v>
      </c>
      <c r="W210" s="234" t="b">
        <v>0</v>
      </c>
      <c r="X210" s="234" t="b">
        <v>0</v>
      </c>
      <c r="Y210" s="234" t="b">
        <v>0</v>
      </c>
      <c r="Z210" s="236" t="b">
        <v>0</v>
      </c>
      <c r="AA210" s="234"/>
      <c r="AB210" s="234"/>
      <c r="AC210" s="234" t="b">
        <v>0</v>
      </c>
      <c r="AD210" s="234" t="b">
        <v>0</v>
      </c>
      <c r="AE210" s="234" t="b">
        <v>0</v>
      </c>
      <c r="AF210" s="234" t="b">
        <v>0</v>
      </c>
      <c r="AG210" s="234" t="b">
        <v>0</v>
      </c>
      <c r="AH210" s="234" t="b">
        <v>0</v>
      </c>
      <c r="AI210" s="234" t="b">
        <v>0</v>
      </c>
      <c r="AJ210" s="234" t="b">
        <v>0</v>
      </c>
      <c r="AK210" s="234" t="b">
        <v>0</v>
      </c>
      <c r="AL210" s="234" t="b">
        <v>0</v>
      </c>
      <c r="AM210" s="234"/>
      <c r="AN210" s="234" t="b">
        <v>0</v>
      </c>
      <c r="AO210" s="234" t="b">
        <v>0</v>
      </c>
      <c r="AP210" s="234" t="b">
        <v>0</v>
      </c>
      <c r="AQ210" s="234"/>
      <c r="AR210" s="234" t="b">
        <v>0</v>
      </c>
      <c r="AS210" s="234"/>
      <c r="AT210" s="234"/>
      <c r="AU210" s="234"/>
      <c r="AV210" s="234"/>
      <c r="AW210" s="234" t="b">
        <v>0</v>
      </c>
      <c r="AX210" s="234"/>
      <c r="AY210" s="234"/>
      <c r="AZ210" s="234" t="b">
        <v>0</v>
      </c>
      <c r="BA210" s="234"/>
      <c r="BB210" s="234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H211" s="242"/>
      <c r="I211" s="242"/>
      <c r="J211" s="242"/>
      <c r="K211" s="234"/>
      <c r="L211" s="234"/>
      <c r="M211" s="234"/>
      <c r="N211" s="234"/>
      <c r="O211" s="234"/>
      <c r="P211" s="235">
        <f t="shared" si="1"/>
        <v>0</v>
      </c>
      <c r="Q211" s="234" t="b">
        <v>0</v>
      </c>
      <c r="R211" s="234"/>
      <c r="S211" s="234"/>
      <c r="T211" s="234"/>
      <c r="U211" s="234" t="b">
        <v>0</v>
      </c>
      <c r="V211" s="234" t="b">
        <v>0</v>
      </c>
      <c r="W211" s="234" t="b">
        <v>0</v>
      </c>
      <c r="X211" s="234" t="b">
        <v>0</v>
      </c>
      <c r="Y211" s="234" t="b">
        <v>0</v>
      </c>
      <c r="Z211" s="236" t="b">
        <v>0</v>
      </c>
      <c r="AA211" s="234"/>
      <c r="AB211" s="234"/>
      <c r="AC211" s="234" t="b">
        <v>0</v>
      </c>
      <c r="AD211" s="234" t="b">
        <v>0</v>
      </c>
      <c r="AE211" s="234" t="b">
        <v>0</v>
      </c>
      <c r="AF211" s="234" t="b">
        <v>0</v>
      </c>
      <c r="AG211" s="234" t="b">
        <v>0</v>
      </c>
      <c r="AH211" s="234" t="b">
        <v>0</v>
      </c>
      <c r="AI211" s="234" t="b">
        <v>0</v>
      </c>
      <c r="AJ211" s="234" t="b">
        <v>0</v>
      </c>
      <c r="AK211" s="234" t="b">
        <v>0</v>
      </c>
      <c r="AL211" s="234" t="b">
        <v>0</v>
      </c>
      <c r="AM211" s="234"/>
      <c r="AN211" s="234" t="b">
        <v>0</v>
      </c>
      <c r="AO211" s="234" t="b">
        <v>0</v>
      </c>
      <c r="AP211" s="234" t="b">
        <v>0</v>
      </c>
      <c r="AQ211" s="234"/>
      <c r="AR211" s="234" t="b">
        <v>0</v>
      </c>
      <c r="AS211" s="234"/>
      <c r="AT211" s="234"/>
      <c r="AU211" s="234"/>
      <c r="AV211" s="234"/>
      <c r="AW211" s="234" t="b">
        <v>0</v>
      </c>
      <c r="AX211" s="234"/>
      <c r="AY211" s="234"/>
      <c r="AZ211" s="234" t="b">
        <v>0</v>
      </c>
      <c r="BA211" s="234"/>
      <c r="BB211" s="234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H212" s="242"/>
      <c r="I212" s="242"/>
      <c r="J212" s="242"/>
      <c r="K212" s="234"/>
      <c r="L212" s="234"/>
      <c r="M212" s="234"/>
      <c r="N212" s="234"/>
      <c r="O212" s="234"/>
      <c r="P212" s="235">
        <f t="shared" si="1"/>
        <v>0</v>
      </c>
      <c r="Q212" s="234" t="b">
        <v>0</v>
      </c>
      <c r="R212" s="234"/>
      <c r="S212" s="234"/>
      <c r="T212" s="234"/>
      <c r="U212" s="234" t="b">
        <v>0</v>
      </c>
      <c r="V212" s="234" t="b">
        <v>0</v>
      </c>
      <c r="W212" s="234" t="b">
        <v>0</v>
      </c>
      <c r="X212" s="234" t="b">
        <v>0</v>
      </c>
      <c r="Y212" s="234" t="b">
        <v>0</v>
      </c>
      <c r="Z212" s="236" t="b">
        <v>0</v>
      </c>
      <c r="AA212" s="234"/>
      <c r="AB212" s="234"/>
      <c r="AC212" s="234" t="b">
        <v>0</v>
      </c>
      <c r="AD212" s="234" t="b">
        <v>0</v>
      </c>
      <c r="AE212" s="234" t="b">
        <v>0</v>
      </c>
      <c r="AF212" s="234" t="b">
        <v>0</v>
      </c>
      <c r="AG212" s="234" t="b">
        <v>0</v>
      </c>
      <c r="AH212" s="234" t="b">
        <v>0</v>
      </c>
      <c r="AI212" s="234" t="b">
        <v>0</v>
      </c>
      <c r="AJ212" s="234" t="b">
        <v>0</v>
      </c>
      <c r="AK212" s="234" t="b">
        <v>0</v>
      </c>
      <c r="AL212" s="234" t="b">
        <v>0</v>
      </c>
      <c r="AM212" s="234"/>
      <c r="AN212" s="234" t="b">
        <v>0</v>
      </c>
      <c r="AO212" s="234" t="b">
        <v>0</v>
      </c>
      <c r="AP212" s="234" t="b">
        <v>0</v>
      </c>
      <c r="AQ212" s="234"/>
      <c r="AR212" s="234" t="b">
        <v>0</v>
      </c>
      <c r="AS212" s="234"/>
      <c r="AT212" s="234"/>
      <c r="AU212" s="234"/>
      <c r="AV212" s="234"/>
      <c r="AW212" s="234" t="b">
        <v>0</v>
      </c>
      <c r="AX212" s="234"/>
      <c r="AY212" s="234"/>
      <c r="AZ212" s="234" t="b">
        <v>0</v>
      </c>
      <c r="BA212" s="234"/>
      <c r="BB212" s="234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H213" s="242"/>
      <c r="I213" s="242"/>
      <c r="J213" s="242"/>
      <c r="K213" s="234"/>
      <c r="L213" s="234"/>
      <c r="M213" s="234"/>
      <c r="N213" s="234"/>
      <c r="O213" s="234"/>
      <c r="P213" s="235">
        <f t="shared" si="1"/>
        <v>0</v>
      </c>
      <c r="Q213" s="234" t="b">
        <v>0</v>
      </c>
      <c r="R213" s="234"/>
      <c r="S213" s="234"/>
      <c r="T213" s="234"/>
      <c r="U213" s="234" t="b">
        <v>0</v>
      </c>
      <c r="V213" s="234" t="b">
        <v>0</v>
      </c>
      <c r="W213" s="234" t="b">
        <v>0</v>
      </c>
      <c r="X213" s="234" t="b">
        <v>0</v>
      </c>
      <c r="Y213" s="234" t="b">
        <v>0</v>
      </c>
      <c r="Z213" s="236" t="b">
        <v>0</v>
      </c>
      <c r="AA213" s="234"/>
      <c r="AB213" s="234"/>
      <c r="AC213" s="234" t="b">
        <v>0</v>
      </c>
      <c r="AD213" s="234" t="b">
        <v>0</v>
      </c>
      <c r="AE213" s="234" t="b">
        <v>0</v>
      </c>
      <c r="AF213" s="234" t="b">
        <v>0</v>
      </c>
      <c r="AG213" s="234" t="b">
        <v>0</v>
      </c>
      <c r="AH213" s="234" t="b">
        <v>0</v>
      </c>
      <c r="AI213" s="234" t="b">
        <v>0</v>
      </c>
      <c r="AJ213" s="234" t="b">
        <v>0</v>
      </c>
      <c r="AK213" s="234" t="b">
        <v>0</v>
      </c>
      <c r="AL213" s="234" t="b">
        <v>0</v>
      </c>
      <c r="AM213" s="234"/>
      <c r="AN213" s="234" t="b">
        <v>0</v>
      </c>
      <c r="AO213" s="234" t="b">
        <v>0</v>
      </c>
      <c r="AP213" s="234" t="b">
        <v>0</v>
      </c>
      <c r="AQ213" s="234"/>
      <c r="AR213" s="234" t="b">
        <v>0</v>
      </c>
      <c r="AS213" s="234"/>
      <c r="AT213" s="234"/>
      <c r="AU213" s="234"/>
      <c r="AV213" s="234"/>
      <c r="AW213" s="234" t="b">
        <v>0</v>
      </c>
      <c r="AX213" s="234"/>
      <c r="AY213" s="234"/>
      <c r="AZ213" s="234" t="b">
        <v>0</v>
      </c>
      <c r="BA213" s="234"/>
      <c r="BB213" s="234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H214" s="242"/>
      <c r="I214" s="242"/>
      <c r="J214" s="242"/>
      <c r="K214" s="234"/>
      <c r="L214" s="234"/>
      <c r="M214" s="234"/>
      <c r="N214" s="234"/>
      <c r="O214" s="234"/>
      <c r="P214" s="235">
        <f t="shared" si="1"/>
        <v>0</v>
      </c>
      <c r="Q214" s="234" t="b">
        <v>0</v>
      </c>
      <c r="R214" s="234"/>
      <c r="S214" s="234"/>
      <c r="T214" s="234"/>
      <c r="U214" s="234" t="b">
        <v>0</v>
      </c>
      <c r="V214" s="234" t="b">
        <v>0</v>
      </c>
      <c r="W214" s="234" t="b">
        <v>0</v>
      </c>
      <c r="X214" s="234" t="b">
        <v>0</v>
      </c>
      <c r="Y214" s="234" t="b">
        <v>0</v>
      </c>
      <c r="Z214" s="236" t="b">
        <v>0</v>
      </c>
      <c r="AA214" s="234"/>
      <c r="AB214" s="234"/>
      <c r="AC214" s="234" t="b">
        <v>0</v>
      </c>
      <c r="AD214" s="234" t="b">
        <v>0</v>
      </c>
      <c r="AE214" s="234" t="b">
        <v>0</v>
      </c>
      <c r="AF214" s="234" t="b">
        <v>0</v>
      </c>
      <c r="AG214" s="234" t="b">
        <v>0</v>
      </c>
      <c r="AH214" s="234" t="b">
        <v>0</v>
      </c>
      <c r="AI214" s="234" t="b">
        <v>0</v>
      </c>
      <c r="AJ214" s="234" t="b">
        <v>0</v>
      </c>
      <c r="AK214" s="234" t="b">
        <v>0</v>
      </c>
      <c r="AL214" s="234" t="b">
        <v>0</v>
      </c>
      <c r="AM214" s="234"/>
      <c r="AN214" s="234" t="b">
        <v>0</v>
      </c>
      <c r="AO214" s="234" t="b">
        <v>0</v>
      </c>
      <c r="AP214" s="234" t="b">
        <v>0</v>
      </c>
      <c r="AQ214" s="234"/>
      <c r="AR214" s="234" t="b">
        <v>0</v>
      </c>
      <c r="AS214" s="234"/>
      <c r="AT214" s="234"/>
      <c r="AU214" s="234"/>
      <c r="AV214" s="234"/>
      <c r="AW214" s="234" t="b">
        <v>0</v>
      </c>
      <c r="AX214" s="234"/>
      <c r="AY214" s="234"/>
      <c r="AZ214" s="234" t="b">
        <v>0</v>
      </c>
      <c r="BA214" s="234"/>
      <c r="BB214" s="234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H215" s="242"/>
      <c r="I215" s="242"/>
      <c r="J215" s="242"/>
      <c r="K215" s="234"/>
      <c r="L215" s="234"/>
      <c r="M215" s="234"/>
      <c r="N215" s="234"/>
      <c r="O215" s="234"/>
      <c r="P215" s="235">
        <f t="shared" si="1"/>
        <v>0</v>
      </c>
      <c r="Q215" s="234" t="b">
        <v>0</v>
      </c>
      <c r="R215" s="234"/>
      <c r="S215" s="234"/>
      <c r="T215" s="234"/>
      <c r="U215" s="234" t="b">
        <v>0</v>
      </c>
      <c r="V215" s="234" t="b">
        <v>0</v>
      </c>
      <c r="W215" s="234" t="b">
        <v>0</v>
      </c>
      <c r="X215" s="234" t="b">
        <v>0</v>
      </c>
      <c r="Y215" s="234" t="b">
        <v>0</v>
      </c>
      <c r="Z215" s="236" t="b">
        <v>0</v>
      </c>
      <c r="AA215" s="234"/>
      <c r="AB215" s="234"/>
      <c r="AC215" s="234" t="b">
        <v>0</v>
      </c>
      <c r="AD215" s="234" t="b">
        <v>0</v>
      </c>
      <c r="AE215" s="234" t="b">
        <v>0</v>
      </c>
      <c r="AF215" s="234" t="b">
        <v>0</v>
      </c>
      <c r="AG215" s="234" t="b">
        <v>0</v>
      </c>
      <c r="AH215" s="234" t="b">
        <v>0</v>
      </c>
      <c r="AI215" s="234" t="b">
        <v>0</v>
      </c>
      <c r="AJ215" s="234" t="b">
        <v>0</v>
      </c>
      <c r="AK215" s="234" t="b">
        <v>0</v>
      </c>
      <c r="AL215" s="234" t="b">
        <v>0</v>
      </c>
      <c r="AM215" s="234"/>
      <c r="AN215" s="234" t="b">
        <v>0</v>
      </c>
      <c r="AO215" s="234" t="b">
        <v>0</v>
      </c>
      <c r="AP215" s="234" t="b">
        <v>0</v>
      </c>
      <c r="AQ215" s="234"/>
      <c r="AR215" s="234" t="b">
        <v>0</v>
      </c>
      <c r="AS215" s="234"/>
      <c r="AT215" s="234"/>
      <c r="AU215" s="234"/>
      <c r="AV215" s="234"/>
      <c r="AW215" s="234" t="b">
        <v>0</v>
      </c>
      <c r="AX215" s="234"/>
      <c r="AY215" s="234"/>
      <c r="AZ215" s="234" t="b">
        <v>0</v>
      </c>
      <c r="BA215" s="234"/>
      <c r="BB215" s="234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H216" s="242"/>
      <c r="I216" s="242"/>
      <c r="J216" s="242"/>
      <c r="K216" s="234"/>
      <c r="L216" s="234"/>
      <c r="M216" s="234"/>
      <c r="N216" s="234"/>
      <c r="O216" s="234"/>
      <c r="P216" s="235">
        <f t="shared" si="1"/>
        <v>0</v>
      </c>
      <c r="Q216" s="234" t="b">
        <v>0</v>
      </c>
      <c r="R216" s="234"/>
      <c r="S216" s="234"/>
      <c r="T216" s="234"/>
      <c r="U216" s="234" t="b">
        <v>0</v>
      </c>
      <c r="V216" s="234" t="b">
        <v>0</v>
      </c>
      <c r="W216" s="234" t="b">
        <v>0</v>
      </c>
      <c r="X216" s="234" t="b">
        <v>0</v>
      </c>
      <c r="Y216" s="234" t="b">
        <v>0</v>
      </c>
      <c r="Z216" s="236" t="b">
        <v>0</v>
      </c>
      <c r="AA216" s="234"/>
      <c r="AB216" s="234"/>
      <c r="AC216" s="234" t="b">
        <v>0</v>
      </c>
      <c r="AD216" s="234" t="b">
        <v>0</v>
      </c>
      <c r="AE216" s="234" t="b">
        <v>0</v>
      </c>
      <c r="AF216" s="234" t="b">
        <v>0</v>
      </c>
      <c r="AG216" s="234" t="b">
        <v>0</v>
      </c>
      <c r="AH216" s="234" t="b">
        <v>0</v>
      </c>
      <c r="AI216" s="234" t="b">
        <v>0</v>
      </c>
      <c r="AJ216" s="234" t="b">
        <v>0</v>
      </c>
      <c r="AK216" s="234" t="b">
        <v>0</v>
      </c>
      <c r="AL216" s="234" t="b">
        <v>0</v>
      </c>
      <c r="AM216" s="234"/>
      <c r="AN216" s="234" t="b">
        <v>0</v>
      </c>
      <c r="AO216" s="234" t="b">
        <v>0</v>
      </c>
      <c r="AP216" s="234" t="b">
        <v>0</v>
      </c>
      <c r="AQ216" s="234"/>
      <c r="AR216" s="234" t="b">
        <v>0</v>
      </c>
      <c r="AS216" s="234"/>
      <c r="AT216" s="234"/>
      <c r="AU216" s="234"/>
      <c r="AV216" s="234"/>
      <c r="AW216" s="234" t="b">
        <v>0</v>
      </c>
      <c r="AX216" s="234"/>
      <c r="AY216" s="234"/>
      <c r="AZ216" s="234" t="b">
        <v>0</v>
      </c>
      <c r="BA216" s="234"/>
      <c r="BB216" s="234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H217" s="242"/>
      <c r="I217" s="242"/>
      <c r="J217" s="242"/>
      <c r="K217" s="234"/>
      <c r="L217" s="234"/>
      <c r="M217" s="234"/>
      <c r="N217" s="234"/>
      <c r="O217" s="234"/>
      <c r="P217" s="235">
        <f t="shared" si="1"/>
        <v>0</v>
      </c>
      <c r="Q217" s="234" t="b">
        <v>0</v>
      </c>
      <c r="R217" s="234"/>
      <c r="S217" s="234"/>
      <c r="T217" s="234"/>
      <c r="U217" s="234" t="b">
        <v>0</v>
      </c>
      <c r="V217" s="234" t="b">
        <v>0</v>
      </c>
      <c r="W217" s="234" t="b">
        <v>0</v>
      </c>
      <c r="X217" s="234" t="b">
        <v>0</v>
      </c>
      <c r="Y217" s="234" t="b">
        <v>0</v>
      </c>
      <c r="Z217" s="236" t="b">
        <v>0</v>
      </c>
      <c r="AA217" s="234"/>
      <c r="AB217" s="234"/>
      <c r="AC217" s="234" t="b">
        <v>0</v>
      </c>
      <c r="AD217" s="234" t="b">
        <v>0</v>
      </c>
      <c r="AE217" s="234" t="b">
        <v>0</v>
      </c>
      <c r="AF217" s="234" t="b">
        <v>0</v>
      </c>
      <c r="AG217" s="234" t="b">
        <v>0</v>
      </c>
      <c r="AH217" s="234" t="b">
        <v>0</v>
      </c>
      <c r="AI217" s="234" t="b">
        <v>0</v>
      </c>
      <c r="AJ217" s="234" t="b">
        <v>0</v>
      </c>
      <c r="AK217" s="234" t="b">
        <v>0</v>
      </c>
      <c r="AL217" s="234" t="b">
        <v>0</v>
      </c>
      <c r="AM217" s="234"/>
      <c r="AN217" s="234" t="b">
        <v>0</v>
      </c>
      <c r="AO217" s="234" t="b">
        <v>0</v>
      </c>
      <c r="AP217" s="234" t="b">
        <v>0</v>
      </c>
      <c r="AQ217" s="234"/>
      <c r="AR217" s="234" t="b">
        <v>0</v>
      </c>
      <c r="AS217" s="234"/>
      <c r="AT217" s="234"/>
      <c r="AU217" s="234"/>
      <c r="AV217" s="234"/>
      <c r="AW217" s="234" t="b">
        <v>0</v>
      </c>
      <c r="AX217" s="234"/>
      <c r="AY217" s="234"/>
      <c r="AZ217" s="234" t="b">
        <v>0</v>
      </c>
      <c r="BA217" s="234"/>
      <c r="BB217" s="234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H218" s="242"/>
      <c r="I218" s="242"/>
      <c r="J218" s="242"/>
      <c r="K218" s="234"/>
      <c r="L218" s="234"/>
      <c r="M218" s="234"/>
      <c r="N218" s="234"/>
      <c r="O218" s="234"/>
      <c r="P218" s="235">
        <f t="shared" si="1"/>
        <v>0</v>
      </c>
      <c r="Q218" s="234" t="b">
        <v>0</v>
      </c>
      <c r="R218" s="234"/>
      <c r="S218" s="234"/>
      <c r="T218" s="234"/>
      <c r="U218" s="234" t="b">
        <v>0</v>
      </c>
      <c r="V218" s="234" t="b">
        <v>0</v>
      </c>
      <c r="W218" s="234" t="b">
        <v>0</v>
      </c>
      <c r="X218" s="234" t="b">
        <v>0</v>
      </c>
      <c r="Y218" s="234" t="b">
        <v>0</v>
      </c>
      <c r="Z218" s="236" t="b">
        <v>0</v>
      </c>
      <c r="AA218" s="234"/>
      <c r="AB218" s="234"/>
      <c r="AC218" s="234" t="b">
        <v>0</v>
      </c>
      <c r="AD218" s="234" t="b">
        <v>0</v>
      </c>
      <c r="AE218" s="234" t="b">
        <v>0</v>
      </c>
      <c r="AF218" s="234" t="b">
        <v>0</v>
      </c>
      <c r="AG218" s="234" t="b">
        <v>0</v>
      </c>
      <c r="AH218" s="234" t="b">
        <v>0</v>
      </c>
      <c r="AI218" s="234" t="b">
        <v>0</v>
      </c>
      <c r="AJ218" s="234" t="b">
        <v>0</v>
      </c>
      <c r="AK218" s="234" t="b">
        <v>0</v>
      </c>
      <c r="AL218" s="234" t="b">
        <v>0</v>
      </c>
      <c r="AM218" s="234"/>
      <c r="AN218" s="234" t="b">
        <v>0</v>
      </c>
      <c r="AO218" s="234" t="b">
        <v>0</v>
      </c>
      <c r="AP218" s="234" t="b">
        <v>0</v>
      </c>
      <c r="AQ218" s="234"/>
      <c r="AR218" s="234" t="b">
        <v>0</v>
      </c>
      <c r="AS218" s="234"/>
      <c r="AT218" s="234"/>
      <c r="AU218" s="234"/>
      <c r="AV218" s="234"/>
      <c r="AW218" s="234" t="b">
        <v>0</v>
      </c>
      <c r="AX218" s="234"/>
      <c r="AY218" s="234"/>
      <c r="AZ218" s="234" t="b">
        <v>0</v>
      </c>
      <c r="BA218" s="234"/>
      <c r="BB218" s="234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H219" s="242"/>
      <c r="I219" s="242"/>
      <c r="J219" s="242"/>
      <c r="K219" s="234"/>
      <c r="L219" s="234"/>
      <c r="M219" s="234"/>
      <c r="N219" s="234"/>
      <c r="O219" s="234"/>
      <c r="P219" s="235">
        <f t="shared" si="1"/>
        <v>0</v>
      </c>
      <c r="Q219" s="234" t="b">
        <v>0</v>
      </c>
      <c r="R219" s="234"/>
      <c r="S219" s="234"/>
      <c r="T219" s="234"/>
      <c r="U219" s="234" t="b">
        <v>0</v>
      </c>
      <c r="V219" s="234" t="b">
        <v>0</v>
      </c>
      <c r="W219" s="234" t="b">
        <v>0</v>
      </c>
      <c r="X219" s="234" t="b">
        <v>0</v>
      </c>
      <c r="Y219" s="234" t="b">
        <v>0</v>
      </c>
      <c r="Z219" s="236" t="b">
        <v>0</v>
      </c>
      <c r="AA219" s="234"/>
      <c r="AB219" s="234"/>
      <c r="AC219" s="234" t="b">
        <v>0</v>
      </c>
      <c r="AD219" s="234" t="b">
        <v>0</v>
      </c>
      <c r="AE219" s="234" t="b">
        <v>0</v>
      </c>
      <c r="AF219" s="234" t="b">
        <v>0</v>
      </c>
      <c r="AG219" s="234" t="b">
        <v>0</v>
      </c>
      <c r="AH219" s="234" t="b">
        <v>0</v>
      </c>
      <c r="AI219" s="234" t="b">
        <v>0</v>
      </c>
      <c r="AJ219" s="234" t="b">
        <v>0</v>
      </c>
      <c r="AK219" s="234" t="b">
        <v>0</v>
      </c>
      <c r="AL219" s="234" t="b">
        <v>0</v>
      </c>
      <c r="AM219" s="234"/>
      <c r="AN219" s="234" t="b">
        <v>0</v>
      </c>
      <c r="AO219" s="234" t="b">
        <v>0</v>
      </c>
      <c r="AP219" s="234" t="b">
        <v>0</v>
      </c>
      <c r="AQ219" s="234"/>
      <c r="AR219" s="234" t="b">
        <v>0</v>
      </c>
      <c r="AS219" s="234"/>
      <c r="AT219" s="234"/>
      <c r="AU219" s="234"/>
      <c r="AV219" s="234"/>
      <c r="AW219" s="234" t="b">
        <v>0</v>
      </c>
      <c r="AX219" s="234"/>
      <c r="AY219" s="234"/>
      <c r="AZ219" s="234" t="b">
        <v>0</v>
      </c>
      <c r="BA219" s="234"/>
      <c r="BB219" s="234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H220" s="242"/>
      <c r="I220" s="242"/>
      <c r="J220" s="242"/>
      <c r="K220" s="234"/>
      <c r="L220" s="234"/>
      <c r="M220" s="234"/>
      <c r="N220" s="234"/>
      <c r="O220" s="234"/>
      <c r="P220" s="235">
        <f t="shared" si="1"/>
        <v>0</v>
      </c>
      <c r="Q220" s="234" t="b">
        <v>0</v>
      </c>
      <c r="R220" s="234"/>
      <c r="S220" s="234"/>
      <c r="T220" s="234"/>
      <c r="U220" s="234" t="b">
        <v>0</v>
      </c>
      <c r="V220" s="234" t="b">
        <v>0</v>
      </c>
      <c r="W220" s="234" t="b">
        <v>0</v>
      </c>
      <c r="X220" s="234" t="b">
        <v>0</v>
      </c>
      <c r="Y220" s="234" t="b">
        <v>0</v>
      </c>
      <c r="Z220" s="236" t="b">
        <v>0</v>
      </c>
      <c r="AA220" s="234"/>
      <c r="AB220" s="234"/>
      <c r="AC220" s="234" t="b">
        <v>0</v>
      </c>
      <c r="AD220" s="234" t="b">
        <v>0</v>
      </c>
      <c r="AE220" s="234" t="b">
        <v>0</v>
      </c>
      <c r="AF220" s="234" t="b">
        <v>0</v>
      </c>
      <c r="AG220" s="234" t="b">
        <v>0</v>
      </c>
      <c r="AH220" s="234" t="b">
        <v>0</v>
      </c>
      <c r="AI220" s="234" t="b">
        <v>0</v>
      </c>
      <c r="AJ220" s="234" t="b">
        <v>0</v>
      </c>
      <c r="AK220" s="234" t="b">
        <v>0</v>
      </c>
      <c r="AL220" s="234" t="b">
        <v>0</v>
      </c>
      <c r="AM220" s="234"/>
      <c r="AN220" s="234" t="b">
        <v>0</v>
      </c>
      <c r="AO220" s="234" t="b">
        <v>0</v>
      </c>
      <c r="AP220" s="234" t="b">
        <v>0</v>
      </c>
      <c r="AQ220" s="234"/>
      <c r="AR220" s="234" t="b">
        <v>0</v>
      </c>
      <c r="AS220" s="234"/>
      <c r="AT220" s="234"/>
      <c r="AU220" s="234"/>
      <c r="AV220" s="234"/>
      <c r="AW220" s="234" t="b">
        <v>0</v>
      </c>
      <c r="AX220" s="234"/>
      <c r="AY220" s="234"/>
      <c r="AZ220" s="234" t="b">
        <v>0</v>
      </c>
      <c r="BA220" s="234"/>
      <c r="BB220" s="234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H221" s="242"/>
      <c r="I221" s="242"/>
      <c r="J221" s="242"/>
      <c r="K221" s="234"/>
      <c r="L221" s="234"/>
      <c r="M221" s="234"/>
      <c r="N221" s="234"/>
      <c r="O221" s="234"/>
      <c r="P221" s="235">
        <f t="shared" si="1"/>
        <v>0</v>
      </c>
      <c r="Q221" s="234" t="b">
        <v>0</v>
      </c>
      <c r="R221" s="234"/>
      <c r="S221" s="234"/>
      <c r="T221" s="234"/>
      <c r="U221" s="234" t="b">
        <v>0</v>
      </c>
      <c r="V221" s="234" t="b">
        <v>0</v>
      </c>
      <c r="W221" s="234" t="b">
        <v>0</v>
      </c>
      <c r="X221" s="234" t="b">
        <v>0</v>
      </c>
      <c r="Y221" s="234" t="b">
        <v>0</v>
      </c>
      <c r="Z221" s="236" t="b">
        <v>0</v>
      </c>
      <c r="AA221" s="234"/>
      <c r="AB221" s="234"/>
      <c r="AC221" s="234" t="b">
        <v>0</v>
      </c>
      <c r="AD221" s="234" t="b">
        <v>0</v>
      </c>
      <c r="AE221" s="234" t="b">
        <v>0</v>
      </c>
      <c r="AF221" s="234" t="b">
        <v>0</v>
      </c>
      <c r="AG221" s="234" t="b">
        <v>0</v>
      </c>
      <c r="AH221" s="234" t="b">
        <v>0</v>
      </c>
      <c r="AI221" s="234" t="b">
        <v>0</v>
      </c>
      <c r="AJ221" s="234" t="b">
        <v>0</v>
      </c>
      <c r="AK221" s="234" t="b">
        <v>0</v>
      </c>
      <c r="AL221" s="234" t="b">
        <v>0</v>
      </c>
      <c r="AM221" s="234"/>
      <c r="AN221" s="234" t="b">
        <v>0</v>
      </c>
      <c r="AO221" s="234" t="b">
        <v>0</v>
      </c>
      <c r="AP221" s="234" t="b">
        <v>0</v>
      </c>
      <c r="AQ221" s="234"/>
      <c r="AR221" s="234" t="b">
        <v>0</v>
      </c>
      <c r="AS221" s="234"/>
      <c r="AT221" s="234"/>
      <c r="AU221" s="234"/>
      <c r="AV221" s="234"/>
      <c r="AW221" s="234" t="b">
        <v>0</v>
      </c>
      <c r="AX221" s="234"/>
      <c r="AY221" s="234"/>
      <c r="AZ221" s="234" t="b">
        <v>0</v>
      </c>
      <c r="BA221" s="234"/>
      <c r="BB221" s="234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H222" s="242"/>
      <c r="I222" s="242"/>
      <c r="J222" s="242"/>
      <c r="K222" s="234"/>
      <c r="L222" s="234"/>
      <c r="M222" s="234"/>
      <c r="N222" s="234"/>
      <c r="O222" s="234"/>
      <c r="P222" s="235">
        <f t="shared" si="1"/>
        <v>0</v>
      </c>
      <c r="Q222" s="234" t="b">
        <v>0</v>
      </c>
      <c r="R222" s="234"/>
      <c r="S222" s="234"/>
      <c r="T222" s="234"/>
      <c r="U222" s="234" t="b">
        <v>0</v>
      </c>
      <c r="V222" s="234" t="b">
        <v>0</v>
      </c>
      <c r="W222" s="234" t="b">
        <v>0</v>
      </c>
      <c r="X222" s="234" t="b">
        <v>0</v>
      </c>
      <c r="Y222" s="234" t="b">
        <v>0</v>
      </c>
      <c r="Z222" s="236" t="b">
        <v>0</v>
      </c>
      <c r="AA222" s="234"/>
      <c r="AB222" s="234"/>
      <c r="AC222" s="234" t="b">
        <v>0</v>
      </c>
      <c r="AD222" s="234" t="b">
        <v>0</v>
      </c>
      <c r="AE222" s="234" t="b">
        <v>0</v>
      </c>
      <c r="AF222" s="234" t="b">
        <v>0</v>
      </c>
      <c r="AG222" s="234" t="b">
        <v>0</v>
      </c>
      <c r="AH222" s="234" t="b">
        <v>0</v>
      </c>
      <c r="AI222" s="234" t="b">
        <v>0</v>
      </c>
      <c r="AJ222" s="234" t="b">
        <v>0</v>
      </c>
      <c r="AK222" s="234" t="b">
        <v>0</v>
      </c>
      <c r="AL222" s="234" t="b">
        <v>0</v>
      </c>
      <c r="AM222" s="234"/>
      <c r="AN222" s="234" t="b">
        <v>0</v>
      </c>
      <c r="AO222" s="234" t="b">
        <v>0</v>
      </c>
      <c r="AP222" s="234" t="b">
        <v>0</v>
      </c>
      <c r="AQ222" s="234"/>
      <c r="AR222" s="234" t="b">
        <v>0</v>
      </c>
      <c r="AS222" s="234"/>
      <c r="AT222" s="234"/>
      <c r="AU222" s="234"/>
      <c r="AV222" s="234"/>
      <c r="AW222" s="234" t="b">
        <v>0</v>
      </c>
      <c r="AX222" s="234"/>
      <c r="AY222" s="234"/>
      <c r="AZ222" s="234" t="b">
        <v>0</v>
      </c>
      <c r="BA222" s="234"/>
      <c r="BB222" s="234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H223" s="242"/>
      <c r="I223" s="242"/>
      <c r="J223" s="242"/>
      <c r="K223" s="234"/>
      <c r="L223" s="234"/>
      <c r="M223" s="234"/>
      <c r="N223" s="234"/>
      <c r="O223" s="234"/>
      <c r="P223" s="235">
        <f t="shared" si="1"/>
        <v>0</v>
      </c>
      <c r="Q223" s="234" t="b">
        <v>0</v>
      </c>
      <c r="R223" s="234"/>
      <c r="S223" s="234"/>
      <c r="T223" s="234"/>
      <c r="U223" s="234" t="b">
        <v>0</v>
      </c>
      <c r="V223" s="234" t="b">
        <v>0</v>
      </c>
      <c r="W223" s="234" t="b">
        <v>0</v>
      </c>
      <c r="X223" s="234" t="b">
        <v>0</v>
      </c>
      <c r="Y223" s="234" t="b">
        <v>0</v>
      </c>
      <c r="Z223" s="236" t="b">
        <v>0</v>
      </c>
      <c r="AA223" s="234"/>
      <c r="AB223" s="234"/>
      <c r="AC223" s="234" t="b">
        <v>0</v>
      </c>
      <c r="AD223" s="234" t="b">
        <v>0</v>
      </c>
      <c r="AE223" s="234" t="b">
        <v>0</v>
      </c>
      <c r="AF223" s="234" t="b">
        <v>0</v>
      </c>
      <c r="AG223" s="234" t="b">
        <v>0</v>
      </c>
      <c r="AH223" s="234" t="b">
        <v>0</v>
      </c>
      <c r="AI223" s="234" t="b">
        <v>0</v>
      </c>
      <c r="AJ223" s="234" t="b">
        <v>0</v>
      </c>
      <c r="AK223" s="234" t="b">
        <v>0</v>
      </c>
      <c r="AL223" s="234" t="b">
        <v>0</v>
      </c>
      <c r="AM223" s="234"/>
      <c r="AN223" s="234" t="b">
        <v>0</v>
      </c>
      <c r="AO223" s="234" t="b">
        <v>0</v>
      </c>
      <c r="AP223" s="234" t="b">
        <v>0</v>
      </c>
      <c r="AQ223" s="234"/>
      <c r="AR223" s="234" t="b">
        <v>0</v>
      </c>
      <c r="AS223" s="234"/>
      <c r="AT223" s="234"/>
      <c r="AU223" s="234"/>
      <c r="AV223" s="234"/>
      <c r="AW223" s="234" t="b">
        <v>0</v>
      </c>
      <c r="AX223" s="234"/>
      <c r="AY223" s="234"/>
      <c r="AZ223" s="234" t="b">
        <v>0</v>
      </c>
      <c r="BA223" s="234"/>
      <c r="BB223" s="234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H224" s="242"/>
      <c r="I224" s="242"/>
      <c r="J224" s="242"/>
      <c r="K224" s="234"/>
      <c r="L224" s="234"/>
      <c r="M224" s="234"/>
      <c r="N224" s="234"/>
      <c r="O224" s="234"/>
      <c r="P224" s="235">
        <f t="shared" si="1"/>
        <v>0</v>
      </c>
      <c r="Q224" s="234" t="b">
        <v>0</v>
      </c>
      <c r="R224" s="234"/>
      <c r="S224" s="234"/>
      <c r="T224" s="234"/>
      <c r="U224" s="234" t="b">
        <v>0</v>
      </c>
      <c r="V224" s="234" t="b">
        <v>0</v>
      </c>
      <c r="W224" s="234" t="b">
        <v>0</v>
      </c>
      <c r="X224" s="234" t="b">
        <v>0</v>
      </c>
      <c r="Y224" s="234" t="b">
        <v>0</v>
      </c>
      <c r="Z224" s="236" t="b">
        <v>0</v>
      </c>
      <c r="AA224" s="234"/>
      <c r="AB224" s="234"/>
      <c r="AC224" s="234" t="b">
        <v>0</v>
      </c>
      <c r="AD224" s="234" t="b">
        <v>0</v>
      </c>
      <c r="AE224" s="234" t="b">
        <v>0</v>
      </c>
      <c r="AF224" s="234" t="b">
        <v>0</v>
      </c>
      <c r="AG224" s="234" t="b">
        <v>0</v>
      </c>
      <c r="AH224" s="234" t="b">
        <v>0</v>
      </c>
      <c r="AI224" s="234" t="b">
        <v>0</v>
      </c>
      <c r="AJ224" s="234" t="b">
        <v>0</v>
      </c>
      <c r="AK224" s="234" t="b">
        <v>0</v>
      </c>
      <c r="AL224" s="234" t="b">
        <v>0</v>
      </c>
      <c r="AM224" s="234"/>
      <c r="AN224" s="234" t="b">
        <v>0</v>
      </c>
      <c r="AO224" s="234" t="b">
        <v>0</v>
      </c>
      <c r="AP224" s="234" t="b">
        <v>0</v>
      </c>
      <c r="AQ224" s="234"/>
      <c r="AR224" s="234" t="b">
        <v>0</v>
      </c>
      <c r="AS224" s="234"/>
      <c r="AT224" s="234"/>
      <c r="AU224" s="234"/>
      <c r="AV224" s="234"/>
      <c r="AW224" s="234" t="b">
        <v>0</v>
      </c>
      <c r="AX224" s="234"/>
      <c r="AY224" s="234"/>
      <c r="AZ224" s="234" t="b">
        <v>0</v>
      </c>
      <c r="BA224" s="234"/>
      <c r="BB224" s="234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H225" s="242"/>
      <c r="I225" s="242"/>
      <c r="J225" s="242"/>
      <c r="K225" s="234"/>
      <c r="L225" s="234"/>
      <c r="M225" s="234"/>
      <c r="N225" s="234"/>
      <c r="O225" s="234"/>
      <c r="P225" s="235">
        <f t="shared" si="1"/>
        <v>0</v>
      </c>
      <c r="Q225" s="234" t="b">
        <v>0</v>
      </c>
      <c r="R225" s="234"/>
      <c r="S225" s="234"/>
      <c r="T225" s="234"/>
      <c r="U225" s="234" t="b">
        <v>0</v>
      </c>
      <c r="V225" s="234" t="b">
        <v>0</v>
      </c>
      <c r="W225" s="234" t="b">
        <v>0</v>
      </c>
      <c r="X225" s="234" t="b">
        <v>0</v>
      </c>
      <c r="Y225" s="234" t="b">
        <v>0</v>
      </c>
      <c r="Z225" s="236" t="b">
        <v>0</v>
      </c>
      <c r="AA225" s="234"/>
      <c r="AB225" s="234"/>
      <c r="AC225" s="234" t="b">
        <v>0</v>
      </c>
      <c r="AD225" s="234" t="b">
        <v>0</v>
      </c>
      <c r="AE225" s="234" t="b">
        <v>0</v>
      </c>
      <c r="AF225" s="234" t="b">
        <v>0</v>
      </c>
      <c r="AG225" s="234" t="b">
        <v>0</v>
      </c>
      <c r="AH225" s="234" t="b">
        <v>0</v>
      </c>
      <c r="AI225" s="234" t="b">
        <v>0</v>
      </c>
      <c r="AJ225" s="234" t="b">
        <v>0</v>
      </c>
      <c r="AK225" s="234" t="b">
        <v>0</v>
      </c>
      <c r="AL225" s="234" t="b">
        <v>0</v>
      </c>
      <c r="AM225" s="234"/>
      <c r="AN225" s="234" t="b">
        <v>0</v>
      </c>
      <c r="AO225" s="234" t="b">
        <v>0</v>
      </c>
      <c r="AP225" s="234" t="b">
        <v>0</v>
      </c>
      <c r="AQ225" s="234"/>
      <c r="AR225" s="234" t="b">
        <v>0</v>
      </c>
      <c r="AS225" s="234"/>
      <c r="AT225" s="234"/>
      <c r="AU225" s="234"/>
      <c r="AV225" s="234"/>
      <c r="AW225" s="234" t="b">
        <v>0</v>
      </c>
      <c r="AX225" s="234"/>
      <c r="AY225" s="234"/>
      <c r="AZ225" s="234" t="b">
        <v>0</v>
      </c>
      <c r="BA225" s="234"/>
      <c r="BB225" s="234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H226" s="242"/>
      <c r="I226" s="242"/>
      <c r="J226" s="242"/>
      <c r="K226" s="234"/>
      <c r="L226" s="234"/>
      <c r="M226" s="234"/>
      <c r="N226" s="234"/>
      <c r="O226" s="234"/>
      <c r="P226" s="235">
        <f t="shared" si="1"/>
        <v>0</v>
      </c>
      <c r="Q226" s="234" t="b">
        <v>0</v>
      </c>
      <c r="R226" s="234"/>
      <c r="S226" s="234"/>
      <c r="T226" s="234"/>
      <c r="U226" s="234" t="b">
        <v>0</v>
      </c>
      <c r="V226" s="234" t="b">
        <v>0</v>
      </c>
      <c r="W226" s="234" t="b">
        <v>0</v>
      </c>
      <c r="X226" s="234" t="b">
        <v>0</v>
      </c>
      <c r="Y226" s="234" t="b">
        <v>0</v>
      </c>
      <c r="Z226" s="236" t="b">
        <v>0</v>
      </c>
      <c r="AA226" s="234"/>
      <c r="AB226" s="234"/>
      <c r="AC226" s="234" t="b">
        <v>0</v>
      </c>
      <c r="AD226" s="234" t="b">
        <v>0</v>
      </c>
      <c r="AE226" s="234" t="b">
        <v>0</v>
      </c>
      <c r="AF226" s="234" t="b">
        <v>0</v>
      </c>
      <c r="AG226" s="234" t="b">
        <v>0</v>
      </c>
      <c r="AH226" s="234" t="b">
        <v>0</v>
      </c>
      <c r="AI226" s="234" t="b">
        <v>0</v>
      </c>
      <c r="AJ226" s="234" t="b">
        <v>0</v>
      </c>
      <c r="AK226" s="234" t="b">
        <v>0</v>
      </c>
      <c r="AL226" s="234" t="b">
        <v>0</v>
      </c>
      <c r="AM226" s="234"/>
      <c r="AN226" s="234" t="b">
        <v>0</v>
      </c>
      <c r="AO226" s="234" t="b">
        <v>0</v>
      </c>
      <c r="AP226" s="234" t="b">
        <v>0</v>
      </c>
      <c r="AQ226" s="234"/>
      <c r="AR226" s="234" t="b">
        <v>0</v>
      </c>
      <c r="AS226" s="234"/>
      <c r="AT226" s="234"/>
      <c r="AU226" s="234"/>
      <c r="AV226" s="234"/>
      <c r="AW226" s="234" t="b">
        <v>0</v>
      </c>
      <c r="AX226" s="234"/>
      <c r="AY226" s="234"/>
      <c r="AZ226" s="234" t="b">
        <v>0</v>
      </c>
      <c r="BA226" s="234"/>
      <c r="BB226" s="234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H227" s="242"/>
      <c r="I227" s="242"/>
      <c r="J227" s="242"/>
      <c r="K227" s="234"/>
      <c r="L227" s="234"/>
      <c r="M227" s="234"/>
      <c r="N227" s="234"/>
      <c r="O227" s="234"/>
      <c r="P227" s="235">
        <f t="shared" si="1"/>
        <v>0</v>
      </c>
      <c r="Q227" s="234" t="b">
        <v>0</v>
      </c>
      <c r="R227" s="234"/>
      <c r="S227" s="234"/>
      <c r="T227" s="234"/>
      <c r="U227" s="234" t="b">
        <v>0</v>
      </c>
      <c r="V227" s="234" t="b">
        <v>0</v>
      </c>
      <c r="W227" s="234" t="b">
        <v>0</v>
      </c>
      <c r="X227" s="234" t="b">
        <v>0</v>
      </c>
      <c r="Y227" s="234" t="b">
        <v>0</v>
      </c>
      <c r="Z227" s="236" t="b">
        <v>0</v>
      </c>
      <c r="AA227" s="234"/>
      <c r="AB227" s="234"/>
      <c r="AC227" s="234" t="b">
        <v>0</v>
      </c>
      <c r="AD227" s="234" t="b">
        <v>0</v>
      </c>
      <c r="AE227" s="234" t="b">
        <v>0</v>
      </c>
      <c r="AF227" s="234" t="b">
        <v>0</v>
      </c>
      <c r="AG227" s="234" t="b">
        <v>0</v>
      </c>
      <c r="AH227" s="234" t="b">
        <v>0</v>
      </c>
      <c r="AI227" s="234" t="b">
        <v>0</v>
      </c>
      <c r="AJ227" s="234" t="b">
        <v>0</v>
      </c>
      <c r="AK227" s="234" t="b">
        <v>0</v>
      </c>
      <c r="AL227" s="234" t="b">
        <v>0</v>
      </c>
      <c r="AM227" s="234"/>
      <c r="AN227" s="234" t="b">
        <v>0</v>
      </c>
      <c r="AO227" s="234" t="b">
        <v>0</v>
      </c>
      <c r="AP227" s="234" t="b">
        <v>0</v>
      </c>
      <c r="AQ227" s="234"/>
      <c r="AR227" s="234" t="b">
        <v>0</v>
      </c>
      <c r="AS227" s="234"/>
      <c r="AT227" s="234"/>
      <c r="AU227" s="234"/>
      <c r="AV227" s="234"/>
      <c r="AW227" s="234" t="b">
        <v>0</v>
      </c>
      <c r="AX227" s="234"/>
      <c r="AY227" s="234"/>
      <c r="AZ227" s="234" t="b">
        <v>0</v>
      </c>
      <c r="BA227" s="234"/>
      <c r="BB227" s="234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H228" s="242"/>
      <c r="I228" s="242"/>
      <c r="J228" s="242"/>
      <c r="K228" s="234"/>
      <c r="L228" s="234"/>
      <c r="M228" s="234"/>
      <c r="N228" s="234"/>
      <c r="O228" s="234"/>
      <c r="P228" s="235">
        <f t="shared" si="1"/>
        <v>0</v>
      </c>
      <c r="Q228" s="234" t="b">
        <v>0</v>
      </c>
      <c r="R228" s="234"/>
      <c r="S228" s="234"/>
      <c r="T228" s="234"/>
      <c r="U228" s="234" t="b">
        <v>0</v>
      </c>
      <c r="V228" s="234" t="b">
        <v>0</v>
      </c>
      <c r="W228" s="234" t="b">
        <v>0</v>
      </c>
      <c r="X228" s="234" t="b">
        <v>0</v>
      </c>
      <c r="Y228" s="234" t="b">
        <v>0</v>
      </c>
      <c r="Z228" s="236" t="b">
        <v>0</v>
      </c>
      <c r="AA228" s="234"/>
      <c r="AB228" s="234"/>
      <c r="AC228" s="234" t="b">
        <v>0</v>
      </c>
      <c r="AD228" s="234" t="b">
        <v>0</v>
      </c>
      <c r="AE228" s="234" t="b">
        <v>0</v>
      </c>
      <c r="AF228" s="234" t="b">
        <v>0</v>
      </c>
      <c r="AG228" s="234" t="b">
        <v>0</v>
      </c>
      <c r="AH228" s="234" t="b">
        <v>0</v>
      </c>
      <c r="AI228" s="234" t="b">
        <v>0</v>
      </c>
      <c r="AJ228" s="234" t="b">
        <v>0</v>
      </c>
      <c r="AK228" s="234" t="b">
        <v>0</v>
      </c>
      <c r="AL228" s="234" t="b">
        <v>0</v>
      </c>
      <c r="AM228" s="234"/>
      <c r="AN228" s="234" t="b">
        <v>0</v>
      </c>
      <c r="AO228" s="234" t="b">
        <v>0</v>
      </c>
      <c r="AP228" s="234" t="b">
        <v>0</v>
      </c>
      <c r="AQ228" s="234"/>
      <c r="AR228" s="234" t="b">
        <v>0</v>
      </c>
      <c r="AS228" s="234"/>
      <c r="AT228" s="234"/>
      <c r="AU228" s="234"/>
      <c r="AV228" s="234"/>
      <c r="AW228" s="234" t="b">
        <v>0</v>
      </c>
      <c r="AX228" s="234"/>
      <c r="AY228" s="234"/>
      <c r="AZ228" s="234" t="b">
        <v>0</v>
      </c>
      <c r="BA228" s="234"/>
      <c r="BB228" s="234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H229" s="242"/>
      <c r="I229" s="242"/>
      <c r="J229" s="242"/>
      <c r="K229" s="234"/>
      <c r="L229" s="234"/>
      <c r="M229" s="234"/>
      <c r="N229" s="234"/>
      <c r="O229" s="234"/>
      <c r="P229" s="235">
        <f t="shared" si="1"/>
        <v>0</v>
      </c>
      <c r="Q229" s="234" t="b">
        <v>0</v>
      </c>
      <c r="R229" s="234"/>
      <c r="S229" s="234"/>
      <c r="T229" s="234"/>
      <c r="U229" s="234" t="b">
        <v>0</v>
      </c>
      <c r="V229" s="234" t="b">
        <v>0</v>
      </c>
      <c r="W229" s="234" t="b">
        <v>0</v>
      </c>
      <c r="X229" s="234" t="b">
        <v>0</v>
      </c>
      <c r="Y229" s="234" t="b">
        <v>0</v>
      </c>
      <c r="Z229" s="236" t="b">
        <v>0</v>
      </c>
      <c r="AA229" s="234"/>
      <c r="AB229" s="234"/>
      <c r="AC229" s="234" t="b">
        <v>0</v>
      </c>
      <c r="AD229" s="234" t="b">
        <v>0</v>
      </c>
      <c r="AE229" s="234" t="b">
        <v>0</v>
      </c>
      <c r="AF229" s="234" t="b">
        <v>0</v>
      </c>
      <c r="AG229" s="234" t="b">
        <v>0</v>
      </c>
      <c r="AH229" s="234" t="b">
        <v>0</v>
      </c>
      <c r="AI229" s="234" t="b">
        <v>0</v>
      </c>
      <c r="AJ229" s="234" t="b">
        <v>0</v>
      </c>
      <c r="AK229" s="234" t="b">
        <v>0</v>
      </c>
      <c r="AL229" s="234" t="b">
        <v>0</v>
      </c>
      <c r="AM229" s="234"/>
      <c r="AN229" s="234" t="b">
        <v>0</v>
      </c>
      <c r="AO229" s="234" t="b">
        <v>0</v>
      </c>
      <c r="AP229" s="234" t="b">
        <v>0</v>
      </c>
      <c r="AQ229" s="234"/>
      <c r="AR229" s="234" t="b">
        <v>0</v>
      </c>
      <c r="AS229" s="234"/>
      <c r="AT229" s="234"/>
      <c r="AU229" s="234"/>
      <c r="AV229" s="234"/>
      <c r="AW229" s="234" t="b">
        <v>0</v>
      </c>
      <c r="AX229" s="234"/>
      <c r="AY229" s="234"/>
      <c r="AZ229" s="234" t="b">
        <v>0</v>
      </c>
      <c r="BA229" s="234"/>
      <c r="BB229" s="234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H230" s="242"/>
      <c r="I230" s="242"/>
      <c r="J230" s="242"/>
      <c r="K230" s="234"/>
      <c r="L230" s="234"/>
      <c r="M230" s="234"/>
      <c r="N230" s="234"/>
      <c r="O230" s="234"/>
      <c r="P230" s="235">
        <f t="shared" si="1"/>
        <v>0</v>
      </c>
      <c r="Q230" s="234" t="b">
        <v>0</v>
      </c>
      <c r="R230" s="234"/>
      <c r="S230" s="234"/>
      <c r="T230" s="234"/>
      <c r="U230" s="234" t="b">
        <v>0</v>
      </c>
      <c r="V230" s="234" t="b">
        <v>0</v>
      </c>
      <c r="W230" s="234" t="b">
        <v>0</v>
      </c>
      <c r="X230" s="234" t="b">
        <v>0</v>
      </c>
      <c r="Y230" s="234" t="b">
        <v>0</v>
      </c>
      <c r="Z230" s="236" t="b">
        <v>0</v>
      </c>
      <c r="AA230" s="234"/>
      <c r="AB230" s="234"/>
      <c r="AC230" s="234" t="b">
        <v>0</v>
      </c>
      <c r="AD230" s="234" t="b">
        <v>0</v>
      </c>
      <c r="AE230" s="234" t="b">
        <v>0</v>
      </c>
      <c r="AF230" s="234" t="b">
        <v>0</v>
      </c>
      <c r="AG230" s="234" t="b">
        <v>0</v>
      </c>
      <c r="AH230" s="234" t="b">
        <v>0</v>
      </c>
      <c r="AI230" s="234" t="b">
        <v>0</v>
      </c>
      <c r="AJ230" s="234" t="b">
        <v>0</v>
      </c>
      <c r="AK230" s="234" t="b">
        <v>0</v>
      </c>
      <c r="AL230" s="234" t="b">
        <v>0</v>
      </c>
      <c r="AM230" s="234"/>
      <c r="AN230" s="234" t="b">
        <v>0</v>
      </c>
      <c r="AO230" s="234" t="b">
        <v>0</v>
      </c>
      <c r="AP230" s="234" t="b">
        <v>0</v>
      </c>
      <c r="AQ230" s="234"/>
      <c r="AR230" s="234" t="b">
        <v>0</v>
      </c>
      <c r="AS230" s="234"/>
      <c r="AT230" s="234"/>
      <c r="AU230" s="234"/>
      <c r="AV230" s="234"/>
      <c r="AW230" s="234" t="b">
        <v>0</v>
      </c>
      <c r="AX230" s="234"/>
      <c r="AY230" s="234"/>
      <c r="AZ230" s="234" t="b">
        <v>0</v>
      </c>
      <c r="BA230" s="234"/>
      <c r="BB230" s="234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H231" s="242"/>
      <c r="I231" s="242"/>
      <c r="J231" s="242"/>
      <c r="K231" s="234"/>
      <c r="L231" s="234"/>
      <c r="M231" s="234"/>
      <c r="N231" s="234"/>
      <c r="O231" s="234"/>
      <c r="P231" s="235">
        <f t="shared" si="1"/>
        <v>0</v>
      </c>
      <c r="Q231" s="234" t="b">
        <v>0</v>
      </c>
      <c r="R231" s="234"/>
      <c r="S231" s="234"/>
      <c r="T231" s="234"/>
      <c r="U231" s="234" t="b">
        <v>0</v>
      </c>
      <c r="V231" s="234" t="b">
        <v>0</v>
      </c>
      <c r="W231" s="234" t="b">
        <v>0</v>
      </c>
      <c r="X231" s="234" t="b">
        <v>0</v>
      </c>
      <c r="Y231" s="234" t="b">
        <v>0</v>
      </c>
      <c r="Z231" s="236" t="b">
        <v>0</v>
      </c>
      <c r="AA231" s="234"/>
      <c r="AB231" s="234"/>
      <c r="AC231" s="234" t="b">
        <v>0</v>
      </c>
      <c r="AD231" s="234" t="b">
        <v>0</v>
      </c>
      <c r="AE231" s="234" t="b">
        <v>0</v>
      </c>
      <c r="AF231" s="234" t="b">
        <v>0</v>
      </c>
      <c r="AG231" s="234" t="b">
        <v>0</v>
      </c>
      <c r="AH231" s="234" t="b">
        <v>0</v>
      </c>
      <c r="AI231" s="234" t="b">
        <v>0</v>
      </c>
      <c r="AJ231" s="234" t="b">
        <v>0</v>
      </c>
      <c r="AK231" s="234" t="b">
        <v>0</v>
      </c>
      <c r="AL231" s="234" t="b">
        <v>0</v>
      </c>
      <c r="AM231" s="234"/>
      <c r="AN231" s="234" t="b">
        <v>0</v>
      </c>
      <c r="AO231" s="234" t="b">
        <v>0</v>
      </c>
      <c r="AP231" s="234" t="b">
        <v>0</v>
      </c>
      <c r="AQ231" s="234"/>
      <c r="AR231" s="234" t="b">
        <v>0</v>
      </c>
      <c r="AS231" s="234"/>
      <c r="AT231" s="234"/>
      <c r="AU231" s="234"/>
      <c r="AV231" s="234"/>
      <c r="AW231" s="234" t="b">
        <v>0</v>
      </c>
      <c r="AX231" s="234"/>
      <c r="AY231" s="234"/>
      <c r="AZ231" s="234" t="b">
        <v>0</v>
      </c>
      <c r="BA231" s="234"/>
      <c r="BB231" s="234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H232" s="242"/>
      <c r="I232" s="242"/>
      <c r="J232" s="242"/>
      <c r="K232" s="234"/>
      <c r="L232" s="234"/>
      <c r="M232" s="234"/>
      <c r="N232" s="234"/>
      <c r="O232" s="234"/>
      <c r="P232" s="235">
        <f t="shared" si="1"/>
        <v>0</v>
      </c>
      <c r="Q232" s="234" t="b">
        <v>0</v>
      </c>
      <c r="R232" s="234"/>
      <c r="S232" s="234"/>
      <c r="T232" s="234"/>
      <c r="U232" s="234" t="b">
        <v>0</v>
      </c>
      <c r="V232" s="234" t="b">
        <v>0</v>
      </c>
      <c r="W232" s="234" t="b">
        <v>0</v>
      </c>
      <c r="X232" s="234" t="b">
        <v>0</v>
      </c>
      <c r="Y232" s="234" t="b">
        <v>0</v>
      </c>
      <c r="Z232" s="236" t="b">
        <v>0</v>
      </c>
      <c r="AA232" s="234"/>
      <c r="AB232" s="234"/>
      <c r="AC232" s="234" t="b">
        <v>0</v>
      </c>
      <c r="AD232" s="234" t="b">
        <v>0</v>
      </c>
      <c r="AE232" s="234" t="b">
        <v>0</v>
      </c>
      <c r="AF232" s="234" t="b">
        <v>0</v>
      </c>
      <c r="AG232" s="234" t="b">
        <v>0</v>
      </c>
      <c r="AH232" s="234" t="b">
        <v>0</v>
      </c>
      <c r="AI232" s="234" t="b">
        <v>0</v>
      </c>
      <c r="AJ232" s="234" t="b">
        <v>0</v>
      </c>
      <c r="AK232" s="234" t="b">
        <v>0</v>
      </c>
      <c r="AL232" s="234" t="b">
        <v>0</v>
      </c>
      <c r="AM232" s="234"/>
      <c r="AN232" s="234" t="b">
        <v>0</v>
      </c>
      <c r="AO232" s="234" t="b">
        <v>0</v>
      </c>
      <c r="AP232" s="234" t="b">
        <v>0</v>
      </c>
      <c r="AQ232" s="234"/>
      <c r="AR232" s="234" t="b">
        <v>0</v>
      </c>
      <c r="AS232" s="234"/>
      <c r="AT232" s="234"/>
      <c r="AU232" s="234"/>
      <c r="AV232" s="234"/>
      <c r="AW232" s="234" t="b">
        <v>0</v>
      </c>
      <c r="AX232" s="234"/>
      <c r="AY232" s="234"/>
      <c r="AZ232" s="234" t="b">
        <v>0</v>
      </c>
      <c r="BA232" s="234"/>
      <c r="BB232" s="234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H233" s="242"/>
      <c r="I233" s="242"/>
      <c r="J233" s="242"/>
      <c r="K233" s="234"/>
      <c r="L233" s="234"/>
      <c r="M233" s="234"/>
      <c r="N233" s="234"/>
      <c r="O233" s="234"/>
      <c r="P233" s="235">
        <f t="shared" si="1"/>
        <v>0</v>
      </c>
      <c r="Q233" s="234" t="b">
        <v>0</v>
      </c>
      <c r="R233" s="234"/>
      <c r="S233" s="234"/>
      <c r="T233" s="234"/>
      <c r="U233" s="234" t="b">
        <v>0</v>
      </c>
      <c r="V233" s="234" t="b">
        <v>0</v>
      </c>
      <c r="W233" s="234" t="b">
        <v>0</v>
      </c>
      <c r="X233" s="234" t="b">
        <v>0</v>
      </c>
      <c r="Y233" s="234" t="b">
        <v>0</v>
      </c>
      <c r="Z233" s="236" t="b">
        <v>0</v>
      </c>
      <c r="AA233" s="234"/>
      <c r="AB233" s="234"/>
      <c r="AC233" s="234" t="b">
        <v>0</v>
      </c>
      <c r="AD233" s="234" t="b">
        <v>0</v>
      </c>
      <c r="AE233" s="234" t="b">
        <v>0</v>
      </c>
      <c r="AF233" s="234" t="b">
        <v>0</v>
      </c>
      <c r="AG233" s="234" t="b">
        <v>0</v>
      </c>
      <c r="AH233" s="234" t="b">
        <v>0</v>
      </c>
      <c r="AI233" s="234" t="b">
        <v>0</v>
      </c>
      <c r="AJ233" s="234" t="b">
        <v>0</v>
      </c>
      <c r="AK233" s="234" t="b">
        <v>0</v>
      </c>
      <c r="AL233" s="234" t="b">
        <v>0</v>
      </c>
      <c r="AM233" s="234"/>
      <c r="AN233" s="234" t="b">
        <v>0</v>
      </c>
      <c r="AO233" s="234" t="b">
        <v>0</v>
      </c>
      <c r="AP233" s="234" t="b">
        <v>0</v>
      </c>
      <c r="AQ233" s="234"/>
      <c r="AR233" s="234" t="b">
        <v>0</v>
      </c>
      <c r="AS233" s="234"/>
      <c r="AT233" s="234"/>
      <c r="AU233" s="234"/>
      <c r="AV233" s="234"/>
      <c r="AW233" s="234" t="b">
        <v>0</v>
      </c>
      <c r="AX233" s="234"/>
      <c r="AY233" s="234"/>
      <c r="AZ233" s="234" t="b">
        <v>0</v>
      </c>
      <c r="BA233" s="234"/>
      <c r="BB233" s="234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H234" s="242"/>
      <c r="I234" s="242"/>
      <c r="J234" s="242"/>
      <c r="K234" s="234"/>
      <c r="L234" s="234"/>
      <c r="M234" s="234"/>
      <c r="N234" s="234"/>
      <c r="O234" s="234"/>
      <c r="P234" s="235">
        <f t="shared" si="1"/>
        <v>0</v>
      </c>
      <c r="Q234" s="234" t="b">
        <v>0</v>
      </c>
      <c r="R234" s="234"/>
      <c r="S234" s="234"/>
      <c r="T234" s="234"/>
      <c r="U234" s="234" t="b">
        <v>0</v>
      </c>
      <c r="V234" s="234" t="b">
        <v>0</v>
      </c>
      <c r="W234" s="234" t="b">
        <v>0</v>
      </c>
      <c r="X234" s="234" t="b">
        <v>0</v>
      </c>
      <c r="Y234" s="234" t="b">
        <v>0</v>
      </c>
      <c r="Z234" s="236" t="b">
        <v>0</v>
      </c>
      <c r="AA234" s="234"/>
      <c r="AB234" s="234"/>
      <c r="AC234" s="234" t="b">
        <v>0</v>
      </c>
      <c r="AD234" s="234" t="b">
        <v>0</v>
      </c>
      <c r="AE234" s="234" t="b">
        <v>0</v>
      </c>
      <c r="AF234" s="234" t="b">
        <v>0</v>
      </c>
      <c r="AG234" s="234" t="b">
        <v>0</v>
      </c>
      <c r="AH234" s="234" t="b">
        <v>0</v>
      </c>
      <c r="AI234" s="234" t="b">
        <v>0</v>
      </c>
      <c r="AJ234" s="234" t="b">
        <v>0</v>
      </c>
      <c r="AK234" s="234" t="b">
        <v>0</v>
      </c>
      <c r="AL234" s="234" t="b">
        <v>0</v>
      </c>
      <c r="AM234" s="234"/>
      <c r="AN234" s="234" t="b">
        <v>0</v>
      </c>
      <c r="AO234" s="234" t="b">
        <v>0</v>
      </c>
      <c r="AP234" s="234" t="b">
        <v>0</v>
      </c>
      <c r="AQ234" s="234"/>
      <c r="AR234" s="234" t="b">
        <v>0</v>
      </c>
      <c r="AS234" s="234"/>
      <c r="AT234" s="234"/>
      <c r="AU234" s="234"/>
      <c r="AV234" s="234"/>
      <c r="AW234" s="234" t="b">
        <v>0</v>
      </c>
      <c r="AX234" s="234"/>
      <c r="AY234" s="234"/>
      <c r="AZ234" s="234" t="b">
        <v>0</v>
      </c>
      <c r="BA234" s="234"/>
      <c r="BB234" s="234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H235" s="242"/>
      <c r="I235" s="242"/>
      <c r="J235" s="242"/>
      <c r="K235" s="234"/>
      <c r="L235" s="234"/>
      <c r="M235" s="234"/>
      <c r="N235" s="234"/>
      <c r="O235" s="234"/>
      <c r="P235" s="235">
        <f t="shared" si="1"/>
        <v>0</v>
      </c>
      <c r="Q235" s="234" t="b">
        <v>0</v>
      </c>
      <c r="R235" s="234"/>
      <c r="S235" s="234"/>
      <c r="T235" s="234"/>
      <c r="U235" s="234" t="b">
        <v>0</v>
      </c>
      <c r="V235" s="234" t="b">
        <v>0</v>
      </c>
      <c r="W235" s="234" t="b">
        <v>0</v>
      </c>
      <c r="X235" s="234" t="b">
        <v>0</v>
      </c>
      <c r="Y235" s="234" t="b">
        <v>0</v>
      </c>
      <c r="Z235" s="236" t="b">
        <v>0</v>
      </c>
      <c r="AA235" s="234"/>
      <c r="AB235" s="234"/>
      <c r="AC235" s="234" t="b">
        <v>0</v>
      </c>
      <c r="AD235" s="234" t="b">
        <v>0</v>
      </c>
      <c r="AE235" s="234" t="b">
        <v>0</v>
      </c>
      <c r="AF235" s="234" t="b">
        <v>0</v>
      </c>
      <c r="AG235" s="234" t="b">
        <v>0</v>
      </c>
      <c r="AH235" s="234" t="b">
        <v>0</v>
      </c>
      <c r="AI235" s="234" t="b">
        <v>0</v>
      </c>
      <c r="AJ235" s="234" t="b">
        <v>0</v>
      </c>
      <c r="AK235" s="234" t="b">
        <v>0</v>
      </c>
      <c r="AL235" s="234" t="b">
        <v>0</v>
      </c>
      <c r="AM235" s="234"/>
      <c r="AN235" s="234" t="b">
        <v>0</v>
      </c>
      <c r="AO235" s="234" t="b">
        <v>0</v>
      </c>
      <c r="AP235" s="234" t="b">
        <v>0</v>
      </c>
      <c r="AQ235" s="234"/>
      <c r="AR235" s="234" t="b">
        <v>0</v>
      </c>
      <c r="AS235" s="234"/>
      <c r="AT235" s="234"/>
      <c r="AU235" s="234"/>
      <c r="AV235" s="234"/>
      <c r="AW235" s="234" t="b">
        <v>0</v>
      </c>
      <c r="AX235" s="234"/>
      <c r="AY235" s="234"/>
      <c r="AZ235" s="234" t="b">
        <v>0</v>
      </c>
      <c r="BA235" s="234"/>
      <c r="BB235" s="234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H236" s="242"/>
      <c r="I236" s="242"/>
      <c r="J236" s="242"/>
      <c r="K236" s="234"/>
      <c r="L236" s="234"/>
      <c r="M236" s="234"/>
      <c r="N236" s="234"/>
      <c r="O236" s="234"/>
      <c r="P236" s="235">
        <f t="shared" si="1"/>
        <v>0</v>
      </c>
      <c r="Q236" s="234" t="b">
        <v>0</v>
      </c>
      <c r="R236" s="234"/>
      <c r="S236" s="234"/>
      <c r="T236" s="234"/>
      <c r="U236" s="234" t="b">
        <v>0</v>
      </c>
      <c r="V236" s="234" t="b">
        <v>0</v>
      </c>
      <c r="W236" s="234" t="b">
        <v>0</v>
      </c>
      <c r="X236" s="234" t="b">
        <v>0</v>
      </c>
      <c r="Y236" s="234" t="b">
        <v>0</v>
      </c>
      <c r="Z236" s="236" t="b">
        <v>0</v>
      </c>
      <c r="AA236" s="234"/>
      <c r="AB236" s="234"/>
      <c r="AC236" s="234" t="b">
        <v>0</v>
      </c>
      <c r="AD236" s="234" t="b">
        <v>0</v>
      </c>
      <c r="AE236" s="234" t="b">
        <v>0</v>
      </c>
      <c r="AF236" s="234" t="b">
        <v>0</v>
      </c>
      <c r="AG236" s="234" t="b">
        <v>0</v>
      </c>
      <c r="AH236" s="234" t="b">
        <v>0</v>
      </c>
      <c r="AI236" s="234" t="b">
        <v>0</v>
      </c>
      <c r="AJ236" s="234" t="b">
        <v>0</v>
      </c>
      <c r="AK236" s="234" t="b">
        <v>0</v>
      </c>
      <c r="AL236" s="234" t="b">
        <v>0</v>
      </c>
      <c r="AM236" s="234"/>
      <c r="AN236" s="234" t="b">
        <v>0</v>
      </c>
      <c r="AO236" s="234" t="b">
        <v>0</v>
      </c>
      <c r="AP236" s="234" t="b">
        <v>0</v>
      </c>
      <c r="AQ236" s="234"/>
      <c r="AR236" s="234" t="b">
        <v>0</v>
      </c>
      <c r="AS236" s="234"/>
      <c r="AT236" s="234"/>
      <c r="AU236" s="234"/>
      <c r="AV236" s="234"/>
      <c r="AW236" s="234" t="b">
        <v>0</v>
      </c>
      <c r="AX236" s="234"/>
      <c r="AY236" s="234"/>
      <c r="AZ236" s="234" t="b">
        <v>0</v>
      </c>
      <c r="BA236" s="234"/>
      <c r="BB236" s="234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H237" s="242"/>
      <c r="I237" s="242"/>
      <c r="J237" s="242"/>
      <c r="K237" s="234"/>
      <c r="L237" s="234"/>
      <c r="M237" s="234"/>
      <c r="N237" s="234"/>
      <c r="O237" s="234"/>
      <c r="P237" s="235">
        <f t="shared" si="1"/>
        <v>0</v>
      </c>
      <c r="Q237" s="234" t="b">
        <v>0</v>
      </c>
      <c r="R237" s="234"/>
      <c r="S237" s="234"/>
      <c r="T237" s="234"/>
      <c r="U237" s="234" t="b">
        <v>0</v>
      </c>
      <c r="V237" s="234" t="b">
        <v>0</v>
      </c>
      <c r="W237" s="234" t="b">
        <v>0</v>
      </c>
      <c r="X237" s="234" t="b">
        <v>0</v>
      </c>
      <c r="Y237" s="234" t="b">
        <v>0</v>
      </c>
      <c r="Z237" s="236" t="b">
        <v>0</v>
      </c>
      <c r="AA237" s="234"/>
      <c r="AB237" s="234"/>
      <c r="AC237" s="234" t="b">
        <v>0</v>
      </c>
      <c r="AD237" s="234" t="b">
        <v>0</v>
      </c>
      <c r="AE237" s="234" t="b">
        <v>0</v>
      </c>
      <c r="AF237" s="234" t="b">
        <v>0</v>
      </c>
      <c r="AG237" s="234" t="b">
        <v>0</v>
      </c>
      <c r="AH237" s="234" t="b">
        <v>0</v>
      </c>
      <c r="AI237" s="234" t="b">
        <v>0</v>
      </c>
      <c r="AJ237" s="234" t="b">
        <v>0</v>
      </c>
      <c r="AK237" s="234" t="b">
        <v>0</v>
      </c>
      <c r="AL237" s="234" t="b">
        <v>0</v>
      </c>
      <c r="AM237" s="234"/>
      <c r="AN237" s="234" t="b">
        <v>0</v>
      </c>
      <c r="AO237" s="234" t="b">
        <v>0</v>
      </c>
      <c r="AP237" s="234" t="b">
        <v>0</v>
      </c>
      <c r="AQ237" s="234"/>
      <c r="AR237" s="234" t="b">
        <v>0</v>
      </c>
      <c r="AS237" s="234"/>
      <c r="AT237" s="234"/>
      <c r="AU237" s="234"/>
      <c r="AV237" s="234"/>
      <c r="AW237" s="234" t="b">
        <v>0</v>
      </c>
      <c r="AX237" s="234"/>
      <c r="AY237" s="234"/>
      <c r="AZ237" s="234" t="b">
        <v>0</v>
      </c>
      <c r="BA237" s="234"/>
      <c r="BB237" s="234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H238" s="242"/>
      <c r="I238" s="242"/>
      <c r="J238" s="242"/>
      <c r="K238" s="234"/>
      <c r="L238" s="234"/>
      <c r="M238" s="234"/>
      <c r="N238" s="234"/>
      <c r="O238" s="234"/>
      <c r="P238" s="235">
        <f t="shared" si="1"/>
        <v>0</v>
      </c>
      <c r="Q238" s="234" t="b">
        <v>0</v>
      </c>
      <c r="R238" s="234"/>
      <c r="S238" s="234"/>
      <c r="T238" s="234"/>
      <c r="U238" s="234" t="b">
        <v>0</v>
      </c>
      <c r="V238" s="234" t="b">
        <v>0</v>
      </c>
      <c r="W238" s="234" t="b">
        <v>0</v>
      </c>
      <c r="X238" s="234" t="b">
        <v>0</v>
      </c>
      <c r="Y238" s="234" t="b">
        <v>0</v>
      </c>
      <c r="Z238" s="236" t="b">
        <v>0</v>
      </c>
      <c r="AA238" s="234"/>
      <c r="AB238" s="234"/>
      <c r="AC238" s="234" t="b">
        <v>0</v>
      </c>
      <c r="AD238" s="234" t="b">
        <v>0</v>
      </c>
      <c r="AE238" s="234" t="b">
        <v>0</v>
      </c>
      <c r="AF238" s="234" t="b">
        <v>0</v>
      </c>
      <c r="AG238" s="234" t="b">
        <v>0</v>
      </c>
      <c r="AH238" s="234" t="b">
        <v>0</v>
      </c>
      <c r="AI238" s="234" t="b">
        <v>0</v>
      </c>
      <c r="AJ238" s="234" t="b">
        <v>0</v>
      </c>
      <c r="AK238" s="234" t="b">
        <v>0</v>
      </c>
      <c r="AL238" s="234" t="b">
        <v>0</v>
      </c>
      <c r="AM238" s="234"/>
      <c r="AN238" s="234" t="b">
        <v>0</v>
      </c>
      <c r="AO238" s="234" t="b">
        <v>0</v>
      </c>
      <c r="AP238" s="234" t="b">
        <v>0</v>
      </c>
      <c r="AQ238" s="234"/>
      <c r="AR238" s="234" t="b">
        <v>0</v>
      </c>
      <c r="AS238" s="234"/>
      <c r="AT238" s="234"/>
      <c r="AU238" s="234"/>
      <c r="AV238" s="234"/>
      <c r="AW238" s="234" t="b">
        <v>0</v>
      </c>
      <c r="AX238" s="234"/>
      <c r="AY238" s="234"/>
      <c r="AZ238" s="234" t="b">
        <v>0</v>
      </c>
      <c r="BA238" s="234"/>
      <c r="BB238" s="234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H239" s="242"/>
      <c r="I239" s="242"/>
      <c r="J239" s="242"/>
      <c r="K239" s="234"/>
      <c r="L239" s="234"/>
      <c r="M239" s="234"/>
      <c r="N239" s="234"/>
      <c r="O239" s="234"/>
      <c r="P239" s="235">
        <f t="shared" si="1"/>
        <v>0</v>
      </c>
      <c r="Q239" s="234" t="b">
        <v>0</v>
      </c>
      <c r="R239" s="234"/>
      <c r="S239" s="234"/>
      <c r="T239" s="234"/>
      <c r="U239" s="234" t="b">
        <v>0</v>
      </c>
      <c r="V239" s="234" t="b">
        <v>0</v>
      </c>
      <c r="W239" s="234" t="b">
        <v>0</v>
      </c>
      <c r="X239" s="234" t="b">
        <v>0</v>
      </c>
      <c r="Y239" s="234" t="b">
        <v>0</v>
      </c>
      <c r="Z239" s="236" t="b">
        <v>0</v>
      </c>
      <c r="AA239" s="234"/>
      <c r="AB239" s="234"/>
      <c r="AC239" s="234" t="b">
        <v>0</v>
      </c>
      <c r="AD239" s="234" t="b">
        <v>0</v>
      </c>
      <c r="AE239" s="234" t="b">
        <v>0</v>
      </c>
      <c r="AF239" s="234" t="b">
        <v>0</v>
      </c>
      <c r="AG239" s="234" t="b">
        <v>0</v>
      </c>
      <c r="AH239" s="234" t="b">
        <v>0</v>
      </c>
      <c r="AI239" s="234" t="b">
        <v>0</v>
      </c>
      <c r="AJ239" s="234" t="b">
        <v>0</v>
      </c>
      <c r="AK239" s="234" t="b">
        <v>0</v>
      </c>
      <c r="AL239" s="234" t="b">
        <v>0</v>
      </c>
      <c r="AM239" s="234"/>
      <c r="AN239" s="234" t="b">
        <v>0</v>
      </c>
      <c r="AO239" s="234" t="b">
        <v>0</v>
      </c>
      <c r="AP239" s="234" t="b">
        <v>0</v>
      </c>
      <c r="AQ239" s="234"/>
      <c r="AR239" s="234" t="b">
        <v>0</v>
      </c>
      <c r="AS239" s="234"/>
      <c r="AT239" s="234"/>
      <c r="AU239" s="234"/>
      <c r="AV239" s="234"/>
      <c r="AW239" s="234" t="b">
        <v>0</v>
      </c>
      <c r="AX239" s="234"/>
      <c r="AY239" s="234"/>
      <c r="AZ239" s="234" t="b">
        <v>0</v>
      </c>
      <c r="BA239" s="234"/>
      <c r="BB239" s="234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H240" s="242"/>
      <c r="I240" s="242"/>
      <c r="J240" s="242"/>
      <c r="K240" s="234"/>
      <c r="L240" s="234"/>
      <c r="M240" s="234"/>
      <c r="N240" s="234"/>
      <c r="O240" s="234"/>
      <c r="P240" s="235">
        <f t="shared" si="1"/>
        <v>0</v>
      </c>
      <c r="Q240" s="234" t="b">
        <v>0</v>
      </c>
      <c r="R240" s="234"/>
      <c r="S240" s="234"/>
      <c r="T240" s="234"/>
      <c r="U240" s="234" t="b">
        <v>0</v>
      </c>
      <c r="V240" s="234" t="b">
        <v>0</v>
      </c>
      <c r="W240" s="234" t="b">
        <v>0</v>
      </c>
      <c r="X240" s="234" t="b">
        <v>0</v>
      </c>
      <c r="Y240" s="234" t="b">
        <v>0</v>
      </c>
      <c r="Z240" s="236" t="b">
        <v>0</v>
      </c>
      <c r="AA240" s="234"/>
      <c r="AB240" s="234"/>
      <c r="AC240" s="234" t="b">
        <v>0</v>
      </c>
      <c r="AD240" s="234" t="b">
        <v>0</v>
      </c>
      <c r="AE240" s="234" t="b">
        <v>0</v>
      </c>
      <c r="AF240" s="234" t="b">
        <v>0</v>
      </c>
      <c r="AG240" s="234" t="b">
        <v>0</v>
      </c>
      <c r="AH240" s="234" t="b">
        <v>0</v>
      </c>
      <c r="AI240" s="234" t="b">
        <v>0</v>
      </c>
      <c r="AJ240" s="234" t="b">
        <v>0</v>
      </c>
      <c r="AK240" s="234" t="b">
        <v>0</v>
      </c>
      <c r="AL240" s="234" t="b">
        <v>0</v>
      </c>
      <c r="AM240" s="234"/>
      <c r="AN240" s="234" t="b">
        <v>0</v>
      </c>
      <c r="AO240" s="234" t="b">
        <v>0</v>
      </c>
      <c r="AP240" s="234" t="b">
        <v>0</v>
      </c>
      <c r="AQ240" s="234"/>
      <c r="AR240" s="234" t="b">
        <v>0</v>
      </c>
      <c r="AS240" s="234"/>
      <c r="AT240" s="234"/>
      <c r="AU240" s="234"/>
      <c r="AV240" s="234"/>
      <c r="AW240" s="234" t="b">
        <v>0</v>
      </c>
      <c r="AX240" s="234"/>
      <c r="AY240" s="234"/>
      <c r="AZ240" s="234" t="b">
        <v>0</v>
      </c>
      <c r="BA240" s="234"/>
      <c r="BB240" s="234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H241" s="242"/>
      <c r="I241" s="242"/>
      <c r="J241" s="242"/>
      <c r="K241" s="234"/>
      <c r="L241" s="234"/>
      <c r="M241" s="234"/>
      <c r="N241" s="234"/>
      <c r="O241" s="234"/>
      <c r="P241" s="235">
        <f t="shared" si="1"/>
        <v>0</v>
      </c>
      <c r="Q241" s="234" t="b">
        <v>0</v>
      </c>
      <c r="R241" s="234"/>
      <c r="S241" s="234"/>
      <c r="T241" s="234"/>
      <c r="U241" s="234" t="b">
        <v>0</v>
      </c>
      <c r="V241" s="234" t="b">
        <v>0</v>
      </c>
      <c r="W241" s="234" t="b">
        <v>0</v>
      </c>
      <c r="X241" s="234" t="b">
        <v>0</v>
      </c>
      <c r="Y241" s="234" t="b">
        <v>0</v>
      </c>
      <c r="Z241" s="236" t="b">
        <v>0</v>
      </c>
      <c r="AA241" s="234"/>
      <c r="AB241" s="234"/>
      <c r="AC241" s="234" t="b">
        <v>0</v>
      </c>
      <c r="AD241" s="234" t="b">
        <v>0</v>
      </c>
      <c r="AE241" s="234" t="b">
        <v>0</v>
      </c>
      <c r="AF241" s="234" t="b">
        <v>0</v>
      </c>
      <c r="AG241" s="234" t="b">
        <v>0</v>
      </c>
      <c r="AH241" s="234" t="b">
        <v>0</v>
      </c>
      <c r="AI241" s="234" t="b">
        <v>0</v>
      </c>
      <c r="AJ241" s="234" t="b">
        <v>0</v>
      </c>
      <c r="AK241" s="234" t="b">
        <v>0</v>
      </c>
      <c r="AL241" s="234" t="b">
        <v>0</v>
      </c>
      <c r="AM241" s="234"/>
      <c r="AN241" s="234" t="b">
        <v>0</v>
      </c>
      <c r="AO241" s="234" t="b">
        <v>0</v>
      </c>
      <c r="AP241" s="234" t="b">
        <v>0</v>
      </c>
      <c r="AQ241" s="234"/>
      <c r="AR241" s="234" t="b">
        <v>0</v>
      </c>
      <c r="AS241" s="234"/>
      <c r="AT241" s="234"/>
      <c r="AU241" s="234"/>
      <c r="AV241" s="234"/>
      <c r="AW241" s="234" t="b">
        <v>0</v>
      </c>
      <c r="AX241" s="234"/>
      <c r="AY241" s="234"/>
      <c r="AZ241" s="234" t="b">
        <v>0</v>
      </c>
      <c r="BA241" s="234"/>
      <c r="BB241" s="234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H242" s="242"/>
      <c r="I242" s="242"/>
      <c r="J242" s="242"/>
      <c r="K242" s="234"/>
      <c r="L242" s="234"/>
      <c r="M242" s="234"/>
      <c r="N242" s="234"/>
      <c r="O242" s="234"/>
      <c r="P242" s="235">
        <f t="shared" si="1"/>
        <v>0</v>
      </c>
      <c r="Q242" s="234" t="b">
        <v>0</v>
      </c>
      <c r="R242" s="234"/>
      <c r="S242" s="234"/>
      <c r="T242" s="234"/>
      <c r="U242" s="234" t="b">
        <v>0</v>
      </c>
      <c r="V242" s="234" t="b">
        <v>0</v>
      </c>
      <c r="W242" s="234" t="b">
        <v>0</v>
      </c>
      <c r="X242" s="234" t="b">
        <v>0</v>
      </c>
      <c r="Y242" s="234" t="b">
        <v>0</v>
      </c>
      <c r="Z242" s="236" t="b">
        <v>0</v>
      </c>
      <c r="AA242" s="234"/>
      <c r="AB242" s="234"/>
      <c r="AC242" s="234" t="b">
        <v>0</v>
      </c>
      <c r="AD242" s="234" t="b">
        <v>0</v>
      </c>
      <c r="AE242" s="234" t="b">
        <v>0</v>
      </c>
      <c r="AF242" s="234" t="b">
        <v>0</v>
      </c>
      <c r="AG242" s="234" t="b">
        <v>0</v>
      </c>
      <c r="AH242" s="234" t="b">
        <v>0</v>
      </c>
      <c r="AI242" s="234" t="b">
        <v>0</v>
      </c>
      <c r="AJ242" s="234" t="b">
        <v>0</v>
      </c>
      <c r="AK242" s="234" t="b">
        <v>0</v>
      </c>
      <c r="AL242" s="234" t="b">
        <v>0</v>
      </c>
      <c r="AM242" s="234"/>
      <c r="AN242" s="234" t="b">
        <v>0</v>
      </c>
      <c r="AO242" s="234" t="b">
        <v>0</v>
      </c>
      <c r="AP242" s="234" t="b">
        <v>0</v>
      </c>
      <c r="AQ242" s="234"/>
      <c r="AR242" s="234" t="b">
        <v>0</v>
      </c>
      <c r="AS242" s="234"/>
      <c r="AT242" s="234"/>
      <c r="AU242" s="234"/>
      <c r="AV242" s="234"/>
      <c r="AW242" s="234" t="b">
        <v>0</v>
      </c>
      <c r="AX242" s="234"/>
      <c r="AY242" s="234"/>
      <c r="AZ242" s="234" t="b">
        <v>0</v>
      </c>
      <c r="BA242" s="234"/>
      <c r="BB242" s="234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H243" s="242"/>
      <c r="I243" s="242"/>
      <c r="J243" s="242"/>
      <c r="K243" s="234"/>
      <c r="L243" s="234"/>
      <c r="M243" s="234"/>
      <c r="N243" s="234"/>
      <c r="O243" s="234"/>
      <c r="P243" s="235">
        <f t="shared" si="1"/>
        <v>0</v>
      </c>
      <c r="Q243" s="234" t="b">
        <v>0</v>
      </c>
      <c r="R243" s="234"/>
      <c r="S243" s="234"/>
      <c r="T243" s="234"/>
      <c r="U243" s="234" t="b">
        <v>0</v>
      </c>
      <c r="V243" s="234" t="b">
        <v>0</v>
      </c>
      <c r="W243" s="234" t="b">
        <v>0</v>
      </c>
      <c r="X243" s="234" t="b">
        <v>0</v>
      </c>
      <c r="Y243" s="234" t="b">
        <v>0</v>
      </c>
      <c r="Z243" s="236" t="b">
        <v>0</v>
      </c>
      <c r="AA243" s="234"/>
      <c r="AB243" s="234"/>
      <c r="AC243" s="234" t="b">
        <v>0</v>
      </c>
      <c r="AD243" s="234" t="b">
        <v>0</v>
      </c>
      <c r="AE243" s="234" t="b">
        <v>0</v>
      </c>
      <c r="AF243" s="234" t="b">
        <v>0</v>
      </c>
      <c r="AG243" s="234" t="b">
        <v>0</v>
      </c>
      <c r="AH243" s="234" t="b">
        <v>0</v>
      </c>
      <c r="AI243" s="234" t="b">
        <v>0</v>
      </c>
      <c r="AJ243" s="234" t="b">
        <v>0</v>
      </c>
      <c r="AK243" s="234" t="b">
        <v>0</v>
      </c>
      <c r="AL243" s="234" t="b">
        <v>0</v>
      </c>
      <c r="AM243" s="234"/>
      <c r="AN243" s="234" t="b">
        <v>0</v>
      </c>
      <c r="AO243" s="234" t="b">
        <v>0</v>
      </c>
      <c r="AP243" s="234" t="b">
        <v>0</v>
      </c>
      <c r="AQ243" s="234"/>
      <c r="AR243" s="234" t="b">
        <v>0</v>
      </c>
      <c r="AS243" s="234"/>
      <c r="AT243" s="234"/>
      <c r="AU243" s="234"/>
      <c r="AV243" s="234"/>
      <c r="AW243" s="234" t="b">
        <v>0</v>
      </c>
      <c r="AX243" s="234"/>
      <c r="AY243" s="234"/>
      <c r="AZ243" s="234" t="b">
        <v>0</v>
      </c>
      <c r="BA243" s="234"/>
      <c r="BB243" s="234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H244" s="242"/>
      <c r="I244" s="242"/>
      <c r="J244" s="242"/>
      <c r="K244" s="234"/>
      <c r="L244" s="234"/>
      <c r="M244" s="234"/>
      <c r="N244" s="234"/>
      <c r="O244" s="234"/>
      <c r="P244" s="235">
        <f t="shared" si="1"/>
        <v>0</v>
      </c>
      <c r="Q244" s="234" t="b">
        <v>0</v>
      </c>
      <c r="R244" s="234"/>
      <c r="S244" s="234"/>
      <c r="T244" s="234"/>
      <c r="U244" s="234" t="b">
        <v>0</v>
      </c>
      <c r="V244" s="234" t="b">
        <v>0</v>
      </c>
      <c r="W244" s="234" t="b">
        <v>0</v>
      </c>
      <c r="X244" s="234" t="b">
        <v>0</v>
      </c>
      <c r="Y244" s="234" t="b">
        <v>0</v>
      </c>
      <c r="Z244" s="236" t="b">
        <v>0</v>
      </c>
      <c r="AA244" s="234"/>
      <c r="AB244" s="234"/>
      <c r="AC244" s="234" t="b">
        <v>0</v>
      </c>
      <c r="AD244" s="234" t="b">
        <v>0</v>
      </c>
      <c r="AE244" s="234" t="b">
        <v>0</v>
      </c>
      <c r="AF244" s="234" t="b">
        <v>0</v>
      </c>
      <c r="AG244" s="234" t="b">
        <v>0</v>
      </c>
      <c r="AH244" s="234" t="b">
        <v>0</v>
      </c>
      <c r="AI244" s="234" t="b">
        <v>0</v>
      </c>
      <c r="AJ244" s="234" t="b">
        <v>0</v>
      </c>
      <c r="AK244" s="234" t="b">
        <v>0</v>
      </c>
      <c r="AL244" s="234" t="b">
        <v>0</v>
      </c>
      <c r="AM244" s="234"/>
      <c r="AN244" s="234" t="b">
        <v>0</v>
      </c>
      <c r="AO244" s="234" t="b">
        <v>0</v>
      </c>
      <c r="AP244" s="234" t="b">
        <v>0</v>
      </c>
      <c r="AQ244" s="234"/>
      <c r="AR244" s="234" t="b">
        <v>0</v>
      </c>
      <c r="AS244" s="234"/>
      <c r="AT244" s="234"/>
      <c r="AU244" s="234"/>
      <c r="AV244" s="234"/>
      <c r="AW244" s="234" t="b">
        <v>0</v>
      </c>
      <c r="AX244" s="234"/>
      <c r="AY244" s="234"/>
      <c r="AZ244" s="234" t="b">
        <v>0</v>
      </c>
      <c r="BA244" s="234"/>
      <c r="BB244" s="234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H245" s="242"/>
      <c r="I245" s="242"/>
      <c r="J245" s="242"/>
      <c r="K245" s="234"/>
      <c r="L245" s="234"/>
      <c r="M245" s="234"/>
      <c r="N245" s="234"/>
      <c r="O245" s="234"/>
      <c r="P245" s="235">
        <f t="shared" si="1"/>
        <v>0</v>
      </c>
      <c r="Q245" s="234" t="b">
        <v>0</v>
      </c>
      <c r="R245" s="234"/>
      <c r="S245" s="234"/>
      <c r="T245" s="234"/>
      <c r="U245" s="234" t="b">
        <v>0</v>
      </c>
      <c r="V245" s="234" t="b">
        <v>0</v>
      </c>
      <c r="W245" s="234" t="b">
        <v>0</v>
      </c>
      <c r="X245" s="234" t="b">
        <v>0</v>
      </c>
      <c r="Y245" s="234" t="b">
        <v>0</v>
      </c>
      <c r="Z245" s="236" t="b">
        <v>0</v>
      </c>
      <c r="AA245" s="234"/>
      <c r="AB245" s="234"/>
      <c r="AC245" s="234" t="b">
        <v>0</v>
      </c>
      <c r="AD245" s="234" t="b">
        <v>0</v>
      </c>
      <c r="AE245" s="234" t="b">
        <v>0</v>
      </c>
      <c r="AF245" s="234" t="b">
        <v>0</v>
      </c>
      <c r="AG245" s="234" t="b">
        <v>0</v>
      </c>
      <c r="AH245" s="234" t="b">
        <v>0</v>
      </c>
      <c r="AI245" s="234" t="b">
        <v>0</v>
      </c>
      <c r="AJ245" s="234" t="b">
        <v>0</v>
      </c>
      <c r="AK245" s="234" t="b">
        <v>0</v>
      </c>
      <c r="AL245" s="234" t="b">
        <v>0</v>
      </c>
      <c r="AM245" s="234"/>
      <c r="AN245" s="234" t="b">
        <v>0</v>
      </c>
      <c r="AO245" s="234" t="b">
        <v>0</v>
      </c>
      <c r="AP245" s="234" t="b">
        <v>0</v>
      </c>
      <c r="AQ245" s="234"/>
      <c r="AR245" s="234" t="b">
        <v>0</v>
      </c>
      <c r="AS245" s="234"/>
      <c r="AT245" s="234"/>
      <c r="AU245" s="234"/>
      <c r="AV245" s="234"/>
      <c r="AW245" s="234" t="b">
        <v>0</v>
      </c>
      <c r="AX245" s="234"/>
      <c r="AY245" s="234"/>
      <c r="AZ245" s="234" t="b">
        <v>0</v>
      </c>
      <c r="BA245" s="234"/>
      <c r="BB245" s="234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H246" s="242"/>
      <c r="I246" s="242"/>
      <c r="J246" s="242"/>
      <c r="K246" s="234"/>
      <c r="L246" s="234"/>
      <c r="M246" s="234"/>
      <c r="N246" s="234"/>
      <c r="O246" s="234"/>
      <c r="P246" s="235">
        <f t="shared" si="1"/>
        <v>0</v>
      </c>
      <c r="Q246" s="234" t="b">
        <v>0</v>
      </c>
      <c r="R246" s="234"/>
      <c r="S246" s="234"/>
      <c r="T246" s="234"/>
      <c r="U246" s="234" t="b">
        <v>0</v>
      </c>
      <c r="V246" s="234" t="b">
        <v>0</v>
      </c>
      <c r="W246" s="234" t="b">
        <v>0</v>
      </c>
      <c r="X246" s="234" t="b">
        <v>0</v>
      </c>
      <c r="Y246" s="234" t="b">
        <v>0</v>
      </c>
      <c r="Z246" s="236" t="b">
        <v>0</v>
      </c>
      <c r="AA246" s="234"/>
      <c r="AB246" s="234"/>
      <c r="AC246" s="234" t="b">
        <v>0</v>
      </c>
      <c r="AD246" s="234" t="b">
        <v>0</v>
      </c>
      <c r="AE246" s="234" t="b">
        <v>0</v>
      </c>
      <c r="AF246" s="234" t="b">
        <v>0</v>
      </c>
      <c r="AG246" s="234" t="b">
        <v>0</v>
      </c>
      <c r="AH246" s="234" t="b">
        <v>0</v>
      </c>
      <c r="AI246" s="234" t="b">
        <v>0</v>
      </c>
      <c r="AJ246" s="234" t="b">
        <v>0</v>
      </c>
      <c r="AK246" s="234" t="b">
        <v>0</v>
      </c>
      <c r="AL246" s="234" t="b">
        <v>0</v>
      </c>
      <c r="AM246" s="234"/>
      <c r="AN246" s="234" t="b">
        <v>0</v>
      </c>
      <c r="AO246" s="234" t="b">
        <v>0</v>
      </c>
      <c r="AP246" s="234" t="b">
        <v>0</v>
      </c>
      <c r="AQ246" s="234"/>
      <c r="AR246" s="234" t="b">
        <v>0</v>
      </c>
      <c r="AS246" s="234"/>
      <c r="AT246" s="234"/>
      <c r="AU246" s="234"/>
      <c r="AV246" s="234"/>
      <c r="AW246" s="234" t="b">
        <v>0</v>
      </c>
      <c r="AX246" s="234"/>
      <c r="AY246" s="234"/>
      <c r="AZ246" s="234" t="b">
        <v>0</v>
      </c>
      <c r="BA246" s="234"/>
      <c r="BB246" s="234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H247" s="242"/>
      <c r="I247" s="242"/>
      <c r="J247" s="242"/>
      <c r="K247" s="234"/>
      <c r="L247" s="234"/>
      <c r="M247" s="234"/>
      <c r="N247" s="234"/>
      <c r="O247" s="234"/>
      <c r="P247" s="235">
        <f t="shared" si="1"/>
        <v>0</v>
      </c>
      <c r="Q247" s="234" t="b">
        <v>0</v>
      </c>
      <c r="R247" s="234"/>
      <c r="S247" s="234"/>
      <c r="T247" s="234"/>
      <c r="U247" s="234" t="b">
        <v>0</v>
      </c>
      <c r="V247" s="234" t="b">
        <v>0</v>
      </c>
      <c r="W247" s="234" t="b">
        <v>0</v>
      </c>
      <c r="X247" s="234" t="b">
        <v>0</v>
      </c>
      <c r="Y247" s="234" t="b">
        <v>0</v>
      </c>
      <c r="Z247" s="236" t="b">
        <v>0</v>
      </c>
      <c r="AA247" s="234"/>
      <c r="AB247" s="234"/>
      <c r="AC247" s="234" t="b">
        <v>0</v>
      </c>
      <c r="AD247" s="234" t="b">
        <v>0</v>
      </c>
      <c r="AE247" s="234" t="b">
        <v>0</v>
      </c>
      <c r="AF247" s="234" t="b">
        <v>0</v>
      </c>
      <c r="AG247" s="234" t="b">
        <v>0</v>
      </c>
      <c r="AH247" s="234" t="b">
        <v>0</v>
      </c>
      <c r="AI247" s="234" t="b">
        <v>0</v>
      </c>
      <c r="AJ247" s="234" t="b">
        <v>0</v>
      </c>
      <c r="AK247" s="234" t="b">
        <v>0</v>
      </c>
      <c r="AL247" s="234" t="b">
        <v>0</v>
      </c>
      <c r="AM247" s="234"/>
      <c r="AN247" s="234" t="b">
        <v>0</v>
      </c>
      <c r="AO247" s="234" t="b">
        <v>0</v>
      </c>
      <c r="AP247" s="234" t="b">
        <v>0</v>
      </c>
      <c r="AQ247" s="234"/>
      <c r="AR247" s="234" t="b">
        <v>0</v>
      </c>
      <c r="AS247" s="234"/>
      <c r="AT247" s="234"/>
      <c r="AU247" s="234"/>
      <c r="AV247" s="234"/>
      <c r="AW247" s="234" t="b">
        <v>0</v>
      </c>
      <c r="AX247" s="234"/>
      <c r="AY247" s="234"/>
      <c r="AZ247" s="234" t="b">
        <v>0</v>
      </c>
      <c r="BA247" s="234"/>
      <c r="BB247" s="234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H248" s="242"/>
      <c r="I248" s="242"/>
      <c r="J248" s="242"/>
      <c r="K248" s="234"/>
      <c r="L248" s="234"/>
      <c r="M248" s="234"/>
      <c r="N248" s="234"/>
      <c r="O248" s="234"/>
      <c r="P248" s="235">
        <f t="shared" si="1"/>
        <v>0</v>
      </c>
      <c r="Q248" s="234" t="b">
        <v>0</v>
      </c>
      <c r="R248" s="234"/>
      <c r="S248" s="234"/>
      <c r="T248" s="234"/>
      <c r="U248" s="234" t="b">
        <v>0</v>
      </c>
      <c r="V248" s="234" t="b">
        <v>0</v>
      </c>
      <c r="W248" s="234" t="b">
        <v>0</v>
      </c>
      <c r="X248" s="234" t="b">
        <v>0</v>
      </c>
      <c r="Y248" s="234" t="b">
        <v>0</v>
      </c>
      <c r="Z248" s="236" t="b">
        <v>0</v>
      </c>
      <c r="AA248" s="234"/>
      <c r="AB248" s="234"/>
      <c r="AC248" s="234" t="b">
        <v>0</v>
      </c>
      <c r="AD248" s="234" t="b">
        <v>0</v>
      </c>
      <c r="AE248" s="234" t="b">
        <v>0</v>
      </c>
      <c r="AF248" s="234" t="b">
        <v>0</v>
      </c>
      <c r="AG248" s="234" t="b">
        <v>0</v>
      </c>
      <c r="AH248" s="234" t="b">
        <v>0</v>
      </c>
      <c r="AI248" s="234" t="b">
        <v>0</v>
      </c>
      <c r="AJ248" s="234" t="b">
        <v>0</v>
      </c>
      <c r="AK248" s="234" t="b">
        <v>0</v>
      </c>
      <c r="AL248" s="234" t="b">
        <v>0</v>
      </c>
      <c r="AM248" s="234"/>
      <c r="AN248" s="234" t="b">
        <v>0</v>
      </c>
      <c r="AO248" s="234" t="b">
        <v>0</v>
      </c>
      <c r="AP248" s="234" t="b">
        <v>0</v>
      </c>
      <c r="AQ248" s="234"/>
      <c r="AR248" s="234" t="b">
        <v>0</v>
      </c>
      <c r="AS248" s="234"/>
      <c r="AT248" s="234"/>
      <c r="AU248" s="234"/>
      <c r="AV248" s="234"/>
      <c r="AW248" s="234" t="b">
        <v>0</v>
      </c>
      <c r="AX248" s="234"/>
      <c r="AY248" s="234"/>
      <c r="AZ248" s="234" t="b">
        <v>0</v>
      </c>
      <c r="BA248" s="234"/>
      <c r="BB248" s="234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H249" s="242"/>
      <c r="I249" s="242"/>
      <c r="J249" s="242"/>
      <c r="K249" s="234"/>
      <c r="L249" s="234"/>
      <c r="M249" s="234"/>
      <c r="N249" s="234"/>
      <c r="O249" s="234"/>
      <c r="P249" s="235">
        <f t="shared" si="1"/>
        <v>0</v>
      </c>
      <c r="Q249" s="234" t="b">
        <v>0</v>
      </c>
      <c r="R249" s="234"/>
      <c r="S249" s="234"/>
      <c r="T249" s="234"/>
      <c r="U249" s="234" t="b">
        <v>0</v>
      </c>
      <c r="V249" s="234" t="b">
        <v>0</v>
      </c>
      <c r="W249" s="234" t="b">
        <v>0</v>
      </c>
      <c r="X249" s="234" t="b">
        <v>0</v>
      </c>
      <c r="Y249" s="234" t="b">
        <v>0</v>
      </c>
      <c r="Z249" s="236" t="b">
        <v>0</v>
      </c>
      <c r="AA249" s="234"/>
      <c r="AB249" s="234"/>
      <c r="AC249" s="234" t="b">
        <v>0</v>
      </c>
      <c r="AD249" s="234" t="b">
        <v>0</v>
      </c>
      <c r="AE249" s="234" t="b">
        <v>0</v>
      </c>
      <c r="AF249" s="234" t="b">
        <v>0</v>
      </c>
      <c r="AG249" s="234" t="b">
        <v>0</v>
      </c>
      <c r="AH249" s="234" t="b">
        <v>0</v>
      </c>
      <c r="AI249" s="234" t="b">
        <v>0</v>
      </c>
      <c r="AJ249" s="234" t="b">
        <v>0</v>
      </c>
      <c r="AK249" s="234" t="b">
        <v>0</v>
      </c>
      <c r="AL249" s="234" t="b">
        <v>0</v>
      </c>
      <c r="AM249" s="234"/>
      <c r="AN249" s="234" t="b">
        <v>0</v>
      </c>
      <c r="AO249" s="234" t="b">
        <v>0</v>
      </c>
      <c r="AP249" s="234" t="b">
        <v>0</v>
      </c>
      <c r="AQ249" s="234"/>
      <c r="AR249" s="234" t="b">
        <v>0</v>
      </c>
      <c r="AS249" s="234"/>
      <c r="AT249" s="234"/>
      <c r="AU249" s="234"/>
      <c r="AV249" s="234"/>
      <c r="AW249" s="234" t="b">
        <v>0</v>
      </c>
      <c r="AX249" s="234"/>
      <c r="AY249" s="234"/>
      <c r="AZ249" s="234" t="b">
        <v>0</v>
      </c>
      <c r="BA249" s="234"/>
      <c r="BB249" s="234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H250" s="242"/>
      <c r="I250" s="242"/>
      <c r="J250" s="242"/>
      <c r="K250" s="234"/>
      <c r="L250" s="234"/>
      <c r="M250" s="234"/>
      <c r="N250" s="234"/>
      <c r="O250" s="234"/>
      <c r="P250" s="235">
        <f t="shared" si="1"/>
        <v>0</v>
      </c>
      <c r="Q250" s="234" t="b">
        <v>0</v>
      </c>
      <c r="R250" s="234"/>
      <c r="S250" s="234"/>
      <c r="T250" s="234"/>
      <c r="U250" s="234" t="b">
        <v>0</v>
      </c>
      <c r="V250" s="234" t="b">
        <v>0</v>
      </c>
      <c r="W250" s="234" t="b">
        <v>0</v>
      </c>
      <c r="X250" s="234" t="b">
        <v>0</v>
      </c>
      <c r="Y250" s="234" t="b">
        <v>0</v>
      </c>
      <c r="Z250" s="236" t="b">
        <v>0</v>
      </c>
      <c r="AA250" s="234"/>
      <c r="AB250" s="234"/>
      <c r="AC250" s="234" t="b">
        <v>0</v>
      </c>
      <c r="AD250" s="234" t="b">
        <v>0</v>
      </c>
      <c r="AE250" s="234" t="b">
        <v>0</v>
      </c>
      <c r="AF250" s="234" t="b">
        <v>0</v>
      </c>
      <c r="AG250" s="234" t="b">
        <v>0</v>
      </c>
      <c r="AH250" s="234" t="b">
        <v>0</v>
      </c>
      <c r="AI250" s="234" t="b">
        <v>0</v>
      </c>
      <c r="AJ250" s="234" t="b">
        <v>0</v>
      </c>
      <c r="AK250" s="234" t="b">
        <v>0</v>
      </c>
      <c r="AL250" s="234" t="b">
        <v>0</v>
      </c>
      <c r="AM250" s="234"/>
      <c r="AN250" s="234" t="b">
        <v>0</v>
      </c>
      <c r="AO250" s="234" t="b">
        <v>0</v>
      </c>
      <c r="AP250" s="234" t="b">
        <v>0</v>
      </c>
      <c r="AQ250" s="234"/>
      <c r="AR250" s="234" t="b">
        <v>0</v>
      </c>
      <c r="AS250" s="234"/>
      <c r="AT250" s="234"/>
      <c r="AU250" s="234"/>
      <c r="AV250" s="234"/>
      <c r="AW250" s="234" t="b">
        <v>0</v>
      </c>
      <c r="AX250" s="234"/>
      <c r="AY250" s="234"/>
      <c r="AZ250" s="234" t="b">
        <v>0</v>
      </c>
      <c r="BA250" s="234"/>
      <c r="BB250" s="234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H251" s="242"/>
      <c r="I251" s="242"/>
      <c r="J251" s="242"/>
      <c r="K251" s="234"/>
      <c r="L251" s="234"/>
      <c r="M251" s="234"/>
      <c r="N251" s="234"/>
      <c r="O251" s="234"/>
      <c r="P251" s="235">
        <f t="shared" si="1"/>
        <v>0</v>
      </c>
      <c r="Q251" s="234" t="b">
        <v>0</v>
      </c>
      <c r="R251" s="234"/>
      <c r="S251" s="234"/>
      <c r="T251" s="234"/>
      <c r="U251" s="234" t="b">
        <v>0</v>
      </c>
      <c r="V251" s="234" t="b">
        <v>0</v>
      </c>
      <c r="W251" s="234" t="b">
        <v>0</v>
      </c>
      <c r="X251" s="234" t="b">
        <v>0</v>
      </c>
      <c r="Y251" s="234" t="b">
        <v>0</v>
      </c>
      <c r="Z251" s="236" t="b">
        <v>0</v>
      </c>
      <c r="AA251" s="234"/>
      <c r="AB251" s="234"/>
      <c r="AC251" s="234" t="b">
        <v>0</v>
      </c>
      <c r="AD251" s="234" t="b">
        <v>0</v>
      </c>
      <c r="AE251" s="234" t="b">
        <v>0</v>
      </c>
      <c r="AF251" s="234" t="b">
        <v>0</v>
      </c>
      <c r="AG251" s="234" t="b">
        <v>0</v>
      </c>
      <c r="AH251" s="234" t="b">
        <v>0</v>
      </c>
      <c r="AI251" s="234" t="b">
        <v>0</v>
      </c>
      <c r="AJ251" s="234" t="b">
        <v>0</v>
      </c>
      <c r="AK251" s="234" t="b">
        <v>0</v>
      </c>
      <c r="AL251" s="234" t="b">
        <v>0</v>
      </c>
      <c r="AM251" s="234"/>
      <c r="AN251" s="234" t="b">
        <v>0</v>
      </c>
      <c r="AO251" s="234" t="b">
        <v>0</v>
      </c>
      <c r="AP251" s="234" t="b">
        <v>0</v>
      </c>
      <c r="AQ251" s="234"/>
      <c r="AR251" s="234" t="b">
        <v>0</v>
      </c>
      <c r="AS251" s="234"/>
      <c r="AT251" s="234"/>
      <c r="AU251" s="234"/>
      <c r="AV251" s="234"/>
      <c r="AW251" s="234" t="b">
        <v>0</v>
      </c>
      <c r="AX251" s="234"/>
      <c r="AY251" s="234"/>
      <c r="AZ251" s="234" t="b">
        <v>0</v>
      </c>
      <c r="BA251" s="234"/>
      <c r="BB251" s="234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H252" s="242"/>
      <c r="I252" s="242"/>
      <c r="J252" s="242"/>
      <c r="K252" s="234"/>
      <c r="L252" s="234"/>
      <c r="M252" s="234"/>
      <c r="N252" s="234"/>
      <c r="O252" s="234"/>
      <c r="P252" s="235">
        <f t="shared" si="1"/>
        <v>0</v>
      </c>
      <c r="Q252" s="234" t="b">
        <v>0</v>
      </c>
      <c r="R252" s="234"/>
      <c r="S252" s="234"/>
      <c r="T252" s="234"/>
      <c r="U252" s="234" t="b">
        <v>0</v>
      </c>
      <c r="V252" s="234" t="b">
        <v>0</v>
      </c>
      <c r="W252" s="234" t="b">
        <v>0</v>
      </c>
      <c r="X252" s="234" t="b">
        <v>0</v>
      </c>
      <c r="Y252" s="234" t="b">
        <v>0</v>
      </c>
      <c r="Z252" s="236" t="b">
        <v>0</v>
      </c>
      <c r="AA252" s="234"/>
      <c r="AB252" s="234"/>
      <c r="AC252" s="234" t="b">
        <v>0</v>
      </c>
      <c r="AD252" s="234" t="b">
        <v>0</v>
      </c>
      <c r="AE252" s="234" t="b">
        <v>0</v>
      </c>
      <c r="AF252" s="234" t="b">
        <v>0</v>
      </c>
      <c r="AG252" s="234" t="b">
        <v>0</v>
      </c>
      <c r="AH252" s="234" t="b">
        <v>0</v>
      </c>
      <c r="AI252" s="234" t="b">
        <v>0</v>
      </c>
      <c r="AJ252" s="234" t="b">
        <v>0</v>
      </c>
      <c r="AK252" s="234" t="b">
        <v>0</v>
      </c>
      <c r="AL252" s="234" t="b">
        <v>0</v>
      </c>
      <c r="AM252" s="234"/>
      <c r="AN252" s="234" t="b">
        <v>0</v>
      </c>
      <c r="AO252" s="234" t="b">
        <v>0</v>
      </c>
      <c r="AP252" s="234" t="b">
        <v>0</v>
      </c>
      <c r="AQ252" s="234"/>
      <c r="AR252" s="234" t="b">
        <v>0</v>
      </c>
      <c r="AS252" s="234"/>
      <c r="AT252" s="234"/>
      <c r="AU252" s="234"/>
      <c r="AV252" s="234"/>
      <c r="AW252" s="234" t="b">
        <v>0</v>
      </c>
      <c r="AX252" s="234"/>
      <c r="AY252" s="234"/>
      <c r="AZ252" s="234" t="b">
        <v>0</v>
      </c>
      <c r="BA252" s="234"/>
      <c r="BB252" s="234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H253" s="242"/>
      <c r="I253" s="242"/>
      <c r="J253" s="242"/>
      <c r="K253" s="234"/>
      <c r="L253" s="234"/>
      <c r="M253" s="234"/>
      <c r="N253" s="234"/>
      <c r="O253" s="234"/>
      <c r="P253" s="235">
        <f t="shared" si="1"/>
        <v>0</v>
      </c>
      <c r="Q253" s="234" t="b">
        <v>0</v>
      </c>
      <c r="R253" s="234"/>
      <c r="S253" s="234"/>
      <c r="T253" s="234"/>
      <c r="U253" s="234" t="b">
        <v>0</v>
      </c>
      <c r="V253" s="234" t="b">
        <v>0</v>
      </c>
      <c r="W253" s="234" t="b">
        <v>0</v>
      </c>
      <c r="X253" s="234" t="b">
        <v>0</v>
      </c>
      <c r="Y253" s="234" t="b">
        <v>0</v>
      </c>
      <c r="Z253" s="236" t="b">
        <v>0</v>
      </c>
      <c r="AA253" s="234"/>
      <c r="AB253" s="234"/>
      <c r="AC253" s="234" t="b">
        <v>0</v>
      </c>
      <c r="AD253" s="234" t="b">
        <v>0</v>
      </c>
      <c r="AE253" s="234" t="b">
        <v>0</v>
      </c>
      <c r="AF253" s="234" t="b">
        <v>0</v>
      </c>
      <c r="AG253" s="234" t="b">
        <v>0</v>
      </c>
      <c r="AH253" s="234" t="b">
        <v>0</v>
      </c>
      <c r="AI253" s="234" t="b">
        <v>0</v>
      </c>
      <c r="AJ253" s="234" t="b">
        <v>0</v>
      </c>
      <c r="AK253" s="234" t="b">
        <v>0</v>
      </c>
      <c r="AL253" s="234" t="b">
        <v>0</v>
      </c>
      <c r="AM253" s="234"/>
      <c r="AN253" s="234" t="b">
        <v>0</v>
      </c>
      <c r="AO253" s="234" t="b">
        <v>0</v>
      </c>
      <c r="AP253" s="234" t="b">
        <v>0</v>
      </c>
      <c r="AQ253" s="234"/>
      <c r="AR253" s="234" t="b">
        <v>0</v>
      </c>
      <c r="AS253" s="234"/>
      <c r="AT253" s="234"/>
      <c r="AU253" s="234"/>
      <c r="AV253" s="234"/>
      <c r="AW253" s="234" t="b">
        <v>0</v>
      </c>
      <c r="AX253" s="234"/>
      <c r="AY253" s="234"/>
      <c r="AZ253" s="234" t="b">
        <v>0</v>
      </c>
      <c r="BA253" s="234"/>
      <c r="BB253" s="234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H254" s="242"/>
      <c r="I254" s="242"/>
      <c r="J254" s="242"/>
      <c r="K254" s="234"/>
      <c r="L254" s="234"/>
      <c r="M254" s="234"/>
      <c r="N254" s="234"/>
      <c r="O254" s="234"/>
      <c r="P254" s="235">
        <f t="shared" si="1"/>
        <v>0</v>
      </c>
      <c r="Q254" s="234" t="b">
        <v>0</v>
      </c>
      <c r="R254" s="234"/>
      <c r="S254" s="234"/>
      <c r="T254" s="234"/>
      <c r="U254" s="234" t="b">
        <v>0</v>
      </c>
      <c r="V254" s="234" t="b">
        <v>0</v>
      </c>
      <c r="W254" s="234" t="b">
        <v>0</v>
      </c>
      <c r="X254" s="234" t="b">
        <v>0</v>
      </c>
      <c r="Y254" s="234" t="b">
        <v>0</v>
      </c>
      <c r="Z254" s="236" t="b">
        <v>0</v>
      </c>
      <c r="AA254" s="234"/>
      <c r="AB254" s="234"/>
      <c r="AC254" s="234" t="b">
        <v>0</v>
      </c>
      <c r="AD254" s="234" t="b">
        <v>0</v>
      </c>
      <c r="AE254" s="234" t="b">
        <v>0</v>
      </c>
      <c r="AF254" s="234" t="b">
        <v>0</v>
      </c>
      <c r="AG254" s="234" t="b">
        <v>0</v>
      </c>
      <c r="AH254" s="234" t="b">
        <v>0</v>
      </c>
      <c r="AI254" s="234" t="b">
        <v>0</v>
      </c>
      <c r="AJ254" s="234" t="b">
        <v>0</v>
      </c>
      <c r="AK254" s="234" t="b">
        <v>0</v>
      </c>
      <c r="AL254" s="234" t="b">
        <v>0</v>
      </c>
      <c r="AM254" s="234"/>
      <c r="AN254" s="234" t="b">
        <v>0</v>
      </c>
      <c r="AO254" s="234" t="b">
        <v>0</v>
      </c>
      <c r="AP254" s="234" t="b">
        <v>0</v>
      </c>
      <c r="AQ254" s="234"/>
      <c r="AR254" s="234" t="b">
        <v>0</v>
      </c>
      <c r="AS254" s="234"/>
      <c r="AT254" s="234"/>
      <c r="AU254" s="234"/>
      <c r="AV254" s="234"/>
      <c r="AW254" s="234" t="b">
        <v>0</v>
      </c>
      <c r="AX254" s="234"/>
      <c r="AY254" s="234"/>
      <c r="AZ254" s="234" t="b">
        <v>0</v>
      </c>
      <c r="BA254" s="234"/>
      <c r="BB254" s="234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H255" s="242"/>
      <c r="I255" s="242"/>
      <c r="J255" s="242"/>
      <c r="K255" s="234"/>
      <c r="L255" s="234"/>
      <c r="M255" s="234"/>
      <c r="N255" s="234"/>
      <c r="O255" s="234"/>
      <c r="P255" s="235">
        <f t="shared" si="1"/>
        <v>0</v>
      </c>
      <c r="Q255" s="234" t="b">
        <v>0</v>
      </c>
      <c r="R255" s="234"/>
      <c r="S255" s="234"/>
      <c r="T255" s="234"/>
      <c r="U255" s="234" t="b">
        <v>0</v>
      </c>
      <c r="V255" s="234" t="b">
        <v>0</v>
      </c>
      <c r="W255" s="234" t="b">
        <v>0</v>
      </c>
      <c r="X255" s="234" t="b">
        <v>0</v>
      </c>
      <c r="Y255" s="234" t="b">
        <v>0</v>
      </c>
      <c r="Z255" s="236" t="b">
        <v>0</v>
      </c>
      <c r="AA255" s="234"/>
      <c r="AB255" s="234"/>
      <c r="AC255" s="234" t="b">
        <v>0</v>
      </c>
      <c r="AD255" s="234" t="b">
        <v>0</v>
      </c>
      <c r="AE255" s="234" t="b">
        <v>0</v>
      </c>
      <c r="AF255" s="234" t="b">
        <v>0</v>
      </c>
      <c r="AG255" s="234" t="b">
        <v>0</v>
      </c>
      <c r="AH255" s="234" t="b">
        <v>0</v>
      </c>
      <c r="AI255" s="234" t="b">
        <v>0</v>
      </c>
      <c r="AJ255" s="234" t="b">
        <v>0</v>
      </c>
      <c r="AK255" s="234" t="b">
        <v>0</v>
      </c>
      <c r="AL255" s="234" t="b">
        <v>0</v>
      </c>
      <c r="AM255" s="234"/>
      <c r="AN255" s="234" t="b">
        <v>0</v>
      </c>
      <c r="AO255" s="234" t="b">
        <v>0</v>
      </c>
      <c r="AP255" s="234" t="b">
        <v>0</v>
      </c>
      <c r="AQ255" s="234"/>
      <c r="AR255" s="234" t="b">
        <v>0</v>
      </c>
      <c r="AS255" s="234"/>
      <c r="AT255" s="234"/>
      <c r="AU255" s="234"/>
      <c r="AV255" s="234"/>
      <c r="AW255" s="234" t="b">
        <v>0</v>
      </c>
      <c r="AX255" s="234"/>
      <c r="AY255" s="234"/>
      <c r="AZ255" s="234" t="b">
        <v>0</v>
      </c>
      <c r="BA255" s="234"/>
      <c r="BB255" s="234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H256" s="242"/>
      <c r="I256" s="242"/>
      <c r="J256" s="242"/>
      <c r="K256" s="234"/>
      <c r="L256" s="234"/>
      <c r="M256" s="234"/>
      <c r="N256" s="234"/>
      <c r="O256" s="234"/>
      <c r="P256" s="235">
        <f t="shared" si="1"/>
        <v>0</v>
      </c>
      <c r="Q256" s="234" t="b">
        <v>0</v>
      </c>
      <c r="R256" s="234"/>
      <c r="S256" s="234"/>
      <c r="T256" s="234"/>
      <c r="U256" s="234" t="b">
        <v>0</v>
      </c>
      <c r="V256" s="234" t="b">
        <v>0</v>
      </c>
      <c r="W256" s="234" t="b">
        <v>0</v>
      </c>
      <c r="X256" s="234" t="b">
        <v>0</v>
      </c>
      <c r="Y256" s="234" t="b">
        <v>0</v>
      </c>
      <c r="Z256" s="236" t="b">
        <v>0</v>
      </c>
      <c r="AA256" s="234"/>
      <c r="AB256" s="234"/>
      <c r="AC256" s="234" t="b">
        <v>0</v>
      </c>
      <c r="AD256" s="234" t="b">
        <v>0</v>
      </c>
      <c r="AE256" s="234" t="b">
        <v>0</v>
      </c>
      <c r="AF256" s="234" t="b">
        <v>0</v>
      </c>
      <c r="AG256" s="234" t="b">
        <v>0</v>
      </c>
      <c r="AH256" s="234" t="b">
        <v>0</v>
      </c>
      <c r="AI256" s="234" t="b">
        <v>0</v>
      </c>
      <c r="AJ256" s="234" t="b">
        <v>0</v>
      </c>
      <c r="AK256" s="234" t="b">
        <v>0</v>
      </c>
      <c r="AL256" s="234" t="b">
        <v>0</v>
      </c>
      <c r="AM256" s="234"/>
      <c r="AN256" s="234" t="b">
        <v>0</v>
      </c>
      <c r="AO256" s="234" t="b">
        <v>0</v>
      </c>
      <c r="AP256" s="234" t="b">
        <v>0</v>
      </c>
      <c r="AQ256" s="234"/>
      <c r="AR256" s="234" t="b">
        <v>0</v>
      </c>
      <c r="AS256" s="234"/>
      <c r="AT256" s="234"/>
      <c r="AU256" s="234"/>
      <c r="AV256" s="234"/>
      <c r="AW256" s="234" t="b">
        <v>0</v>
      </c>
      <c r="AX256" s="234"/>
      <c r="AY256" s="234"/>
      <c r="AZ256" s="234" t="b">
        <v>0</v>
      </c>
      <c r="BA256" s="234"/>
      <c r="BB256" s="234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H257" s="242"/>
      <c r="I257" s="242"/>
      <c r="J257" s="242"/>
      <c r="K257" s="234"/>
      <c r="L257" s="234"/>
      <c r="M257" s="234"/>
      <c r="N257" s="234"/>
      <c r="O257" s="234"/>
      <c r="P257" s="235">
        <f t="shared" si="1"/>
        <v>0</v>
      </c>
      <c r="Q257" s="234" t="b">
        <v>0</v>
      </c>
      <c r="R257" s="234"/>
      <c r="S257" s="234"/>
      <c r="T257" s="234"/>
      <c r="U257" s="234" t="b">
        <v>0</v>
      </c>
      <c r="V257" s="234" t="b">
        <v>0</v>
      </c>
      <c r="W257" s="234" t="b">
        <v>0</v>
      </c>
      <c r="X257" s="234" t="b">
        <v>0</v>
      </c>
      <c r="Y257" s="234" t="b">
        <v>0</v>
      </c>
      <c r="Z257" s="236" t="b">
        <v>0</v>
      </c>
      <c r="AA257" s="234"/>
      <c r="AB257" s="234"/>
      <c r="AC257" s="234" t="b">
        <v>0</v>
      </c>
      <c r="AD257" s="234" t="b">
        <v>0</v>
      </c>
      <c r="AE257" s="234" t="b">
        <v>0</v>
      </c>
      <c r="AF257" s="234" t="b">
        <v>0</v>
      </c>
      <c r="AG257" s="234" t="b">
        <v>0</v>
      </c>
      <c r="AH257" s="234" t="b">
        <v>0</v>
      </c>
      <c r="AI257" s="234" t="b">
        <v>0</v>
      </c>
      <c r="AJ257" s="234" t="b">
        <v>0</v>
      </c>
      <c r="AK257" s="234" t="b">
        <v>0</v>
      </c>
      <c r="AL257" s="234" t="b">
        <v>0</v>
      </c>
      <c r="AM257" s="234"/>
      <c r="AN257" s="234" t="b">
        <v>0</v>
      </c>
      <c r="AO257" s="234" t="b">
        <v>0</v>
      </c>
      <c r="AP257" s="234" t="b">
        <v>0</v>
      </c>
      <c r="AQ257" s="234"/>
      <c r="AR257" s="234" t="b">
        <v>0</v>
      </c>
      <c r="AS257" s="234"/>
      <c r="AT257" s="234"/>
      <c r="AU257" s="234"/>
      <c r="AV257" s="234"/>
      <c r="AW257" s="234" t="b">
        <v>0</v>
      </c>
      <c r="AX257" s="234"/>
      <c r="AY257" s="234"/>
      <c r="AZ257" s="234" t="b">
        <v>0</v>
      </c>
      <c r="BA257" s="234"/>
      <c r="BB257" s="234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H258" s="242"/>
      <c r="I258" s="242"/>
      <c r="J258" s="242"/>
      <c r="K258" s="234"/>
      <c r="L258" s="234"/>
      <c r="M258" s="234"/>
      <c r="N258" s="234"/>
      <c r="O258" s="234"/>
      <c r="P258" s="235">
        <f t="shared" si="1"/>
        <v>0</v>
      </c>
      <c r="Q258" s="234" t="b">
        <v>0</v>
      </c>
      <c r="R258" s="234"/>
      <c r="S258" s="234"/>
      <c r="T258" s="234"/>
      <c r="U258" s="234" t="b">
        <v>0</v>
      </c>
      <c r="V258" s="234" t="b">
        <v>0</v>
      </c>
      <c r="W258" s="234" t="b">
        <v>0</v>
      </c>
      <c r="X258" s="234" t="b">
        <v>0</v>
      </c>
      <c r="Y258" s="234" t="b">
        <v>0</v>
      </c>
      <c r="Z258" s="236" t="b">
        <v>0</v>
      </c>
      <c r="AA258" s="234"/>
      <c r="AB258" s="234"/>
      <c r="AC258" s="234" t="b">
        <v>0</v>
      </c>
      <c r="AD258" s="234" t="b">
        <v>0</v>
      </c>
      <c r="AE258" s="234" t="b">
        <v>0</v>
      </c>
      <c r="AF258" s="234" t="b">
        <v>0</v>
      </c>
      <c r="AG258" s="234" t="b">
        <v>0</v>
      </c>
      <c r="AH258" s="234" t="b">
        <v>0</v>
      </c>
      <c r="AI258" s="234" t="b">
        <v>0</v>
      </c>
      <c r="AJ258" s="234" t="b">
        <v>0</v>
      </c>
      <c r="AK258" s="234" t="b">
        <v>0</v>
      </c>
      <c r="AL258" s="234" t="b">
        <v>0</v>
      </c>
      <c r="AM258" s="234"/>
      <c r="AN258" s="234" t="b">
        <v>0</v>
      </c>
      <c r="AO258" s="234" t="b">
        <v>0</v>
      </c>
      <c r="AP258" s="234" t="b">
        <v>0</v>
      </c>
      <c r="AQ258" s="234"/>
      <c r="AR258" s="234" t="b">
        <v>0</v>
      </c>
      <c r="AS258" s="234"/>
      <c r="AT258" s="234"/>
      <c r="AU258" s="234"/>
      <c r="AV258" s="234"/>
      <c r="AW258" s="234" t="b">
        <v>0</v>
      </c>
      <c r="AX258" s="234"/>
      <c r="AY258" s="234"/>
      <c r="AZ258" s="234" t="b">
        <v>0</v>
      </c>
      <c r="BA258" s="234"/>
      <c r="BB258" s="234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H259" s="242"/>
      <c r="I259" s="242"/>
      <c r="J259" s="242"/>
      <c r="K259" s="234"/>
      <c r="L259" s="234"/>
      <c r="M259" s="234"/>
      <c r="N259" s="234"/>
      <c r="O259" s="234"/>
      <c r="P259" s="235">
        <f t="shared" si="1"/>
        <v>0</v>
      </c>
      <c r="Q259" s="234" t="b">
        <v>0</v>
      </c>
      <c r="R259" s="234"/>
      <c r="S259" s="234"/>
      <c r="T259" s="234"/>
      <c r="U259" s="234" t="b">
        <v>0</v>
      </c>
      <c r="V259" s="234" t="b">
        <v>0</v>
      </c>
      <c r="W259" s="234" t="b">
        <v>0</v>
      </c>
      <c r="X259" s="234" t="b">
        <v>0</v>
      </c>
      <c r="Y259" s="234" t="b">
        <v>0</v>
      </c>
      <c r="Z259" s="236" t="b">
        <v>0</v>
      </c>
      <c r="AA259" s="234"/>
      <c r="AB259" s="234"/>
      <c r="AC259" s="234" t="b">
        <v>0</v>
      </c>
      <c r="AD259" s="234" t="b">
        <v>0</v>
      </c>
      <c r="AE259" s="234" t="b">
        <v>0</v>
      </c>
      <c r="AF259" s="234" t="b">
        <v>0</v>
      </c>
      <c r="AG259" s="234" t="b">
        <v>0</v>
      </c>
      <c r="AH259" s="234" t="b">
        <v>0</v>
      </c>
      <c r="AI259" s="234" t="b">
        <v>0</v>
      </c>
      <c r="AJ259" s="234" t="b">
        <v>0</v>
      </c>
      <c r="AK259" s="234" t="b">
        <v>0</v>
      </c>
      <c r="AL259" s="234" t="b">
        <v>0</v>
      </c>
      <c r="AM259" s="234"/>
      <c r="AN259" s="234" t="b">
        <v>0</v>
      </c>
      <c r="AO259" s="234" t="b">
        <v>0</v>
      </c>
      <c r="AP259" s="234" t="b">
        <v>0</v>
      </c>
      <c r="AQ259" s="234"/>
      <c r="AR259" s="234" t="b">
        <v>0</v>
      </c>
      <c r="AS259" s="234"/>
      <c r="AT259" s="234"/>
      <c r="AU259" s="234"/>
      <c r="AV259" s="234"/>
      <c r="AW259" s="234" t="b">
        <v>0</v>
      </c>
      <c r="AX259" s="234"/>
      <c r="AY259" s="234"/>
      <c r="AZ259" s="234" t="b">
        <v>0</v>
      </c>
      <c r="BA259" s="234"/>
      <c r="BB259" s="234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H260" s="242"/>
      <c r="I260" s="242"/>
      <c r="J260" s="242"/>
      <c r="K260" s="234"/>
      <c r="L260" s="234"/>
      <c r="M260" s="234"/>
      <c r="N260" s="234"/>
      <c r="O260" s="234"/>
      <c r="P260" s="235">
        <f t="shared" si="1"/>
        <v>0</v>
      </c>
      <c r="Q260" s="234" t="b">
        <v>0</v>
      </c>
      <c r="R260" s="234"/>
      <c r="S260" s="234"/>
      <c r="T260" s="234"/>
      <c r="U260" s="234" t="b">
        <v>0</v>
      </c>
      <c r="V260" s="234" t="b">
        <v>0</v>
      </c>
      <c r="W260" s="234" t="b">
        <v>0</v>
      </c>
      <c r="X260" s="234" t="b">
        <v>0</v>
      </c>
      <c r="Y260" s="234" t="b">
        <v>0</v>
      </c>
      <c r="Z260" s="236" t="b">
        <v>0</v>
      </c>
      <c r="AA260" s="234"/>
      <c r="AB260" s="234"/>
      <c r="AC260" s="234" t="b">
        <v>0</v>
      </c>
      <c r="AD260" s="234" t="b">
        <v>0</v>
      </c>
      <c r="AE260" s="234" t="b">
        <v>0</v>
      </c>
      <c r="AF260" s="234" t="b">
        <v>0</v>
      </c>
      <c r="AG260" s="234" t="b">
        <v>0</v>
      </c>
      <c r="AH260" s="234" t="b">
        <v>0</v>
      </c>
      <c r="AI260" s="234" t="b">
        <v>0</v>
      </c>
      <c r="AJ260" s="234" t="b">
        <v>0</v>
      </c>
      <c r="AK260" s="234" t="b">
        <v>0</v>
      </c>
      <c r="AL260" s="234" t="b">
        <v>0</v>
      </c>
      <c r="AM260" s="234"/>
      <c r="AN260" s="234" t="b">
        <v>0</v>
      </c>
      <c r="AO260" s="234" t="b">
        <v>0</v>
      </c>
      <c r="AP260" s="234" t="b">
        <v>0</v>
      </c>
      <c r="AQ260" s="234"/>
      <c r="AR260" s="234" t="b">
        <v>0</v>
      </c>
      <c r="AS260" s="234"/>
      <c r="AT260" s="234"/>
      <c r="AU260" s="234"/>
      <c r="AV260" s="234"/>
      <c r="AW260" s="234" t="b">
        <v>0</v>
      </c>
      <c r="AX260" s="234"/>
      <c r="AY260" s="234"/>
      <c r="AZ260" s="234" t="b">
        <v>0</v>
      </c>
      <c r="BA260" s="234"/>
      <c r="BB260" s="234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H261" s="242"/>
      <c r="I261" s="242"/>
      <c r="J261" s="242"/>
      <c r="K261" s="234"/>
      <c r="L261" s="234"/>
      <c r="M261" s="234"/>
      <c r="N261" s="234"/>
      <c r="O261" s="234"/>
      <c r="P261" s="235">
        <f t="shared" si="1"/>
        <v>0</v>
      </c>
      <c r="Q261" s="234" t="b">
        <v>0</v>
      </c>
      <c r="R261" s="234"/>
      <c r="S261" s="234"/>
      <c r="T261" s="234"/>
      <c r="U261" s="234" t="b">
        <v>0</v>
      </c>
      <c r="V261" s="234" t="b">
        <v>0</v>
      </c>
      <c r="W261" s="234" t="b">
        <v>0</v>
      </c>
      <c r="X261" s="234" t="b">
        <v>0</v>
      </c>
      <c r="Y261" s="234" t="b">
        <v>0</v>
      </c>
      <c r="Z261" s="236" t="b">
        <v>0</v>
      </c>
      <c r="AA261" s="234"/>
      <c r="AB261" s="234"/>
      <c r="AC261" s="234" t="b">
        <v>0</v>
      </c>
      <c r="AD261" s="234" t="b">
        <v>0</v>
      </c>
      <c r="AE261" s="234" t="b">
        <v>0</v>
      </c>
      <c r="AF261" s="234" t="b">
        <v>0</v>
      </c>
      <c r="AG261" s="234" t="b">
        <v>0</v>
      </c>
      <c r="AH261" s="234" t="b">
        <v>0</v>
      </c>
      <c r="AI261" s="234" t="b">
        <v>0</v>
      </c>
      <c r="AJ261" s="234" t="b">
        <v>0</v>
      </c>
      <c r="AK261" s="234" t="b">
        <v>0</v>
      </c>
      <c r="AL261" s="234" t="b">
        <v>0</v>
      </c>
      <c r="AM261" s="234"/>
      <c r="AN261" s="234" t="b">
        <v>0</v>
      </c>
      <c r="AO261" s="234" t="b">
        <v>0</v>
      </c>
      <c r="AP261" s="234" t="b">
        <v>0</v>
      </c>
      <c r="AQ261" s="234"/>
      <c r="AR261" s="234" t="b">
        <v>0</v>
      </c>
      <c r="AS261" s="234"/>
      <c r="AT261" s="234"/>
      <c r="AU261" s="234"/>
      <c r="AV261" s="234"/>
      <c r="AW261" s="234" t="b">
        <v>0</v>
      </c>
      <c r="AX261" s="234"/>
      <c r="AY261" s="234"/>
      <c r="AZ261" s="234" t="b">
        <v>0</v>
      </c>
      <c r="BA261" s="234"/>
      <c r="BB261" s="234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H262" s="242"/>
      <c r="I262" s="242"/>
      <c r="J262" s="242"/>
      <c r="K262" s="234"/>
      <c r="L262" s="234"/>
      <c r="M262" s="234"/>
      <c r="N262" s="234"/>
      <c r="O262" s="234"/>
      <c r="P262" s="235">
        <f t="shared" si="1"/>
        <v>0</v>
      </c>
      <c r="Q262" s="234" t="b">
        <v>0</v>
      </c>
      <c r="R262" s="234"/>
      <c r="S262" s="234"/>
      <c r="T262" s="234"/>
      <c r="U262" s="234" t="b">
        <v>0</v>
      </c>
      <c r="V262" s="234" t="b">
        <v>0</v>
      </c>
      <c r="W262" s="234" t="b">
        <v>0</v>
      </c>
      <c r="X262" s="234" t="b">
        <v>0</v>
      </c>
      <c r="Y262" s="234" t="b">
        <v>0</v>
      </c>
      <c r="Z262" s="236" t="b">
        <v>0</v>
      </c>
      <c r="AA262" s="234"/>
      <c r="AB262" s="234"/>
      <c r="AC262" s="234" t="b">
        <v>0</v>
      </c>
      <c r="AD262" s="234" t="b">
        <v>0</v>
      </c>
      <c r="AE262" s="234" t="b">
        <v>0</v>
      </c>
      <c r="AF262" s="234" t="b">
        <v>0</v>
      </c>
      <c r="AG262" s="234" t="b">
        <v>0</v>
      </c>
      <c r="AH262" s="234" t="b">
        <v>0</v>
      </c>
      <c r="AI262" s="234" t="b">
        <v>0</v>
      </c>
      <c r="AJ262" s="234" t="b">
        <v>0</v>
      </c>
      <c r="AK262" s="234" t="b">
        <v>0</v>
      </c>
      <c r="AL262" s="234" t="b">
        <v>0</v>
      </c>
      <c r="AM262" s="234"/>
      <c r="AN262" s="234" t="b">
        <v>0</v>
      </c>
      <c r="AO262" s="234" t="b">
        <v>0</v>
      </c>
      <c r="AP262" s="234" t="b">
        <v>0</v>
      </c>
      <c r="AQ262" s="234"/>
      <c r="AR262" s="234" t="b">
        <v>0</v>
      </c>
      <c r="AS262" s="234"/>
      <c r="AT262" s="234"/>
      <c r="AU262" s="234"/>
      <c r="AV262" s="234"/>
      <c r="AW262" s="234" t="b">
        <v>0</v>
      </c>
      <c r="AX262" s="234"/>
      <c r="AY262" s="234"/>
      <c r="AZ262" s="234" t="b">
        <v>0</v>
      </c>
      <c r="BA262" s="234"/>
      <c r="BB262" s="234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H263" s="242"/>
      <c r="I263" s="242"/>
      <c r="J263" s="242"/>
      <c r="K263" s="234"/>
      <c r="L263" s="234"/>
      <c r="M263" s="234"/>
      <c r="N263" s="234"/>
      <c r="O263" s="234"/>
      <c r="P263" s="235">
        <f t="shared" si="1"/>
        <v>0</v>
      </c>
      <c r="Q263" s="234" t="b">
        <v>0</v>
      </c>
      <c r="R263" s="234"/>
      <c r="S263" s="234"/>
      <c r="T263" s="234"/>
      <c r="U263" s="234" t="b">
        <v>0</v>
      </c>
      <c r="V263" s="234" t="b">
        <v>0</v>
      </c>
      <c r="W263" s="234" t="b">
        <v>0</v>
      </c>
      <c r="X263" s="234" t="b">
        <v>0</v>
      </c>
      <c r="Y263" s="234" t="b">
        <v>0</v>
      </c>
      <c r="Z263" s="236" t="b">
        <v>0</v>
      </c>
      <c r="AA263" s="234"/>
      <c r="AB263" s="234"/>
      <c r="AC263" s="234" t="b">
        <v>0</v>
      </c>
      <c r="AD263" s="234" t="b">
        <v>0</v>
      </c>
      <c r="AE263" s="234" t="b">
        <v>0</v>
      </c>
      <c r="AF263" s="234" t="b">
        <v>0</v>
      </c>
      <c r="AG263" s="234" t="b">
        <v>0</v>
      </c>
      <c r="AH263" s="234" t="b">
        <v>0</v>
      </c>
      <c r="AI263" s="234" t="b">
        <v>0</v>
      </c>
      <c r="AJ263" s="234" t="b">
        <v>0</v>
      </c>
      <c r="AK263" s="234" t="b">
        <v>0</v>
      </c>
      <c r="AL263" s="234" t="b">
        <v>0</v>
      </c>
      <c r="AM263" s="234"/>
      <c r="AN263" s="234" t="b">
        <v>0</v>
      </c>
      <c r="AO263" s="234" t="b">
        <v>0</v>
      </c>
      <c r="AP263" s="234" t="b">
        <v>0</v>
      </c>
      <c r="AQ263" s="234"/>
      <c r="AR263" s="234" t="b">
        <v>0</v>
      </c>
      <c r="AS263" s="234"/>
      <c r="AT263" s="234"/>
      <c r="AU263" s="234"/>
      <c r="AV263" s="234"/>
      <c r="AW263" s="234" t="b">
        <v>0</v>
      </c>
      <c r="AX263" s="234"/>
      <c r="AY263" s="234"/>
      <c r="AZ263" s="234" t="b">
        <v>0</v>
      </c>
      <c r="BA263" s="234"/>
      <c r="BB263" s="234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H264" s="242"/>
      <c r="I264" s="242"/>
      <c r="J264" s="242"/>
      <c r="K264" s="234"/>
      <c r="L264" s="234"/>
      <c r="M264" s="234"/>
      <c r="N264" s="234"/>
      <c r="O264" s="234"/>
      <c r="P264" s="235">
        <f t="shared" si="1"/>
        <v>0</v>
      </c>
      <c r="Q264" s="234" t="b">
        <v>0</v>
      </c>
      <c r="R264" s="234"/>
      <c r="S264" s="234"/>
      <c r="T264" s="234"/>
      <c r="U264" s="234" t="b">
        <v>0</v>
      </c>
      <c r="V264" s="234" t="b">
        <v>0</v>
      </c>
      <c r="W264" s="234" t="b">
        <v>0</v>
      </c>
      <c r="X264" s="234" t="b">
        <v>0</v>
      </c>
      <c r="Y264" s="234" t="b">
        <v>0</v>
      </c>
      <c r="Z264" s="236" t="b">
        <v>0</v>
      </c>
      <c r="AA264" s="234"/>
      <c r="AB264" s="234"/>
      <c r="AC264" s="234" t="b">
        <v>0</v>
      </c>
      <c r="AD264" s="234" t="b">
        <v>0</v>
      </c>
      <c r="AE264" s="234" t="b">
        <v>0</v>
      </c>
      <c r="AF264" s="234" t="b">
        <v>0</v>
      </c>
      <c r="AG264" s="234" t="b">
        <v>0</v>
      </c>
      <c r="AH264" s="234" t="b">
        <v>0</v>
      </c>
      <c r="AI264" s="234" t="b">
        <v>0</v>
      </c>
      <c r="AJ264" s="234" t="b">
        <v>0</v>
      </c>
      <c r="AK264" s="234" t="b">
        <v>0</v>
      </c>
      <c r="AL264" s="234" t="b">
        <v>0</v>
      </c>
      <c r="AM264" s="234"/>
      <c r="AN264" s="234" t="b">
        <v>0</v>
      </c>
      <c r="AO264" s="234" t="b">
        <v>0</v>
      </c>
      <c r="AP264" s="234" t="b">
        <v>0</v>
      </c>
      <c r="AQ264" s="234"/>
      <c r="AR264" s="234" t="b">
        <v>0</v>
      </c>
      <c r="AS264" s="234"/>
      <c r="AT264" s="234"/>
      <c r="AU264" s="234"/>
      <c r="AV264" s="234"/>
      <c r="AW264" s="234" t="b">
        <v>0</v>
      </c>
      <c r="AX264" s="234"/>
      <c r="AY264" s="234"/>
      <c r="AZ264" s="234" t="b">
        <v>0</v>
      </c>
      <c r="BA264" s="234"/>
      <c r="BB264" s="234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H265" s="242"/>
      <c r="I265" s="242"/>
      <c r="J265" s="242"/>
      <c r="K265" s="234"/>
      <c r="L265" s="234"/>
      <c r="M265" s="234"/>
      <c r="N265" s="234"/>
      <c r="O265" s="234"/>
      <c r="P265" s="235">
        <f t="shared" si="1"/>
        <v>0</v>
      </c>
      <c r="Q265" s="234" t="b">
        <v>0</v>
      </c>
      <c r="R265" s="234"/>
      <c r="S265" s="234"/>
      <c r="T265" s="234"/>
      <c r="U265" s="234" t="b">
        <v>0</v>
      </c>
      <c r="V265" s="234" t="b">
        <v>0</v>
      </c>
      <c r="W265" s="234" t="b">
        <v>0</v>
      </c>
      <c r="X265" s="234" t="b">
        <v>0</v>
      </c>
      <c r="Y265" s="234" t="b">
        <v>0</v>
      </c>
      <c r="Z265" s="236" t="b">
        <v>0</v>
      </c>
      <c r="AA265" s="234"/>
      <c r="AB265" s="234"/>
      <c r="AC265" s="234" t="b">
        <v>0</v>
      </c>
      <c r="AD265" s="234" t="b">
        <v>0</v>
      </c>
      <c r="AE265" s="234" t="b">
        <v>0</v>
      </c>
      <c r="AF265" s="234" t="b">
        <v>0</v>
      </c>
      <c r="AG265" s="234" t="b">
        <v>0</v>
      </c>
      <c r="AH265" s="234" t="b">
        <v>0</v>
      </c>
      <c r="AI265" s="234" t="b">
        <v>0</v>
      </c>
      <c r="AJ265" s="234" t="b">
        <v>0</v>
      </c>
      <c r="AK265" s="234" t="b">
        <v>0</v>
      </c>
      <c r="AL265" s="234" t="b">
        <v>0</v>
      </c>
      <c r="AM265" s="234"/>
      <c r="AN265" s="234" t="b">
        <v>0</v>
      </c>
      <c r="AO265" s="234" t="b">
        <v>0</v>
      </c>
      <c r="AP265" s="234" t="b">
        <v>0</v>
      </c>
      <c r="AQ265" s="234"/>
      <c r="AR265" s="234" t="b">
        <v>0</v>
      </c>
      <c r="AS265" s="234"/>
      <c r="AT265" s="234"/>
      <c r="AU265" s="234"/>
      <c r="AV265" s="234"/>
      <c r="AW265" s="234" t="b">
        <v>0</v>
      </c>
      <c r="AX265" s="234"/>
      <c r="AY265" s="234"/>
      <c r="AZ265" s="234" t="b">
        <v>0</v>
      </c>
      <c r="BA265" s="234"/>
      <c r="BB265" s="234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H266" s="242"/>
      <c r="I266" s="242"/>
      <c r="J266" s="242"/>
      <c r="K266" s="234"/>
      <c r="L266" s="234"/>
      <c r="M266" s="234"/>
      <c r="N266" s="234"/>
      <c r="O266" s="234"/>
      <c r="P266" s="235">
        <f t="shared" si="1"/>
        <v>0</v>
      </c>
      <c r="Q266" s="234" t="b">
        <v>0</v>
      </c>
      <c r="R266" s="234"/>
      <c r="S266" s="234"/>
      <c r="T266" s="234"/>
      <c r="U266" s="234" t="b">
        <v>0</v>
      </c>
      <c r="V266" s="234" t="b">
        <v>0</v>
      </c>
      <c r="W266" s="234" t="b">
        <v>0</v>
      </c>
      <c r="X266" s="234" t="b">
        <v>0</v>
      </c>
      <c r="Y266" s="234" t="b">
        <v>0</v>
      </c>
      <c r="Z266" s="236" t="b">
        <v>0</v>
      </c>
      <c r="AA266" s="234"/>
      <c r="AB266" s="234"/>
      <c r="AC266" s="234" t="b">
        <v>0</v>
      </c>
      <c r="AD266" s="234" t="b">
        <v>0</v>
      </c>
      <c r="AE266" s="234" t="b">
        <v>0</v>
      </c>
      <c r="AF266" s="234" t="b">
        <v>0</v>
      </c>
      <c r="AG266" s="234" t="b">
        <v>0</v>
      </c>
      <c r="AH266" s="234" t="b">
        <v>0</v>
      </c>
      <c r="AI266" s="234" t="b">
        <v>0</v>
      </c>
      <c r="AJ266" s="234" t="b">
        <v>0</v>
      </c>
      <c r="AK266" s="234" t="b">
        <v>0</v>
      </c>
      <c r="AL266" s="234" t="b">
        <v>0</v>
      </c>
      <c r="AM266" s="234"/>
      <c r="AN266" s="234" t="b">
        <v>0</v>
      </c>
      <c r="AO266" s="234" t="b">
        <v>0</v>
      </c>
      <c r="AP266" s="234" t="b">
        <v>0</v>
      </c>
      <c r="AQ266" s="234"/>
      <c r="AR266" s="234" t="b">
        <v>0</v>
      </c>
      <c r="AS266" s="234"/>
      <c r="AT266" s="234"/>
      <c r="AU266" s="234"/>
      <c r="AV266" s="234"/>
      <c r="AW266" s="234" t="b">
        <v>0</v>
      </c>
      <c r="AX266" s="234"/>
      <c r="AY266" s="234"/>
      <c r="AZ266" s="234" t="b">
        <v>0</v>
      </c>
      <c r="BA266" s="234"/>
      <c r="BB266" s="234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H267" s="242"/>
      <c r="I267" s="242"/>
      <c r="J267" s="242"/>
      <c r="K267" s="234"/>
      <c r="L267" s="234"/>
      <c r="M267" s="234"/>
      <c r="N267" s="234"/>
      <c r="O267" s="234"/>
      <c r="P267" s="235">
        <f t="shared" si="1"/>
        <v>0</v>
      </c>
      <c r="Q267" s="234" t="b">
        <v>0</v>
      </c>
      <c r="R267" s="234"/>
      <c r="S267" s="234"/>
      <c r="T267" s="234"/>
      <c r="U267" s="234" t="b">
        <v>0</v>
      </c>
      <c r="V267" s="234" t="b">
        <v>0</v>
      </c>
      <c r="W267" s="234" t="b">
        <v>0</v>
      </c>
      <c r="X267" s="234" t="b">
        <v>0</v>
      </c>
      <c r="Y267" s="234" t="b">
        <v>0</v>
      </c>
      <c r="Z267" s="236" t="b">
        <v>0</v>
      </c>
      <c r="AA267" s="234"/>
      <c r="AB267" s="234"/>
      <c r="AC267" s="234" t="b">
        <v>0</v>
      </c>
      <c r="AD267" s="234" t="b">
        <v>0</v>
      </c>
      <c r="AE267" s="234" t="b">
        <v>0</v>
      </c>
      <c r="AF267" s="234" t="b">
        <v>0</v>
      </c>
      <c r="AG267" s="234" t="b">
        <v>0</v>
      </c>
      <c r="AH267" s="234" t="b">
        <v>0</v>
      </c>
      <c r="AI267" s="234" t="b">
        <v>0</v>
      </c>
      <c r="AJ267" s="234" t="b">
        <v>0</v>
      </c>
      <c r="AK267" s="234" t="b">
        <v>0</v>
      </c>
      <c r="AL267" s="234" t="b">
        <v>0</v>
      </c>
      <c r="AM267" s="234"/>
      <c r="AN267" s="234" t="b">
        <v>0</v>
      </c>
      <c r="AO267" s="234" t="b">
        <v>0</v>
      </c>
      <c r="AP267" s="234" t="b">
        <v>0</v>
      </c>
      <c r="AQ267" s="234"/>
      <c r="AR267" s="234" t="b">
        <v>0</v>
      </c>
      <c r="AS267" s="234"/>
      <c r="AT267" s="234"/>
      <c r="AU267" s="234"/>
      <c r="AV267" s="234"/>
      <c r="AW267" s="234" t="b">
        <v>0</v>
      </c>
      <c r="AX267" s="234"/>
      <c r="AY267" s="234"/>
      <c r="AZ267" s="234" t="b">
        <v>0</v>
      </c>
      <c r="BA267" s="234"/>
      <c r="BB267" s="234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H268" s="242"/>
      <c r="I268" s="242"/>
      <c r="J268" s="242"/>
      <c r="K268" s="234"/>
      <c r="L268" s="234"/>
      <c r="M268" s="234"/>
      <c r="N268" s="234"/>
      <c r="O268" s="234"/>
      <c r="P268" s="235">
        <f t="shared" si="1"/>
        <v>0</v>
      </c>
      <c r="Q268" s="234" t="b">
        <v>0</v>
      </c>
      <c r="R268" s="234"/>
      <c r="S268" s="234"/>
      <c r="T268" s="234"/>
      <c r="U268" s="234" t="b">
        <v>0</v>
      </c>
      <c r="V268" s="234" t="b">
        <v>0</v>
      </c>
      <c r="W268" s="234" t="b">
        <v>0</v>
      </c>
      <c r="X268" s="234" t="b">
        <v>0</v>
      </c>
      <c r="Y268" s="234" t="b">
        <v>0</v>
      </c>
      <c r="Z268" s="236" t="b">
        <v>0</v>
      </c>
      <c r="AA268" s="234"/>
      <c r="AB268" s="234"/>
      <c r="AC268" s="234" t="b">
        <v>0</v>
      </c>
      <c r="AD268" s="234" t="b">
        <v>0</v>
      </c>
      <c r="AE268" s="234" t="b">
        <v>0</v>
      </c>
      <c r="AF268" s="234" t="b">
        <v>0</v>
      </c>
      <c r="AG268" s="234" t="b">
        <v>0</v>
      </c>
      <c r="AH268" s="234" t="b">
        <v>0</v>
      </c>
      <c r="AI268" s="234" t="b">
        <v>0</v>
      </c>
      <c r="AJ268" s="234" t="b">
        <v>0</v>
      </c>
      <c r="AK268" s="234" t="b">
        <v>0</v>
      </c>
      <c r="AL268" s="234" t="b">
        <v>0</v>
      </c>
      <c r="AM268" s="234"/>
      <c r="AN268" s="234" t="b">
        <v>0</v>
      </c>
      <c r="AO268" s="234" t="b">
        <v>0</v>
      </c>
      <c r="AP268" s="234" t="b">
        <v>0</v>
      </c>
      <c r="AQ268" s="234"/>
      <c r="AR268" s="234" t="b">
        <v>0</v>
      </c>
      <c r="AS268" s="234"/>
      <c r="AT268" s="234"/>
      <c r="AU268" s="234"/>
      <c r="AV268" s="234"/>
      <c r="AW268" s="234" t="b">
        <v>0</v>
      </c>
      <c r="AX268" s="234"/>
      <c r="AY268" s="234"/>
      <c r="AZ268" s="234" t="b">
        <v>0</v>
      </c>
      <c r="BA268" s="234"/>
      <c r="BB268" s="234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H269" s="242"/>
      <c r="I269" s="242"/>
      <c r="J269" s="242"/>
      <c r="K269" s="234"/>
      <c r="L269" s="234"/>
      <c r="M269" s="234"/>
      <c r="N269" s="234"/>
      <c r="O269" s="234"/>
      <c r="P269" s="235">
        <f t="shared" si="1"/>
        <v>0</v>
      </c>
      <c r="Q269" s="234" t="b">
        <v>0</v>
      </c>
      <c r="R269" s="234"/>
      <c r="S269" s="234"/>
      <c r="T269" s="234"/>
      <c r="U269" s="234" t="b">
        <v>0</v>
      </c>
      <c r="V269" s="234" t="b">
        <v>0</v>
      </c>
      <c r="W269" s="234" t="b">
        <v>0</v>
      </c>
      <c r="X269" s="234" t="b">
        <v>0</v>
      </c>
      <c r="Y269" s="234" t="b">
        <v>0</v>
      </c>
      <c r="Z269" s="236" t="b">
        <v>0</v>
      </c>
      <c r="AA269" s="234"/>
      <c r="AB269" s="234"/>
      <c r="AC269" s="234" t="b">
        <v>0</v>
      </c>
      <c r="AD269" s="234" t="b">
        <v>0</v>
      </c>
      <c r="AE269" s="234" t="b">
        <v>0</v>
      </c>
      <c r="AF269" s="234" t="b">
        <v>0</v>
      </c>
      <c r="AG269" s="234" t="b">
        <v>0</v>
      </c>
      <c r="AH269" s="234" t="b">
        <v>0</v>
      </c>
      <c r="AI269" s="234" t="b">
        <v>0</v>
      </c>
      <c r="AJ269" s="234" t="b">
        <v>0</v>
      </c>
      <c r="AK269" s="234" t="b">
        <v>0</v>
      </c>
      <c r="AL269" s="234" t="b">
        <v>0</v>
      </c>
      <c r="AM269" s="234"/>
      <c r="AN269" s="234" t="b">
        <v>0</v>
      </c>
      <c r="AO269" s="234" t="b">
        <v>0</v>
      </c>
      <c r="AP269" s="234" t="b">
        <v>0</v>
      </c>
      <c r="AQ269" s="234"/>
      <c r="AR269" s="234" t="b">
        <v>0</v>
      </c>
      <c r="AS269" s="234"/>
      <c r="AT269" s="234"/>
      <c r="AU269" s="234"/>
      <c r="AV269" s="234"/>
      <c r="AW269" s="234" t="b">
        <v>0</v>
      </c>
      <c r="AX269" s="234"/>
      <c r="AY269" s="234"/>
      <c r="AZ269" s="234" t="b">
        <v>0</v>
      </c>
      <c r="BA269" s="234"/>
      <c r="BB269" s="234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H270" s="242"/>
      <c r="I270" s="242"/>
      <c r="J270" s="242"/>
      <c r="K270" s="234"/>
      <c r="L270" s="234"/>
      <c r="M270" s="234"/>
      <c r="N270" s="234"/>
      <c r="O270" s="234"/>
      <c r="P270" s="235">
        <f t="shared" si="1"/>
        <v>0</v>
      </c>
      <c r="Q270" s="234" t="b">
        <v>0</v>
      </c>
      <c r="R270" s="234"/>
      <c r="S270" s="234"/>
      <c r="T270" s="234"/>
      <c r="U270" s="234" t="b">
        <v>0</v>
      </c>
      <c r="V270" s="234" t="b">
        <v>0</v>
      </c>
      <c r="W270" s="234" t="b">
        <v>0</v>
      </c>
      <c r="X270" s="234" t="b">
        <v>0</v>
      </c>
      <c r="Y270" s="234" t="b">
        <v>0</v>
      </c>
      <c r="Z270" s="236" t="b">
        <v>0</v>
      </c>
      <c r="AA270" s="234"/>
      <c r="AB270" s="234"/>
      <c r="AC270" s="234" t="b">
        <v>0</v>
      </c>
      <c r="AD270" s="234" t="b">
        <v>0</v>
      </c>
      <c r="AE270" s="234" t="b">
        <v>0</v>
      </c>
      <c r="AF270" s="234" t="b">
        <v>0</v>
      </c>
      <c r="AG270" s="234" t="b">
        <v>0</v>
      </c>
      <c r="AH270" s="234" t="b">
        <v>0</v>
      </c>
      <c r="AI270" s="234" t="b">
        <v>0</v>
      </c>
      <c r="AJ270" s="234" t="b">
        <v>0</v>
      </c>
      <c r="AK270" s="234" t="b">
        <v>0</v>
      </c>
      <c r="AL270" s="234" t="b">
        <v>0</v>
      </c>
      <c r="AM270" s="234"/>
      <c r="AN270" s="234" t="b">
        <v>0</v>
      </c>
      <c r="AO270" s="234" t="b">
        <v>0</v>
      </c>
      <c r="AP270" s="234" t="b">
        <v>0</v>
      </c>
      <c r="AQ270" s="234"/>
      <c r="AR270" s="234" t="b">
        <v>0</v>
      </c>
      <c r="AS270" s="234"/>
      <c r="AT270" s="234"/>
      <c r="AU270" s="234"/>
      <c r="AV270" s="234"/>
      <c r="AW270" s="234" t="b">
        <v>0</v>
      </c>
      <c r="AX270" s="234"/>
      <c r="AY270" s="234"/>
      <c r="AZ270" s="234" t="b">
        <v>0</v>
      </c>
      <c r="BA270" s="234"/>
      <c r="BB270" s="234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H271" s="242"/>
      <c r="I271" s="242"/>
      <c r="J271" s="242"/>
      <c r="K271" s="234"/>
      <c r="L271" s="234"/>
      <c r="M271" s="234"/>
      <c r="N271" s="234"/>
      <c r="O271" s="234"/>
      <c r="P271" s="235">
        <f t="shared" si="1"/>
        <v>0</v>
      </c>
      <c r="Q271" s="234" t="b">
        <v>0</v>
      </c>
      <c r="R271" s="234"/>
      <c r="S271" s="234"/>
      <c r="T271" s="234"/>
      <c r="U271" s="234" t="b">
        <v>0</v>
      </c>
      <c r="V271" s="234" t="b">
        <v>0</v>
      </c>
      <c r="W271" s="234" t="b">
        <v>0</v>
      </c>
      <c r="X271" s="234" t="b">
        <v>0</v>
      </c>
      <c r="Y271" s="234" t="b">
        <v>0</v>
      </c>
      <c r="Z271" s="236" t="b">
        <v>0</v>
      </c>
      <c r="AA271" s="234"/>
      <c r="AB271" s="234"/>
      <c r="AC271" s="234" t="b">
        <v>0</v>
      </c>
      <c r="AD271" s="234" t="b">
        <v>0</v>
      </c>
      <c r="AE271" s="234" t="b">
        <v>0</v>
      </c>
      <c r="AF271" s="234" t="b">
        <v>0</v>
      </c>
      <c r="AG271" s="234" t="b">
        <v>0</v>
      </c>
      <c r="AH271" s="234" t="b">
        <v>0</v>
      </c>
      <c r="AI271" s="234" t="b">
        <v>0</v>
      </c>
      <c r="AJ271" s="234" t="b">
        <v>0</v>
      </c>
      <c r="AK271" s="234" t="b">
        <v>0</v>
      </c>
      <c r="AL271" s="234" t="b">
        <v>0</v>
      </c>
      <c r="AM271" s="234"/>
      <c r="AN271" s="234" t="b">
        <v>0</v>
      </c>
      <c r="AO271" s="234" t="b">
        <v>0</v>
      </c>
      <c r="AP271" s="234" t="b">
        <v>0</v>
      </c>
      <c r="AQ271" s="234"/>
      <c r="AR271" s="234" t="b">
        <v>0</v>
      </c>
      <c r="AS271" s="234"/>
      <c r="AT271" s="234"/>
      <c r="AU271" s="234"/>
      <c r="AV271" s="234"/>
      <c r="AW271" s="234" t="b">
        <v>0</v>
      </c>
      <c r="AX271" s="234"/>
      <c r="AY271" s="234"/>
      <c r="AZ271" s="234" t="b">
        <v>0</v>
      </c>
      <c r="BA271" s="234"/>
      <c r="BB271" s="234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H272" s="242"/>
      <c r="I272" s="242"/>
      <c r="J272" s="242"/>
      <c r="K272" s="234"/>
      <c r="L272" s="234"/>
      <c r="M272" s="234"/>
      <c r="N272" s="234"/>
      <c r="O272" s="234"/>
      <c r="P272" s="235">
        <f t="shared" si="1"/>
        <v>0</v>
      </c>
      <c r="Q272" s="234" t="b">
        <v>0</v>
      </c>
      <c r="R272" s="234"/>
      <c r="S272" s="234"/>
      <c r="T272" s="234"/>
      <c r="U272" s="234" t="b">
        <v>0</v>
      </c>
      <c r="V272" s="234" t="b">
        <v>0</v>
      </c>
      <c r="W272" s="234" t="b">
        <v>0</v>
      </c>
      <c r="X272" s="234" t="b">
        <v>0</v>
      </c>
      <c r="Y272" s="234" t="b">
        <v>0</v>
      </c>
      <c r="Z272" s="236" t="b">
        <v>0</v>
      </c>
      <c r="AA272" s="234"/>
      <c r="AB272" s="234"/>
      <c r="AC272" s="234" t="b">
        <v>0</v>
      </c>
      <c r="AD272" s="234" t="b">
        <v>0</v>
      </c>
      <c r="AE272" s="234" t="b">
        <v>0</v>
      </c>
      <c r="AF272" s="234" t="b">
        <v>0</v>
      </c>
      <c r="AG272" s="234" t="b">
        <v>0</v>
      </c>
      <c r="AH272" s="234" t="b">
        <v>0</v>
      </c>
      <c r="AI272" s="234" t="b">
        <v>0</v>
      </c>
      <c r="AJ272" s="234" t="b">
        <v>0</v>
      </c>
      <c r="AK272" s="234" t="b">
        <v>0</v>
      </c>
      <c r="AL272" s="234" t="b">
        <v>0</v>
      </c>
      <c r="AM272" s="234"/>
      <c r="AN272" s="234" t="b">
        <v>0</v>
      </c>
      <c r="AO272" s="234" t="b">
        <v>0</v>
      </c>
      <c r="AP272" s="234" t="b">
        <v>0</v>
      </c>
      <c r="AQ272" s="234"/>
      <c r="AR272" s="234" t="b">
        <v>0</v>
      </c>
      <c r="AS272" s="234"/>
      <c r="AT272" s="234"/>
      <c r="AU272" s="234"/>
      <c r="AV272" s="234"/>
      <c r="AW272" s="234" t="b">
        <v>0</v>
      </c>
      <c r="AX272" s="234"/>
      <c r="AY272" s="234"/>
      <c r="AZ272" s="234" t="b">
        <v>0</v>
      </c>
      <c r="BA272" s="234"/>
      <c r="BB272" s="234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H273" s="242"/>
      <c r="I273" s="242"/>
      <c r="J273" s="242"/>
      <c r="K273" s="234"/>
      <c r="L273" s="234"/>
      <c r="M273" s="234"/>
      <c r="N273" s="234"/>
      <c r="O273" s="234"/>
      <c r="P273" s="235">
        <f t="shared" si="1"/>
        <v>0</v>
      </c>
      <c r="Q273" s="234" t="b">
        <v>0</v>
      </c>
      <c r="R273" s="234"/>
      <c r="S273" s="234"/>
      <c r="T273" s="234"/>
      <c r="U273" s="234" t="b">
        <v>0</v>
      </c>
      <c r="V273" s="234" t="b">
        <v>0</v>
      </c>
      <c r="W273" s="234" t="b">
        <v>0</v>
      </c>
      <c r="X273" s="234" t="b">
        <v>0</v>
      </c>
      <c r="Y273" s="234" t="b">
        <v>0</v>
      </c>
      <c r="Z273" s="236" t="b">
        <v>0</v>
      </c>
      <c r="AA273" s="234"/>
      <c r="AB273" s="234"/>
      <c r="AC273" s="234" t="b">
        <v>0</v>
      </c>
      <c r="AD273" s="234" t="b">
        <v>0</v>
      </c>
      <c r="AE273" s="234" t="b">
        <v>0</v>
      </c>
      <c r="AF273" s="234" t="b">
        <v>0</v>
      </c>
      <c r="AG273" s="234" t="b">
        <v>0</v>
      </c>
      <c r="AH273" s="234" t="b">
        <v>0</v>
      </c>
      <c r="AI273" s="234" t="b">
        <v>0</v>
      </c>
      <c r="AJ273" s="234" t="b">
        <v>0</v>
      </c>
      <c r="AK273" s="234" t="b">
        <v>0</v>
      </c>
      <c r="AL273" s="234" t="b">
        <v>0</v>
      </c>
      <c r="AM273" s="234"/>
      <c r="AN273" s="234" t="b">
        <v>0</v>
      </c>
      <c r="AO273" s="234" t="b">
        <v>0</v>
      </c>
      <c r="AP273" s="234" t="b">
        <v>0</v>
      </c>
      <c r="AQ273" s="234"/>
      <c r="AR273" s="234" t="b">
        <v>0</v>
      </c>
      <c r="AS273" s="234"/>
      <c r="AT273" s="234"/>
      <c r="AU273" s="234"/>
      <c r="AV273" s="234"/>
      <c r="AW273" s="234" t="b">
        <v>0</v>
      </c>
      <c r="AX273" s="234"/>
      <c r="AY273" s="234"/>
      <c r="AZ273" s="234" t="b">
        <v>0</v>
      </c>
      <c r="BA273" s="234"/>
      <c r="BB273" s="234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H274" s="242"/>
      <c r="I274" s="242"/>
      <c r="J274" s="242"/>
      <c r="K274" s="234"/>
      <c r="L274" s="234"/>
      <c r="M274" s="234"/>
      <c r="N274" s="234"/>
      <c r="O274" s="234"/>
      <c r="P274" s="235">
        <f t="shared" si="1"/>
        <v>0</v>
      </c>
      <c r="Q274" s="234" t="b">
        <v>0</v>
      </c>
      <c r="R274" s="234"/>
      <c r="S274" s="234"/>
      <c r="T274" s="234"/>
      <c r="U274" s="234" t="b">
        <v>0</v>
      </c>
      <c r="V274" s="234" t="b">
        <v>0</v>
      </c>
      <c r="W274" s="234" t="b">
        <v>0</v>
      </c>
      <c r="X274" s="234" t="b">
        <v>0</v>
      </c>
      <c r="Y274" s="234" t="b">
        <v>0</v>
      </c>
      <c r="Z274" s="236" t="b">
        <v>0</v>
      </c>
      <c r="AA274" s="234"/>
      <c r="AB274" s="234"/>
      <c r="AC274" s="234" t="b">
        <v>0</v>
      </c>
      <c r="AD274" s="234" t="b">
        <v>0</v>
      </c>
      <c r="AE274" s="234" t="b">
        <v>0</v>
      </c>
      <c r="AF274" s="234" t="b">
        <v>0</v>
      </c>
      <c r="AG274" s="234" t="b">
        <v>0</v>
      </c>
      <c r="AH274" s="234" t="b">
        <v>0</v>
      </c>
      <c r="AI274" s="234" t="b">
        <v>0</v>
      </c>
      <c r="AJ274" s="234" t="b">
        <v>0</v>
      </c>
      <c r="AK274" s="234" t="b">
        <v>0</v>
      </c>
      <c r="AL274" s="234" t="b">
        <v>0</v>
      </c>
      <c r="AM274" s="234"/>
      <c r="AN274" s="234" t="b">
        <v>0</v>
      </c>
      <c r="AO274" s="234" t="b">
        <v>0</v>
      </c>
      <c r="AP274" s="234" t="b">
        <v>0</v>
      </c>
      <c r="AQ274" s="234"/>
      <c r="AR274" s="234" t="b">
        <v>0</v>
      </c>
      <c r="AS274" s="234"/>
      <c r="AT274" s="234"/>
      <c r="AU274" s="234"/>
      <c r="AV274" s="234"/>
      <c r="AW274" s="234" t="b">
        <v>0</v>
      </c>
      <c r="AX274" s="234"/>
      <c r="AY274" s="234"/>
      <c r="AZ274" s="234" t="b">
        <v>0</v>
      </c>
      <c r="BA274" s="234"/>
      <c r="BB274" s="234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H275" s="242"/>
      <c r="I275" s="242"/>
      <c r="J275" s="242"/>
      <c r="K275" s="234"/>
      <c r="L275" s="234"/>
      <c r="M275" s="234"/>
      <c r="N275" s="234"/>
      <c r="O275" s="234"/>
      <c r="P275" s="235">
        <f t="shared" si="1"/>
        <v>0</v>
      </c>
      <c r="Q275" s="234" t="b">
        <v>0</v>
      </c>
      <c r="R275" s="234"/>
      <c r="S275" s="234"/>
      <c r="T275" s="234"/>
      <c r="U275" s="234" t="b">
        <v>0</v>
      </c>
      <c r="V275" s="234" t="b">
        <v>0</v>
      </c>
      <c r="W275" s="234" t="b">
        <v>0</v>
      </c>
      <c r="X275" s="234" t="b">
        <v>0</v>
      </c>
      <c r="Y275" s="234" t="b">
        <v>0</v>
      </c>
      <c r="Z275" s="236" t="b">
        <v>0</v>
      </c>
      <c r="AA275" s="234"/>
      <c r="AB275" s="234"/>
      <c r="AC275" s="234" t="b">
        <v>0</v>
      </c>
      <c r="AD275" s="234" t="b">
        <v>0</v>
      </c>
      <c r="AE275" s="234" t="b">
        <v>0</v>
      </c>
      <c r="AF275" s="234" t="b">
        <v>0</v>
      </c>
      <c r="AG275" s="234" t="b">
        <v>0</v>
      </c>
      <c r="AH275" s="234" t="b">
        <v>0</v>
      </c>
      <c r="AI275" s="234" t="b">
        <v>0</v>
      </c>
      <c r="AJ275" s="234" t="b">
        <v>0</v>
      </c>
      <c r="AK275" s="234" t="b">
        <v>0</v>
      </c>
      <c r="AL275" s="234" t="b">
        <v>0</v>
      </c>
      <c r="AM275" s="234"/>
      <c r="AN275" s="234" t="b">
        <v>0</v>
      </c>
      <c r="AO275" s="234" t="b">
        <v>0</v>
      </c>
      <c r="AP275" s="234" t="b">
        <v>0</v>
      </c>
      <c r="AQ275" s="234"/>
      <c r="AR275" s="234" t="b">
        <v>0</v>
      </c>
      <c r="AS275" s="234"/>
      <c r="AT275" s="234"/>
      <c r="AU275" s="234"/>
      <c r="AV275" s="234"/>
      <c r="AW275" s="234" t="b">
        <v>0</v>
      </c>
      <c r="AX275" s="234"/>
      <c r="AY275" s="234"/>
      <c r="AZ275" s="234" t="b">
        <v>0</v>
      </c>
      <c r="BA275" s="234"/>
      <c r="BB275" s="234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H276" s="242"/>
      <c r="I276" s="242"/>
      <c r="J276" s="242"/>
      <c r="K276" s="234"/>
      <c r="L276" s="234"/>
      <c r="M276" s="234"/>
      <c r="N276" s="234"/>
      <c r="O276" s="234"/>
      <c r="P276" s="235">
        <f t="shared" si="1"/>
        <v>0</v>
      </c>
      <c r="Q276" s="234" t="b">
        <v>0</v>
      </c>
      <c r="R276" s="234"/>
      <c r="S276" s="234"/>
      <c r="T276" s="234"/>
      <c r="U276" s="234" t="b">
        <v>0</v>
      </c>
      <c r="V276" s="234" t="b">
        <v>0</v>
      </c>
      <c r="W276" s="234" t="b">
        <v>0</v>
      </c>
      <c r="X276" s="234" t="b">
        <v>0</v>
      </c>
      <c r="Y276" s="234" t="b">
        <v>0</v>
      </c>
      <c r="Z276" s="236" t="b">
        <v>0</v>
      </c>
      <c r="AA276" s="234"/>
      <c r="AB276" s="234"/>
      <c r="AC276" s="234" t="b">
        <v>0</v>
      </c>
      <c r="AD276" s="234" t="b">
        <v>0</v>
      </c>
      <c r="AE276" s="234" t="b">
        <v>0</v>
      </c>
      <c r="AF276" s="234" t="b">
        <v>0</v>
      </c>
      <c r="AG276" s="234" t="b">
        <v>0</v>
      </c>
      <c r="AH276" s="234" t="b">
        <v>0</v>
      </c>
      <c r="AI276" s="234" t="b">
        <v>0</v>
      </c>
      <c r="AJ276" s="234" t="b">
        <v>0</v>
      </c>
      <c r="AK276" s="234" t="b">
        <v>0</v>
      </c>
      <c r="AL276" s="234" t="b">
        <v>0</v>
      </c>
      <c r="AM276" s="234"/>
      <c r="AN276" s="234" t="b">
        <v>0</v>
      </c>
      <c r="AO276" s="234" t="b">
        <v>0</v>
      </c>
      <c r="AP276" s="234" t="b">
        <v>0</v>
      </c>
      <c r="AQ276" s="234"/>
      <c r="AR276" s="234" t="b">
        <v>0</v>
      </c>
      <c r="AS276" s="234"/>
      <c r="AT276" s="234"/>
      <c r="AU276" s="234"/>
      <c r="AV276" s="234"/>
      <c r="AW276" s="234" t="b">
        <v>0</v>
      </c>
      <c r="AX276" s="234"/>
      <c r="AY276" s="234"/>
      <c r="AZ276" s="234" t="b">
        <v>0</v>
      </c>
      <c r="BA276" s="234"/>
      <c r="BB276" s="234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H277" s="242"/>
      <c r="I277" s="242"/>
      <c r="J277" s="242"/>
      <c r="K277" s="234"/>
      <c r="L277" s="234"/>
      <c r="M277" s="234"/>
      <c r="N277" s="234"/>
      <c r="O277" s="234"/>
      <c r="P277" s="235">
        <f t="shared" si="1"/>
        <v>0</v>
      </c>
      <c r="Q277" s="234" t="b">
        <v>0</v>
      </c>
      <c r="R277" s="234"/>
      <c r="S277" s="234"/>
      <c r="T277" s="234"/>
      <c r="U277" s="234" t="b">
        <v>0</v>
      </c>
      <c r="V277" s="234" t="b">
        <v>0</v>
      </c>
      <c r="W277" s="234" t="b">
        <v>0</v>
      </c>
      <c r="X277" s="234" t="b">
        <v>0</v>
      </c>
      <c r="Y277" s="234" t="b">
        <v>0</v>
      </c>
      <c r="Z277" s="236" t="b">
        <v>0</v>
      </c>
      <c r="AA277" s="234"/>
      <c r="AB277" s="234"/>
      <c r="AC277" s="234" t="b">
        <v>0</v>
      </c>
      <c r="AD277" s="234" t="b">
        <v>0</v>
      </c>
      <c r="AE277" s="234" t="b">
        <v>0</v>
      </c>
      <c r="AF277" s="234" t="b">
        <v>0</v>
      </c>
      <c r="AG277" s="234" t="b">
        <v>0</v>
      </c>
      <c r="AH277" s="234" t="b">
        <v>0</v>
      </c>
      <c r="AI277" s="234" t="b">
        <v>0</v>
      </c>
      <c r="AJ277" s="234" t="b">
        <v>0</v>
      </c>
      <c r="AK277" s="234" t="b">
        <v>0</v>
      </c>
      <c r="AL277" s="234" t="b">
        <v>0</v>
      </c>
      <c r="AM277" s="234"/>
      <c r="AN277" s="234" t="b">
        <v>0</v>
      </c>
      <c r="AO277" s="234" t="b">
        <v>0</v>
      </c>
      <c r="AP277" s="234" t="b">
        <v>0</v>
      </c>
      <c r="AQ277" s="234"/>
      <c r="AR277" s="234" t="b">
        <v>0</v>
      </c>
      <c r="AS277" s="234"/>
      <c r="AT277" s="234"/>
      <c r="AU277" s="234"/>
      <c r="AV277" s="234"/>
      <c r="AW277" s="234" t="b">
        <v>0</v>
      </c>
      <c r="AX277" s="234"/>
      <c r="AY277" s="234"/>
      <c r="AZ277" s="234" t="b">
        <v>0</v>
      </c>
      <c r="BA277" s="234"/>
      <c r="BB277" s="234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H278" s="242"/>
      <c r="I278" s="242"/>
      <c r="J278" s="242"/>
      <c r="K278" s="234"/>
      <c r="L278" s="234"/>
      <c r="M278" s="234"/>
      <c r="N278" s="234"/>
      <c r="O278" s="234"/>
      <c r="P278" s="235">
        <f t="shared" si="1"/>
        <v>0</v>
      </c>
      <c r="Q278" s="234" t="b">
        <v>0</v>
      </c>
      <c r="R278" s="234"/>
      <c r="S278" s="234"/>
      <c r="T278" s="234"/>
      <c r="U278" s="234" t="b">
        <v>0</v>
      </c>
      <c r="V278" s="234" t="b">
        <v>0</v>
      </c>
      <c r="W278" s="234" t="b">
        <v>0</v>
      </c>
      <c r="X278" s="234" t="b">
        <v>0</v>
      </c>
      <c r="Y278" s="234" t="b">
        <v>0</v>
      </c>
      <c r="Z278" s="236" t="b">
        <v>0</v>
      </c>
      <c r="AA278" s="234"/>
      <c r="AB278" s="234"/>
      <c r="AC278" s="234" t="b">
        <v>0</v>
      </c>
      <c r="AD278" s="234" t="b">
        <v>0</v>
      </c>
      <c r="AE278" s="234" t="b">
        <v>0</v>
      </c>
      <c r="AF278" s="234" t="b">
        <v>0</v>
      </c>
      <c r="AG278" s="234" t="b">
        <v>0</v>
      </c>
      <c r="AH278" s="234" t="b">
        <v>0</v>
      </c>
      <c r="AI278" s="234" t="b">
        <v>0</v>
      </c>
      <c r="AJ278" s="234" t="b">
        <v>0</v>
      </c>
      <c r="AK278" s="234" t="b">
        <v>0</v>
      </c>
      <c r="AL278" s="234" t="b">
        <v>0</v>
      </c>
      <c r="AM278" s="234"/>
      <c r="AN278" s="234" t="b">
        <v>0</v>
      </c>
      <c r="AO278" s="234" t="b">
        <v>0</v>
      </c>
      <c r="AP278" s="234" t="b">
        <v>0</v>
      </c>
      <c r="AQ278" s="234"/>
      <c r="AR278" s="234" t="b">
        <v>0</v>
      </c>
      <c r="AS278" s="234"/>
      <c r="AT278" s="234"/>
      <c r="AU278" s="234"/>
      <c r="AV278" s="234"/>
      <c r="AW278" s="234" t="b">
        <v>0</v>
      </c>
      <c r="AX278" s="234"/>
      <c r="AY278" s="234"/>
      <c r="AZ278" s="234" t="b">
        <v>0</v>
      </c>
      <c r="BA278" s="234"/>
      <c r="BB278" s="234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H279" s="242"/>
      <c r="I279" s="242"/>
      <c r="J279" s="242"/>
      <c r="K279" s="234"/>
      <c r="L279" s="234"/>
      <c r="M279" s="234"/>
      <c r="N279" s="234"/>
      <c r="O279" s="234"/>
      <c r="P279" s="235">
        <f t="shared" si="1"/>
        <v>0</v>
      </c>
      <c r="Q279" s="234" t="b">
        <v>0</v>
      </c>
      <c r="R279" s="234"/>
      <c r="S279" s="234"/>
      <c r="T279" s="234"/>
      <c r="U279" s="234" t="b">
        <v>0</v>
      </c>
      <c r="V279" s="234" t="b">
        <v>0</v>
      </c>
      <c r="W279" s="234" t="b">
        <v>0</v>
      </c>
      <c r="X279" s="234" t="b">
        <v>0</v>
      </c>
      <c r="Y279" s="234" t="b">
        <v>0</v>
      </c>
      <c r="Z279" s="236" t="b">
        <v>0</v>
      </c>
      <c r="AA279" s="234"/>
      <c r="AB279" s="234"/>
      <c r="AC279" s="234" t="b">
        <v>0</v>
      </c>
      <c r="AD279" s="234" t="b">
        <v>0</v>
      </c>
      <c r="AE279" s="234" t="b">
        <v>0</v>
      </c>
      <c r="AF279" s="234" t="b">
        <v>0</v>
      </c>
      <c r="AG279" s="234" t="b">
        <v>0</v>
      </c>
      <c r="AH279" s="234" t="b">
        <v>0</v>
      </c>
      <c r="AI279" s="234" t="b">
        <v>0</v>
      </c>
      <c r="AJ279" s="234" t="b">
        <v>0</v>
      </c>
      <c r="AK279" s="234" t="b">
        <v>0</v>
      </c>
      <c r="AL279" s="234" t="b">
        <v>0</v>
      </c>
      <c r="AM279" s="234"/>
      <c r="AN279" s="234" t="b">
        <v>0</v>
      </c>
      <c r="AO279" s="234" t="b">
        <v>0</v>
      </c>
      <c r="AP279" s="234" t="b">
        <v>0</v>
      </c>
      <c r="AQ279" s="234"/>
      <c r="AR279" s="234" t="b">
        <v>0</v>
      </c>
      <c r="AS279" s="234"/>
      <c r="AT279" s="234"/>
      <c r="AU279" s="234"/>
      <c r="AV279" s="234"/>
      <c r="AW279" s="234" t="b">
        <v>0</v>
      </c>
      <c r="AX279" s="234"/>
      <c r="AY279" s="234"/>
      <c r="AZ279" s="234" t="b">
        <v>0</v>
      </c>
      <c r="BA279" s="234"/>
      <c r="BB279" s="234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H280" s="242"/>
      <c r="I280" s="242"/>
      <c r="J280" s="242"/>
      <c r="K280" s="234"/>
      <c r="L280" s="234"/>
      <c r="M280" s="234"/>
      <c r="N280" s="234"/>
      <c r="O280" s="234"/>
      <c r="P280" s="235">
        <f t="shared" si="1"/>
        <v>0</v>
      </c>
      <c r="Q280" s="234" t="b">
        <v>0</v>
      </c>
      <c r="R280" s="234"/>
      <c r="S280" s="234"/>
      <c r="T280" s="234"/>
      <c r="U280" s="234" t="b">
        <v>0</v>
      </c>
      <c r="V280" s="234" t="b">
        <v>0</v>
      </c>
      <c r="W280" s="234" t="b">
        <v>0</v>
      </c>
      <c r="X280" s="234" t="b">
        <v>0</v>
      </c>
      <c r="Y280" s="234" t="b">
        <v>0</v>
      </c>
      <c r="Z280" s="236" t="b">
        <v>0</v>
      </c>
      <c r="AA280" s="234"/>
      <c r="AB280" s="234"/>
      <c r="AC280" s="234" t="b">
        <v>0</v>
      </c>
      <c r="AD280" s="234" t="b">
        <v>0</v>
      </c>
      <c r="AE280" s="234" t="b">
        <v>0</v>
      </c>
      <c r="AF280" s="234" t="b">
        <v>0</v>
      </c>
      <c r="AG280" s="234" t="b">
        <v>0</v>
      </c>
      <c r="AH280" s="234" t="b">
        <v>0</v>
      </c>
      <c r="AI280" s="234" t="b">
        <v>0</v>
      </c>
      <c r="AJ280" s="234" t="b">
        <v>0</v>
      </c>
      <c r="AK280" s="234" t="b">
        <v>0</v>
      </c>
      <c r="AL280" s="234" t="b">
        <v>0</v>
      </c>
      <c r="AM280" s="234"/>
      <c r="AN280" s="234" t="b">
        <v>0</v>
      </c>
      <c r="AO280" s="234" t="b">
        <v>0</v>
      </c>
      <c r="AP280" s="234" t="b">
        <v>0</v>
      </c>
      <c r="AQ280" s="234"/>
      <c r="AR280" s="234" t="b">
        <v>0</v>
      </c>
      <c r="AS280" s="234"/>
      <c r="AT280" s="234"/>
      <c r="AU280" s="234"/>
      <c r="AV280" s="234"/>
      <c r="AW280" s="234" t="b">
        <v>0</v>
      </c>
      <c r="AX280" s="234"/>
      <c r="AY280" s="234"/>
      <c r="AZ280" s="234" t="b">
        <v>0</v>
      </c>
      <c r="BA280" s="234"/>
      <c r="BB280" s="234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H281" s="242"/>
      <c r="I281" s="242"/>
      <c r="J281" s="242"/>
      <c r="K281" s="234"/>
      <c r="L281" s="234"/>
      <c r="M281" s="234"/>
      <c r="N281" s="234"/>
      <c r="O281" s="234"/>
      <c r="P281" s="235">
        <f t="shared" si="1"/>
        <v>0</v>
      </c>
      <c r="Q281" s="234" t="b">
        <v>0</v>
      </c>
      <c r="R281" s="234"/>
      <c r="S281" s="234"/>
      <c r="T281" s="234"/>
      <c r="U281" s="234" t="b">
        <v>0</v>
      </c>
      <c r="V281" s="234" t="b">
        <v>0</v>
      </c>
      <c r="W281" s="234" t="b">
        <v>0</v>
      </c>
      <c r="X281" s="234" t="b">
        <v>0</v>
      </c>
      <c r="Y281" s="234" t="b">
        <v>0</v>
      </c>
      <c r="Z281" s="236" t="b">
        <v>0</v>
      </c>
      <c r="AA281" s="234"/>
      <c r="AB281" s="234"/>
      <c r="AC281" s="234" t="b">
        <v>0</v>
      </c>
      <c r="AD281" s="234" t="b">
        <v>0</v>
      </c>
      <c r="AE281" s="234" t="b">
        <v>0</v>
      </c>
      <c r="AF281" s="234" t="b">
        <v>0</v>
      </c>
      <c r="AG281" s="234" t="b">
        <v>0</v>
      </c>
      <c r="AH281" s="234" t="b">
        <v>0</v>
      </c>
      <c r="AI281" s="234" t="b">
        <v>0</v>
      </c>
      <c r="AJ281" s="234" t="b">
        <v>0</v>
      </c>
      <c r="AK281" s="234" t="b">
        <v>0</v>
      </c>
      <c r="AL281" s="234" t="b">
        <v>0</v>
      </c>
      <c r="AM281" s="234"/>
      <c r="AN281" s="234" t="b">
        <v>0</v>
      </c>
      <c r="AO281" s="234" t="b">
        <v>0</v>
      </c>
      <c r="AP281" s="234" t="b">
        <v>0</v>
      </c>
      <c r="AQ281" s="234"/>
      <c r="AR281" s="234" t="b">
        <v>0</v>
      </c>
      <c r="AS281" s="234"/>
      <c r="AT281" s="234"/>
      <c r="AU281" s="234"/>
      <c r="AV281" s="234"/>
      <c r="AW281" s="234" t="b">
        <v>0</v>
      </c>
      <c r="AX281" s="234"/>
      <c r="AY281" s="234"/>
      <c r="AZ281" s="234" t="b">
        <v>0</v>
      </c>
      <c r="BA281" s="234"/>
      <c r="BB281" s="234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H282" s="242"/>
      <c r="I282" s="242"/>
      <c r="J282" s="242"/>
      <c r="K282" s="234"/>
      <c r="L282" s="234"/>
      <c r="M282" s="234"/>
      <c r="N282" s="234"/>
      <c r="O282" s="234"/>
      <c r="P282" s="235">
        <f t="shared" si="1"/>
        <v>0</v>
      </c>
      <c r="Q282" s="234" t="b">
        <v>0</v>
      </c>
      <c r="R282" s="234"/>
      <c r="S282" s="234"/>
      <c r="T282" s="234"/>
      <c r="U282" s="234" t="b">
        <v>0</v>
      </c>
      <c r="V282" s="234" t="b">
        <v>0</v>
      </c>
      <c r="W282" s="234" t="b">
        <v>0</v>
      </c>
      <c r="X282" s="234" t="b">
        <v>0</v>
      </c>
      <c r="Y282" s="234" t="b">
        <v>0</v>
      </c>
      <c r="Z282" s="236" t="b">
        <v>0</v>
      </c>
      <c r="AA282" s="234"/>
      <c r="AB282" s="234"/>
      <c r="AC282" s="234" t="b">
        <v>0</v>
      </c>
      <c r="AD282" s="234" t="b">
        <v>0</v>
      </c>
      <c r="AE282" s="234" t="b">
        <v>0</v>
      </c>
      <c r="AF282" s="234" t="b">
        <v>0</v>
      </c>
      <c r="AG282" s="234" t="b">
        <v>0</v>
      </c>
      <c r="AH282" s="234" t="b">
        <v>0</v>
      </c>
      <c r="AI282" s="234" t="b">
        <v>0</v>
      </c>
      <c r="AJ282" s="234" t="b">
        <v>0</v>
      </c>
      <c r="AK282" s="234" t="b">
        <v>0</v>
      </c>
      <c r="AL282" s="234" t="b">
        <v>0</v>
      </c>
      <c r="AM282" s="234"/>
      <c r="AN282" s="234" t="b">
        <v>0</v>
      </c>
      <c r="AO282" s="234" t="b">
        <v>0</v>
      </c>
      <c r="AP282" s="234" t="b">
        <v>0</v>
      </c>
      <c r="AQ282" s="234"/>
      <c r="AR282" s="234" t="b">
        <v>0</v>
      </c>
      <c r="AS282" s="234"/>
      <c r="AT282" s="234"/>
      <c r="AU282" s="234"/>
      <c r="AV282" s="234"/>
      <c r="AW282" s="234" t="b">
        <v>0</v>
      </c>
      <c r="AX282" s="234"/>
      <c r="AY282" s="234"/>
      <c r="AZ282" s="234" t="b">
        <v>0</v>
      </c>
      <c r="BA282" s="234"/>
      <c r="BB282" s="234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H283" s="242"/>
      <c r="I283" s="242"/>
      <c r="J283" s="242"/>
      <c r="K283" s="234"/>
      <c r="L283" s="234"/>
      <c r="M283" s="234"/>
      <c r="N283" s="234"/>
      <c r="O283" s="234"/>
      <c r="P283" s="235">
        <f t="shared" si="1"/>
        <v>0</v>
      </c>
      <c r="Q283" s="234" t="b">
        <v>0</v>
      </c>
      <c r="R283" s="234"/>
      <c r="S283" s="234"/>
      <c r="T283" s="234"/>
      <c r="U283" s="234" t="b">
        <v>0</v>
      </c>
      <c r="V283" s="234" t="b">
        <v>0</v>
      </c>
      <c r="W283" s="234" t="b">
        <v>0</v>
      </c>
      <c r="X283" s="234" t="b">
        <v>0</v>
      </c>
      <c r="Y283" s="234" t="b">
        <v>0</v>
      </c>
      <c r="Z283" s="236" t="b">
        <v>0</v>
      </c>
      <c r="AA283" s="234"/>
      <c r="AB283" s="234"/>
      <c r="AC283" s="234" t="b">
        <v>0</v>
      </c>
      <c r="AD283" s="234" t="b">
        <v>0</v>
      </c>
      <c r="AE283" s="234" t="b">
        <v>0</v>
      </c>
      <c r="AF283" s="234" t="b">
        <v>0</v>
      </c>
      <c r="AG283" s="234" t="b">
        <v>0</v>
      </c>
      <c r="AH283" s="234" t="b">
        <v>0</v>
      </c>
      <c r="AI283" s="234" t="b">
        <v>0</v>
      </c>
      <c r="AJ283" s="234" t="b">
        <v>0</v>
      </c>
      <c r="AK283" s="234" t="b">
        <v>0</v>
      </c>
      <c r="AL283" s="234" t="b">
        <v>0</v>
      </c>
      <c r="AM283" s="234"/>
      <c r="AN283" s="234" t="b">
        <v>0</v>
      </c>
      <c r="AO283" s="234" t="b">
        <v>0</v>
      </c>
      <c r="AP283" s="234" t="b">
        <v>0</v>
      </c>
      <c r="AQ283" s="234"/>
      <c r="AR283" s="234" t="b">
        <v>0</v>
      </c>
      <c r="AS283" s="234"/>
      <c r="AT283" s="234"/>
      <c r="AU283" s="234"/>
      <c r="AV283" s="234"/>
      <c r="AW283" s="234" t="b">
        <v>0</v>
      </c>
      <c r="AX283" s="234"/>
      <c r="AY283" s="234"/>
      <c r="AZ283" s="234" t="b">
        <v>0</v>
      </c>
      <c r="BA283" s="234"/>
      <c r="BB283" s="234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H284" s="242"/>
      <c r="I284" s="242"/>
      <c r="J284" s="242"/>
      <c r="K284" s="234"/>
      <c r="L284" s="234"/>
      <c r="M284" s="234"/>
      <c r="N284" s="234"/>
      <c r="O284" s="234"/>
      <c r="P284" s="235">
        <f t="shared" si="1"/>
        <v>0</v>
      </c>
      <c r="Q284" s="234" t="b">
        <v>0</v>
      </c>
      <c r="R284" s="234"/>
      <c r="S284" s="234"/>
      <c r="T284" s="234"/>
      <c r="U284" s="234" t="b">
        <v>0</v>
      </c>
      <c r="V284" s="234" t="b">
        <v>0</v>
      </c>
      <c r="W284" s="234" t="b">
        <v>0</v>
      </c>
      <c r="X284" s="234" t="b">
        <v>0</v>
      </c>
      <c r="Y284" s="234" t="b">
        <v>0</v>
      </c>
      <c r="Z284" s="236" t="b">
        <v>0</v>
      </c>
      <c r="AA284" s="234"/>
      <c r="AB284" s="234"/>
      <c r="AC284" s="234" t="b">
        <v>0</v>
      </c>
      <c r="AD284" s="234" t="b">
        <v>0</v>
      </c>
      <c r="AE284" s="234" t="b">
        <v>0</v>
      </c>
      <c r="AF284" s="234" t="b">
        <v>0</v>
      </c>
      <c r="AG284" s="234" t="b">
        <v>0</v>
      </c>
      <c r="AH284" s="234" t="b">
        <v>0</v>
      </c>
      <c r="AI284" s="234" t="b">
        <v>0</v>
      </c>
      <c r="AJ284" s="234" t="b">
        <v>0</v>
      </c>
      <c r="AK284" s="234" t="b">
        <v>0</v>
      </c>
      <c r="AL284" s="234" t="b">
        <v>0</v>
      </c>
      <c r="AM284" s="234"/>
      <c r="AN284" s="234" t="b">
        <v>0</v>
      </c>
      <c r="AO284" s="234" t="b">
        <v>0</v>
      </c>
      <c r="AP284" s="234" t="b">
        <v>0</v>
      </c>
      <c r="AQ284" s="234"/>
      <c r="AR284" s="234" t="b">
        <v>0</v>
      </c>
      <c r="AS284" s="234"/>
      <c r="AT284" s="234"/>
      <c r="AU284" s="234"/>
      <c r="AV284" s="234"/>
      <c r="AW284" s="234" t="b">
        <v>0</v>
      </c>
      <c r="AX284" s="234"/>
      <c r="AY284" s="234"/>
      <c r="AZ284" s="234" t="b">
        <v>0</v>
      </c>
      <c r="BA284" s="234"/>
      <c r="BB284" s="234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H285" s="242"/>
      <c r="I285" s="242"/>
      <c r="J285" s="242"/>
      <c r="K285" s="234"/>
      <c r="L285" s="234"/>
      <c r="M285" s="234"/>
      <c r="N285" s="234"/>
      <c r="O285" s="234"/>
      <c r="P285" s="235">
        <f t="shared" si="1"/>
        <v>0</v>
      </c>
      <c r="Q285" s="234" t="b">
        <v>0</v>
      </c>
      <c r="R285" s="234"/>
      <c r="S285" s="234"/>
      <c r="T285" s="234"/>
      <c r="U285" s="234" t="b">
        <v>0</v>
      </c>
      <c r="V285" s="234" t="b">
        <v>0</v>
      </c>
      <c r="W285" s="234" t="b">
        <v>0</v>
      </c>
      <c r="X285" s="234" t="b">
        <v>0</v>
      </c>
      <c r="Y285" s="234" t="b">
        <v>0</v>
      </c>
      <c r="Z285" s="236" t="b">
        <v>0</v>
      </c>
      <c r="AA285" s="234"/>
      <c r="AB285" s="234"/>
      <c r="AC285" s="234" t="b">
        <v>0</v>
      </c>
      <c r="AD285" s="234" t="b">
        <v>0</v>
      </c>
      <c r="AE285" s="234" t="b">
        <v>0</v>
      </c>
      <c r="AF285" s="234" t="b">
        <v>0</v>
      </c>
      <c r="AG285" s="234" t="b">
        <v>0</v>
      </c>
      <c r="AH285" s="234" t="b">
        <v>0</v>
      </c>
      <c r="AI285" s="234" t="b">
        <v>0</v>
      </c>
      <c r="AJ285" s="234" t="b">
        <v>0</v>
      </c>
      <c r="AK285" s="234" t="b">
        <v>0</v>
      </c>
      <c r="AL285" s="234" t="b">
        <v>0</v>
      </c>
      <c r="AM285" s="234"/>
      <c r="AN285" s="234" t="b">
        <v>0</v>
      </c>
      <c r="AO285" s="234" t="b">
        <v>0</v>
      </c>
      <c r="AP285" s="234" t="b">
        <v>0</v>
      </c>
      <c r="AQ285" s="234"/>
      <c r="AR285" s="234" t="b">
        <v>0</v>
      </c>
      <c r="AS285" s="234"/>
      <c r="AT285" s="234"/>
      <c r="AU285" s="234"/>
      <c r="AV285" s="234"/>
      <c r="AW285" s="234" t="b">
        <v>0</v>
      </c>
      <c r="AX285" s="234"/>
      <c r="AY285" s="234"/>
      <c r="AZ285" s="234" t="b">
        <v>0</v>
      </c>
      <c r="BA285" s="234"/>
      <c r="BB285" s="234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H286" s="242"/>
      <c r="I286" s="242"/>
      <c r="J286" s="242"/>
      <c r="K286" s="234"/>
      <c r="L286" s="234"/>
      <c r="M286" s="234"/>
      <c r="N286" s="234"/>
      <c r="O286" s="234"/>
      <c r="P286" s="235">
        <f t="shared" si="1"/>
        <v>0</v>
      </c>
      <c r="Q286" s="234" t="b">
        <v>0</v>
      </c>
      <c r="R286" s="234"/>
      <c r="S286" s="234"/>
      <c r="T286" s="234"/>
      <c r="U286" s="234" t="b">
        <v>0</v>
      </c>
      <c r="V286" s="234" t="b">
        <v>0</v>
      </c>
      <c r="W286" s="234" t="b">
        <v>0</v>
      </c>
      <c r="X286" s="234" t="b">
        <v>0</v>
      </c>
      <c r="Y286" s="234" t="b">
        <v>0</v>
      </c>
      <c r="Z286" s="236" t="b">
        <v>0</v>
      </c>
      <c r="AA286" s="234"/>
      <c r="AB286" s="234"/>
      <c r="AC286" s="234" t="b">
        <v>0</v>
      </c>
      <c r="AD286" s="234" t="b">
        <v>0</v>
      </c>
      <c r="AE286" s="234" t="b">
        <v>0</v>
      </c>
      <c r="AF286" s="234" t="b">
        <v>0</v>
      </c>
      <c r="AG286" s="234" t="b">
        <v>0</v>
      </c>
      <c r="AH286" s="234" t="b">
        <v>0</v>
      </c>
      <c r="AI286" s="234" t="b">
        <v>0</v>
      </c>
      <c r="AJ286" s="234" t="b">
        <v>0</v>
      </c>
      <c r="AK286" s="234" t="b">
        <v>0</v>
      </c>
      <c r="AL286" s="234" t="b">
        <v>0</v>
      </c>
      <c r="AM286" s="234"/>
      <c r="AN286" s="234" t="b">
        <v>0</v>
      </c>
      <c r="AO286" s="234" t="b">
        <v>0</v>
      </c>
      <c r="AP286" s="234" t="b">
        <v>0</v>
      </c>
      <c r="AQ286" s="234"/>
      <c r="AR286" s="234" t="b">
        <v>0</v>
      </c>
      <c r="AS286" s="234"/>
      <c r="AT286" s="234"/>
      <c r="AU286" s="234"/>
      <c r="AV286" s="234"/>
      <c r="AW286" s="234" t="b">
        <v>0</v>
      </c>
      <c r="AX286" s="234"/>
      <c r="AY286" s="234"/>
      <c r="AZ286" s="234" t="b">
        <v>0</v>
      </c>
      <c r="BA286" s="234"/>
      <c r="BB286" s="234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H287" s="242"/>
      <c r="I287" s="242"/>
      <c r="J287" s="242"/>
      <c r="K287" s="234"/>
      <c r="L287" s="234"/>
      <c r="M287" s="234"/>
      <c r="N287" s="234"/>
      <c r="O287" s="234"/>
      <c r="P287" s="235">
        <f t="shared" si="1"/>
        <v>0</v>
      </c>
      <c r="Q287" s="234" t="b">
        <v>0</v>
      </c>
      <c r="R287" s="234"/>
      <c r="S287" s="234"/>
      <c r="T287" s="234"/>
      <c r="U287" s="234" t="b">
        <v>0</v>
      </c>
      <c r="V287" s="234" t="b">
        <v>0</v>
      </c>
      <c r="W287" s="234" t="b">
        <v>0</v>
      </c>
      <c r="X287" s="234" t="b">
        <v>0</v>
      </c>
      <c r="Y287" s="234" t="b">
        <v>0</v>
      </c>
      <c r="Z287" s="236" t="b">
        <v>0</v>
      </c>
      <c r="AA287" s="234"/>
      <c r="AB287" s="234"/>
      <c r="AC287" s="234" t="b">
        <v>0</v>
      </c>
      <c r="AD287" s="234" t="b">
        <v>0</v>
      </c>
      <c r="AE287" s="234" t="b">
        <v>0</v>
      </c>
      <c r="AF287" s="234" t="b">
        <v>0</v>
      </c>
      <c r="AG287" s="234" t="b">
        <v>0</v>
      </c>
      <c r="AH287" s="234" t="b">
        <v>0</v>
      </c>
      <c r="AI287" s="234" t="b">
        <v>0</v>
      </c>
      <c r="AJ287" s="234" t="b">
        <v>0</v>
      </c>
      <c r="AK287" s="234" t="b">
        <v>0</v>
      </c>
      <c r="AL287" s="234" t="b">
        <v>0</v>
      </c>
      <c r="AM287" s="234"/>
      <c r="AN287" s="234" t="b">
        <v>0</v>
      </c>
      <c r="AO287" s="234" t="b">
        <v>0</v>
      </c>
      <c r="AP287" s="234" t="b">
        <v>0</v>
      </c>
      <c r="AQ287" s="234"/>
      <c r="AR287" s="234" t="b">
        <v>0</v>
      </c>
      <c r="AS287" s="234"/>
      <c r="AT287" s="234"/>
      <c r="AU287" s="234"/>
      <c r="AV287" s="234"/>
      <c r="AW287" s="234" t="b">
        <v>0</v>
      </c>
      <c r="AX287" s="234"/>
      <c r="AY287" s="234"/>
      <c r="AZ287" s="234" t="b">
        <v>0</v>
      </c>
      <c r="BA287" s="234"/>
      <c r="BB287" s="234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H288" s="242"/>
      <c r="I288" s="242"/>
      <c r="J288" s="242"/>
      <c r="K288" s="234"/>
      <c r="L288" s="234"/>
      <c r="M288" s="234"/>
      <c r="N288" s="234"/>
      <c r="O288" s="234"/>
      <c r="P288" s="235">
        <f t="shared" si="1"/>
        <v>0</v>
      </c>
      <c r="Q288" s="234" t="b">
        <v>0</v>
      </c>
      <c r="R288" s="234"/>
      <c r="S288" s="234"/>
      <c r="T288" s="234"/>
      <c r="U288" s="234" t="b">
        <v>0</v>
      </c>
      <c r="V288" s="234" t="b">
        <v>0</v>
      </c>
      <c r="W288" s="234" t="b">
        <v>0</v>
      </c>
      <c r="X288" s="234" t="b">
        <v>0</v>
      </c>
      <c r="Y288" s="234" t="b">
        <v>0</v>
      </c>
      <c r="Z288" s="236" t="b">
        <v>0</v>
      </c>
      <c r="AA288" s="234"/>
      <c r="AB288" s="234"/>
      <c r="AC288" s="234" t="b">
        <v>0</v>
      </c>
      <c r="AD288" s="234" t="b">
        <v>0</v>
      </c>
      <c r="AE288" s="234" t="b">
        <v>0</v>
      </c>
      <c r="AF288" s="234" t="b">
        <v>0</v>
      </c>
      <c r="AG288" s="234" t="b">
        <v>0</v>
      </c>
      <c r="AH288" s="234" t="b">
        <v>0</v>
      </c>
      <c r="AI288" s="234" t="b">
        <v>0</v>
      </c>
      <c r="AJ288" s="234" t="b">
        <v>0</v>
      </c>
      <c r="AK288" s="234" t="b">
        <v>0</v>
      </c>
      <c r="AL288" s="234" t="b">
        <v>0</v>
      </c>
      <c r="AM288" s="234"/>
      <c r="AN288" s="234" t="b">
        <v>0</v>
      </c>
      <c r="AO288" s="234" t="b">
        <v>0</v>
      </c>
      <c r="AP288" s="234" t="b">
        <v>0</v>
      </c>
      <c r="AQ288" s="234"/>
      <c r="AR288" s="234" t="b">
        <v>0</v>
      </c>
      <c r="AS288" s="234"/>
      <c r="AT288" s="234"/>
      <c r="AU288" s="234"/>
      <c r="AV288" s="234"/>
      <c r="AW288" s="234" t="b">
        <v>0</v>
      </c>
      <c r="AX288" s="234"/>
      <c r="AY288" s="234"/>
      <c r="AZ288" s="234" t="b">
        <v>0</v>
      </c>
      <c r="BA288" s="234"/>
      <c r="BB288" s="234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H289" s="242"/>
      <c r="I289" s="242"/>
      <c r="J289" s="242"/>
      <c r="K289" s="234"/>
      <c r="L289" s="234"/>
      <c r="M289" s="234"/>
      <c r="N289" s="234"/>
      <c r="O289" s="234"/>
      <c r="P289" s="235">
        <f t="shared" si="1"/>
        <v>0</v>
      </c>
      <c r="Q289" s="234" t="b">
        <v>0</v>
      </c>
      <c r="R289" s="234"/>
      <c r="S289" s="234"/>
      <c r="T289" s="234"/>
      <c r="U289" s="234" t="b">
        <v>0</v>
      </c>
      <c r="V289" s="234" t="b">
        <v>0</v>
      </c>
      <c r="W289" s="234" t="b">
        <v>0</v>
      </c>
      <c r="X289" s="234" t="b">
        <v>0</v>
      </c>
      <c r="Y289" s="234" t="b">
        <v>0</v>
      </c>
      <c r="Z289" s="236" t="b">
        <v>0</v>
      </c>
      <c r="AA289" s="234"/>
      <c r="AB289" s="234"/>
      <c r="AC289" s="234" t="b">
        <v>0</v>
      </c>
      <c r="AD289" s="234" t="b">
        <v>0</v>
      </c>
      <c r="AE289" s="234" t="b">
        <v>0</v>
      </c>
      <c r="AF289" s="234" t="b">
        <v>0</v>
      </c>
      <c r="AG289" s="234" t="b">
        <v>0</v>
      </c>
      <c r="AH289" s="234" t="b">
        <v>0</v>
      </c>
      <c r="AI289" s="234" t="b">
        <v>0</v>
      </c>
      <c r="AJ289" s="234" t="b">
        <v>0</v>
      </c>
      <c r="AK289" s="234" t="b">
        <v>0</v>
      </c>
      <c r="AL289" s="234" t="b">
        <v>0</v>
      </c>
      <c r="AM289" s="234"/>
      <c r="AN289" s="234" t="b">
        <v>0</v>
      </c>
      <c r="AO289" s="234" t="b">
        <v>0</v>
      </c>
      <c r="AP289" s="234" t="b">
        <v>0</v>
      </c>
      <c r="AQ289" s="234"/>
      <c r="AR289" s="234" t="b">
        <v>0</v>
      </c>
      <c r="AS289" s="234"/>
      <c r="AT289" s="234"/>
      <c r="AU289" s="234"/>
      <c r="AV289" s="234"/>
      <c r="AW289" s="234" t="b">
        <v>0</v>
      </c>
      <c r="AX289" s="234"/>
      <c r="AY289" s="234"/>
      <c r="AZ289" s="234" t="b">
        <v>0</v>
      </c>
      <c r="BA289" s="234"/>
      <c r="BB289" s="234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H290" s="242"/>
      <c r="I290" s="242"/>
      <c r="J290" s="242"/>
      <c r="K290" s="234"/>
      <c r="L290" s="234"/>
      <c r="M290" s="234"/>
      <c r="N290" s="234"/>
      <c r="O290" s="234"/>
      <c r="P290" s="235">
        <f t="shared" si="1"/>
        <v>0</v>
      </c>
      <c r="Q290" s="234" t="b">
        <v>0</v>
      </c>
      <c r="R290" s="234"/>
      <c r="S290" s="234"/>
      <c r="T290" s="234"/>
      <c r="U290" s="234" t="b">
        <v>0</v>
      </c>
      <c r="V290" s="234" t="b">
        <v>0</v>
      </c>
      <c r="W290" s="234" t="b">
        <v>0</v>
      </c>
      <c r="X290" s="234" t="b">
        <v>0</v>
      </c>
      <c r="Y290" s="234" t="b">
        <v>0</v>
      </c>
      <c r="Z290" s="236" t="b">
        <v>0</v>
      </c>
      <c r="AA290" s="234"/>
      <c r="AB290" s="234"/>
      <c r="AC290" s="234" t="b">
        <v>0</v>
      </c>
      <c r="AD290" s="234" t="b">
        <v>0</v>
      </c>
      <c r="AE290" s="234" t="b">
        <v>0</v>
      </c>
      <c r="AF290" s="234" t="b">
        <v>0</v>
      </c>
      <c r="AG290" s="234" t="b">
        <v>0</v>
      </c>
      <c r="AH290" s="234" t="b">
        <v>0</v>
      </c>
      <c r="AI290" s="234" t="b">
        <v>0</v>
      </c>
      <c r="AJ290" s="234" t="b">
        <v>0</v>
      </c>
      <c r="AK290" s="234" t="b">
        <v>0</v>
      </c>
      <c r="AL290" s="234" t="b">
        <v>0</v>
      </c>
      <c r="AM290" s="234"/>
      <c r="AN290" s="234" t="b">
        <v>0</v>
      </c>
      <c r="AO290" s="234" t="b">
        <v>0</v>
      </c>
      <c r="AP290" s="234" t="b">
        <v>0</v>
      </c>
      <c r="AQ290" s="234"/>
      <c r="AR290" s="234" t="b">
        <v>0</v>
      </c>
      <c r="AS290" s="234"/>
      <c r="AT290" s="234"/>
      <c r="AU290" s="234"/>
      <c r="AV290" s="234"/>
      <c r="AW290" s="234" t="b">
        <v>0</v>
      </c>
      <c r="AX290" s="234"/>
      <c r="AY290" s="234"/>
      <c r="AZ290" s="234" t="b">
        <v>0</v>
      </c>
      <c r="BA290" s="234"/>
      <c r="BB290" s="234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H291" s="242"/>
      <c r="I291" s="242"/>
      <c r="J291" s="242"/>
      <c r="K291" s="234"/>
      <c r="L291" s="234"/>
      <c r="M291" s="234"/>
      <c r="N291" s="234"/>
      <c r="O291" s="234"/>
      <c r="P291" s="235">
        <f t="shared" si="1"/>
        <v>0</v>
      </c>
      <c r="Q291" s="234" t="b">
        <v>0</v>
      </c>
      <c r="R291" s="234"/>
      <c r="S291" s="234"/>
      <c r="T291" s="234"/>
      <c r="U291" s="234" t="b">
        <v>0</v>
      </c>
      <c r="V291" s="234" t="b">
        <v>0</v>
      </c>
      <c r="W291" s="234" t="b">
        <v>0</v>
      </c>
      <c r="X291" s="234" t="b">
        <v>0</v>
      </c>
      <c r="Y291" s="234" t="b">
        <v>0</v>
      </c>
      <c r="Z291" s="236" t="b">
        <v>0</v>
      </c>
      <c r="AA291" s="234"/>
      <c r="AB291" s="234"/>
      <c r="AC291" s="234" t="b">
        <v>0</v>
      </c>
      <c r="AD291" s="234" t="b">
        <v>0</v>
      </c>
      <c r="AE291" s="234" t="b">
        <v>0</v>
      </c>
      <c r="AF291" s="234" t="b">
        <v>0</v>
      </c>
      <c r="AG291" s="234" t="b">
        <v>0</v>
      </c>
      <c r="AH291" s="234" t="b">
        <v>0</v>
      </c>
      <c r="AI291" s="234" t="b">
        <v>0</v>
      </c>
      <c r="AJ291" s="234" t="b">
        <v>0</v>
      </c>
      <c r="AK291" s="234" t="b">
        <v>0</v>
      </c>
      <c r="AL291" s="234" t="b">
        <v>0</v>
      </c>
      <c r="AM291" s="234"/>
      <c r="AN291" s="234" t="b">
        <v>0</v>
      </c>
      <c r="AO291" s="234" t="b">
        <v>0</v>
      </c>
      <c r="AP291" s="234" t="b">
        <v>0</v>
      </c>
      <c r="AQ291" s="234"/>
      <c r="AR291" s="234" t="b">
        <v>0</v>
      </c>
      <c r="AS291" s="234"/>
      <c r="AT291" s="234"/>
      <c r="AU291" s="234"/>
      <c r="AV291" s="234"/>
      <c r="AW291" s="234" t="b">
        <v>0</v>
      </c>
      <c r="AX291" s="234"/>
      <c r="AY291" s="234"/>
      <c r="AZ291" s="234" t="b">
        <v>0</v>
      </c>
      <c r="BA291" s="234"/>
      <c r="BB291" s="234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H292" s="242"/>
      <c r="I292" s="242"/>
      <c r="J292" s="242"/>
      <c r="K292" s="234"/>
      <c r="L292" s="234"/>
      <c r="M292" s="234"/>
      <c r="N292" s="234"/>
      <c r="O292" s="234"/>
      <c r="P292" s="235">
        <f t="shared" si="1"/>
        <v>0</v>
      </c>
      <c r="Q292" s="234" t="b">
        <v>0</v>
      </c>
      <c r="R292" s="234"/>
      <c r="S292" s="234"/>
      <c r="T292" s="234"/>
      <c r="U292" s="234" t="b">
        <v>0</v>
      </c>
      <c r="V292" s="234" t="b">
        <v>0</v>
      </c>
      <c r="W292" s="234" t="b">
        <v>0</v>
      </c>
      <c r="X292" s="234" t="b">
        <v>0</v>
      </c>
      <c r="Y292" s="234" t="b">
        <v>0</v>
      </c>
      <c r="Z292" s="236" t="b">
        <v>0</v>
      </c>
      <c r="AA292" s="234"/>
      <c r="AB292" s="234"/>
      <c r="AC292" s="234" t="b">
        <v>0</v>
      </c>
      <c r="AD292" s="234" t="b">
        <v>0</v>
      </c>
      <c r="AE292" s="234" t="b">
        <v>0</v>
      </c>
      <c r="AF292" s="234" t="b">
        <v>0</v>
      </c>
      <c r="AG292" s="234" t="b">
        <v>0</v>
      </c>
      <c r="AH292" s="234" t="b">
        <v>0</v>
      </c>
      <c r="AI292" s="234" t="b">
        <v>0</v>
      </c>
      <c r="AJ292" s="234" t="b">
        <v>0</v>
      </c>
      <c r="AK292" s="234" t="b">
        <v>0</v>
      </c>
      <c r="AL292" s="234" t="b">
        <v>0</v>
      </c>
      <c r="AM292" s="234"/>
      <c r="AN292" s="234" t="b">
        <v>0</v>
      </c>
      <c r="AO292" s="234" t="b">
        <v>0</v>
      </c>
      <c r="AP292" s="234" t="b">
        <v>0</v>
      </c>
      <c r="AQ292" s="234"/>
      <c r="AR292" s="234" t="b">
        <v>0</v>
      </c>
      <c r="AS292" s="234"/>
      <c r="AT292" s="234"/>
      <c r="AU292" s="234"/>
      <c r="AV292" s="234"/>
      <c r="AW292" s="234" t="b">
        <v>0</v>
      </c>
      <c r="AX292" s="234"/>
      <c r="AY292" s="234"/>
      <c r="AZ292" s="234" t="b">
        <v>0</v>
      </c>
      <c r="BA292" s="234"/>
      <c r="BB292" s="234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H293" s="242"/>
      <c r="I293" s="242"/>
      <c r="J293" s="242"/>
      <c r="K293" s="234"/>
      <c r="L293" s="234"/>
      <c r="M293" s="234"/>
      <c r="N293" s="234"/>
      <c r="O293" s="234"/>
      <c r="P293" s="235">
        <f t="shared" si="1"/>
        <v>0</v>
      </c>
      <c r="Q293" s="234" t="b">
        <v>0</v>
      </c>
      <c r="R293" s="234"/>
      <c r="S293" s="234"/>
      <c r="T293" s="234"/>
      <c r="U293" s="234" t="b">
        <v>0</v>
      </c>
      <c r="V293" s="234" t="b">
        <v>0</v>
      </c>
      <c r="W293" s="234" t="b">
        <v>0</v>
      </c>
      <c r="X293" s="234" t="b">
        <v>0</v>
      </c>
      <c r="Y293" s="234" t="b">
        <v>0</v>
      </c>
      <c r="Z293" s="236" t="b">
        <v>0</v>
      </c>
      <c r="AA293" s="234"/>
      <c r="AB293" s="234"/>
      <c r="AC293" s="234" t="b">
        <v>0</v>
      </c>
      <c r="AD293" s="234" t="b">
        <v>0</v>
      </c>
      <c r="AE293" s="234" t="b">
        <v>0</v>
      </c>
      <c r="AF293" s="234" t="b">
        <v>0</v>
      </c>
      <c r="AG293" s="234" t="b">
        <v>0</v>
      </c>
      <c r="AH293" s="234" t="b">
        <v>0</v>
      </c>
      <c r="AI293" s="234" t="b">
        <v>0</v>
      </c>
      <c r="AJ293" s="234" t="b">
        <v>0</v>
      </c>
      <c r="AK293" s="234" t="b">
        <v>0</v>
      </c>
      <c r="AL293" s="234" t="b">
        <v>0</v>
      </c>
      <c r="AM293" s="234"/>
      <c r="AN293" s="234" t="b">
        <v>0</v>
      </c>
      <c r="AO293" s="234" t="b">
        <v>0</v>
      </c>
      <c r="AP293" s="234" t="b">
        <v>0</v>
      </c>
      <c r="AQ293" s="234"/>
      <c r="AR293" s="234" t="b">
        <v>0</v>
      </c>
      <c r="AS293" s="234"/>
      <c r="AT293" s="234"/>
      <c r="AU293" s="234"/>
      <c r="AV293" s="234"/>
      <c r="AW293" s="234" t="b">
        <v>0</v>
      </c>
      <c r="AX293" s="234"/>
      <c r="AY293" s="234"/>
      <c r="AZ293" s="234" t="b">
        <v>0</v>
      </c>
      <c r="BA293" s="234"/>
      <c r="BB293" s="234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H294" s="242"/>
      <c r="I294" s="242"/>
      <c r="J294" s="242"/>
      <c r="K294" s="234"/>
      <c r="L294" s="234"/>
      <c r="M294" s="234"/>
      <c r="N294" s="234"/>
      <c r="O294" s="234"/>
      <c r="P294" s="235">
        <f t="shared" si="1"/>
        <v>0</v>
      </c>
      <c r="Q294" s="234" t="b">
        <v>0</v>
      </c>
      <c r="R294" s="234"/>
      <c r="S294" s="234"/>
      <c r="T294" s="234"/>
      <c r="U294" s="234" t="b">
        <v>0</v>
      </c>
      <c r="V294" s="234" t="b">
        <v>0</v>
      </c>
      <c r="W294" s="234" t="b">
        <v>0</v>
      </c>
      <c r="X294" s="234" t="b">
        <v>0</v>
      </c>
      <c r="Y294" s="234" t="b">
        <v>0</v>
      </c>
      <c r="Z294" s="236" t="b">
        <v>0</v>
      </c>
      <c r="AA294" s="234"/>
      <c r="AB294" s="234"/>
      <c r="AC294" s="234" t="b">
        <v>0</v>
      </c>
      <c r="AD294" s="234" t="b">
        <v>0</v>
      </c>
      <c r="AE294" s="234" t="b">
        <v>0</v>
      </c>
      <c r="AF294" s="234" t="b">
        <v>0</v>
      </c>
      <c r="AG294" s="234" t="b">
        <v>0</v>
      </c>
      <c r="AH294" s="234" t="b">
        <v>0</v>
      </c>
      <c r="AI294" s="234" t="b">
        <v>0</v>
      </c>
      <c r="AJ294" s="234" t="b">
        <v>0</v>
      </c>
      <c r="AK294" s="234" t="b">
        <v>0</v>
      </c>
      <c r="AL294" s="234" t="b">
        <v>0</v>
      </c>
      <c r="AM294" s="234"/>
      <c r="AN294" s="234" t="b">
        <v>0</v>
      </c>
      <c r="AO294" s="234" t="b">
        <v>0</v>
      </c>
      <c r="AP294" s="234" t="b">
        <v>0</v>
      </c>
      <c r="AQ294" s="234"/>
      <c r="AR294" s="234" t="b">
        <v>0</v>
      </c>
      <c r="AS294" s="234"/>
      <c r="AT294" s="234"/>
      <c r="AU294" s="234"/>
      <c r="AV294" s="234"/>
      <c r="AW294" s="234" t="b">
        <v>0</v>
      </c>
      <c r="AX294" s="234"/>
      <c r="AY294" s="234"/>
      <c r="AZ294" s="234" t="b">
        <v>0</v>
      </c>
      <c r="BA294" s="234"/>
      <c r="BB294" s="234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H295" s="242"/>
      <c r="I295" s="242"/>
      <c r="J295" s="242"/>
      <c r="K295" s="234"/>
      <c r="L295" s="234"/>
      <c r="M295" s="234"/>
      <c r="N295" s="234"/>
      <c r="O295" s="234"/>
      <c r="P295" s="235">
        <f t="shared" si="1"/>
        <v>0</v>
      </c>
      <c r="Q295" s="234" t="b">
        <v>0</v>
      </c>
      <c r="R295" s="234"/>
      <c r="S295" s="234"/>
      <c r="T295" s="234"/>
      <c r="U295" s="234" t="b">
        <v>0</v>
      </c>
      <c r="V295" s="234" t="b">
        <v>0</v>
      </c>
      <c r="W295" s="234" t="b">
        <v>0</v>
      </c>
      <c r="X295" s="234" t="b">
        <v>0</v>
      </c>
      <c r="Y295" s="234" t="b">
        <v>0</v>
      </c>
      <c r="Z295" s="236" t="b">
        <v>0</v>
      </c>
      <c r="AA295" s="234"/>
      <c r="AB295" s="234"/>
      <c r="AC295" s="234" t="b">
        <v>0</v>
      </c>
      <c r="AD295" s="234" t="b">
        <v>0</v>
      </c>
      <c r="AE295" s="234" t="b">
        <v>0</v>
      </c>
      <c r="AF295" s="234" t="b">
        <v>0</v>
      </c>
      <c r="AG295" s="234" t="b">
        <v>0</v>
      </c>
      <c r="AH295" s="234" t="b">
        <v>0</v>
      </c>
      <c r="AI295" s="234" t="b">
        <v>0</v>
      </c>
      <c r="AJ295" s="234" t="b">
        <v>0</v>
      </c>
      <c r="AK295" s="234" t="b">
        <v>0</v>
      </c>
      <c r="AL295" s="234" t="b">
        <v>0</v>
      </c>
      <c r="AM295" s="234"/>
      <c r="AN295" s="234" t="b">
        <v>0</v>
      </c>
      <c r="AO295" s="234" t="b">
        <v>0</v>
      </c>
      <c r="AP295" s="234" t="b">
        <v>0</v>
      </c>
      <c r="AQ295" s="234"/>
      <c r="AR295" s="234" t="b">
        <v>0</v>
      </c>
      <c r="AS295" s="234"/>
      <c r="AT295" s="234"/>
      <c r="AU295" s="234"/>
      <c r="AV295" s="234"/>
      <c r="AW295" s="234" t="b">
        <v>0</v>
      </c>
      <c r="AX295" s="234"/>
      <c r="AY295" s="234"/>
      <c r="AZ295" s="234" t="b">
        <v>0</v>
      </c>
      <c r="BA295" s="234"/>
      <c r="BB295" s="234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H296" s="242"/>
      <c r="I296" s="242"/>
      <c r="J296" s="242"/>
      <c r="K296" s="234"/>
      <c r="L296" s="234"/>
      <c r="M296" s="234"/>
      <c r="N296" s="234"/>
      <c r="O296" s="234"/>
      <c r="P296" s="235">
        <f t="shared" si="1"/>
        <v>0</v>
      </c>
      <c r="Q296" s="234" t="b">
        <v>0</v>
      </c>
      <c r="R296" s="234"/>
      <c r="S296" s="234"/>
      <c r="T296" s="234"/>
      <c r="U296" s="234" t="b">
        <v>0</v>
      </c>
      <c r="V296" s="234" t="b">
        <v>0</v>
      </c>
      <c r="W296" s="234" t="b">
        <v>0</v>
      </c>
      <c r="X296" s="234" t="b">
        <v>0</v>
      </c>
      <c r="Y296" s="234" t="b">
        <v>0</v>
      </c>
      <c r="Z296" s="236" t="b">
        <v>0</v>
      </c>
      <c r="AA296" s="234"/>
      <c r="AB296" s="234"/>
      <c r="AC296" s="234" t="b">
        <v>0</v>
      </c>
      <c r="AD296" s="234" t="b">
        <v>0</v>
      </c>
      <c r="AE296" s="234" t="b">
        <v>0</v>
      </c>
      <c r="AF296" s="234" t="b">
        <v>0</v>
      </c>
      <c r="AG296" s="234" t="b">
        <v>0</v>
      </c>
      <c r="AH296" s="234" t="b">
        <v>0</v>
      </c>
      <c r="AI296" s="234" t="b">
        <v>0</v>
      </c>
      <c r="AJ296" s="234" t="b">
        <v>0</v>
      </c>
      <c r="AK296" s="234" t="b">
        <v>0</v>
      </c>
      <c r="AL296" s="234" t="b">
        <v>0</v>
      </c>
      <c r="AM296" s="234"/>
      <c r="AN296" s="234" t="b">
        <v>0</v>
      </c>
      <c r="AO296" s="234" t="b">
        <v>0</v>
      </c>
      <c r="AP296" s="234" t="b">
        <v>0</v>
      </c>
      <c r="AQ296" s="234"/>
      <c r="AR296" s="234" t="b">
        <v>0</v>
      </c>
      <c r="AS296" s="234"/>
      <c r="AT296" s="234"/>
      <c r="AU296" s="234"/>
      <c r="AV296" s="234"/>
      <c r="AW296" s="234" t="b">
        <v>0</v>
      </c>
      <c r="AX296" s="234"/>
      <c r="AY296" s="234"/>
      <c r="AZ296" s="234" t="b">
        <v>0</v>
      </c>
      <c r="BA296" s="234"/>
      <c r="BB296" s="234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H297" s="242"/>
      <c r="I297" s="242"/>
      <c r="J297" s="242"/>
      <c r="K297" s="234"/>
      <c r="L297" s="234"/>
      <c r="M297" s="234"/>
      <c r="N297" s="234"/>
      <c r="O297" s="234"/>
      <c r="P297" s="235">
        <f t="shared" si="1"/>
        <v>0</v>
      </c>
      <c r="Q297" s="234" t="b">
        <v>0</v>
      </c>
      <c r="R297" s="234"/>
      <c r="S297" s="234"/>
      <c r="T297" s="234"/>
      <c r="U297" s="234" t="b">
        <v>0</v>
      </c>
      <c r="V297" s="234" t="b">
        <v>0</v>
      </c>
      <c r="W297" s="234" t="b">
        <v>0</v>
      </c>
      <c r="X297" s="234" t="b">
        <v>0</v>
      </c>
      <c r="Y297" s="234" t="b">
        <v>0</v>
      </c>
      <c r="Z297" s="236" t="b">
        <v>0</v>
      </c>
      <c r="AA297" s="234"/>
      <c r="AB297" s="234"/>
      <c r="AC297" s="234" t="b">
        <v>0</v>
      </c>
      <c r="AD297" s="234" t="b">
        <v>0</v>
      </c>
      <c r="AE297" s="234" t="b">
        <v>0</v>
      </c>
      <c r="AF297" s="234" t="b">
        <v>0</v>
      </c>
      <c r="AG297" s="234" t="b">
        <v>0</v>
      </c>
      <c r="AH297" s="234" t="b">
        <v>0</v>
      </c>
      <c r="AI297" s="234" t="b">
        <v>0</v>
      </c>
      <c r="AJ297" s="234" t="b">
        <v>0</v>
      </c>
      <c r="AK297" s="234" t="b">
        <v>0</v>
      </c>
      <c r="AL297" s="234" t="b">
        <v>0</v>
      </c>
      <c r="AM297" s="234"/>
      <c r="AN297" s="234" t="b">
        <v>0</v>
      </c>
      <c r="AO297" s="234" t="b">
        <v>0</v>
      </c>
      <c r="AP297" s="234" t="b">
        <v>0</v>
      </c>
      <c r="AQ297" s="234"/>
      <c r="AR297" s="234" t="b">
        <v>0</v>
      </c>
      <c r="AS297" s="234"/>
      <c r="AT297" s="234"/>
      <c r="AU297" s="234"/>
      <c r="AV297" s="234"/>
      <c r="AW297" s="234" t="b">
        <v>0</v>
      </c>
      <c r="AX297" s="234"/>
      <c r="AY297" s="234"/>
      <c r="AZ297" s="234" t="b">
        <v>0</v>
      </c>
      <c r="BA297" s="234"/>
      <c r="BB297" s="234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H298" s="242"/>
      <c r="I298" s="242"/>
      <c r="J298" s="242"/>
      <c r="K298" s="234"/>
      <c r="L298" s="234"/>
      <c r="M298" s="234"/>
      <c r="N298" s="234"/>
      <c r="O298" s="234"/>
      <c r="P298" s="235">
        <f t="shared" si="1"/>
        <v>0</v>
      </c>
      <c r="Q298" s="234" t="b">
        <v>0</v>
      </c>
      <c r="R298" s="234"/>
      <c r="S298" s="234"/>
      <c r="T298" s="234"/>
      <c r="U298" s="234" t="b">
        <v>0</v>
      </c>
      <c r="V298" s="234" t="b">
        <v>0</v>
      </c>
      <c r="W298" s="234" t="b">
        <v>0</v>
      </c>
      <c r="X298" s="234" t="b">
        <v>0</v>
      </c>
      <c r="Y298" s="234" t="b">
        <v>0</v>
      </c>
      <c r="Z298" s="236" t="b">
        <v>0</v>
      </c>
      <c r="AA298" s="234"/>
      <c r="AB298" s="234"/>
      <c r="AC298" s="234" t="b">
        <v>0</v>
      </c>
      <c r="AD298" s="234" t="b">
        <v>0</v>
      </c>
      <c r="AE298" s="234" t="b">
        <v>0</v>
      </c>
      <c r="AF298" s="234" t="b">
        <v>0</v>
      </c>
      <c r="AG298" s="234" t="b">
        <v>0</v>
      </c>
      <c r="AH298" s="234" t="b">
        <v>0</v>
      </c>
      <c r="AI298" s="234" t="b">
        <v>0</v>
      </c>
      <c r="AJ298" s="234" t="b">
        <v>0</v>
      </c>
      <c r="AK298" s="234" t="b">
        <v>0</v>
      </c>
      <c r="AL298" s="234" t="b">
        <v>0</v>
      </c>
      <c r="AM298" s="234"/>
      <c r="AN298" s="234" t="b">
        <v>0</v>
      </c>
      <c r="AO298" s="234" t="b">
        <v>0</v>
      </c>
      <c r="AP298" s="234" t="b">
        <v>0</v>
      </c>
      <c r="AQ298" s="234"/>
      <c r="AR298" s="234" t="b">
        <v>0</v>
      </c>
      <c r="AS298" s="234"/>
      <c r="AT298" s="234"/>
      <c r="AU298" s="234"/>
      <c r="AV298" s="234"/>
      <c r="AW298" s="234" t="b">
        <v>0</v>
      </c>
      <c r="AX298" s="234"/>
      <c r="AY298" s="234"/>
      <c r="AZ298" s="234" t="b">
        <v>0</v>
      </c>
      <c r="BA298" s="234"/>
      <c r="BB298" s="234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H299" s="242"/>
      <c r="I299" s="242"/>
      <c r="J299" s="242"/>
      <c r="K299" s="234"/>
      <c r="L299" s="234"/>
      <c r="M299" s="234"/>
      <c r="N299" s="234"/>
      <c r="O299" s="234"/>
      <c r="P299" s="235">
        <f t="shared" si="1"/>
        <v>0</v>
      </c>
      <c r="Q299" s="234" t="b">
        <v>0</v>
      </c>
      <c r="R299" s="234"/>
      <c r="S299" s="234"/>
      <c r="T299" s="234"/>
      <c r="U299" s="234" t="b">
        <v>0</v>
      </c>
      <c r="V299" s="234" t="b">
        <v>0</v>
      </c>
      <c r="W299" s="234" t="b">
        <v>0</v>
      </c>
      <c r="X299" s="234" t="b">
        <v>0</v>
      </c>
      <c r="Y299" s="234" t="b">
        <v>0</v>
      </c>
      <c r="Z299" s="236" t="b">
        <v>0</v>
      </c>
      <c r="AA299" s="234"/>
      <c r="AB299" s="234"/>
      <c r="AC299" s="234" t="b">
        <v>0</v>
      </c>
      <c r="AD299" s="234" t="b">
        <v>0</v>
      </c>
      <c r="AE299" s="234" t="b">
        <v>0</v>
      </c>
      <c r="AF299" s="234" t="b">
        <v>0</v>
      </c>
      <c r="AG299" s="234" t="b">
        <v>0</v>
      </c>
      <c r="AH299" s="234" t="b">
        <v>0</v>
      </c>
      <c r="AI299" s="234" t="b">
        <v>0</v>
      </c>
      <c r="AJ299" s="234" t="b">
        <v>0</v>
      </c>
      <c r="AK299" s="234" t="b">
        <v>0</v>
      </c>
      <c r="AL299" s="234" t="b">
        <v>0</v>
      </c>
      <c r="AM299" s="234"/>
      <c r="AN299" s="234" t="b">
        <v>0</v>
      </c>
      <c r="AO299" s="234" t="b">
        <v>0</v>
      </c>
      <c r="AP299" s="234" t="b">
        <v>0</v>
      </c>
      <c r="AQ299" s="234"/>
      <c r="AR299" s="234" t="b">
        <v>0</v>
      </c>
      <c r="AS299" s="234"/>
      <c r="AT299" s="234"/>
      <c r="AU299" s="234"/>
      <c r="AV299" s="234"/>
      <c r="AW299" s="234" t="b">
        <v>0</v>
      </c>
      <c r="AX299" s="234"/>
      <c r="AY299" s="234"/>
      <c r="AZ299" s="234" t="b">
        <v>0</v>
      </c>
      <c r="BA299" s="234"/>
      <c r="BB299" s="234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H300" s="242"/>
      <c r="I300" s="242"/>
      <c r="J300" s="242"/>
      <c r="K300" s="234"/>
      <c r="L300" s="234"/>
      <c r="M300" s="234"/>
      <c r="N300" s="234"/>
      <c r="O300" s="234"/>
      <c r="P300" s="235">
        <f t="shared" si="1"/>
        <v>0</v>
      </c>
      <c r="Q300" s="234" t="b">
        <v>0</v>
      </c>
      <c r="R300" s="234"/>
      <c r="S300" s="234"/>
      <c r="T300" s="234"/>
      <c r="U300" s="234" t="b">
        <v>0</v>
      </c>
      <c r="V300" s="234" t="b">
        <v>0</v>
      </c>
      <c r="W300" s="234" t="b">
        <v>0</v>
      </c>
      <c r="X300" s="234" t="b">
        <v>0</v>
      </c>
      <c r="Y300" s="234" t="b">
        <v>0</v>
      </c>
      <c r="Z300" s="236" t="b">
        <v>0</v>
      </c>
      <c r="AA300" s="234"/>
      <c r="AB300" s="234"/>
      <c r="AC300" s="234" t="b">
        <v>0</v>
      </c>
      <c r="AD300" s="234" t="b">
        <v>0</v>
      </c>
      <c r="AE300" s="234" t="b">
        <v>0</v>
      </c>
      <c r="AF300" s="234" t="b">
        <v>0</v>
      </c>
      <c r="AG300" s="234" t="b">
        <v>0</v>
      </c>
      <c r="AH300" s="234" t="b">
        <v>0</v>
      </c>
      <c r="AI300" s="234" t="b">
        <v>0</v>
      </c>
      <c r="AJ300" s="234" t="b">
        <v>0</v>
      </c>
      <c r="AK300" s="234" t="b">
        <v>0</v>
      </c>
      <c r="AL300" s="234" t="b">
        <v>0</v>
      </c>
      <c r="AM300" s="234"/>
      <c r="AN300" s="234" t="b">
        <v>0</v>
      </c>
      <c r="AO300" s="234" t="b">
        <v>0</v>
      </c>
      <c r="AP300" s="234" t="b">
        <v>0</v>
      </c>
      <c r="AQ300" s="234"/>
      <c r="AR300" s="234" t="b">
        <v>0</v>
      </c>
      <c r="AS300" s="234"/>
      <c r="AT300" s="234"/>
      <c r="AU300" s="234"/>
      <c r="AV300" s="234"/>
      <c r="AW300" s="234" t="b">
        <v>0</v>
      </c>
      <c r="AX300" s="234"/>
      <c r="AY300" s="234"/>
      <c r="AZ300" s="234" t="b">
        <v>0</v>
      </c>
      <c r="BA300" s="234"/>
      <c r="BB300" s="234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H301" s="242"/>
      <c r="I301" s="242"/>
      <c r="J301" s="242"/>
      <c r="K301" s="234"/>
      <c r="L301" s="234"/>
      <c r="M301" s="234"/>
      <c r="N301" s="234"/>
      <c r="O301" s="234"/>
      <c r="P301" s="235">
        <f t="shared" si="1"/>
        <v>0</v>
      </c>
      <c r="Q301" s="234" t="b">
        <v>0</v>
      </c>
      <c r="R301" s="234"/>
      <c r="S301" s="234"/>
      <c r="T301" s="234"/>
      <c r="U301" s="234" t="b">
        <v>0</v>
      </c>
      <c r="V301" s="234" t="b">
        <v>0</v>
      </c>
      <c r="W301" s="234" t="b">
        <v>0</v>
      </c>
      <c r="X301" s="234" t="b">
        <v>0</v>
      </c>
      <c r="Y301" s="234" t="b">
        <v>0</v>
      </c>
      <c r="Z301" s="236" t="b">
        <v>0</v>
      </c>
      <c r="AA301" s="234"/>
      <c r="AB301" s="234"/>
      <c r="AC301" s="234" t="b">
        <v>0</v>
      </c>
      <c r="AD301" s="234" t="b">
        <v>0</v>
      </c>
      <c r="AE301" s="234" t="b">
        <v>0</v>
      </c>
      <c r="AF301" s="234" t="b">
        <v>0</v>
      </c>
      <c r="AG301" s="234" t="b">
        <v>0</v>
      </c>
      <c r="AH301" s="234" t="b">
        <v>0</v>
      </c>
      <c r="AI301" s="234" t="b">
        <v>0</v>
      </c>
      <c r="AJ301" s="234" t="b">
        <v>0</v>
      </c>
      <c r="AK301" s="234" t="b">
        <v>0</v>
      </c>
      <c r="AL301" s="234" t="b">
        <v>0</v>
      </c>
      <c r="AM301" s="234"/>
      <c r="AN301" s="234" t="b">
        <v>0</v>
      </c>
      <c r="AO301" s="234" t="b">
        <v>0</v>
      </c>
      <c r="AP301" s="234" t="b">
        <v>0</v>
      </c>
      <c r="AQ301" s="234"/>
      <c r="AR301" s="234" t="b">
        <v>0</v>
      </c>
      <c r="AS301" s="234"/>
      <c r="AT301" s="234"/>
      <c r="AU301" s="234"/>
      <c r="AV301" s="234"/>
      <c r="AW301" s="234" t="b">
        <v>0</v>
      </c>
      <c r="AX301" s="234"/>
      <c r="AY301" s="234"/>
      <c r="AZ301" s="234" t="b">
        <v>0</v>
      </c>
      <c r="BA301" s="234"/>
      <c r="BB301" s="234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H302" s="242"/>
      <c r="I302" s="242"/>
      <c r="J302" s="242"/>
      <c r="K302" s="234"/>
      <c r="L302" s="234"/>
      <c r="M302" s="234"/>
      <c r="N302" s="234"/>
      <c r="O302" s="234"/>
      <c r="P302" s="235">
        <f t="shared" si="1"/>
        <v>0</v>
      </c>
      <c r="Q302" s="234" t="b">
        <v>0</v>
      </c>
      <c r="R302" s="234"/>
      <c r="S302" s="234"/>
      <c r="T302" s="234"/>
      <c r="U302" s="234" t="b">
        <v>0</v>
      </c>
      <c r="V302" s="234" t="b">
        <v>0</v>
      </c>
      <c r="W302" s="234" t="b">
        <v>0</v>
      </c>
      <c r="X302" s="234" t="b">
        <v>0</v>
      </c>
      <c r="Y302" s="234" t="b">
        <v>0</v>
      </c>
      <c r="Z302" s="236" t="b">
        <v>0</v>
      </c>
      <c r="AA302" s="234"/>
      <c r="AB302" s="234"/>
      <c r="AC302" s="234" t="b">
        <v>0</v>
      </c>
      <c r="AD302" s="234" t="b">
        <v>0</v>
      </c>
      <c r="AE302" s="234" t="b">
        <v>0</v>
      </c>
      <c r="AF302" s="234" t="b">
        <v>0</v>
      </c>
      <c r="AG302" s="234" t="b">
        <v>0</v>
      </c>
      <c r="AH302" s="234" t="b">
        <v>0</v>
      </c>
      <c r="AI302" s="234" t="b">
        <v>0</v>
      </c>
      <c r="AJ302" s="234" t="b">
        <v>0</v>
      </c>
      <c r="AK302" s="234" t="b">
        <v>0</v>
      </c>
      <c r="AL302" s="234" t="b">
        <v>0</v>
      </c>
      <c r="AM302" s="234"/>
      <c r="AN302" s="234" t="b">
        <v>0</v>
      </c>
      <c r="AO302" s="234" t="b">
        <v>0</v>
      </c>
      <c r="AP302" s="234" t="b">
        <v>0</v>
      </c>
      <c r="AQ302" s="234"/>
      <c r="AR302" s="234" t="b">
        <v>0</v>
      </c>
      <c r="AS302" s="234"/>
      <c r="AT302" s="234"/>
      <c r="AU302" s="234"/>
      <c r="AV302" s="234"/>
      <c r="AW302" s="234" t="b">
        <v>0</v>
      </c>
      <c r="AX302" s="234"/>
      <c r="AY302" s="234"/>
      <c r="AZ302" s="234" t="b">
        <v>0</v>
      </c>
      <c r="BA302" s="234"/>
      <c r="BB302" s="234"/>
    </row>
    <row r="303">
      <c r="A303" s="57">
        <v>2.125024608E9</v>
      </c>
      <c r="B303" s="154" t="s">
        <v>231</v>
      </c>
      <c r="C303" s="154" t="s">
        <v>232</v>
      </c>
      <c r="D303" s="109"/>
      <c r="E303" s="109">
        <f>VLOOKUP($A303,ANAGRAFICA!$B$1:$G$306,5,FALSE)</f>
        <v>3272025057</v>
      </c>
      <c r="F303" s="109">
        <f>VLOOKUP($A303,ANAGRAFICA!$B$1:$G$306,6,FALSE)</f>
        <v>2025</v>
      </c>
      <c r="H303" s="233" t="s">
        <v>1275</v>
      </c>
      <c r="I303" s="233" t="s">
        <v>1277</v>
      </c>
      <c r="J303" s="233" t="s">
        <v>1277</v>
      </c>
      <c r="K303" s="234"/>
      <c r="L303" s="234"/>
      <c r="M303" s="237"/>
      <c r="N303" s="234"/>
      <c r="O303" s="237">
        <v>0.1</v>
      </c>
      <c r="P303" s="243">
        <v>2.0</v>
      </c>
      <c r="Q303" s="236" t="b">
        <v>0</v>
      </c>
      <c r="R303" s="234"/>
      <c r="S303" s="234"/>
      <c r="T303" s="234"/>
      <c r="U303" s="234" t="b">
        <v>0</v>
      </c>
      <c r="V303" s="234" t="b">
        <v>0</v>
      </c>
      <c r="W303" s="234" t="b">
        <v>0</v>
      </c>
      <c r="X303" s="234" t="b">
        <v>0</v>
      </c>
      <c r="Y303" s="234" t="b">
        <v>0</v>
      </c>
      <c r="Z303" s="236" t="b">
        <v>0</v>
      </c>
      <c r="AA303" s="237" t="s">
        <v>1278</v>
      </c>
      <c r="AB303" s="237" t="s">
        <v>1291</v>
      </c>
      <c r="AC303" s="236" t="b">
        <v>1</v>
      </c>
      <c r="AD303" s="234" t="b">
        <v>0</v>
      </c>
      <c r="AE303" s="234" t="b">
        <v>0</v>
      </c>
      <c r="AF303" s="234" t="b">
        <v>0</v>
      </c>
      <c r="AG303" s="236" t="b">
        <v>1</v>
      </c>
      <c r="AH303" s="236" t="b">
        <v>1</v>
      </c>
      <c r="AI303" s="234" t="b">
        <v>0</v>
      </c>
      <c r="AJ303" s="236" t="b">
        <v>1</v>
      </c>
      <c r="AK303" s="236" t="b">
        <v>1</v>
      </c>
      <c r="AL303" s="234" t="b">
        <v>0</v>
      </c>
      <c r="AM303" s="234"/>
      <c r="AN303" s="234" t="b">
        <v>0</v>
      </c>
      <c r="AO303" s="234" t="b">
        <v>0</v>
      </c>
      <c r="AP303" s="234" t="b">
        <v>0</v>
      </c>
      <c r="AQ303" s="237" t="s">
        <v>1315</v>
      </c>
      <c r="AR303" s="236" t="b">
        <v>1</v>
      </c>
      <c r="AS303" s="237" t="s">
        <v>1286</v>
      </c>
      <c r="AT303" s="238">
        <v>45811.0</v>
      </c>
      <c r="AU303" s="234"/>
      <c r="AV303" s="237" t="s">
        <v>1253</v>
      </c>
      <c r="AW303" s="236" t="b">
        <v>0</v>
      </c>
      <c r="AX303" s="239"/>
      <c r="AY303" s="234"/>
      <c r="AZ303" s="236" t="b">
        <v>1</v>
      </c>
      <c r="BA303" s="238">
        <v>45811.0</v>
      </c>
      <c r="BB303" s="237" t="s">
        <v>742</v>
      </c>
    </row>
    <row r="304">
      <c r="A304" s="57"/>
      <c r="B304" s="109"/>
      <c r="C304" s="109"/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H304" s="233" t="s">
        <v>1275</v>
      </c>
      <c r="I304" s="233" t="s">
        <v>1277</v>
      </c>
      <c r="J304" s="233" t="s">
        <v>1277</v>
      </c>
      <c r="K304" s="234"/>
      <c r="L304" s="234"/>
      <c r="M304" s="234"/>
      <c r="N304" s="234"/>
      <c r="O304" s="234"/>
      <c r="P304" s="235"/>
      <c r="Q304" s="234" t="b">
        <v>0</v>
      </c>
      <c r="R304" s="234"/>
      <c r="S304" s="234"/>
      <c r="T304" s="234"/>
      <c r="U304" s="234" t="b">
        <v>0</v>
      </c>
      <c r="V304" s="234" t="b">
        <v>0</v>
      </c>
      <c r="W304" s="234" t="b">
        <v>0</v>
      </c>
      <c r="X304" s="234" t="b">
        <v>0</v>
      </c>
      <c r="Y304" s="234" t="b">
        <v>0</v>
      </c>
      <c r="Z304" s="236" t="b">
        <v>0</v>
      </c>
      <c r="AA304" s="237" t="s">
        <v>1300</v>
      </c>
      <c r="AB304" s="237" t="s">
        <v>1307</v>
      </c>
      <c r="AC304" s="236" t="b">
        <v>0</v>
      </c>
      <c r="AD304" s="234" t="b">
        <v>0</v>
      </c>
      <c r="AE304" s="234" t="b">
        <v>0</v>
      </c>
      <c r="AF304" s="234" t="b">
        <v>0</v>
      </c>
      <c r="AG304" s="234" t="b">
        <v>0</v>
      </c>
      <c r="AH304" s="236" t="b">
        <v>0</v>
      </c>
      <c r="AI304" s="234" t="b">
        <v>0</v>
      </c>
      <c r="AJ304" s="234" t="b">
        <v>0</v>
      </c>
      <c r="AK304" s="234" t="b">
        <v>0</v>
      </c>
      <c r="AL304" s="234" t="b">
        <v>0</v>
      </c>
      <c r="AM304" s="234"/>
      <c r="AN304" s="234" t="b">
        <v>0</v>
      </c>
      <c r="AO304" s="234" t="b">
        <v>0</v>
      </c>
      <c r="AP304" s="234" t="b">
        <v>0</v>
      </c>
      <c r="AQ304" s="237" t="s">
        <v>1282</v>
      </c>
      <c r="AR304" s="234" t="b">
        <v>0</v>
      </c>
      <c r="AS304" s="234"/>
      <c r="AT304" s="234"/>
      <c r="AU304" s="234"/>
      <c r="AV304" s="234"/>
      <c r="AW304" s="236" t="b">
        <v>0</v>
      </c>
      <c r="AX304" s="239"/>
      <c r="AY304" s="234"/>
      <c r="AZ304" s="234" t="b">
        <v>0</v>
      </c>
      <c r="BA304" s="234"/>
      <c r="BB304" s="234"/>
    </row>
    <row r="305">
      <c r="A305" s="57"/>
      <c r="B305" s="109"/>
      <c r="C305" s="109"/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H305" s="233" t="s">
        <v>1275</v>
      </c>
      <c r="I305" s="233" t="s">
        <v>1277</v>
      </c>
      <c r="J305" s="233" t="s">
        <v>1277</v>
      </c>
      <c r="K305" s="234"/>
      <c r="L305" s="234"/>
      <c r="M305" s="234"/>
      <c r="N305" s="234"/>
      <c r="O305" s="234"/>
      <c r="P305" s="235"/>
      <c r="Q305" s="234" t="b">
        <v>0</v>
      </c>
      <c r="R305" s="234"/>
      <c r="S305" s="234"/>
      <c r="T305" s="234"/>
      <c r="U305" s="234" t="b">
        <v>0</v>
      </c>
      <c r="V305" s="234" t="b">
        <v>0</v>
      </c>
      <c r="W305" s="234" t="b">
        <v>0</v>
      </c>
      <c r="X305" s="234" t="b">
        <v>0</v>
      </c>
      <c r="Y305" s="234" t="b">
        <v>0</v>
      </c>
      <c r="Z305" s="236" t="b">
        <v>0</v>
      </c>
      <c r="AA305" s="237" t="s">
        <v>35</v>
      </c>
      <c r="AB305" s="237" t="s">
        <v>1281</v>
      </c>
      <c r="AC305" s="236" t="b">
        <v>0</v>
      </c>
      <c r="AD305" s="234" t="b">
        <v>0</v>
      </c>
      <c r="AE305" s="234" t="b">
        <v>0</v>
      </c>
      <c r="AF305" s="234" t="b">
        <v>0</v>
      </c>
      <c r="AG305" s="234" t="b">
        <v>0</v>
      </c>
      <c r="AH305" s="236" t="b">
        <v>0</v>
      </c>
      <c r="AI305" s="234" t="b">
        <v>0</v>
      </c>
      <c r="AJ305" s="234" t="b">
        <v>0</v>
      </c>
      <c r="AK305" s="234" t="b">
        <v>0</v>
      </c>
      <c r="AL305" s="234" t="b">
        <v>0</v>
      </c>
      <c r="AM305" s="234"/>
      <c r="AN305" s="234" t="b">
        <v>0</v>
      </c>
      <c r="AO305" s="234" t="b">
        <v>0</v>
      </c>
      <c r="AP305" s="234" t="b">
        <v>0</v>
      </c>
      <c r="AQ305" s="237" t="s">
        <v>1282</v>
      </c>
      <c r="AR305" s="234" t="b">
        <v>0</v>
      </c>
      <c r="AS305" s="234"/>
      <c r="AT305" s="234"/>
      <c r="AU305" s="234"/>
      <c r="AV305" s="234"/>
      <c r="AW305" s="236" t="b">
        <v>0</v>
      </c>
      <c r="AX305" s="239"/>
      <c r="AY305" s="234"/>
      <c r="AZ305" s="234" t="b">
        <v>0</v>
      </c>
      <c r="BA305" s="234"/>
      <c r="BB305" s="234"/>
    </row>
  </sheetData>
  <dataValidations>
    <dataValidation type="list" allowBlank="1" showErrorMessage="1" sqref="T2:T305">
      <formula1>"DIAGNOSTIC ,INTERVENTIONAL,BOTH"</formula1>
    </dataValidation>
    <dataValidation type="list" allowBlank="1" showErrorMessage="1" sqref="AM2:AM305">
      <formula1>"DILATED,HYPERTROPHYC,RESTRICTIVE,TAKOTSUBO,POSTPARTUM,OTHER"</formula1>
    </dataValidation>
    <dataValidation type="list" allowBlank="1" showErrorMessage="1" sqref="AS2:AS305">
      <formula1>"IABP,IMPELLA,VENT APICALE,VENT POLMONARE"</formula1>
    </dataValidation>
    <dataValidation type="list" allowBlank="1" showErrorMessage="1" sqref="AB2:AB305">
      <formula1>"LOW CO - LV,LOW CO -  RV/BIV,LOW CO - OTHER,COMBINED CARDIAC AND RESP FAILURE,CARDIAC ARREST,UNKNOWN"</formula1>
    </dataValidation>
    <dataValidation type="list" allowBlank="1" showErrorMessage="1" sqref="AA2:AA305">
      <formula1>"PLANNED,FAILURE TO WEAN CPB,EMERGENT OR ECPR,PROGRESSION DESPIT OTHER SUPPORT"</formula1>
    </dataValidation>
    <dataValidation type="list" allowBlank="1" showErrorMessage="1" sqref="H2:H305">
      <formula1>"I,II,III,IV"</formula1>
    </dataValidation>
    <dataValidation type="list" allowBlank="1" showErrorMessage="1" sqref="I2:J305">
      <formula1>"A - AT RISK,B - BEGINNING,C - CLASSIC,D - DETERIORATING,E - EXTREMIS"</formula1>
    </dataValidation>
    <dataValidation type="list" allowBlank="1" showErrorMessage="1" sqref="A2:A48 A50:A279 A303:A305">
      <formula1>ANAGRAFICA!$B$2:$B$506</formula1>
    </dataValidation>
    <dataValidation type="list" allowBlank="1" showErrorMessage="1" sqref="AV2:AV305">
      <formula1>"PULMONARY EDEMA,PERDITA EIEZIONE,RIDUZIONE PULSATILITA',ISCHEMIA,ALTRO"</formula1>
    </dataValidation>
    <dataValidation type="list" allowBlank="1" showErrorMessage="1" sqref="AQ2:AQ305">
      <formula1>"EMERGENCY DEPT,GENERAL WARD,SUB,ICU,CATH LAB,DIAGNOSTICA,OR,SALA PARTO,ALTRO"</formula1>
    </dataValidation>
  </dataValidations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8" max="8" width="14.75"/>
    <col customWidth="1" min="9" max="9" width="14.63"/>
  </cols>
  <sheetData>
    <row r="1">
      <c r="A1" s="188" t="s">
        <v>1</v>
      </c>
      <c r="B1" s="244" t="s">
        <v>2</v>
      </c>
      <c r="C1" s="245" t="s">
        <v>3</v>
      </c>
      <c r="D1" s="245" t="s">
        <v>4</v>
      </c>
      <c r="E1" s="245" t="s">
        <v>385</v>
      </c>
      <c r="F1" s="246" t="s">
        <v>6</v>
      </c>
      <c r="G1" s="245" t="s">
        <v>386</v>
      </c>
      <c r="H1" s="247" t="s">
        <v>1321</v>
      </c>
      <c r="I1" s="246" t="s">
        <v>1322</v>
      </c>
      <c r="J1" s="248" t="s">
        <v>600</v>
      </c>
      <c r="K1" s="224" t="s">
        <v>1209</v>
      </c>
      <c r="L1" s="223" t="s">
        <v>546</v>
      </c>
      <c r="M1" s="224" t="s">
        <v>1245</v>
      </c>
      <c r="N1" s="224" t="s">
        <v>1246</v>
      </c>
      <c r="O1" s="224" t="s">
        <v>1247</v>
      </c>
      <c r="P1" s="224" t="s">
        <v>1248</v>
      </c>
      <c r="Q1" s="224" t="s">
        <v>1249</v>
      </c>
      <c r="R1" s="224" t="s">
        <v>1250</v>
      </c>
    </row>
    <row r="2">
      <c r="A2" s="57">
        <v>2.124000241E9</v>
      </c>
      <c r="B2" s="109" t="str">
        <f>VLOOKUP($A2,ANAGRAFICA!$B$1:$G$306,2,FALSE)</f>
        <v>ISELLA</v>
      </c>
      <c r="C2" s="109" t="str">
        <f>VLOOKUP($A2,ANAGRAFICA!$B$1:$G$306,3,FALSE)</f>
        <v>VINCENZO</v>
      </c>
      <c r="D2" s="109" t="str">
        <f>VLOOKUP($A2,ANAGRAFICA!$B$1:$G$306,4,FALSE)</f>
        <v/>
      </c>
      <c r="E2" s="109">
        <f>VLOOKUP($A2,ANAGRAFICA!$B$1:$G$306,5,FALSE)</f>
        <v>3272024052</v>
      </c>
      <c r="F2" s="109">
        <f>VLOOKUP($A2,ANAGRAFICA!$B$1:$G$306,6,FALSE)</f>
        <v>2024</v>
      </c>
      <c r="G2" s="11">
        <v>1.0</v>
      </c>
      <c r="H2" s="236" t="b">
        <v>1</v>
      </c>
      <c r="I2" s="234" t="b">
        <v>0</v>
      </c>
      <c r="J2" s="238">
        <v>45296.0</v>
      </c>
      <c r="K2" s="237" t="s">
        <v>809</v>
      </c>
      <c r="L2" s="237" t="s">
        <v>1304</v>
      </c>
      <c r="M2" s="234" t="b">
        <v>0</v>
      </c>
      <c r="N2" s="234" t="b">
        <v>0</v>
      </c>
      <c r="O2" s="234" t="b">
        <v>0</v>
      </c>
      <c r="P2" s="234" t="b">
        <v>0</v>
      </c>
      <c r="Q2" s="234" t="b">
        <v>0</v>
      </c>
      <c r="R2" s="236" t="b">
        <v>0</v>
      </c>
    </row>
    <row r="3">
      <c r="A3" s="57">
        <v>2.124000328E9</v>
      </c>
      <c r="B3" s="109" t="str">
        <f>VLOOKUP($A3,ANAGRAFICA!$B$1:$G$306,2,FALSE)</f>
        <v>LAVANGA</v>
      </c>
      <c r="C3" s="109" t="str">
        <f>VLOOKUP($A3,ANAGRAFICA!$B$1:$G$306,3,FALSE)</f>
        <v>DONATO</v>
      </c>
      <c r="D3" s="109" t="str">
        <f>VLOOKUP($A3,ANAGRAFICA!$B$1:$G$306,4,FALSE)</f>
        <v/>
      </c>
      <c r="E3" s="109">
        <f>VLOOKUP($A3,ANAGRAFICA!$B$1:$G$306,5,FALSE)</f>
        <v>3272024053</v>
      </c>
      <c r="F3" s="109">
        <f>VLOOKUP($A3,ANAGRAFICA!$B$1:$G$306,6,FALSE)</f>
        <v>2024</v>
      </c>
      <c r="G3" s="3">
        <v>1.0</v>
      </c>
      <c r="H3" s="236" t="b">
        <v>1</v>
      </c>
      <c r="I3" s="234" t="b">
        <v>0</v>
      </c>
      <c r="J3" s="238">
        <v>45298.0</v>
      </c>
      <c r="K3" s="237" t="s">
        <v>1323</v>
      </c>
      <c r="L3" s="237" t="s">
        <v>1304</v>
      </c>
      <c r="M3" s="234" t="b">
        <v>0</v>
      </c>
      <c r="N3" s="234" t="b">
        <v>0</v>
      </c>
      <c r="O3" s="234" t="b">
        <v>0</v>
      </c>
      <c r="P3" s="234" t="b">
        <v>0</v>
      </c>
      <c r="Q3" s="234" t="b">
        <v>0</v>
      </c>
      <c r="R3" s="236" t="b">
        <v>0</v>
      </c>
    </row>
    <row r="4">
      <c r="A4" s="57">
        <v>2.124001121E9</v>
      </c>
      <c r="B4" s="109" t="str">
        <f>VLOOKUP($A4,ANAGRAFICA!$B$1:$G$306,2,FALSE)</f>
        <v>TIEGHI</v>
      </c>
      <c r="C4" s="109" t="str">
        <f>VLOOKUP($A4,ANAGRAFICA!$B$1:$G$306,3,FALSE)</f>
        <v>MASSIMO</v>
      </c>
      <c r="D4" s="109" t="str">
        <f>VLOOKUP($A4,ANAGRAFICA!$B$1:$G$306,4,FALSE)</f>
        <v/>
      </c>
      <c r="E4" s="109">
        <f>VLOOKUP($A4,ANAGRAFICA!$B$1:$G$306,5,FALSE)</f>
        <v>3272024054</v>
      </c>
      <c r="F4" s="109">
        <f>VLOOKUP($A4,ANAGRAFICA!$B$1:$G$306,6,FALSE)</f>
        <v>2024</v>
      </c>
      <c r="G4" s="3">
        <v>1.0</v>
      </c>
      <c r="H4" s="236" t="b">
        <v>1</v>
      </c>
      <c r="I4" s="234" t="b">
        <v>0</v>
      </c>
      <c r="J4" s="238">
        <v>45309.0</v>
      </c>
      <c r="K4" s="237" t="s">
        <v>104</v>
      </c>
      <c r="L4" s="237" t="s">
        <v>1284</v>
      </c>
      <c r="M4" s="234" t="b">
        <v>0</v>
      </c>
      <c r="N4" s="236" t="b">
        <v>1</v>
      </c>
      <c r="O4" s="234" t="b">
        <v>0</v>
      </c>
      <c r="P4" s="234" t="b">
        <v>0</v>
      </c>
      <c r="Q4" s="234" t="b">
        <v>0</v>
      </c>
      <c r="R4" s="236" t="b">
        <v>0</v>
      </c>
    </row>
    <row r="5">
      <c r="A5" s="57">
        <v>2.124002215E9</v>
      </c>
      <c r="B5" s="109" t="str">
        <f>VLOOKUP($A5,ANAGRAFICA!$B$1:$G$306,2,FALSE)</f>
        <v>SCHIFANO</v>
      </c>
      <c r="C5" s="109" t="str">
        <f>VLOOKUP($A5,ANAGRAFICA!$B$1:$G$306,3,FALSE)</f>
        <v>FRANCESCO</v>
      </c>
      <c r="D5" s="109" t="str">
        <f>VLOOKUP($A5,ANAGRAFICA!$B$1:$G$306,4,FALSE)</f>
        <v/>
      </c>
      <c r="E5" s="109">
        <f>VLOOKUP($A5,ANAGRAFICA!$B$1:$G$306,5,FALSE)</f>
        <v>3272024055</v>
      </c>
      <c r="F5" s="109">
        <f>VLOOKUP($A5,ANAGRAFICA!$B$1:$G$306,6,FALSE)</f>
        <v>2024</v>
      </c>
      <c r="G5" s="3">
        <v>1.0</v>
      </c>
      <c r="H5" s="236" t="b">
        <v>1</v>
      </c>
      <c r="I5" s="234" t="b">
        <v>0</v>
      </c>
      <c r="J5" s="238">
        <v>45325.0</v>
      </c>
      <c r="K5" s="237" t="s">
        <v>68</v>
      </c>
      <c r="L5" s="237" t="s">
        <v>1284</v>
      </c>
      <c r="M5" s="234" t="b">
        <v>0</v>
      </c>
      <c r="N5" s="234" t="b">
        <v>0</v>
      </c>
      <c r="O5" s="236" t="b">
        <v>1</v>
      </c>
      <c r="P5" s="234" t="b">
        <v>0</v>
      </c>
      <c r="Q5" s="234" t="b">
        <v>0</v>
      </c>
      <c r="R5" s="236" t="b">
        <v>0</v>
      </c>
    </row>
    <row r="6">
      <c r="A6" s="57">
        <v>2.12401869E9</v>
      </c>
      <c r="B6" s="109" t="str">
        <f>VLOOKUP($A6,ANAGRAFICA!$B$1:$G$306,2,FALSE)</f>
        <v>AVENIDO</v>
      </c>
      <c r="C6" s="109" t="str">
        <f>VLOOKUP($A6,ANAGRAFICA!$B$1:$G$306,3,FALSE)</f>
        <v>DELFIN</v>
      </c>
      <c r="D6" s="109" t="str">
        <f>VLOOKUP($A6,ANAGRAFICA!$B$1:$G$306,4,FALSE)</f>
        <v>758-16</v>
      </c>
      <c r="E6" s="109">
        <f>VLOOKUP($A6,ANAGRAFICA!$B$1:$G$306,5,FALSE)</f>
        <v>3272024082</v>
      </c>
      <c r="F6" s="109">
        <f>VLOOKUP($A6,ANAGRAFICA!$B$1:$G$306,6,FALSE)</f>
        <v>2024</v>
      </c>
      <c r="G6" s="3">
        <v>1.0</v>
      </c>
      <c r="H6" s="236" t="b">
        <v>1</v>
      </c>
      <c r="I6" s="234" t="b">
        <v>0</v>
      </c>
      <c r="J6" s="239">
        <v>45585.0</v>
      </c>
      <c r="K6" s="237" t="s">
        <v>627</v>
      </c>
      <c r="L6" s="237" t="s">
        <v>1284</v>
      </c>
      <c r="M6" s="234" t="b">
        <v>0</v>
      </c>
      <c r="N6" s="234" t="b">
        <v>0</v>
      </c>
      <c r="O6" s="234" t="b">
        <v>0</v>
      </c>
      <c r="P6" s="234" t="b">
        <v>0</v>
      </c>
      <c r="Q6" s="236" t="b">
        <v>1</v>
      </c>
      <c r="R6" s="236" t="b">
        <v>0</v>
      </c>
    </row>
    <row r="7">
      <c r="A7" s="57">
        <v>2.124018637E9</v>
      </c>
      <c r="B7" s="109" t="str">
        <f>VLOOKUP($A7,ANAGRAFICA!$B$1:$G$306,2,FALSE)</f>
        <v>CARIBONI</v>
      </c>
      <c r="C7" s="109" t="str">
        <f>VLOOKUP($A7,ANAGRAFICA!$B$1:$G$306,3,FALSE)</f>
        <v>LORENZA</v>
      </c>
      <c r="D7" s="109" t="str">
        <f>VLOOKUP($A7,ANAGRAFICA!$B$1:$G$306,4,FALSE)</f>
        <v>758-15</v>
      </c>
      <c r="E7" s="109">
        <f>VLOOKUP($A7,ANAGRAFICA!$B$1:$G$306,5,FALSE)</f>
        <v>3272024081</v>
      </c>
      <c r="F7" s="109">
        <f>VLOOKUP($A7,ANAGRAFICA!$B$1:$G$306,6,FALSE)</f>
        <v>2024</v>
      </c>
      <c r="G7" s="3">
        <v>1.0</v>
      </c>
      <c r="H7" s="236" t="b">
        <v>1</v>
      </c>
      <c r="I7" s="234" t="b">
        <v>0</v>
      </c>
      <c r="J7" s="239">
        <v>45584.0</v>
      </c>
      <c r="K7" s="237" t="s">
        <v>632</v>
      </c>
      <c r="L7" s="237" t="s">
        <v>1284</v>
      </c>
      <c r="M7" s="234" t="b">
        <v>0</v>
      </c>
      <c r="N7" s="236" t="b">
        <v>1</v>
      </c>
      <c r="O7" s="234" t="b">
        <v>0</v>
      </c>
      <c r="P7" s="234" t="b">
        <v>0</v>
      </c>
      <c r="Q7" s="234" t="b">
        <v>0</v>
      </c>
      <c r="R7" s="236" t="b">
        <v>0</v>
      </c>
    </row>
    <row r="8">
      <c r="A8" s="57">
        <v>2.124019184E9</v>
      </c>
      <c r="B8" s="109" t="str">
        <f>VLOOKUP($A8,ANAGRAFICA!$B$1:$G$306,2,FALSE)</f>
        <v>SERVIDIO</v>
      </c>
      <c r="C8" s="109" t="str">
        <f>VLOOKUP($A8,ANAGRAFICA!$B$1:$G$306,3,FALSE)</f>
        <v>GIOVANNI</v>
      </c>
      <c r="D8" s="109" t="str">
        <f>VLOOKUP($A8,ANAGRAFICA!$B$1:$G$306,4,FALSE)</f>
        <v>758-17</v>
      </c>
      <c r="E8" s="109">
        <f>VLOOKUP($A8,ANAGRAFICA!$B$1:$G$306,5,FALSE)</f>
        <v>3272024083</v>
      </c>
      <c r="F8" s="109">
        <f>VLOOKUP($A8,ANAGRAFICA!$B$1:$G$306,6,FALSE)</f>
        <v>2024</v>
      </c>
      <c r="G8" s="3">
        <v>1.0</v>
      </c>
      <c r="H8" s="236" t="b">
        <v>1</v>
      </c>
      <c r="I8" s="234" t="b">
        <v>0</v>
      </c>
      <c r="J8" s="239">
        <v>45595.0</v>
      </c>
      <c r="K8" s="237" t="s">
        <v>1298</v>
      </c>
      <c r="L8" s="237" t="s">
        <v>1284</v>
      </c>
      <c r="M8" s="234" t="b">
        <v>0</v>
      </c>
      <c r="N8" s="234" t="b">
        <v>0</v>
      </c>
      <c r="O8" s="234" t="b">
        <v>0</v>
      </c>
      <c r="P8" s="234" t="b">
        <v>0</v>
      </c>
      <c r="Q8" s="234" t="b">
        <v>0</v>
      </c>
      <c r="R8" s="236" t="b">
        <v>0</v>
      </c>
      <c r="S8" s="3" t="s">
        <v>1324</v>
      </c>
    </row>
    <row r="9">
      <c r="A9" s="57">
        <v>2.124017757E9</v>
      </c>
      <c r="B9" s="109" t="str">
        <f>VLOOKUP($A9,ANAGRAFICA!$B$1:$G$306,2,FALSE)</f>
        <v>SALA</v>
      </c>
      <c r="C9" s="109" t="str">
        <f>VLOOKUP($A9,ANAGRAFICA!$B$1:$G$306,3,FALSE)</f>
        <v>FELICE</v>
      </c>
      <c r="D9" s="109" t="str">
        <f>VLOOKUP($A9,ANAGRAFICA!$B$1:$G$306,4,FALSE)</f>
        <v>758-14</v>
      </c>
      <c r="E9" s="109">
        <f>VLOOKUP($A9,ANAGRAFICA!$B$1:$G$306,5,FALSE)</f>
        <v>3272024080</v>
      </c>
      <c r="F9" s="109">
        <f>VLOOKUP($A9,ANAGRAFICA!$B$1:$G$306,6,FALSE)</f>
        <v>2024</v>
      </c>
      <c r="G9" s="3">
        <v>1.0</v>
      </c>
      <c r="H9" s="236" t="b">
        <v>1</v>
      </c>
      <c r="I9" s="234" t="b">
        <v>0</v>
      </c>
      <c r="J9" s="239">
        <v>45572.0</v>
      </c>
      <c r="K9" s="237" t="s">
        <v>637</v>
      </c>
      <c r="L9" s="237" t="s">
        <v>1304</v>
      </c>
      <c r="M9" s="234" t="b">
        <v>0</v>
      </c>
      <c r="N9" s="236" t="b">
        <v>1</v>
      </c>
      <c r="O9" s="236" t="b">
        <v>1</v>
      </c>
      <c r="P9" s="236" t="b">
        <v>1</v>
      </c>
      <c r="Q9" s="234" t="b">
        <v>0</v>
      </c>
      <c r="R9" s="236" t="b">
        <v>0</v>
      </c>
    </row>
    <row r="10">
      <c r="A10" s="57">
        <v>2.124211722E9</v>
      </c>
      <c r="B10" s="109" t="str">
        <f>VLOOKUP($A10,ANAGRAFICA!$B$1:$G$306,2,FALSE)</f>
        <v>CORIO</v>
      </c>
      <c r="C10" s="109" t="str">
        <f>VLOOKUP($A10,ANAGRAFICA!$B$1:$G$306,3,FALSE)</f>
        <v>GIOVANNI</v>
      </c>
      <c r="D10" s="109" t="str">
        <f>VLOOKUP($A10,ANAGRAFICA!$B$1:$G$306,4,FALSE)</f>
        <v>758-13</v>
      </c>
      <c r="E10" s="109">
        <f>VLOOKUP($A10,ANAGRAFICA!$B$1:$G$306,5,FALSE)</f>
        <v>3272024079</v>
      </c>
      <c r="F10" s="109">
        <f>VLOOKUP($A10,ANAGRAFICA!$B$1:$G$306,6,FALSE)</f>
        <v>2024</v>
      </c>
      <c r="G10" s="3">
        <v>1.0</v>
      </c>
      <c r="H10" s="236" t="b">
        <v>1</v>
      </c>
      <c r="I10" s="234" t="b">
        <v>0</v>
      </c>
      <c r="J10" s="237" t="s">
        <v>1325</v>
      </c>
      <c r="K10" s="237" t="s">
        <v>292</v>
      </c>
      <c r="L10" s="237" t="s">
        <v>1284</v>
      </c>
      <c r="M10" s="234" t="b">
        <v>0</v>
      </c>
      <c r="N10" s="236" t="b">
        <v>1</v>
      </c>
      <c r="O10" s="234" t="b">
        <v>0</v>
      </c>
      <c r="P10" s="236" t="b">
        <v>1</v>
      </c>
      <c r="Q10" s="234" t="b">
        <v>0</v>
      </c>
      <c r="R10" s="236" t="b">
        <v>0</v>
      </c>
    </row>
    <row r="11">
      <c r="A11" s="57">
        <v>2.124014334E9</v>
      </c>
      <c r="B11" s="109" t="str">
        <f>VLOOKUP($A11,ANAGRAFICA!$B$1:$G$306,2,FALSE)</f>
        <v>PONTIGGIA</v>
      </c>
      <c r="C11" s="109" t="str">
        <f>VLOOKUP($A11,ANAGRAFICA!$B$1:$G$306,3,FALSE)</f>
        <v>FLAVIO</v>
      </c>
      <c r="D11" s="109" t="str">
        <f>VLOOKUP($A11,ANAGRAFICA!$B$1:$G$306,4,FALSE)</f>
        <v>758-9</v>
      </c>
      <c r="E11" s="109">
        <f>VLOOKUP($A11,ANAGRAFICA!$B$1:$G$306,5,FALSE)</f>
        <v>3272024075</v>
      </c>
      <c r="F11" s="109">
        <f>VLOOKUP($A11,ANAGRAFICA!$B$1:$G$306,6,FALSE)</f>
        <v>2024</v>
      </c>
      <c r="G11" s="3">
        <v>1.0</v>
      </c>
      <c r="H11" s="236" t="b">
        <v>1</v>
      </c>
      <c r="I11" s="234" t="b">
        <v>0</v>
      </c>
      <c r="J11" s="238">
        <v>45512.0</v>
      </c>
      <c r="K11" s="237" t="s">
        <v>641</v>
      </c>
      <c r="L11" s="237" t="s">
        <v>1304</v>
      </c>
      <c r="M11" s="234" t="b">
        <v>0</v>
      </c>
      <c r="N11" s="234" t="b">
        <v>0</v>
      </c>
      <c r="O11" s="234" t="b">
        <v>0</v>
      </c>
      <c r="P11" s="234" t="b">
        <v>0</v>
      </c>
      <c r="Q11" s="234" t="b">
        <v>0</v>
      </c>
      <c r="R11" s="236" t="b">
        <v>0</v>
      </c>
    </row>
    <row r="12">
      <c r="A12" s="57">
        <v>2.124013801E9</v>
      </c>
      <c r="B12" s="109" t="str">
        <f>VLOOKUP($A12,ANAGRAFICA!$B$1:$G$306,2,FALSE)</f>
        <v>SGOBBA</v>
      </c>
      <c r="C12" s="109" t="str">
        <f>VLOOKUP($A12,ANAGRAFICA!$B$1:$G$306,3,FALSE)</f>
        <v>ANNA</v>
      </c>
      <c r="D12" s="109" t="str">
        <f>VLOOKUP($A12,ANAGRAFICA!$B$1:$G$306,4,FALSE)</f>
        <v>758-8</v>
      </c>
      <c r="E12" s="109">
        <f>VLOOKUP($A12,ANAGRAFICA!$B$1:$G$306,5,FALSE)</f>
        <v>3272024074</v>
      </c>
      <c r="F12" s="109">
        <f>VLOOKUP($A12,ANAGRAFICA!$B$1:$G$306,6,FALSE)</f>
        <v>2024</v>
      </c>
      <c r="G12" s="3">
        <v>1.0</v>
      </c>
      <c r="H12" s="236" t="b">
        <v>1</v>
      </c>
      <c r="I12" s="234" t="b">
        <v>0</v>
      </c>
      <c r="J12" s="238">
        <v>45511.0</v>
      </c>
      <c r="K12" s="237" t="s">
        <v>116</v>
      </c>
      <c r="L12" s="237" t="s">
        <v>1304</v>
      </c>
      <c r="M12" s="234" t="b">
        <v>0</v>
      </c>
      <c r="N12" s="234" t="b">
        <v>0</v>
      </c>
      <c r="O12" s="234" t="b">
        <v>0</v>
      </c>
      <c r="P12" s="236" t="b">
        <v>1</v>
      </c>
      <c r="Q12" s="234" t="b">
        <v>0</v>
      </c>
      <c r="R12" s="236" t="b">
        <v>0</v>
      </c>
    </row>
    <row r="13">
      <c r="A13" s="57">
        <v>2.124013801E9</v>
      </c>
      <c r="B13" s="109" t="str">
        <f>VLOOKUP($A13,ANAGRAFICA!$B$1:$G$306,2,FALSE)</f>
        <v>SGOBBA</v>
      </c>
      <c r="C13" s="109" t="str">
        <f>VLOOKUP($A13,ANAGRAFICA!$B$1:$G$306,3,FALSE)</f>
        <v>ANNA</v>
      </c>
      <c r="D13" s="109" t="str">
        <f>VLOOKUP($A13,ANAGRAFICA!$B$1:$G$306,4,FALSE)</f>
        <v>758-8</v>
      </c>
      <c r="E13" s="109">
        <f>VLOOKUP($A13,ANAGRAFICA!$B$1:$G$306,5,FALSE)</f>
        <v>3272024074</v>
      </c>
      <c r="F13" s="109">
        <f>VLOOKUP($A13,ANAGRAFICA!$B$1:$G$306,6,FALSE)</f>
        <v>2024</v>
      </c>
      <c r="G13" s="3">
        <v>1.0</v>
      </c>
      <c r="H13" s="236" t="b">
        <v>1</v>
      </c>
      <c r="I13" s="234" t="b">
        <v>0</v>
      </c>
      <c r="J13" s="238">
        <v>45512.0</v>
      </c>
      <c r="K13" s="237" t="s">
        <v>1326</v>
      </c>
      <c r="L13" s="237" t="s">
        <v>1304</v>
      </c>
      <c r="M13" s="234" t="b">
        <v>0</v>
      </c>
      <c r="N13" s="234" t="b">
        <v>0</v>
      </c>
      <c r="O13" s="234" t="b">
        <v>0</v>
      </c>
      <c r="P13" s="236" t="b">
        <v>0</v>
      </c>
      <c r="Q13" s="234" t="b">
        <v>0</v>
      </c>
      <c r="R13" s="236" t="b">
        <v>0</v>
      </c>
      <c r="S13" s="3" t="s">
        <v>1327</v>
      </c>
    </row>
    <row r="14">
      <c r="A14" s="57">
        <v>2.124012915E9</v>
      </c>
      <c r="B14" s="109" t="str">
        <f>VLOOKUP($A14,ANAGRAFICA!$B$1:$G$306,2,FALSE)</f>
        <v>GARGIONI</v>
      </c>
      <c r="C14" s="109" t="str">
        <f>VLOOKUP($A14,ANAGRAFICA!$B$1:$G$306,3,FALSE)</f>
        <v>GIULIO</v>
      </c>
      <c r="D14" s="109" t="str">
        <f>VLOOKUP($A14,ANAGRAFICA!$B$1:$G$306,4,FALSE)</f>
        <v>758-6</v>
      </c>
      <c r="E14" s="109">
        <f>VLOOKUP($A14,ANAGRAFICA!$B$1:$G$306,5,FALSE)</f>
        <v>3272024072</v>
      </c>
      <c r="F14" s="109">
        <f>VLOOKUP($A14,ANAGRAFICA!$B$1:$G$306,6,FALSE)</f>
        <v>2024</v>
      </c>
      <c r="G14" s="3">
        <v>1.0</v>
      </c>
      <c r="H14" s="236" t="b">
        <v>1</v>
      </c>
      <c r="I14" s="234" t="b">
        <v>0</v>
      </c>
      <c r="J14" s="238">
        <v>45485.0</v>
      </c>
      <c r="K14" s="237" t="s">
        <v>325</v>
      </c>
      <c r="L14" s="237" t="s">
        <v>1284</v>
      </c>
      <c r="M14" s="234" t="b">
        <v>0</v>
      </c>
      <c r="N14" s="236" t="b">
        <v>1</v>
      </c>
      <c r="O14" s="234" t="b">
        <v>0</v>
      </c>
      <c r="P14" s="236" t="b">
        <v>1</v>
      </c>
      <c r="Q14" s="234" t="b">
        <v>0</v>
      </c>
      <c r="R14" s="236" t="b">
        <v>0</v>
      </c>
    </row>
    <row r="15">
      <c r="A15" s="57">
        <v>2.124012915E9</v>
      </c>
      <c r="B15" s="109" t="str">
        <f>VLOOKUP($A15,ANAGRAFICA!$B$1:$G$306,2,FALSE)</f>
        <v>GARGIONI</v>
      </c>
      <c r="C15" s="109" t="str">
        <f>VLOOKUP($A15,ANAGRAFICA!$B$1:$G$306,3,FALSE)</f>
        <v>GIULIO</v>
      </c>
      <c r="D15" s="109" t="str">
        <f>VLOOKUP($A15,ANAGRAFICA!$B$1:$G$306,4,FALSE)</f>
        <v>758-6</v>
      </c>
      <c r="E15" s="109">
        <f>VLOOKUP($A15,ANAGRAFICA!$B$1:$G$306,5,FALSE)</f>
        <v>3272024072</v>
      </c>
      <c r="F15" s="109">
        <f>VLOOKUP($A15,ANAGRAFICA!$B$1:$G$306,6,FALSE)</f>
        <v>2024</v>
      </c>
      <c r="G15" s="3">
        <v>1.0</v>
      </c>
      <c r="H15" s="236" t="b">
        <v>1</v>
      </c>
      <c r="I15" s="234" t="b">
        <v>0</v>
      </c>
      <c r="J15" s="238">
        <v>45488.0</v>
      </c>
      <c r="K15" s="237" t="s">
        <v>652</v>
      </c>
      <c r="L15" s="237" t="s">
        <v>1284</v>
      </c>
      <c r="M15" s="234" t="b">
        <v>0</v>
      </c>
      <c r="N15" s="236" t="b">
        <v>0</v>
      </c>
      <c r="O15" s="236" t="b">
        <v>1</v>
      </c>
      <c r="P15" s="236" t="b">
        <v>0</v>
      </c>
      <c r="Q15" s="234" t="b">
        <v>0</v>
      </c>
      <c r="R15" s="236" t="b">
        <v>0</v>
      </c>
    </row>
    <row r="16">
      <c r="A16" s="57">
        <v>2.124011588E9</v>
      </c>
      <c r="B16" s="109" t="str">
        <f>VLOOKUP($A16,ANAGRAFICA!$B$1:$G$306,2,FALSE)</f>
        <v>FRATINO</v>
      </c>
      <c r="C16" s="109" t="str">
        <f>VLOOKUP($A16,ANAGRAFICA!$B$1:$G$306,3,FALSE)</f>
        <v>OLIVIERO</v>
      </c>
      <c r="D16" s="109" t="str">
        <f>VLOOKUP($A16,ANAGRAFICA!$B$1:$G$306,4,FALSE)</f>
        <v>758-4</v>
      </c>
      <c r="E16" s="109">
        <f>VLOOKUP($A16,ANAGRAFICA!$B$1:$G$306,5,FALSE)</f>
        <v>3272024070</v>
      </c>
      <c r="F16" s="109">
        <f>VLOOKUP($A16,ANAGRAFICA!$B$1:$G$306,6,FALSE)</f>
        <v>2024</v>
      </c>
      <c r="G16" s="3">
        <v>1.0</v>
      </c>
      <c r="H16" s="236" t="b">
        <v>1</v>
      </c>
      <c r="I16" s="234" t="b">
        <v>0</v>
      </c>
      <c r="J16" s="238">
        <v>45464.0</v>
      </c>
      <c r="K16" s="237" t="s">
        <v>655</v>
      </c>
      <c r="L16" s="237" t="s">
        <v>1311</v>
      </c>
      <c r="M16" s="234" t="b">
        <v>0</v>
      </c>
      <c r="N16" s="234" t="b">
        <v>0</v>
      </c>
      <c r="O16" s="234" t="b">
        <v>0</v>
      </c>
      <c r="P16" s="234" t="b">
        <v>0</v>
      </c>
      <c r="Q16" s="234" t="b">
        <v>0</v>
      </c>
      <c r="R16" s="236" t="b">
        <v>0</v>
      </c>
      <c r="S16" s="3" t="s">
        <v>1328</v>
      </c>
    </row>
    <row r="17">
      <c r="A17" s="57">
        <v>2.124208629E9</v>
      </c>
      <c r="B17" s="109" t="str">
        <f>VLOOKUP($A17,ANAGRAFICA!$B$1:$G$306,2,FALSE)</f>
        <v>D'ANDREA</v>
      </c>
      <c r="C17" s="109" t="str">
        <f>VLOOKUP($A17,ANAGRAFICA!$B$1:$G$306,3,FALSE)</f>
        <v>FERNANDO ANTONIO</v>
      </c>
      <c r="D17" s="109" t="str">
        <f>VLOOKUP($A17,ANAGRAFICA!$B$1:$G$306,4,FALSE)</f>
        <v>758-5</v>
      </c>
      <c r="E17" s="109">
        <f>VLOOKUP($A17,ANAGRAFICA!$B$1:$G$306,5,FALSE)</f>
        <v>3272024071</v>
      </c>
      <c r="F17" s="109">
        <f>VLOOKUP($A17,ANAGRAFICA!$B$1:$G$306,6,FALSE)</f>
        <v>2024</v>
      </c>
      <c r="G17" s="3">
        <v>1.0</v>
      </c>
      <c r="H17" s="236" t="b">
        <v>1</v>
      </c>
      <c r="I17" s="236" t="b">
        <v>0</v>
      </c>
      <c r="J17" s="238">
        <v>45470.0</v>
      </c>
      <c r="K17" s="237" t="s">
        <v>96</v>
      </c>
      <c r="L17" s="237" t="s">
        <v>1304</v>
      </c>
      <c r="M17" s="234" t="b">
        <v>0</v>
      </c>
      <c r="N17" s="236" t="b">
        <v>1</v>
      </c>
      <c r="O17" s="234" t="b">
        <v>0</v>
      </c>
      <c r="P17" s="234" t="b">
        <v>0</v>
      </c>
      <c r="Q17" s="234" t="b">
        <v>0</v>
      </c>
      <c r="R17" s="236" t="b">
        <v>0</v>
      </c>
    </row>
    <row r="18">
      <c r="A18" s="57">
        <v>2.1240107E9</v>
      </c>
      <c r="B18" s="109" t="str">
        <f>VLOOKUP($A18,ANAGRAFICA!$B$1:$G$306,2,FALSE)</f>
        <v>ORNAGHI</v>
      </c>
      <c r="C18" s="109" t="str">
        <f>VLOOKUP($A18,ANAGRAFICA!$B$1:$G$306,3,FALSE)</f>
        <v>LORENZO</v>
      </c>
      <c r="D18" s="109" t="str">
        <f>VLOOKUP($A18,ANAGRAFICA!$B$1:$G$306,4,FALSE)</f>
        <v>758-2</v>
      </c>
      <c r="E18" s="109">
        <f>VLOOKUP($A18,ANAGRAFICA!$B$1:$G$306,5,FALSE)</f>
        <v>3272024068</v>
      </c>
      <c r="F18" s="109">
        <f>VLOOKUP($A18,ANAGRAFICA!$B$1:$G$306,6,FALSE)</f>
        <v>2024</v>
      </c>
      <c r="G18" s="3">
        <v>1.0</v>
      </c>
      <c r="H18" s="236" t="b">
        <v>1</v>
      </c>
      <c r="I18" s="234" t="b">
        <v>0</v>
      </c>
      <c r="J18" s="238">
        <v>45448.0</v>
      </c>
      <c r="K18" s="237" t="s">
        <v>663</v>
      </c>
      <c r="L18" s="237" t="s">
        <v>1284</v>
      </c>
      <c r="M18" s="234" t="b">
        <v>0</v>
      </c>
      <c r="N18" s="236" t="b">
        <v>1</v>
      </c>
      <c r="O18" s="234" t="b">
        <v>0</v>
      </c>
      <c r="P18" s="234" t="b">
        <v>0</v>
      </c>
      <c r="Q18" s="234" t="b">
        <v>0</v>
      </c>
      <c r="R18" s="236" t="b">
        <v>0</v>
      </c>
    </row>
    <row r="19">
      <c r="A19" s="57">
        <v>2.124009735E9</v>
      </c>
      <c r="B19" s="109" t="str">
        <f>VLOOKUP($A19,ANAGRAFICA!$B$1:$G$306,2,FALSE)</f>
        <v>BOSSI</v>
      </c>
      <c r="C19" s="109" t="str">
        <f>VLOOKUP($A19,ANAGRAFICA!$B$1:$G$306,3,FALSE)</f>
        <v>LUDOVICO</v>
      </c>
      <c r="D19" s="109" t="str">
        <f>VLOOKUP($A19,ANAGRAFICA!$B$1:$G$306,4,FALSE)</f>
        <v>758-1</v>
      </c>
      <c r="E19" s="109">
        <f>VLOOKUP($A19,ANAGRAFICA!$B$1:$G$306,5,FALSE)</f>
        <v>3272024067</v>
      </c>
      <c r="F19" s="109">
        <f>VLOOKUP($A19,ANAGRAFICA!$B$1:$G$306,6,FALSE)</f>
        <v>2024</v>
      </c>
      <c r="G19" s="3">
        <v>1.0</v>
      </c>
      <c r="H19" s="236" t="b">
        <v>1</v>
      </c>
      <c r="I19" s="234" t="b">
        <v>0</v>
      </c>
      <c r="J19" s="238">
        <v>45435.0</v>
      </c>
      <c r="K19" s="237" t="s">
        <v>664</v>
      </c>
      <c r="L19" s="237" t="s">
        <v>1284</v>
      </c>
      <c r="M19" s="234" t="b">
        <v>0</v>
      </c>
      <c r="N19" s="236" t="b">
        <v>1</v>
      </c>
      <c r="O19" s="236" t="b">
        <v>1</v>
      </c>
      <c r="P19" s="236" t="b">
        <v>1</v>
      </c>
      <c r="Q19" s="236" t="b">
        <v>1</v>
      </c>
      <c r="R19" s="236" t="b">
        <v>0</v>
      </c>
    </row>
    <row r="20">
      <c r="A20" s="57">
        <v>2.124011236E9</v>
      </c>
      <c r="B20" s="109" t="str">
        <f>VLOOKUP($A20,ANAGRAFICA!$B$1:$G$306,2,FALSE)</f>
        <v>BERETTA</v>
      </c>
      <c r="C20" s="109" t="str">
        <f>VLOOKUP($A20,ANAGRAFICA!$B$1:$G$306,3,FALSE)</f>
        <v>ENZO LUCIANO</v>
      </c>
      <c r="D20" s="109" t="str">
        <f>VLOOKUP($A20,ANAGRAFICA!$B$1:$G$306,4,FALSE)</f>
        <v>758-3</v>
      </c>
      <c r="E20" s="109">
        <f>VLOOKUP($A20,ANAGRAFICA!$B$1:$G$306,5,FALSE)</f>
        <v>3272024069</v>
      </c>
      <c r="F20" s="109">
        <f>VLOOKUP($A20,ANAGRAFICA!$B$1:$G$306,6,FALSE)</f>
        <v>2024</v>
      </c>
      <c r="G20" s="3">
        <v>1.0</v>
      </c>
      <c r="H20" s="236" t="b">
        <v>1</v>
      </c>
      <c r="I20" s="234" t="b">
        <v>0</v>
      </c>
      <c r="J20" s="238">
        <v>45463.0</v>
      </c>
      <c r="K20" s="237" t="s">
        <v>658</v>
      </c>
      <c r="L20" s="237" t="s">
        <v>1284</v>
      </c>
      <c r="M20" s="234" t="b">
        <v>0</v>
      </c>
      <c r="N20" s="234" t="b">
        <v>0</v>
      </c>
      <c r="O20" s="234" t="b">
        <v>0</v>
      </c>
      <c r="P20" s="234" t="b">
        <v>0</v>
      </c>
      <c r="Q20" s="234" t="b">
        <v>0</v>
      </c>
      <c r="R20" s="236" t="b">
        <v>0</v>
      </c>
    </row>
    <row r="21">
      <c r="A21" s="57">
        <v>2.124011236E9</v>
      </c>
      <c r="B21" s="109" t="str">
        <f>VLOOKUP($A21,ANAGRAFICA!$B$1:$G$306,2,FALSE)</f>
        <v>BERETTA</v>
      </c>
      <c r="C21" s="109" t="str">
        <f>VLOOKUP($A21,ANAGRAFICA!$B$1:$G$306,3,FALSE)</f>
        <v>ENZO LUCIANO</v>
      </c>
      <c r="D21" s="109" t="str">
        <f>VLOOKUP($A21,ANAGRAFICA!$B$1:$G$306,4,FALSE)</f>
        <v>758-3</v>
      </c>
      <c r="E21" s="109">
        <f>VLOOKUP($A21,ANAGRAFICA!$B$1:$G$306,5,FALSE)</f>
        <v>3272024069</v>
      </c>
      <c r="F21" s="109">
        <f>VLOOKUP($A21,ANAGRAFICA!$B$1:$G$306,6,FALSE)</f>
        <v>2024</v>
      </c>
      <c r="G21" s="3">
        <v>1.0</v>
      </c>
      <c r="H21" s="236" t="b">
        <v>1</v>
      </c>
      <c r="I21" s="234" t="b">
        <v>0</v>
      </c>
      <c r="J21" s="238">
        <v>45468.0</v>
      </c>
      <c r="K21" s="237" t="s">
        <v>611</v>
      </c>
      <c r="L21" s="237" t="s">
        <v>1304</v>
      </c>
      <c r="M21" s="234" t="b">
        <v>0</v>
      </c>
      <c r="N21" s="234" t="b">
        <v>0</v>
      </c>
      <c r="O21" s="236" t="b">
        <v>1</v>
      </c>
      <c r="P21" s="234" t="b">
        <v>0</v>
      </c>
      <c r="Q21" s="234" t="b">
        <v>0</v>
      </c>
      <c r="R21" s="236" t="b">
        <v>0</v>
      </c>
    </row>
    <row r="22">
      <c r="A22" s="57">
        <v>2.124008291E9</v>
      </c>
      <c r="B22" s="109" t="str">
        <f>VLOOKUP($A22,ANAGRAFICA!$B$1:$G$306,2,FALSE)</f>
        <v>FUMAGALLI</v>
      </c>
      <c r="C22" s="109" t="str">
        <f>VLOOKUP($A22,ANAGRAFICA!$B$1:$G$306,3,FALSE)</f>
        <v>PIERO</v>
      </c>
      <c r="D22" s="109" t="str">
        <f>VLOOKUP($A22,ANAGRAFICA!$B$1:$G$306,4,FALSE)</f>
        <v/>
      </c>
      <c r="E22" s="109">
        <f>VLOOKUP($A22,ANAGRAFICA!$B$1:$G$306,5,FALSE)</f>
        <v>3272024065</v>
      </c>
      <c r="F22" s="109">
        <f>VLOOKUP($A22,ANAGRAFICA!$B$1:$G$306,6,FALSE)</f>
        <v>2024</v>
      </c>
      <c r="G22" s="3">
        <v>1.0</v>
      </c>
      <c r="H22" s="236" t="b">
        <v>1</v>
      </c>
      <c r="I22" s="234" t="b">
        <v>0</v>
      </c>
      <c r="J22" s="238">
        <v>45415.0</v>
      </c>
      <c r="K22" s="237" t="s">
        <v>437</v>
      </c>
      <c r="L22" s="237" t="s">
        <v>1304</v>
      </c>
      <c r="M22" s="236" t="b">
        <v>1</v>
      </c>
      <c r="N22" s="236" t="b">
        <v>1</v>
      </c>
      <c r="O22" s="234" t="b">
        <v>0</v>
      </c>
      <c r="P22" s="236" t="b">
        <v>1</v>
      </c>
      <c r="Q22" s="234" t="b">
        <v>0</v>
      </c>
      <c r="R22" s="236" t="b">
        <v>0</v>
      </c>
    </row>
    <row r="23">
      <c r="A23" s="57">
        <v>2.124007138E9</v>
      </c>
      <c r="B23" s="109" t="str">
        <f>VLOOKUP($A23,ANAGRAFICA!$B$1:$G$306,2,FALSE)</f>
        <v>TARTARELLI</v>
      </c>
      <c r="C23" s="109" t="str">
        <f>VLOOKUP($A23,ANAGRAFICA!$B$1:$G$306,3,FALSE)</f>
        <v>GIUSEPPE</v>
      </c>
      <c r="D23" s="109" t="str">
        <f>VLOOKUP($A23,ANAGRAFICA!$B$1:$G$306,4,FALSE)</f>
        <v/>
      </c>
      <c r="E23" s="109">
        <f>VLOOKUP($A23,ANAGRAFICA!$B$1:$G$306,5,FALSE)</f>
        <v>3272024063</v>
      </c>
      <c r="F23" s="109">
        <f>VLOOKUP($A23,ANAGRAFICA!$B$1:$G$306,6,FALSE)</f>
        <v>2024</v>
      </c>
      <c r="G23" s="3">
        <v>1.0</v>
      </c>
      <c r="H23" s="236" t="b">
        <v>1</v>
      </c>
      <c r="I23" s="234" t="b">
        <v>0</v>
      </c>
      <c r="J23" s="238">
        <v>45395.0</v>
      </c>
      <c r="K23" s="237" t="s">
        <v>666</v>
      </c>
      <c r="L23" s="237" t="s">
        <v>1284</v>
      </c>
      <c r="M23" s="236" t="b">
        <v>1</v>
      </c>
      <c r="N23" s="236" t="b">
        <v>1</v>
      </c>
      <c r="O23" s="234" t="b">
        <v>0</v>
      </c>
      <c r="P23" s="236" t="b">
        <v>1</v>
      </c>
      <c r="Q23" s="234" t="b">
        <v>0</v>
      </c>
      <c r="R23" s="236" t="b">
        <v>0</v>
      </c>
    </row>
    <row r="24">
      <c r="A24" s="57">
        <v>2.124015827E9</v>
      </c>
      <c r="B24" s="109" t="str">
        <f>VLOOKUP($A24,ANAGRAFICA!$B$1:$G$306,2,FALSE)</f>
        <v>SCHIAVON</v>
      </c>
      <c r="C24" s="109" t="str">
        <f>VLOOKUP($A24,ANAGRAFICA!$B$1:$G$306,3,FALSE)</f>
        <v>ELIO PAOLO</v>
      </c>
      <c r="D24" s="109" t="str">
        <f>VLOOKUP($A24,ANAGRAFICA!$B$1:$G$306,4,FALSE)</f>
        <v>758-11</v>
      </c>
      <c r="E24" s="109">
        <f>VLOOKUP($A24,ANAGRAFICA!$B$1:$G$306,5,FALSE)</f>
        <v>3272024077</v>
      </c>
      <c r="F24" s="109">
        <f>VLOOKUP($A24,ANAGRAFICA!$B$1:$G$306,6,FALSE)</f>
        <v>2024</v>
      </c>
      <c r="G24" s="3">
        <v>1.0</v>
      </c>
      <c r="H24" s="236" t="b">
        <v>1</v>
      </c>
      <c r="I24" s="234" t="b">
        <v>0</v>
      </c>
      <c r="J24" s="238">
        <v>45543.0</v>
      </c>
      <c r="K24" s="237" t="s">
        <v>671</v>
      </c>
      <c r="L24" s="237" t="s">
        <v>1304</v>
      </c>
      <c r="M24" s="236" t="b">
        <v>1</v>
      </c>
      <c r="N24" s="234" t="b">
        <v>0</v>
      </c>
      <c r="O24" s="234" t="b">
        <v>0</v>
      </c>
      <c r="P24" s="234" t="b">
        <v>0</v>
      </c>
      <c r="Q24" s="234" t="b">
        <v>0</v>
      </c>
      <c r="R24" s="236" t="b">
        <v>0</v>
      </c>
    </row>
    <row r="25">
      <c r="A25" s="57">
        <v>2.12400578E9</v>
      </c>
      <c r="B25" s="109" t="str">
        <f>VLOOKUP($A25,ANAGRAFICA!$B$1:$G$306,2,FALSE)</f>
        <v>SAINCIUC</v>
      </c>
      <c r="C25" s="109" t="str">
        <f>VLOOKUP($A25,ANAGRAFICA!$B$1:$G$306,3,FALSE)</f>
        <v>AUREL</v>
      </c>
      <c r="D25" s="109" t="str">
        <f>VLOOKUP($A25,ANAGRAFICA!$B$1:$G$306,4,FALSE)</f>
        <v/>
      </c>
      <c r="E25" s="109">
        <f>VLOOKUP($A25,ANAGRAFICA!$B$1:$G$306,5,FALSE)</f>
        <v>3272024061</v>
      </c>
      <c r="F25" s="109">
        <f>VLOOKUP($A25,ANAGRAFICA!$B$1:$G$306,6,FALSE)</f>
        <v>2024</v>
      </c>
      <c r="G25" s="3">
        <v>1.0</v>
      </c>
      <c r="H25" s="236" t="b">
        <v>1</v>
      </c>
      <c r="I25" s="234" t="b">
        <v>0</v>
      </c>
      <c r="J25" s="238">
        <v>45435.0</v>
      </c>
      <c r="K25" s="237" t="s">
        <v>1303</v>
      </c>
      <c r="L25" s="237" t="s">
        <v>1284</v>
      </c>
      <c r="M25" s="236" t="b">
        <v>1</v>
      </c>
      <c r="N25" s="234" t="b">
        <v>0</v>
      </c>
      <c r="O25" s="234" t="b">
        <v>0</v>
      </c>
      <c r="P25" s="234" t="b">
        <v>0</v>
      </c>
      <c r="Q25" s="234" t="b">
        <v>0</v>
      </c>
      <c r="R25" s="236" t="b">
        <v>0</v>
      </c>
    </row>
    <row r="26">
      <c r="A26" s="57">
        <v>2.124004761E9</v>
      </c>
      <c r="B26" s="109" t="str">
        <f>VLOOKUP($A26,ANAGRAFICA!$B$1:$G$306,2,FALSE)</f>
        <v>TRAMPOLIN</v>
      </c>
      <c r="C26" s="109" t="str">
        <f>VLOOKUP($A26,ANAGRAFICA!$B$1:$G$306,3,FALSE)</f>
        <v>FABIO</v>
      </c>
      <c r="D26" s="109" t="str">
        <f>VLOOKUP($A26,ANAGRAFICA!$B$1:$G$306,4,FALSE)</f>
        <v/>
      </c>
      <c r="E26" s="109">
        <f>VLOOKUP($A26,ANAGRAFICA!$B$1:$G$306,5,FALSE)</f>
        <v>3272024060</v>
      </c>
      <c r="F26" s="109">
        <f>VLOOKUP($A26,ANAGRAFICA!$B$1:$G$306,6,FALSE)</f>
        <v>2024</v>
      </c>
      <c r="G26" s="3">
        <v>1.0</v>
      </c>
      <c r="H26" s="236" t="b">
        <v>1</v>
      </c>
      <c r="I26" s="234" t="b">
        <v>0</v>
      </c>
      <c r="J26" s="238">
        <v>45361.0</v>
      </c>
      <c r="K26" s="237" t="s">
        <v>669</v>
      </c>
      <c r="L26" s="237" t="s">
        <v>1284</v>
      </c>
      <c r="M26" s="236" t="b">
        <v>1</v>
      </c>
      <c r="N26" s="234" t="b">
        <v>0</v>
      </c>
      <c r="O26" s="236" t="b">
        <v>1</v>
      </c>
      <c r="P26" s="234" t="b">
        <v>0</v>
      </c>
      <c r="Q26" s="234" t="b">
        <v>0</v>
      </c>
      <c r="R26" s="236" t="b">
        <v>0</v>
      </c>
    </row>
    <row r="27">
      <c r="A27" s="57">
        <v>2.124003924E9</v>
      </c>
      <c r="B27" s="109" t="str">
        <f>VLOOKUP($A27,ANAGRAFICA!$B$1:$G$306,2,FALSE)</f>
        <v>MUHAMMAD</v>
      </c>
      <c r="C27" s="109" t="str">
        <f>VLOOKUP($A27,ANAGRAFICA!$B$1:$G$306,3,FALSE)</f>
        <v>SHARIF</v>
      </c>
      <c r="D27" s="109" t="str">
        <f>VLOOKUP($A27,ANAGRAFICA!$B$1:$G$306,4,FALSE)</f>
        <v/>
      </c>
      <c r="E27" s="109">
        <f>VLOOKUP($A27,ANAGRAFICA!$B$1:$G$306,5,FALSE)</f>
        <v>3272024059</v>
      </c>
      <c r="F27" s="109">
        <f>VLOOKUP($A27,ANAGRAFICA!$B$1:$G$306,6,FALSE)</f>
        <v>2024</v>
      </c>
      <c r="G27" s="3">
        <v>1.0</v>
      </c>
      <c r="H27" s="236" t="b">
        <v>1</v>
      </c>
      <c r="I27" s="234" t="b">
        <v>0</v>
      </c>
      <c r="J27" s="238">
        <v>45349.0</v>
      </c>
      <c r="K27" s="237" t="s">
        <v>676</v>
      </c>
      <c r="L27" s="237" t="s">
        <v>1284</v>
      </c>
      <c r="M27" s="236" t="b">
        <v>1</v>
      </c>
      <c r="N27" s="234" t="b">
        <v>0</v>
      </c>
      <c r="O27" s="234" t="b">
        <v>0</v>
      </c>
      <c r="P27" s="234" t="b">
        <v>0</v>
      </c>
      <c r="Q27" s="234" t="b">
        <v>0</v>
      </c>
      <c r="R27" s="236" t="b">
        <v>0</v>
      </c>
    </row>
    <row r="28">
      <c r="A28" s="57">
        <v>2.124003924E9</v>
      </c>
      <c r="B28" s="109" t="str">
        <f>VLOOKUP($A28,ANAGRAFICA!$B$1:$G$306,2,FALSE)</f>
        <v>MUHAMMAD</v>
      </c>
      <c r="C28" s="109" t="str">
        <f>VLOOKUP($A28,ANAGRAFICA!$B$1:$G$306,3,FALSE)</f>
        <v>SHARIF</v>
      </c>
      <c r="D28" s="109" t="str">
        <f>VLOOKUP($A28,ANAGRAFICA!$B$1:$G$306,4,FALSE)</f>
        <v/>
      </c>
      <c r="E28" s="109">
        <f>VLOOKUP($A28,ANAGRAFICA!$B$1:$G$306,5,FALSE)</f>
        <v>3272024059</v>
      </c>
      <c r="F28" s="109">
        <f>VLOOKUP($A28,ANAGRAFICA!$B$1:$G$306,6,FALSE)</f>
        <v>2024</v>
      </c>
      <c r="G28" s="3">
        <v>1.0</v>
      </c>
      <c r="H28" s="236" t="b">
        <v>1</v>
      </c>
      <c r="I28" s="234" t="b">
        <v>0</v>
      </c>
      <c r="J28" s="238">
        <v>45349.0</v>
      </c>
      <c r="K28" s="237" t="s">
        <v>677</v>
      </c>
      <c r="L28" s="237" t="s">
        <v>1284</v>
      </c>
      <c r="M28" s="234" t="b">
        <v>0</v>
      </c>
      <c r="N28" s="234" t="b">
        <v>0</v>
      </c>
      <c r="O28" s="234" t="b">
        <v>0</v>
      </c>
      <c r="P28" s="234" t="b">
        <v>0</v>
      </c>
      <c r="Q28" s="234" t="b">
        <v>0</v>
      </c>
      <c r="R28" s="236" t="b">
        <v>0</v>
      </c>
    </row>
    <row r="29">
      <c r="A29" s="57">
        <v>2.124206072E9</v>
      </c>
      <c r="B29" s="109" t="str">
        <f>VLOOKUP($A29,ANAGRAFICA!$B$1:$G$306,2,FALSE)</f>
        <v>CONSONNI</v>
      </c>
      <c r="C29" s="109" t="str">
        <f>VLOOKUP($A29,ANAGRAFICA!$B$1:$G$306,3,FALSE)</f>
        <v>GIULIO</v>
      </c>
      <c r="D29" s="109" t="str">
        <f>VLOOKUP($A29,ANAGRAFICA!$B$1:$G$306,4,FALSE)</f>
        <v/>
      </c>
      <c r="E29" s="109">
        <f>VLOOKUP($A29,ANAGRAFICA!$B$1:$G$306,5,FALSE)</f>
        <v>3272024064</v>
      </c>
      <c r="F29" s="109">
        <f>VLOOKUP($A29,ANAGRAFICA!$B$1:$G$306,6,FALSE)</f>
        <v>2024</v>
      </c>
      <c r="G29" s="3">
        <v>2.0</v>
      </c>
      <c r="H29" s="236" t="b">
        <v>1</v>
      </c>
      <c r="I29" s="234" t="b">
        <v>0</v>
      </c>
      <c r="J29" s="238">
        <v>45416.0</v>
      </c>
      <c r="K29" s="237" t="s">
        <v>679</v>
      </c>
      <c r="L29" s="237" t="s">
        <v>1284</v>
      </c>
      <c r="M29" s="236" t="b">
        <v>1</v>
      </c>
      <c r="N29" s="234" t="b">
        <v>0</v>
      </c>
      <c r="O29" s="234" t="b">
        <v>0</v>
      </c>
      <c r="P29" s="234" t="b">
        <v>0</v>
      </c>
      <c r="Q29" s="234" t="b">
        <v>0</v>
      </c>
      <c r="R29" s="236" t="b">
        <v>0</v>
      </c>
      <c r="S29" s="3" t="s">
        <v>1329</v>
      </c>
    </row>
    <row r="30">
      <c r="A30" s="57">
        <v>2.124023603E9</v>
      </c>
      <c r="B30" s="109" t="str">
        <f>VLOOKUP($A30,ANAGRAFICA!$B$1:$G$306,2,FALSE)</f>
        <v>MAZZARDIS </v>
      </c>
      <c r="C30" s="109" t="str">
        <f>VLOOKUP($A30,ANAGRAFICA!$B$1:$G$306,3,FALSE)</f>
        <v>DAVIDE</v>
      </c>
      <c r="D30" s="109" t="str">
        <f>VLOOKUP($A30,ANAGRAFICA!$B$1:$G$306,4,FALSE)</f>
        <v>758-19</v>
      </c>
      <c r="E30" s="109">
        <f>VLOOKUP($A30,ANAGRAFICA!$B$1:$G$306,5,FALSE)</f>
        <v>3272024085</v>
      </c>
      <c r="F30" s="109">
        <f>VLOOKUP($A30,ANAGRAFICA!$B$1:$G$306,6,FALSE)</f>
        <v>2024</v>
      </c>
      <c r="G30" s="3">
        <v>1.0</v>
      </c>
      <c r="H30" s="236" t="b">
        <v>1</v>
      </c>
      <c r="I30" s="234" t="b">
        <v>0</v>
      </c>
      <c r="J30" s="239">
        <v>45622.0</v>
      </c>
      <c r="K30" s="237" t="s">
        <v>1305</v>
      </c>
      <c r="L30" s="237" t="s">
        <v>1284</v>
      </c>
      <c r="M30" s="236" t="b">
        <v>1</v>
      </c>
      <c r="N30" s="236" t="b">
        <v>1</v>
      </c>
      <c r="O30" s="234" t="b">
        <v>0</v>
      </c>
      <c r="P30" s="234" t="b">
        <v>0</v>
      </c>
      <c r="Q30" s="234" t="b">
        <v>0</v>
      </c>
      <c r="R30" s="236" t="b">
        <v>0</v>
      </c>
    </row>
    <row r="31">
      <c r="A31" s="57">
        <v>2.124211722E9</v>
      </c>
      <c r="B31" s="109" t="str">
        <f>VLOOKUP($A31,ANAGRAFICA!$B$1:$G$306,2,FALSE)</f>
        <v>CORIO</v>
      </c>
      <c r="C31" s="109" t="str">
        <f>VLOOKUP($A31,ANAGRAFICA!$B$1:$G$306,3,FALSE)</f>
        <v>GIOVANNI</v>
      </c>
      <c r="D31" s="109" t="str">
        <f>VLOOKUP($A31,ANAGRAFICA!$B$1:$G$306,4,FALSE)</f>
        <v>758-13</v>
      </c>
      <c r="E31" s="109">
        <f>VLOOKUP($A31,ANAGRAFICA!$B$1:$G$306,5,FALSE)</f>
        <v>3272024079</v>
      </c>
      <c r="F31" s="109">
        <f>VLOOKUP($A31,ANAGRAFICA!$B$1:$G$306,6,FALSE)</f>
        <v>2024</v>
      </c>
      <c r="G31" s="3">
        <v>1.0</v>
      </c>
      <c r="H31" s="236" t="b">
        <v>1</v>
      </c>
      <c r="I31" s="234" t="b">
        <v>0</v>
      </c>
      <c r="J31" s="238">
        <v>45602.0</v>
      </c>
      <c r="K31" s="237" t="s">
        <v>639</v>
      </c>
      <c r="L31" s="237" t="s">
        <v>1304</v>
      </c>
      <c r="M31" s="234" t="b">
        <v>0</v>
      </c>
      <c r="N31" s="234" t="b">
        <v>0</v>
      </c>
      <c r="O31" s="234" t="b">
        <v>0</v>
      </c>
      <c r="P31" s="234" t="b">
        <v>0</v>
      </c>
      <c r="Q31" s="234" t="b">
        <v>0</v>
      </c>
      <c r="R31" s="236" t="b">
        <v>0</v>
      </c>
    </row>
    <row r="32">
      <c r="A32" s="57">
        <v>2.124024078E9</v>
      </c>
      <c r="B32" s="109" t="str">
        <f>VLOOKUP($A32,ANAGRAFICA!$B$1:$G$306,2,FALSE)</f>
        <v>ROVARIS</v>
      </c>
      <c r="C32" s="109" t="str">
        <f>VLOOKUP($A32,ANAGRAFICA!$B$1:$G$306,3,FALSE)</f>
        <v>ANGELO FELICE</v>
      </c>
      <c r="D32" s="109" t="str">
        <f>VLOOKUP($A32,ANAGRAFICA!$B$1:$G$306,4,FALSE)</f>
        <v>758-20</v>
      </c>
      <c r="E32" s="109">
        <f>VLOOKUP($A32,ANAGRAFICA!$B$1:$G$306,5,FALSE)</f>
        <v>3272024086</v>
      </c>
      <c r="F32" s="109">
        <f>VLOOKUP($A32,ANAGRAFICA!$B$1:$G$306,6,FALSE)</f>
        <v>2024</v>
      </c>
      <c r="G32" s="3">
        <v>1.0</v>
      </c>
      <c r="H32" s="236" t="b">
        <v>1</v>
      </c>
      <c r="I32" s="234" t="b">
        <v>0</v>
      </c>
      <c r="J32" s="239">
        <v>45624.0</v>
      </c>
      <c r="K32" s="237" t="s">
        <v>1308</v>
      </c>
      <c r="L32" s="237" t="s">
        <v>1304</v>
      </c>
      <c r="M32" s="234" t="b">
        <v>0</v>
      </c>
      <c r="N32" s="234" t="b">
        <v>0</v>
      </c>
      <c r="O32" s="236" t="b">
        <v>1</v>
      </c>
      <c r="P32" s="234" t="b">
        <v>0</v>
      </c>
      <c r="Q32" s="234" t="b">
        <v>0</v>
      </c>
      <c r="R32" s="236" t="b">
        <v>0</v>
      </c>
    </row>
    <row r="33">
      <c r="A33" s="57">
        <v>2.124025195E9</v>
      </c>
      <c r="B33" s="109" t="str">
        <f>VLOOKUP($A33,ANAGRAFICA!$B$1:$G$306,2,FALSE)</f>
        <v>FAZIO</v>
      </c>
      <c r="C33" s="109" t="str">
        <f>VLOOKUP($A33,ANAGRAFICA!$B$1:$G$306,3,FALSE)</f>
        <v>FRANCESCO ANTONIO</v>
      </c>
      <c r="D33" s="109" t="str">
        <f>VLOOKUP($A33,ANAGRAFICA!$B$1:$G$306,4,FALSE)</f>
        <v>758-21</v>
      </c>
      <c r="E33" s="109">
        <f>VLOOKUP($A33,ANAGRAFICA!$B$1:$G$306,5,FALSE)</f>
        <v>3272024087</v>
      </c>
      <c r="F33" s="109">
        <f>VLOOKUP($A33,ANAGRAFICA!$B$1:$G$306,6,FALSE)</f>
        <v>2024</v>
      </c>
      <c r="G33" s="3">
        <v>1.0</v>
      </c>
      <c r="H33" s="236" t="b">
        <v>1</v>
      </c>
      <c r="I33" s="234" t="b">
        <v>0</v>
      </c>
      <c r="J33" s="238">
        <v>45632.0</v>
      </c>
      <c r="K33" s="237" t="s">
        <v>1330</v>
      </c>
      <c r="L33" s="237" t="s">
        <v>1284</v>
      </c>
      <c r="M33" s="236" t="b">
        <v>1</v>
      </c>
      <c r="N33" s="236" t="b">
        <v>1</v>
      </c>
      <c r="O33" s="234" t="b">
        <v>0</v>
      </c>
      <c r="P33" s="234" t="b">
        <v>0</v>
      </c>
      <c r="Q33" s="236" t="b">
        <v>1</v>
      </c>
      <c r="R33" s="236" t="b">
        <v>0</v>
      </c>
    </row>
    <row r="34">
      <c r="A34" s="57">
        <v>2.125004867E9</v>
      </c>
      <c r="B34" s="109" t="str">
        <f>VLOOKUP($A34,ANAGRAFICA!$B$1:$G$306,2,FALSE)</f>
        <v>MARCONI</v>
      </c>
      <c r="C34" s="109" t="str">
        <f>VLOOKUP($A34,ANAGRAFICA!$B$1:$G$306,3,FALSE)</f>
        <v>PIETRO VITTORIO</v>
      </c>
      <c r="D34" s="109" t="str">
        <f>VLOOKUP($A34,ANAGRAFICA!$B$1:$G$306,4,FALSE)</f>
        <v/>
      </c>
      <c r="E34" s="109">
        <f>VLOOKUP($A34,ANAGRAFICA!$B$1:$G$306,5,FALSE)</f>
        <v>3272025053</v>
      </c>
      <c r="F34" s="109">
        <f>VLOOKUP($A34,ANAGRAFICA!$B$1:$G$306,6,FALSE)</f>
        <v>2025</v>
      </c>
      <c r="G34" s="3">
        <v>1.0</v>
      </c>
      <c r="H34" s="236" t="b">
        <v>1</v>
      </c>
      <c r="I34" s="234" t="b">
        <v>0</v>
      </c>
      <c r="J34" s="238">
        <v>45691.0</v>
      </c>
      <c r="K34" s="237" t="s">
        <v>466</v>
      </c>
      <c r="L34" s="237" t="s">
        <v>1284</v>
      </c>
      <c r="M34" s="234" t="b">
        <v>0</v>
      </c>
      <c r="N34" s="236" t="b">
        <v>1</v>
      </c>
      <c r="O34" s="236" t="b">
        <v>1</v>
      </c>
      <c r="P34" s="236" t="b">
        <v>1</v>
      </c>
      <c r="Q34" s="234" t="b">
        <v>0</v>
      </c>
      <c r="R34" s="236" t="b">
        <v>0</v>
      </c>
    </row>
    <row r="35">
      <c r="A35" s="57">
        <v>2.025010247E9</v>
      </c>
      <c r="B35" s="109" t="str">
        <f>VLOOKUP($A35,ANAGRAFICA!$B$1:$G$306,2,FALSE)</f>
        <v>TREMOLADA</v>
      </c>
      <c r="C35" s="109" t="str">
        <f>VLOOKUP($A35,ANAGRAFICA!$B$1:$G$306,3,FALSE)</f>
        <v>MARCO</v>
      </c>
      <c r="D35" s="109" t="str">
        <f>VLOOKUP($A35,ANAGRAFICA!$B$1:$G$306,4,FALSE)</f>
        <v>758-25</v>
      </c>
      <c r="E35" s="109">
        <f>VLOOKUP($A35,ANAGRAFICA!$B$1:$G$306,5,FALSE)</f>
        <v>3272025054</v>
      </c>
      <c r="F35" s="109">
        <f>VLOOKUP($A35,ANAGRAFICA!$B$1:$G$306,6,FALSE)</f>
        <v>2025</v>
      </c>
      <c r="G35" s="3">
        <v>1.0</v>
      </c>
      <c r="H35" s="236" t="b">
        <v>1</v>
      </c>
      <c r="I35" s="234" t="b">
        <v>0</v>
      </c>
      <c r="J35" s="238">
        <v>45720.0</v>
      </c>
      <c r="K35" s="237" t="s">
        <v>1317</v>
      </c>
      <c r="L35" s="237" t="s">
        <v>1284</v>
      </c>
      <c r="M35" s="236" t="b">
        <v>1</v>
      </c>
      <c r="N35" s="236" t="b">
        <v>1</v>
      </c>
      <c r="O35" s="234" t="b">
        <v>0</v>
      </c>
      <c r="P35" s="236" t="b">
        <v>1</v>
      </c>
      <c r="Q35" s="234" t="b">
        <v>0</v>
      </c>
      <c r="R35" s="236" t="b">
        <v>0</v>
      </c>
    </row>
    <row r="36">
      <c r="A36" s="57">
        <v>2.125020858E9</v>
      </c>
      <c r="B36" s="109" t="str">
        <f>VLOOKUP($A36,ANAGRAFICA!$B$1:$G$306,2,FALSE)</f>
        <v>FALVO</v>
      </c>
      <c r="C36" s="109" t="str">
        <f>VLOOKUP($A36,ANAGRAFICA!$B$1:$G$306,3,FALSE)</f>
        <v>FRANCESCO</v>
      </c>
      <c r="D36" s="109" t="str">
        <f>VLOOKUP($A36,ANAGRAFICA!$B$1:$G$306,4,FALSE)</f>
        <v/>
      </c>
      <c r="E36" s="109">
        <f>VLOOKUP($A36,ANAGRAFICA!$B$1:$G$306,5,FALSE)</f>
        <v>3272025055</v>
      </c>
      <c r="F36" s="109">
        <f>VLOOKUP($A36,ANAGRAFICA!$B$1:$G$306,6,FALSE)</f>
        <v>2025</v>
      </c>
      <c r="G36" s="3">
        <v>1.0</v>
      </c>
      <c r="H36" s="236" t="b">
        <v>1</v>
      </c>
      <c r="I36" s="234" t="b">
        <v>0</v>
      </c>
      <c r="J36" s="238">
        <v>45787.0</v>
      </c>
      <c r="K36" s="237" t="s">
        <v>75</v>
      </c>
      <c r="L36" s="237" t="s">
        <v>1284</v>
      </c>
      <c r="M36" s="236" t="b">
        <v>1</v>
      </c>
      <c r="N36" s="234" t="b">
        <v>0</v>
      </c>
      <c r="O36" s="236" t="b">
        <v>1</v>
      </c>
      <c r="P36" s="236" t="b">
        <v>1</v>
      </c>
      <c r="Q36" s="234" t="b">
        <v>0</v>
      </c>
      <c r="R36" s="236" t="b">
        <v>0</v>
      </c>
    </row>
    <row r="37">
      <c r="A37" s="57">
        <v>2.125023093E9</v>
      </c>
      <c r="B37" s="109" t="str">
        <f>VLOOKUP($A37,ANAGRAFICA!$B$1:$G$306,2,FALSE)</f>
        <v>GHEZZI</v>
      </c>
      <c r="C37" s="109" t="str">
        <f>VLOOKUP($A37,ANAGRAFICA!$B$1:$G$306,3,FALSE)</f>
        <v>FABIO</v>
      </c>
      <c r="D37" s="109" t="str">
        <f>VLOOKUP($A37,ANAGRAFICA!$B$1:$G$306,4,FALSE)</f>
        <v>758-28</v>
      </c>
      <c r="E37" s="109">
        <f>VLOOKUP($A37,ANAGRAFICA!$B$1:$G$306,5,FALSE)</f>
        <v>3272025056</v>
      </c>
      <c r="F37" s="109">
        <f>VLOOKUP($A37,ANAGRAFICA!$B$1:$G$306,6,FALSE)</f>
        <v>2025</v>
      </c>
      <c r="G37" s="3">
        <v>1.0</v>
      </c>
      <c r="H37" s="236" t="b">
        <v>1</v>
      </c>
      <c r="I37" s="234" t="b">
        <v>0</v>
      </c>
      <c r="J37" s="238">
        <v>45800.0</v>
      </c>
      <c r="K37" s="237" t="s">
        <v>1331</v>
      </c>
      <c r="L37" s="237" t="s">
        <v>1284</v>
      </c>
      <c r="M37" s="236" t="b">
        <v>1</v>
      </c>
      <c r="N37" s="236" t="b">
        <v>0</v>
      </c>
      <c r="O37" s="234" t="b">
        <v>0</v>
      </c>
      <c r="P37" s="234" t="b">
        <v>0</v>
      </c>
      <c r="Q37" s="234" t="b">
        <v>0</v>
      </c>
      <c r="R37" s="236" t="b">
        <v>0</v>
      </c>
    </row>
    <row r="38">
      <c r="A38" s="57">
        <v>2.125024608E9</v>
      </c>
      <c r="B38" s="109" t="str">
        <f>VLOOKUP($A38,ANAGRAFICA!$B$1:$G$306,2,FALSE)</f>
        <v>ZAPPIA</v>
      </c>
      <c r="C38" s="109" t="str">
        <f>VLOOKUP($A38,ANAGRAFICA!$B$1:$G$306,3,FALSE)</f>
        <v>LEONARDO</v>
      </c>
      <c r="D38" s="109" t="str">
        <f>VLOOKUP($A38,ANAGRAFICA!$B$1:$G$306,4,FALSE)</f>
        <v>758-29</v>
      </c>
      <c r="E38" s="109">
        <f>VLOOKUP($A38,ANAGRAFICA!$B$1:$G$306,5,FALSE)</f>
        <v>3272025057</v>
      </c>
      <c r="F38" s="109">
        <f>VLOOKUP($A38,ANAGRAFICA!$B$1:$G$306,6,FALSE)</f>
        <v>2025</v>
      </c>
      <c r="G38" s="3">
        <v>1.0</v>
      </c>
      <c r="H38" s="236" t="b">
        <v>1</v>
      </c>
      <c r="I38" s="234" t="b">
        <v>0</v>
      </c>
      <c r="J38" s="238">
        <v>45811.0</v>
      </c>
      <c r="K38" s="237" t="s">
        <v>742</v>
      </c>
      <c r="L38" s="237" t="s">
        <v>1304</v>
      </c>
      <c r="M38" s="234" t="b">
        <v>0</v>
      </c>
      <c r="N38" s="236" t="b">
        <v>1</v>
      </c>
      <c r="O38" s="236" t="b">
        <v>1</v>
      </c>
      <c r="P38" s="236" t="b">
        <v>1</v>
      </c>
      <c r="Q38" s="234" t="b">
        <v>0</v>
      </c>
      <c r="R38" s="236" t="b">
        <v>0</v>
      </c>
    </row>
    <row r="39">
      <c r="A39" s="57">
        <v>2.125032902E9</v>
      </c>
      <c r="B39" s="109" t="str">
        <f>VLOOKUP($A39,ANAGRAFICA!$B$1:$G$306,2,FALSE)</f>
        <v>BRAIDA</v>
      </c>
      <c r="C39" s="109" t="str">
        <f>VLOOKUP($A39,ANAGRAFICA!$B$1:$G$306,3,FALSE)</f>
        <v>ILARIO</v>
      </c>
      <c r="D39" s="109" t="str">
        <f>VLOOKUP($A39,ANAGRAFICA!$B$1:$G$306,4,FALSE)</f>
        <v>758-37</v>
      </c>
      <c r="E39" s="109">
        <f>VLOOKUP($A39,ANAGRAFICA!$B$1:$G$306,5,FALSE)</f>
        <v>3272025063</v>
      </c>
      <c r="F39" s="109">
        <f>VLOOKUP($A39,ANAGRAFICA!$B$1:$G$306,6,FALSE)</f>
        <v>2025</v>
      </c>
      <c r="G39" s="3">
        <v>1.0</v>
      </c>
      <c r="H39" s="236" t="b">
        <v>0</v>
      </c>
      <c r="I39" s="236" t="b">
        <v>1</v>
      </c>
      <c r="J39" s="238">
        <v>45870.0</v>
      </c>
      <c r="K39" s="234"/>
      <c r="L39" s="237" t="s">
        <v>1284</v>
      </c>
      <c r="M39" s="234" t="b">
        <v>0</v>
      </c>
      <c r="N39" s="236" t="b">
        <v>1</v>
      </c>
      <c r="O39" s="234" t="b">
        <v>0</v>
      </c>
      <c r="P39" s="234" t="b">
        <v>0</v>
      </c>
      <c r="Q39" s="234" t="b">
        <v>0</v>
      </c>
      <c r="R39" s="236" t="b">
        <v>0</v>
      </c>
    </row>
    <row r="40">
      <c r="A40" s="57">
        <v>2.125040106E9</v>
      </c>
      <c r="B40" s="109" t="str">
        <f>VLOOKUP($A40,ANAGRAFICA!$B$1:$G$306,2,FALSE)</f>
        <v>COLNAGHI</v>
      </c>
      <c r="C40" s="109" t="str">
        <f>VLOOKUP($A40,ANAGRAFICA!$B$1:$G$306,3,FALSE)</f>
        <v>EUGENIO PIERO</v>
      </c>
      <c r="D40" s="109" t="str">
        <f>VLOOKUP($A40,ANAGRAFICA!$B$1:$G$306,4,FALSE)</f>
        <v>758-41</v>
      </c>
      <c r="E40" s="109">
        <f>VLOOKUP($A40,ANAGRAFICA!$B$1:$G$306,5,FALSE)</f>
        <v>3272025068</v>
      </c>
      <c r="F40" s="109">
        <f>VLOOKUP($A40,ANAGRAFICA!$B$1:$G$306,6,FALSE)</f>
        <v>2025</v>
      </c>
      <c r="G40" s="3">
        <v>1.0</v>
      </c>
      <c r="H40" s="236" t="b">
        <v>1</v>
      </c>
      <c r="I40" s="234" t="b">
        <v>0</v>
      </c>
      <c r="J40" s="238">
        <v>45931.0</v>
      </c>
      <c r="K40" s="237" t="s">
        <v>176</v>
      </c>
      <c r="L40" s="237" t="s">
        <v>1304</v>
      </c>
      <c r="M40" s="236" t="b">
        <v>1</v>
      </c>
      <c r="N40" s="236" t="b">
        <v>1</v>
      </c>
      <c r="O40" s="236" t="b">
        <v>1</v>
      </c>
      <c r="P40" s="236" t="b">
        <v>1</v>
      </c>
      <c r="Q40" s="236" t="b">
        <v>1</v>
      </c>
      <c r="R40" s="236" t="b">
        <v>0</v>
      </c>
    </row>
    <row r="41">
      <c r="A41" s="57">
        <v>2.125040835E9</v>
      </c>
      <c r="B41" s="109" t="str">
        <f>VLOOKUP($A41,ANAGRAFICA!$B$1:$G$306,2,FALSE)</f>
        <v>PESACANE</v>
      </c>
      <c r="C41" s="109" t="str">
        <f>VLOOKUP($A41,ANAGRAFICA!$B$1:$G$306,3,FALSE)</f>
        <v>MATTEO VALERIO</v>
      </c>
      <c r="D41" s="109" t="str">
        <f>VLOOKUP($A41,ANAGRAFICA!$B$1:$G$306,4,FALSE)</f>
        <v>758-42</v>
      </c>
      <c r="E41" s="109">
        <f>VLOOKUP($A41,ANAGRAFICA!$B$1:$G$306,5,FALSE)</f>
        <v>3272025069</v>
      </c>
      <c r="F41" s="109">
        <f>VLOOKUP($A41,ANAGRAFICA!$B$1:$G$306,6,FALSE)</f>
        <v>2025</v>
      </c>
      <c r="G41" s="3">
        <v>1.0</v>
      </c>
      <c r="H41" s="236" t="b">
        <v>1</v>
      </c>
      <c r="I41" s="234" t="b">
        <v>0</v>
      </c>
      <c r="J41" s="238">
        <v>45931.0</v>
      </c>
      <c r="K41" s="237" t="s">
        <v>929</v>
      </c>
      <c r="L41" s="237" t="s">
        <v>1311</v>
      </c>
      <c r="M41" s="234" t="b">
        <v>0</v>
      </c>
      <c r="N41" s="236" t="b">
        <v>1</v>
      </c>
      <c r="O41" s="234" t="b">
        <v>0</v>
      </c>
      <c r="P41" s="234" t="b">
        <v>0</v>
      </c>
      <c r="Q41" s="234" t="b">
        <v>0</v>
      </c>
      <c r="R41" s="236" t="b">
        <v>0</v>
      </c>
    </row>
    <row r="42">
      <c r="A42" s="57">
        <v>2.125042368E9</v>
      </c>
      <c r="B42" s="109" t="str">
        <f>VLOOKUP($A42,ANAGRAFICA!$B$1:$G$306,2,FALSE)</f>
        <v>MARKOVIC</v>
      </c>
      <c r="C42" s="109" t="str">
        <f>VLOOKUP($A42,ANAGRAFICA!$B$1:$G$306,3,FALSE)</f>
        <v>BRANKO</v>
      </c>
      <c r="D42" s="109" t="str">
        <f>VLOOKUP($A42,ANAGRAFICA!$B$1:$G$306,4,FALSE)</f>
        <v>758-43</v>
      </c>
      <c r="E42" s="109">
        <f>VLOOKUP($A42,ANAGRAFICA!$B$1:$G$306,5,FALSE)</f>
        <v>3272025070</v>
      </c>
      <c r="F42" s="109">
        <f>VLOOKUP($A42,ANAGRAFICA!$B$1:$G$306,6,FALSE)</f>
        <v>2025</v>
      </c>
      <c r="G42" s="3">
        <v>1.0</v>
      </c>
      <c r="H42" s="236" t="b">
        <v>1</v>
      </c>
      <c r="I42" s="234" t="b">
        <v>0</v>
      </c>
      <c r="J42" s="239">
        <v>45941.0</v>
      </c>
      <c r="K42" s="237" t="s">
        <v>1316</v>
      </c>
      <c r="L42" s="237" t="s">
        <v>1284</v>
      </c>
      <c r="M42" s="234" t="b">
        <v>0</v>
      </c>
      <c r="N42" s="236" t="b">
        <v>1</v>
      </c>
      <c r="O42" s="234" t="b">
        <v>0</v>
      </c>
      <c r="P42" s="236" t="b">
        <v>1</v>
      </c>
      <c r="Q42" s="234" t="b">
        <v>0</v>
      </c>
      <c r="R42" s="236" t="b">
        <v>0</v>
      </c>
    </row>
    <row r="43">
      <c r="A43" s="57">
        <v>2.125046195E9</v>
      </c>
      <c r="B43" s="109" t="str">
        <f>VLOOKUP($A43,ANAGRAFICA!$B$1:$G$306,2,FALSE)</f>
        <v>CASILLO</v>
      </c>
      <c r="C43" s="109" t="str">
        <f>VLOOKUP($A43,ANAGRAFICA!$B$1:$G$306,3,FALSE)</f>
        <v>SALVATORE</v>
      </c>
      <c r="D43" s="109" t="str">
        <f>VLOOKUP($A43,ANAGRAFICA!$B$1:$G$306,4,FALSE)</f>
        <v>758-44</v>
      </c>
      <c r="E43" s="109">
        <f>VLOOKUP($A43,ANAGRAFICA!$B$1:$G$306,5,FALSE)</f>
        <v>3272025071</v>
      </c>
      <c r="F43" s="109">
        <f>VLOOKUP($A43,ANAGRAFICA!$B$1:$G$306,6,FALSE)</f>
        <v>2025</v>
      </c>
      <c r="G43" s="3">
        <v>1.0</v>
      </c>
      <c r="H43" s="236" t="b">
        <v>1</v>
      </c>
      <c r="I43" s="234" t="b">
        <v>0</v>
      </c>
      <c r="J43" s="238">
        <v>45964.0</v>
      </c>
      <c r="K43" s="237" t="s">
        <v>354</v>
      </c>
      <c r="L43" s="237" t="s">
        <v>1284</v>
      </c>
      <c r="M43" s="234" t="b">
        <v>0</v>
      </c>
      <c r="N43" s="234" t="b">
        <v>0</v>
      </c>
      <c r="O43" s="234" t="b">
        <v>0</v>
      </c>
      <c r="P43" s="236" t="b">
        <v>1</v>
      </c>
      <c r="Q43" s="234" t="b">
        <v>0</v>
      </c>
      <c r="R43" s="236" t="b">
        <v>0</v>
      </c>
    </row>
    <row r="44">
      <c r="A44" s="57">
        <v>2.125051424E9</v>
      </c>
      <c r="B44" s="109" t="str">
        <f>VLOOKUP($A44,ANAGRAFICA!$B$1:$G$306,2,FALSE)</f>
        <v>CASABURI</v>
      </c>
      <c r="C44" s="109" t="str">
        <f>VLOOKUP($A44,ANAGRAFICA!$B$1:$G$306,3,FALSE)</f>
        <v>ERRICO</v>
      </c>
      <c r="D44" s="109" t="str">
        <f>VLOOKUP($A44,ANAGRAFICA!$B$1:$G$306,4,FALSE)</f>
        <v>758-45</v>
      </c>
      <c r="E44" s="109">
        <f>VLOOKUP($A44,ANAGRAFICA!$B$1:$G$306,5,FALSE)</f>
        <v>3272025072</v>
      </c>
      <c r="F44" s="109">
        <f>VLOOKUP($A44,ANAGRAFICA!$B$1:$G$306,6,FALSE)</f>
        <v>2025</v>
      </c>
      <c r="G44" s="3">
        <v>1.0</v>
      </c>
      <c r="H44" s="236" t="b">
        <v>1</v>
      </c>
      <c r="I44" s="234" t="b">
        <v>0</v>
      </c>
      <c r="J44" s="238">
        <v>46000.0</v>
      </c>
      <c r="K44" s="237" t="s">
        <v>473</v>
      </c>
      <c r="L44" s="237" t="s">
        <v>1304</v>
      </c>
      <c r="M44" s="234" t="b">
        <v>0</v>
      </c>
      <c r="N44" s="234" t="b">
        <v>0</v>
      </c>
      <c r="O44" s="234" t="b">
        <v>0</v>
      </c>
      <c r="P44" s="234" t="b">
        <v>0</v>
      </c>
      <c r="Q44" s="234" t="b">
        <v>0</v>
      </c>
      <c r="R44" s="236" t="b">
        <v>0</v>
      </c>
    </row>
    <row r="45">
      <c r="A45" s="57">
        <v>2.125053097E9</v>
      </c>
      <c r="B45" s="109" t="str">
        <f>VLOOKUP($A45,ANAGRAFICA!$B$1:$G$306,2,FALSE)</f>
        <v>LISSONI</v>
      </c>
      <c r="C45" s="109" t="str">
        <f>VLOOKUP($A45,ANAGRAFICA!$B$1:$G$306,3,FALSE)</f>
        <v>ALESSANDRA</v>
      </c>
      <c r="D45" s="109" t="str">
        <f>VLOOKUP($A45,ANAGRAFICA!$B$1:$G$306,4,FALSE)</f>
        <v>758-47</v>
      </c>
      <c r="E45" s="109">
        <f>VLOOKUP($A45,ANAGRAFICA!$B$1:$G$306,5,FALSE)</f>
        <v>3272025074</v>
      </c>
      <c r="F45" s="109">
        <f>VLOOKUP($A45,ANAGRAFICA!$B$1:$G$306,6,FALSE)</f>
        <v>2025</v>
      </c>
      <c r="G45" s="3">
        <v>1.0</v>
      </c>
      <c r="H45" s="236" t="b">
        <v>1</v>
      </c>
      <c r="I45" s="234" t="b">
        <v>0</v>
      </c>
      <c r="J45" s="239">
        <v>46009.0</v>
      </c>
      <c r="K45" s="237" t="s">
        <v>349</v>
      </c>
      <c r="L45" s="237" t="s">
        <v>1304</v>
      </c>
      <c r="M45" s="234" t="b">
        <v>0</v>
      </c>
      <c r="N45" s="234" t="b">
        <v>0</v>
      </c>
      <c r="O45" s="234" t="b">
        <v>0</v>
      </c>
      <c r="P45" s="234" t="b">
        <v>0</v>
      </c>
      <c r="Q45" s="234" t="b">
        <v>0</v>
      </c>
      <c r="R45" s="236" t="b">
        <v>0</v>
      </c>
    </row>
    <row r="46">
      <c r="A46" s="57">
        <v>2.126005799E9</v>
      </c>
      <c r="B46" s="109" t="str">
        <f>VLOOKUP($A46,ANAGRAFICA!$B$1:$G$306,2,FALSE)</f>
        <v>MAIORANO</v>
      </c>
      <c r="C46" s="109" t="str">
        <f>VLOOKUP($A46,ANAGRAFICA!$B$1:$G$306,3,FALSE)</f>
        <v>IOLANDA MARIA</v>
      </c>
      <c r="D46" s="109" t="str">
        <f>VLOOKUP($A46,ANAGRAFICA!$B$1:$G$306,4,FALSE)</f>
        <v>758-56</v>
      </c>
      <c r="E46" s="109" t="str">
        <f>VLOOKUP($A46,ANAGRAFICA!$B$1:$G$306,5,FALSE)</f>
        <v/>
      </c>
      <c r="F46" s="109">
        <f>VLOOKUP($A46,ANAGRAFICA!$B$1:$G$306,6,FALSE)</f>
        <v>2026</v>
      </c>
      <c r="G46" s="3">
        <v>1.0</v>
      </c>
      <c r="H46" s="234" t="b">
        <v>0</v>
      </c>
      <c r="I46" s="234" t="b">
        <v>0</v>
      </c>
      <c r="J46" s="234"/>
      <c r="K46" s="234"/>
      <c r="L46" s="234"/>
      <c r="M46" s="234" t="b">
        <v>0</v>
      </c>
      <c r="N46" s="234" t="b">
        <v>0</v>
      </c>
      <c r="O46" s="234" t="b">
        <v>0</v>
      </c>
      <c r="P46" s="234" t="b">
        <v>0</v>
      </c>
      <c r="Q46" s="234" t="b">
        <v>0</v>
      </c>
      <c r="R46" s="236" t="b">
        <v>0</v>
      </c>
    </row>
    <row r="47">
      <c r="A47" s="57">
        <v>2.126002771E9</v>
      </c>
      <c r="B47" s="109" t="str">
        <f>VLOOKUP($A47,ANAGRAFICA!$B$1:$G$306,2,FALSE)</f>
        <v>LONGOBARDI</v>
      </c>
      <c r="C47" s="109" t="str">
        <f>VLOOKUP($A47,ANAGRAFICA!$B$1:$G$306,3,FALSE)</f>
        <v>FRANCESCO</v>
      </c>
      <c r="D47" s="109" t="str">
        <f>VLOOKUP($A47,ANAGRAFICA!$B$1:$G$306,4,FALSE)</f>
        <v>758-52</v>
      </c>
      <c r="E47" s="109" t="str">
        <f>VLOOKUP($A47,ANAGRAFICA!$B$1:$G$306,5,FALSE)</f>
        <v/>
      </c>
      <c r="F47" s="109">
        <f>VLOOKUP($A47,ANAGRAFICA!$B$1:$G$306,6,FALSE)</f>
        <v>2026</v>
      </c>
      <c r="G47" s="3">
        <v>1.0</v>
      </c>
      <c r="H47" s="236" t="b">
        <v>1</v>
      </c>
      <c r="I47" s="234" t="b">
        <v>0</v>
      </c>
      <c r="J47" s="238">
        <v>46194.0</v>
      </c>
      <c r="K47" s="237" t="s">
        <v>446</v>
      </c>
      <c r="L47" s="237" t="s">
        <v>1284</v>
      </c>
      <c r="M47" s="234" t="b">
        <v>0</v>
      </c>
      <c r="N47" s="234" t="b">
        <v>0</v>
      </c>
      <c r="O47" s="236" t="b">
        <v>1</v>
      </c>
      <c r="P47" s="234" t="b">
        <v>0</v>
      </c>
      <c r="Q47" s="234" t="b">
        <v>0</v>
      </c>
      <c r="R47" s="236" t="b">
        <v>0</v>
      </c>
    </row>
    <row r="48">
      <c r="A48" s="57">
        <v>2.126001104E9</v>
      </c>
      <c r="B48" s="109" t="str">
        <f>VLOOKUP($A48,ANAGRAFICA!$B$1:$G$306,2,FALSE)</f>
        <v>LOREGGIA</v>
      </c>
      <c r="C48" s="109" t="str">
        <f>VLOOKUP($A48,ANAGRAFICA!$B$1:$G$306,3,FALSE)</f>
        <v>GIAN MARCO</v>
      </c>
      <c r="D48" s="109" t="str">
        <f>VLOOKUP($A48,ANAGRAFICA!$B$1:$G$306,4,FALSE)</f>
        <v>758-51</v>
      </c>
      <c r="E48" s="109" t="str">
        <f>VLOOKUP($A48,ANAGRAFICA!$B$1:$G$306,5,FALSE)</f>
        <v/>
      </c>
      <c r="F48" s="109">
        <f>VLOOKUP($A48,ANAGRAFICA!$B$1:$G$306,6,FALSE)</f>
        <v>2026</v>
      </c>
      <c r="G48" s="3">
        <v>1.0</v>
      </c>
      <c r="H48" s="236" t="b">
        <v>1</v>
      </c>
      <c r="I48" s="234" t="b">
        <v>0</v>
      </c>
      <c r="J48" s="238">
        <v>46033.0</v>
      </c>
      <c r="K48" s="237" t="s">
        <v>864</v>
      </c>
      <c r="L48" s="237" t="s">
        <v>1284</v>
      </c>
      <c r="M48" s="236" t="b">
        <v>1</v>
      </c>
      <c r="N48" s="236" t="b">
        <v>1</v>
      </c>
      <c r="O48" s="234" t="b">
        <v>0</v>
      </c>
      <c r="P48" s="234" t="b">
        <v>0</v>
      </c>
      <c r="Q48" s="234" t="b">
        <v>0</v>
      </c>
      <c r="R48" s="236" t="b">
        <v>0</v>
      </c>
    </row>
    <row r="49">
      <c r="A49" s="94"/>
      <c r="B49" s="109" t="str">
        <f>VLOOKUP($A49,ANAGRAFICA!$B$1:$G$306,2,FALSE)</f>
        <v>#N/A</v>
      </c>
      <c r="C49" s="109" t="str">
        <f>VLOOKUP($A49,ANAGRAFICA!$B$1:$G$306,3,FALSE)</f>
        <v>#N/A</v>
      </c>
      <c r="D49" s="109" t="str">
        <f>VLOOKUP($A49,ANAGRAFICA!$B$1:$G$306,4,FALSE)</f>
        <v>#N/A</v>
      </c>
      <c r="E49" s="109" t="str">
        <f>VLOOKUP($A49,ANAGRAFICA!$B$1:$G$306,5,FALSE)</f>
        <v>#N/A</v>
      </c>
      <c r="F49" s="109" t="str">
        <f>VLOOKUP($A49,ANAGRAFICA!$B$1:$G$306,6,FALSE)</f>
        <v>#N/A</v>
      </c>
      <c r="H49" s="234" t="b">
        <v>0</v>
      </c>
      <c r="I49" s="234" t="b">
        <v>0</v>
      </c>
      <c r="J49" s="234"/>
      <c r="K49" s="234"/>
      <c r="L49" s="234"/>
      <c r="M49" s="234" t="b">
        <v>0</v>
      </c>
      <c r="N49" s="234" t="b">
        <v>0</v>
      </c>
      <c r="O49" s="234" t="b">
        <v>0</v>
      </c>
      <c r="P49" s="234" t="b">
        <v>0</v>
      </c>
      <c r="Q49" s="234" t="b">
        <v>0</v>
      </c>
      <c r="R49" s="236" t="b">
        <v>0</v>
      </c>
    </row>
    <row r="50">
      <c r="A50" s="94"/>
      <c r="B50" s="109" t="str">
        <f>VLOOKUP($A50,ANAGRAFICA!$B$1:$G$306,2,FALSE)</f>
        <v>#N/A</v>
      </c>
      <c r="C50" s="109" t="str">
        <f>VLOOKUP($A50,ANAGRAFICA!$B$1:$G$306,3,FALSE)</f>
        <v>#N/A</v>
      </c>
      <c r="D50" s="109" t="str">
        <f>VLOOKUP($A50,ANAGRAFICA!$B$1:$G$306,4,FALSE)</f>
        <v>#N/A</v>
      </c>
      <c r="E50" s="109" t="str">
        <f>VLOOKUP($A50,ANAGRAFICA!$B$1:$G$306,5,FALSE)</f>
        <v>#N/A</v>
      </c>
      <c r="F50" s="109" t="str">
        <f>VLOOKUP($A50,ANAGRAFICA!$B$1:$G$306,6,FALSE)</f>
        <v>#N/A</v>
      </c>
      <c r="H50" s="234" t="b">
        <v>0</v>
      </c>
      <c r="I50" s="234" t="b">
        <v>0</v>
      </c>
      <c r="J50" s="234"/>
      <c r="K50" s="234"/>
      <c r="L50" s="234"/>
      <c r="M50" s="234" t="b">
        <v>0</v>
      </c>
      <c r="N50" s="234" t="b">
        <v>0</v>
      </c>
      <c r="O50" s="234" t="b">
        <v>0</v>
      </c>
      <c r="P50" s="234" t="b">
        <v>0</v>
      </c>
      <c r="Q50" s="234" t="b">
        <v>0</v>
      </c>
      <c r="R50" s="236" t="b">
        <v>0</v>
      </c>
    </row>
    <row r="51">
      <c r="A51" s="94"/>
      <c r="B51" s="109" t="str">
        <f>VLOOKUP($A51,ANAGRAFICA!$B$1:$G$306,2,FALSE)</f>
        <v>#N/A</v>
      </c>
      <c r="C51" s="109" t="str">
        <f>VLOOKUP($A51,ANAGRAFICA!$B$1:$G$306,3,FALSE)</f>
        <v>#N/A</v>
      </c>
      <c r="D51" s="109" t="str">
        <f>VLOOKUP($A51,ANAGRAFICA!$B$1:$G$306,4,FALSE)</f>
        <v>#N/A</v>
      </c>
      <c r="E51" s="109" t="str">
        <f>VLOOKUP($A51,ANAGRAFICA!$B$1:$G$306,5,FALSE)</f>
        <v>#N/A</v>
      </c>
      <c r="F51" s="109" t="str">
        <f>VLOOKUP($A51,ANAGRAFICA!$B$1:$G$306,6,FALSE)</f>
        <v>#N/A</v>
      </c>
      <c r="H51" s="234" t="b">
        <v>0</v>
      </c>
      <c r="I51" s="234" t="b">
        <v>0</v>
      </c>
      <c r="J51" s="234"/>
      <c r="K51" s="234"/>
      <c r="L51" s="234"/>
      <c r="M51" s="234" t="b">
        <v>0</v>
      </c>
      <c r="N51" s="234" t="b">
        <v>0</v>
      </c>
      <c r="O51" s="234" t="b">
        <v>0</v>
      </c>
      <c r="P51" s="234" t="b">
        <v>0</v>
      </c>
      <c r="Q51" s="234" t="b">
        <v>0</v>
      </c>
      <c r="R51" s="236" t="b">
        <v>0</v>
      </c>
    </row>
    <row r="52">
      <c r="A52" s="94"/>
      <c r="B52" s="109" t="str">
        <f>VLOOKUP($A52,ANAGRAFICA!$B$1:$G$306,2,FALSE)</f>
        <v>#N/A</v>
      </c>
      <c r="C52" s="109" t="str">
        <f>VLOOKUP($A52,ANAGRAFICA!$B$1:$G$306,3,FALSE)</f>
        <v>#N/A</v>
      </c>
      <c r="D52" s="109" t="str">
        <f>VLOOKUP($A52,ANAGRAFICA!$B$1:$G$306,4,FALSE)</f>
        <v>#N/A</v>
      </c>
      <c r="E52" s="109" t="str">
        <f>VLOOKUP($A52,ANAGRAFICA!$B$1:$G$306,5,FALSE)</f>
        <v>#N/A</v>
      </c>
      <c r="F52" s="109" t="str">
        <f>VLOOKUP($A52,ANAGRAFICA!$B$1:$G$306,6,FALSE)</f>
        <v>#N/A</v>
      </c>
      <c r="H52" s="234" t="b">
        <v>0</v>
      </c>
      <c r="I52" s="234" t="b">
        <v>0</v>
      </c>
      <c r="J52" s="234"/>
      <c r="K52" s="234"/>
      <c r="L52" s="234"/>
      <c r="M52" s="234" t="b">
        <v>0</v>
      </c>
      <c r="N52" s="234" t="b">
        <v>0</v>
      </c>
      <c r="O52" s="234" t="b">
        <v>0</v>
      </c>
      <c r="P52" s="234" t="b">
        <v>0</v>
      </c>
      <c r="Q52" s="234" t="b">
        <v>0</v>
      </c>
      <c r="R52" s="236" t="b">
        <v>0</v>
      </c>
    </row>
    <row r="53">
      <c r="A53" s="94"/>
      <c r="B53" s="109" t="str">
        <f>VLOOKUP($A53,ANAGRAFICA!$B$1:$G$306,2,FALSE)</f>
        <v>#N/A</v>
      </c>
      <c r="C53" s="109" t="str">
        <f>VLOOKUP($A53,ANAGRAFICA!$B$1:$G$306,3,FALSE)</f>
        <v>#N/A</v>
      </c>
      <c r="D53" s="109" t="str">
        <f>VLOOKUP($A53,ANAGRAFICA!$B$1:$G$306,4,FALSE)</f>
        <v>#N/A</v>
      </c>
      <c r="E53" s="109" t="str">
        <f>VLOOKUP($A53,ANAGRAFICA!$B$1:$G$306,5,FALSE)</f>
        <v>#N/A</v>
      </c>
      <c r="F53" s="109" t="str">
        <f>VLOOKUP($A53,ANAGRAFICA!$B$1:$G$306,6,FALSE)</f>
        <v>#N/A</v>
      </c>
      <c r="H53" s="234" t="b">
        <v>0</v>
      </c>
      <c r="I53" s="234" t="b">
        <v>0</v>
      </c>
      <c r="J53" s="234"/>
      <c r="K53" s="234"/>
      <c r="L53" s="234"/>
      <c r="M53" s="234" t="b">
        <v>0</v>
      </c>
      <c r="N53" s="234" t="b">
        <v>0</v>
      </c>
      <c r="O53" s="234" t="b">
        <v>0</v>
      </c>
      <c r="P53" s="234" t="b">
        <v>0</v>
      </c>
      <c r="Q53" s="234" t="b">
        <v>0</v>
      </c>
      <c r="R53" s="236" t="b">
        <v>0</v>
      </c>
    </row>
    <row r="54">
      <c r="A54" s="94"/>
      <c r="B54" s="109" t="str">
        <f>VLOOKUP($A54,ANAGRAFICA!$B$1:$G$306,2,FALSE)</f>
        <v>#N/A</v>
      </c>
      <c r="C54" s="109" t="str">
        <f>VLOOKUP($A54,ANAGRAFICA!$B$1:$G$306,3,FALSE)</f>
        <v>#N/A</v>
      </c>
      <c r="D54" s="109" t="str">
        <f>VLOOKUP($A54,ANAGRAFICA!$B$1:$G$306,4,FALSE)</f>
        <v>#N/A</v>
      </c>
      <c r="E54" s="109" t="str">
        <f>VLOOKUP($A54,ANAGRAFICA!$B$1:$G$306,5,FALSE)</f>
        <v>#N/A</v>
      </c>
      <c r="F54" s="109" t="str">
        <f>VLOOKUP($A54,ANAGRAFICA!$B$1:$G$306,6,FALSE)</f>
        <v>#N/A</v>
      </c>
      <c r="H54" s="234" t="b">
        <v>0</v>
      </c>
      <c r="I54" s="234" t="b">
        <v>0</v>
      </c>
      <c r="J54" s="234"/>
      <c r="K54" s="234"/>
      <c r="L54" s="234"/>
      <c r="M54" s="234" t="b">
        <v>0</v>
      </c>
      <c r="N54" s="234" t="b">
        <v>0</v>
      </c>
      <c r="O54" s="234" t="b">
        <v>0</v>
      </c>
      <c r="P54" s="234" t="b">
        <v>0</v>
      </c>
      <c r="Q54" s="234" t="b">
        <v>0</v>
      </c>
      <c r="R54" s="236" t="b">
        <v>0</v>
      </c>
    </row>
    <row r="55">
      <c r="A55" s="94"/>
      <c r="B55" s="109" t="str">
        <f>VLOOKUP($A55,ANAGRAFICA!$B$1:$G$306,2,FALSE)</f>
        <v>#N/A</v>
      </c>
      <c r="C55" s="109" t="str">
        <f>VLOOKUP($A55,ANAGRAFICA!$B$1:$G$306,3,FALSE)</f>
        <v>#N/A</v>
      </c>
      <c r="D55" s="109" t="str">
        <f>VLOOKUP($A55,ANAGRAFICA!$B$1:$G$306,4,FALSE)</f>
        <v>#N/A</v>
      </c>
      <c r="E55" s="109" t="str">
        <f>VLOOKUP($A55,ANAGRAFICA!$B$1:$G$306,5,FALSE)</f>
        <v>#N/A</v>
      </c>
      <c r="F55" s="109" t="str">
        <f>VLOOKUP($A55,ANAGRAFICA!$B$1:$G$306,6,FALSE)</f>
        <v>#N/A</v>
      </c>
      <c r="H55" s="234" t="b">
        <v>0</v>
      </c>
      <c r="I55" s="234" t="b">
        <v>0</v>
      </c>
      <c r="J55" s="234"/>
      <c r="K55" s="234"/>
      <c r="L55" s="234"/>
      <c r="M55" s="234" t="b">
        <v>0</v>
      </c>
      <c r="N55" s="234" t="b">
        <v>0</v>
      </c>
      <c r="O55" s="234" t="b">
        <v>0</v>
      </c>
      <c r="P55" s="234" t="b">
        <v>0</v>
      </c>
      <c r="Q55" s="234" t="b">
        <v>0</v>
      </c>
      <c r="R55" s="236" t="b">
        <v>0</v>
      </c>
    </row>
    <row r="56">
      <c r="A56" s="94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H56" s="234" t="b">
        <v>0</v>
      </c>
      <c r="I56" s="234" t="b">
        <v>0</v>
      </c>
      <c r="J56" s="234"/>
      <c r="K56" s="234"/>
      <c r="L56" s="234"/>
      <c r="M56" s="234" t="b">
        <v>0</v>
      </c>
      <c r="N56" s="234" t="b">
        <v>0</v>
      </c>
      <c r="O56" s="234" t="b">
        <v>0</v>
      </c>
      <c r="P56" s="234" t="b">
        <v>0</v>
      </c>
      <c r="Q56" s="234" t="b">
        <v>0</v>
      </c>
      <c r="R56" s="236" t="b">
        <v>0</v>
      </c>
    </row>
    <row r="57">
      <c r="A57" s="94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H57" s="234" t="b">
        <v>0</v>
      </c>
      <c r="I57" s="234" t="b">
        <v>0</v>
      </c>
      <c r="J57" s="234"/>
      <c r="K57" s="234"/>
      <c r="L57" s="234"/>
      <c r="M57" s="234" t="b">
        <v>0</v>
      </c>
      <c r="N57" s="234" t="b">
        <v>0</v>
      </c>
      <c r="O57" s="234" t="b">
        <v>0</v>
      </c>
      <c r="P57" s="234" t="b">
        <v>0</v>
      </c>
      <c r="Q57" s="234" t="b">
        <v>0</v>
      </c>
      <c r="R57" s="236" t="b">
        <v>0</v>
      </c>
    </row>
    <row r="58">
      <c r="A58" s="94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H58" s="234" t="b">
        <v>0</v>
      </c>
      <c r="I58" s="234" t="b">
        <v>0</v>
      </c>
      <c r="J58" s="234"/>
      <c r="K58" s="234"/>
      <c r="L58" s="234"/>
      <c r="M58" s="234" t="b">
        <v>0</v>
      </c>
      <c r="N58" s="234" t="b">
        <v>0</v>
      </c>
      <c r="O58" s="234" t="b">
        <v>0</v>
      </c>
      <c r="P58" s="234" t="b">
        <v>0</v>
      </c>
      <c r="Q58" s="234" t="b">
        <v>0</v>
      </c>
      <c r="R58" s="236" t="b">
        <v>0</v>
      </c>
    </row>
    <row r="59">
      <c r="A59" s="94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H59" s="234" t="b">
        <v>0</v>
      </c>
      <c r="I59" s="234" t="b">
        <v>0</v>
      </c>
      <c r="J59" s="234"/>
      <c r="K59" s="234"/>
      <c r="L59" s="234"/>
      <c r="M59" s="234" t="b">
        <v>0</v>
      </c>
      <c r="N59" s="234" t="b">
        <v>0</v>
      </c>
      <c r="O59" s="234" t="b">
        <v>0</v>
      </c>
      <c r="P59" s="234" t="b">
        <v>0</v>
      </c>
      <c r="Q59" s="234" t="b">
        <v>0</v>
      </c>
      <c r="R59" s="236" t="b">
        <v>0</v>
      </c>
    </row>
    <row r="60">
      <c r="A60" s="94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H60" s="234" t="b">
        <v>0</v>
      </c>
      <c r="I60" s="234" t="b">
        <v>0</v>
      </c>
      <c r="J60" s="234"/>
      <c r="K60" s="234"/>
      <c r="L60" s="234"/>
      <c r="M60" s="234" t="b">
        <v>0</v>
      </c>
      <c r="N60" s="234" t="b">
        <v>0</v>
      </c>
      <c r="O60" s="234" t="b">
        <v>0</v>
      </c>
      <c r="P60" s="234" t="b">
        <v>0</v>
      </c>
      <c r="Q60" s="234" t="b">
        <v>0</v>
      </c>
      <c r="R60" s="236" t="b">
        <v>0</v>
      </c>
    </row>
    <row r="61">
      <c r="A61" s="94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H61" s="234" t="b">
        <v>0</v>
      </c>
      <c r="I61" s="234" t="b">
        <v>0</v>
      </c>
      <c r="J61" s="234"/>
      <c r="K61" s="234"/>
      <c r="L61" s="234"/>
      <c r="M61" s="234" t="b">
        <v>0</v>
      </c>
      <c r="N61" s="234" t="b">
        <v>0</v>
      </c>
      <c r="O61" s="234" t="b">
        <v>0</v>
      </c>
      <c r="P61" s="234" t="b">
        <v>0</v>
      </c>
      <c r="Q61" s="234" t="b">
        <v>0</v>
      </c>
      <c r="R61" s="236" t="b">
        <v>0</v>
      </c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H62" s="234" t="b">
        <v>0</v>
      </c>
      <c r="I62" s="234" t="b">
        <v>0</v>
      </c>
      <c r="J62" s="234"/>
      <c r="K62" s="234"/>
      <c r="L62" s="234"/>
      <c r="M62" s="234" t="b">
        <v>0</v>
      </c>
      <c r="N62" s="234" t="b">
        <v>0</v>
      </c>
      <c r="O62" s="234" t="b">
        <v>0</v>
      </c>
      <c r="P62" s="234" t="b">
        <v>0</v>
      </c>
      <c r="Q62" s="234" t="b">
        <v>0</v>
      </c>
      <c r="R62" s="236" t="b">
        <v>0</v>
      </c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H63" s="234" t="b">
        <v>0</v>
      </c>
      <c r="I63" s="234" t="b">
        <v>0</v>
      </c>
      <c r="J63" s="234"/>
      <c r="K63" s="234"/>
      <c r="L63" s="234"/>
      <c r="M63" s="234" t="b">
        <v>0</v>
      </c>
      <c r="N63" s="234" t="b">
        <v>0</v>
      </c>
      <c r="O63" s="234" t="b">
        <v>0</v>
      </c>
      <c r="P63" s="234" t="b">
        <v>0</v>
      </c>
      <c r="Q63" s="234" t="b">
        <v>0</v>
      </c>
      <c r="R63" s="236" t="b">
        <v>0</v>
      </c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H64" s="234" t="b">
        <v>0</v>
      </c>
      <c r="I64" s="234" t="b">
        <v>0</v>
      </c>
      <c r="J64" s="234"/>
      <c r="K64" s="234"/>
      <c r="L64" s="234"/>
      <c r="M64" s="234" t="b">
        <v>0</v>
      </c>
      <c r="N64" s="234" t="b">
        <v>0</v>
      </c>
      <c r="O64" s="234" t="b">
        <v>0</v>
      </c>
      <c r="P64" s="234" t="b">
        <v>0</v>
      </c>
      <c r="Q64" s="234" t="b">
        <v>0</v>
      </c>
      <c r="R64" s="236" t="b">
        <v>0</v>
      </c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H65" s="234" t="b">
        <v>0</v>
      </c>
      <c r="I65" s="234" t="b">
        <v>0</v>
      </c>
      <c r="J65" s="234"/>
      <c r="K65" s="234"/>
      <c r="L65" s="234"/>
      <c r="M65" s="234" t="b">
        <v>0</v>
      </c>
      <c r="N65" s="234" t="b">
        <v>0</v>
      </c>
      <c r="O65" s="234" t="b">
        <v>0</v>
      </c>
      <c r="P65" s="234" t="b">
        <v>0</v>
      </c>
      <c r="Q65" s="234" t="b">
        <v>0</v>
      </c>
      <c r="R65" s="236" t="b">
        <v>0</v>
      </c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H66" s="234" t="b">
        <v>0</v>
      </c>
      <c r="I66" s="234" t="b">
        <v>0</v>
      </c>
      <c r="J66" s="234"/>
      <c r="K66" s="234"/>
      <c r="L66" s="234"/>
      <c r="M66" s="234" t="b">
        <v>0</v>
      </c>
      <c r="N66" s="234" t="b">
        <v>0</v>
      </c>
      <c r="O66" s="234" t="b">
        <v>0</v>
      </c>
      <c r="P66" s="234" t="b">
        <v>0</v>
      </c>
      <c r="Q66" s="234" t="b">
        <v>0</v>
      </c>
      <c r="R66" s="236" t="b">
        <v>0</v>
      </c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H67" s="234" t="b">
        <v>0</v>
      </c>
      <c r="I67" s="234" t="b">
        <v>0</v>
      </c>
      <c r="J67" s="234"/>
      <c r="K67" s="234"/>
      <c r="L67" s="234"/>
      <c r="M67" s="234" t="b">
        <v>0</v>
      </c>
      <c r="N67" s="234" t="b">
        <v>0</v>
      </c>
      <c r="O67" s="234" t="b">
        <v>0</v>
      </c>
      <c r="P67" s="234" t="b">
        <v>0</v>
      </c>
      <c r="Q67" s="234" t="b">
        <v>0</v>
      </c>
      <c r="R67" s="236" t="b">
        <v>0</v>
      </c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H68" s="234" t="b">
        <v>0</v>
      </c>
      <c r="I68" s="234" t="b">
        <v>0</v>
      </c>
      <c r="J68" s="234"/>
      <c r="K68" s="234"/>
      <c r="L68" s="234"/>
      <c r="M68" s="234" t="b">
        <v>0</v>
      </c>
      <c r="N68" s="234" t="b">
        <v>0</v>
      </c>
      <c r="O68" s="234" t="b">
        <v>0</v>
      </c>
      <c r="P68" s="234" t="b">
        <v>0</v>
      </c>
      <c r="Q68" s="234" t="b">
        <v>0</v>
      </c>
      <c r="R68" s="236" t="b">
        <v>0</v>
      </c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H69" s="234" t="b">
        <v>0</v>
      </c>
      <c r="I69" s="234" t="b">
        <v>0</v>
      </c>
      <c r="J69" s="234"/>
      <c r="K69" s="234"/>
      <c r="L69" s="234"/>
      <c r="M69" s="234" t="b">
        <v>0</v>
      </c>
      <c r="N69" s="234" t="b">
        <v>0</v>
      </c>
      <c r="O69" s="234" t="b">
        <v>0</v>
      </c>
      <c r="P69" s="234" t="b">
        <v>0</v>
      </c>
      <c r="Q69" s="234" t="b">
        <v>0</v>
      </c>
      <c r="R69" s="236" t="b">
        <v>0</v>
      </c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H70" s="234" t="b">
        <v>0</v>
      </c>
      <c r="I70" s="234" t="b">
        <v>0</v>
      </c>
      <c r="J70" s="234"/>
      <c r="K70" s="234"/>
      <c r="L70" s="234"/>
      <c r="M70" s="234" t="b">
        <v>0</v>
      </c>
      <c r="N70" s="234" t="b">
        <v>0</v>
      </c>
      <c r="O70" s="234" t="b">
        <v>0</v>
      </c>
      <c r="P70" s="234" t="b">
        <v>0</v>
      </c>
      <c r="Q70" s="234" t="b">
        <v>0</v>
      </c>
      <c r="R70" s="236" t="b">
        <v>0</v>
      </c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H71" s="234" t="b">
        <v>0</v>
      </c>
      <c r="I71" s="234" t="b">
        <v>0</v>
      </c>
      <c r="J71" s="234"/>
      <c r="K71" s="234"/>
      <c r="L71" s="234"/>
      <c r="M71" s="234" t="b">
        <v>0</v>
      </c>
      <c r="N71" s="234" t="b">
        <v>0</v>
      </c>
      <c r="O71" s="234" t="b">
        <v>0</v>
      </c>
      <c r="P71" s="234" t="b">
        <v>0</v>
      </c>
      <c r="Q71" s="234" t="b">
        <v>0</v>
      </c>
      <c r="R71" s="236" t="b">
        <v>0</v>
      </c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H72" s="234" t="b">
        <v>0</v>
      </c>
      <c r="I72" s="234" t="b">
        <v>0</v>
      </c>
      <c r="J72" s="234"/>
      <c r="K72" s="234"/>
      <c r="L72" s="234"/>
      <c r="M72" s="234" t="b">
        <v>0</v>
      </c>
      <c r="N72" s="234" t="b">
        <v>0</v>
      </c>
      <c r="O72" s="234" t="b">
        <v>0</v>
      </c>
      <c r="P72" s="234" t="b">
        <v>0</v>
      </c>
      <c r="Q72" s="234" t="b">
        <v>0</v>
      </c>
      <c r="R72" s="236" t="b">
        <v>0</v>
      </c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H73" s="234" t="b">
        <v>0</v>
      </c>
      <c r="I73" s="234" t="b">
        <v>0</v>
      </c>
      <c r="J73" s="234"/>
      <c r="K73" s="234"/>
      <c r="L73" s="234"/>
      <c r="M73" s="234" t="b">
        <v>0</v>
      </c>
      <c r="N73" s="234" t="b">
        <v>0</v>
      </c>
      <c r="O73" s="234" t="b">
        <v>0</v>
      </c>
      <c r="P73" s="234" t="b">
        <v>0</v>
      </c>
      <c r="Q73" s="234" t="b">
        <v>0</v>
      </c>
      <c r="R73" s="236" t="b">
        <v>0</v>
      </c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H74" s="234" t="b">
        <v>0</v>
      </c>
      <c r="I74" s="234" t="b">
        <v>0</v>
      </c>
      <c r="J74" s="234"/>
      <c r="K74" s="234"/>
      <c r="L74" s="234"/>
      <c r="M74" s="234" t="b">
        <v>0</v>
      </c>
      <c r="N74" s="234" t="b">
        <v>0</v>
      </c>
      <c r="O74" s="234" t="b">
        <v>0</v>
      </c>
      <c r="P74" s="234" t="b">
        <v>0</v>
      </c>
      <c r="Q74" s="234" t="b">
        <v>0</v>
      </c>
      <c r="R74" s="236" t="b">
        <v>0</v>
      </c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H75" s="234" t="b">
        <v>0</v>
      </c>
      <c r="I75" s="234" t="b">
        <v>0</v>
      </c>
      <c r="J75" s="234"/>
      <c r="K75" s="234"/>
      <c r="L75" s="234"/>
      <c r="M75" s="234" t="b">
        <v>0</v>
      </c>
      <c r="N75" s="234" t="b">
        <v>0</v>
      </c>
      <c r="O75" s="234" t="b">
        <v>0</v>
      </c>
      <c r="P75" s="234" t="b">
        <v>0</v>
      </c>
      <c r="Q75" s="234" t="b">
        <v>0</v>
      </c>
      <c r="R75" s="236" t="b">
        <v>0</v>
      </c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H76" s="234" t="b">
        <v>0</v>
      </c>
      <c r="I76" s="234" t="b">
        <v>0</v>
      </c>
      <c r="J76" s="234"/>
      <c r="K76" s="234"/>
      <c r="L76" s="234"/>
      <c r="M76" s="234" t="b">
        <v>0</v>
      </c>
      <c r="N76" s="234" t="b">
        <v>0</v>
      </c>
      <c r="O76" s="234" t="b">
        <v>0</v>
      </c>
      <c r="P76" s="234" t="b">
        <v>0</v>
      </c>
      <c r="Q76" s="234" t="b">
        <v>0</v>
      </c>
      <c r="R76" s="236" t="b">
        <v>0</v>
      </c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H77" s="234" t="b">
        <v>0</v>
      </c>
      <c r="I77" s="234" t="b">
        <v>0</v>
      </c>
      <c r="J77" s="234"/>
      <c r="K77" s="234"/>
      <c r="L77" s="234"/>
      <c r="M77" s="234" t="b">
        <v>0</v>
      </c>
      <c r="N77" s="234" t="b">
        <v>0</v>
      </c>
      <c r="O77" s="234" t="b">
        <v>0</v>
      </c>
      <c r="P77" s="234" t="b">
        <v>0</v>
      </c>
      <c r="Q77" s="234" t="b">
        <v>0</v>
      </c>
      <c r="R77" s="236" t="b">
        <v>0</v>
      </c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H78" s="234" t="b">
        <v>0</v>
      </c>
      <c r="I78" s="234" t="b">
        <v>0</v>
      </c>
      <c r="J78" s="234"/>
      <c r="K78" s="234"/>
      <c r="L78" s="234"/>
      <c r="M78" s="234" t="b">
        <v>0</v>
      </c>
      <c r="N78" s="234" t="b">
        <v>0</v>
      </c>
      <c r="O78" s="234" t="b">
        <v>0</v>
      </c>
      <c r="P78" s="234" t="b">
        <v>0</v>
      </c>
      <c r="Q78" s="234" t="b">
        <v>0</v>
      </c>
      <c r="R78" s="236" t="b">
        <v>0</v>
      </c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H79" s="234" t="b">
        <v>0</v>
      </c>
      <c r="I79" s="234" t="b">
        <v>0</v>
      </c>
      <c r="J79" s="234"/>
      <c r="K79" s="234"/>
      <c r="L79" s="234"/>
      <c r="M79" s="234" t="b">
        <v>0</v>
      </c>
      <c r="N79" s="234" t="b">
        <v>0</v>
      </c>
      <c r="O79" s="234" t="b">
        <v>0</v>
      </c>
      <c r="P79" s="234" t="b">
        <v>0</v>
      </c>
      <c r="Q79" s="234" t="b">
        <v>0</v>
      </c>
      <c r="R79" s="236" t="b">
        <v>0</v>
      </c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H80" s="234" t="b">
        <v>0</v>
      </c>
      <c r="I80" s="234" t="b">
        <v>0</v>
      </c>
      <c r="J80" s="234"/>
      <c r="K80" s="234"/>
      <c r="L80" s="234"/>
      <c r="M80" s="234" t="b">
        <v>0</v>
      </c>
      <c r="N80" s="234" t="b">
        <v>0</v>
      </c>
      <c r="O80" s="234" t="b">
        <v>0</v>
      </c>
      <c r="P80" s="234" t="b">
        <v>0</v>
      </c>
      <c r="Q80" s="234" t="b">
        <v>0</v>
      </c>
      <c r="R80" s="236" t="b">
        <v>0</v>
      </c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H81" s="234" t="b">
        <v>0</v>
      </c>
      <c r="I81" s="234" t="b">
        <v>0</v>
      </c>
      <c r="J81" s="234"/>
      <c r="K81" s="234"/>
      <c r="L81" s="234"/>
      <c r="M81" s="234" t="b">
        <v>0</v>
      </c>
      <c r="N81" s="234" t="b">
        <v>0</v>
      </c>
      <c r="O81" s="234" t="b">
        <v>0</v>
      </c>
      <c r="P81" s="234" t="b">
        <v>0</v>
      </c>
      <c r="Q81" s="234" t="b">
        <v>0</v>
      </c>
      <c r="R81" s="236" t="b">
        <v>0</v>
      </c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H82" s="234" t="b">
        <v>0</v>
      </c>
      <c r="I82" s="234" t="b">
        <v>0</v>
      </c>
      <c r="J82" s="234"/>
      <c r="K82" s="234"/>
      <c r="L82" s="234"/>
      <c r="M82" s="234" t="b">
        <v>0</v>
      </c>
      <c r="N82" s="234" t="b">
        <v>0</v>
      </c>
      <c r="O82" s="234" t="b">
        <v>0</v>
      </c>
      <c r="P82" s="234" t="b">
        <v>0</v>
      </c>
      <c r="Q82" s="234" t="b">
        <v>0</v>
      </c>
      <c r="R82" s="236" t="b">
        <v>0</v>
      </c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H83" s="234" t="b">
        <v>0</v>
      </c>
      <c r="I83" s="234" t="b">
        <v>0</v>
      </c>
      <c r="J83" s="234"/>
      <c r="K83" s="234"/>
      <c r="L83" s="234"/>
      <c r="M83" s="234" t="b">
        <v>0</v>
      </c>
      <c r="N83" s="234" t="b">
        <v>0</v>
      </c>
      <c r="O83" s="234" t="b">
        <v>0</v>
      </c>
      <c r="P83" s="234" t="b">
        <v>0</v>
      </c>
      <c r="Q83" s="234" t="b">
        <v>0</v>
      </c>
      <c r="R83" s="236" t="b">
        <v>0</v>
      </c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H84" s="234" t="b">
        <v>0</v>
      </c>
      <c r="I84" s="234" t="b">
        <v>0</v>
      </c>
      <c r="J84" s="234"/>
      <c r="K84" s="234"/>
      <c r="L84" s="234"/>
      <c r="M84" s="234" t="b">
        <v>0</v>
      </c>
      <c r="N84" s="234" t="b">
        <v>0</v>
      </c>
      <c r="O84" s="234" t="b">
        <v>0</v>
      </c>
      <c r="P84" s="234" t="b">
        <v>0</v>
      </c>
      <c r="Q84" s="234" t="b">
        <v>0</v>
      </c>
      <c r="R84" s="236" t="b">
        <v>0</v>
      </c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H85" s="234" t="b">
        <v>0</v>
      </c>
      <c r="I85" s="234" t="b">
        <v>0</v>
      </c>
      <c r="J85" s="234"/>
      <c r="K85" s="234"/>
      <c r="L85" s="234"/>
      <c r="M85" s="234" t="b">
        <v>0</v>
      </c>
      <c r="N85" s="234" t="b">
        <v>0</v>
      </c>
      <c r="O85" s="234" t="b">
        <v>0</v>
      </c>
      <c r="P85" s="234" t="b">
        <v>0</v>
      </c>
      <c r="Q85" s="234" t="b">
        <v>0</v>
      </c>
      <c r="R85" s="236" t="b">
        <v>0</v>
      </c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H86" s="234" t="b">
        <v>0</v>
      </c>
      <c r="I86" s="234" t="b">
        <v>0</v>
      </c>
      <c r="J86" s="234"/>
      <c r="K86" s="234"/>
      <c r="L86" s="234"/>
      <c r="M86" s="234" t="b">
        <v>0</v>
      </c>
      <c r="N86" s="234" t="b">
        <v>0</v>
      </c>
      <c r="O86" s="234" t="b">
        <v>0</v>
      </c>
      <c r="P86" s="234" t="b">
        <v>0</v>
      </c>
      <c r="Q86" s="234" t="b">
        <v>0</v>
      </c>
      <c r="R86" s="236" t="b">
        <v>0</v>
      </c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H87" s="234" t="b">
        <v>0</v>
      </c>
      <c r="I87" s="234" t="b">
        <v>0</v>
      </c>
      <c r="J87" s="234"/>
      <c r="K87" s="234"/>
      <c r="L87" s="234"/>
      <c r="M87" s="234" t="b">
        <v>0</v>
      </c>
      <c r="N87" s="234" t="b">
        <v>0</v>
      </c>
      <c r="O87" s="234" t="b">
        <v>0</v>
      </c>
      <c r="P87" s="234" t="b">
        <v>0</v>
      </c>
      <c r="Q87" s="234" t="b">
        <v>0</v>
      </c>
      <c r="R87" s="236" t="b">
        <v>0</v>
      </c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H88" s="234" t="b">
        <v>0</v>
      </c>
      <c r="I88" s="234" t="b">
        <v>0</v>
      </c>
      <c r="J88" s="234"/>
      <c r="K88" s="234"/>
      <c r="L88" s="234"/>
      <c r="M88" s="234" t="b">
        <v>0</v>
      </c>
      <c r="N88" s="234" t="b">
        <v>0</v>
      </c>
      <c r="O88" s="234" t="b">
        <v>0</v>
      </c>
      <c r="P88" s="234" t="b">
        <v>0</v>
      </c>
      <c r="Q88" s="234" t="b">
        <v>0</v>
      </c>
      <c r="R88" s="236" t="b">
        <v>0</v>
      </c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H89" s="234" t="b">
        <v>0</v>
      </c>
      <c r="I89" s="234" t="b">
        <v>0</v>
      </c>
      <c r="J89" s="234"/>
      <c r="K89" s="234"/>
      <c r="L89" s="234"/>
      <c r="M89" s="234" t="b">
        <v>0</v>
      </c>
      <c r="N89" s="234" t="b">
        <v>0</v>
      </c>
      <c r="O89" s="234" t="b">
        <v>0</v>
      </c>
      <c r="P89" s="234" t="b">
        <v>0</v>
      </c>
      <c r="Q89" s="234" t="b">
        <v>0</v>
      </c>
      <c r="R89" s="236" t="b">
        <v>0</v>
      </c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H90" s="234" t="b">
        <v>0</v>
      </c>
      <c r="I90" s="234" t="b">
        <v>0</v>
      </c>
      <c r="J90" s="234"/>
      <c r="K90" s="234"/>
      <c r="L90" s="234"/>
      <c r="M90" s="234" t="b">
        <v>0</v>
      </c>
      <c r="N90" s="234" t="b">
        <v>0</v>
      </c>
      <c r="O90" s="234" t="b">
        <v>0</v>
      </c>
      <c r="P90" s="234" t="b">
        <v>0</v>
      </c>
      <c r="Q90" s="234" t="b">
        <v>0</v>
      </c>
      <c r="R90" s="236" t="b">
        <v>0</v>
      </c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H91" s="234" t="b">
        <v>0</v>
      </c>
      <c r="I91" s="234" t="b">
        <v>0</v>
      </c>
      <c r="J91" s="234"/>
      <c r="K91" s="234"/>
      <c r="L91" s="234"/>
      <c r="M91" s="234" t="b">
        <v>0</v>
      </c>
      <c r="N91" s="234" t="b">
        <v>0</v>
      </c>
      <c r="O91" s="234" t="b">
        <v>0</v>
      </c>
      <c r="P91" s="234" t="b">
        <v>0</v>
      </c>
      <c r="Q91" s="234" t="b">
        <v>0</v>
      </c>
      <c r="R91" s="236" t="b">
        <v>0</v>
      </c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H92" s="234" t="b">
        <v>0</v>
      </c>
      <c r="I92" s="234" t="b">
        <v>0</v>
      </c>
      <c r="J92" s="234"/>
      <c r="K92" s="234"/>
      <c r="L92" s="234"/>
      <c r="M92" s="234" t="b">
        <v>0</v>
      </c>
      <c r="N92" s="234" t="b">
        <v>0</v>
      </c>
      <c r="O92" s="234" t="b">
        <v>0</v>
      </c>
      <c r="P92" s="234" t="b">
        <v>0</v>
      </c>
      <c r="Q92" s="234" t="b">
        <v>0</v>
      </c>
      <c r="R92" s="236" t="b">
        <v>0</v>
      </c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H93" s="234" t="b">
        <v>0</v>
      </c>
      <c r="I93" s="234" t="b">
        <v>0</v>
      </c>
      <c r="J93" s="234"/>
      <c r="K93" s="234"/>
      <c r="L93" s="234"/>
      <c r="M93" s="234" t="b">
        <v>0</v>
      </c>
      <c r="N93" s="234" t="b">
        <v>0</v>
      </c>
      <c r="O93" s="234" t="b">
        <v>0</v>
      </c>
      <c r="P93" s="234" t="b">
        <v>0</v>
      </c>
      <c r="Q93" s="234" t="b">
        <v>0</v>
      </c>
      <c r="R93" s="236" t="b">
        <v>0</v>
      </c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H94" s="234" t="b">
        <v>0</v>
      </c>
      <c r="I94" s="234" t="b">
        <v>0</v>
      </c>
      <c r="J94" s="234"/>
      <c r="K94" s="234"/>
      <c r="L94" s="234"/>
      <c r="M94" s="234" t="b">
        <v>0</v>
      </c>
      <c r="N94" s="234" t="b">
        <v>0</v>
      </c>
      <c r="O94" s="234" t="b">
        <v>0</v>
      </c>
      <c r="P94" s="234" t="b">
        <v>0</v>
      </c>
      <c r="Q94" s="234" t="b">
        <v>0</v>
      </c>
      <c r="R94" s="236" t="b">
        <v>0</v>
      </c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H95" s="234" t="b">
        <v>0</v>
      </c>
      <c r="I95" s="234" t="b">
        <v>0</v>
      </c>
      <c r="J95" s="234"/>
      <c r="K95" s="234"/>
      <c r="L95" s="234"/>
      <c r="M95" s="234" t="b">
        <v>0</v>
      </c>
      <c r="N95" s="234" t="b">
        <v>0</v>
      </c>
      <c r="O95" s="234" t="b">
        <v>0</v>
      </c>
      <c r="P95" s="234" t="b">
        <v>0</v>
      </c>
      <c r="Q95" s="234" t="b">
        <v>0</v>
      </c>
      <c r="R95" s="236" t="b">
        <v>0</v>
      </c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H96" s="234" t="b">
        <v>0</v>
      </c>
      <c r="I96" s="234" t="b">
        <v>0</v>
      </c>
      <c r="J96" s="234"/>
      <c r="K96" s="234"/>
      <c r="L96" s="234"/>
      <c r="M96" s="234" t="b">
        <v>0</v>
      </c>
      <c r="N96" s="234" t="b">
        <v>0</v>
      </c>
      <c r="O96" s="234" t="b">
        <v>0</v>
      </c>
      <c r="P96" s="234" t="b">
        <v>0</v>
      </c>
      <c r="Q96" s="234" t="b">
        <v>0</v>
      </c>
      <c r="R96" s="236" t="b">
        <v>0</v>
      </c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H97" s="234" t="b">
        <v>0</v>
      </c>
      <c r="I97" s="234" t="b">
        <v>0</v>
      </c>
      <c r="J97" s="234"/>
      <c r="K97" s="234"/>
      <c r="L97" s="234"/>
      <c r="M97" s="234" t="b">
        <v>0</v>
      </c>
      <c r="N97" s="234" t="b">
        <v>0</v>
      </c>
      <c r="O97" s="234" t="b">
        <v>0</v>
      </c>
      <c r="P97" s="234" t="b">
        <v>0</v>
      </c>
      <c r="Q97" s="234" t="b">
        <v>0</v>
      </c>
      <c r="R97" s="236" t="b">
        <v>0</v>
      </c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H98" s="234" t="b">
        <v>0</v>
      </c>
      <c r="I98" s="234" t="b">
        <v>0</v>
      </c>
      <c r="J98" s="234"/>
      <c r="K98" s="234"/>
      <c r="L98" s="234"/>
      <c r="M98" s="234" t="b">
        <v>0</v>
      </c>
      <c r="N98" s="234" t="b">
        <v>0</v>
      </c>
      <c r="O98" s="234" t="b">
        <v>0</v>
      </c>
      <c r="P98" s="234" t="b">
        <v>0</v>
      </c>
      <c r="Q98" s="234" t="b">
        <v>0</v>
      </c>
      <c r="R98" s="236" t="b">
        <v>0</v>
      </c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H99" s="234" t="b">
        <v>0</v>
      </c>
      <c r="I99" s="234" t="b">
        <v>0</v>
      </c>
      <c r="J99" s="234"/>
      <c r="K99" s="234"/>
      <c r="L99" s="234"/>
      <c r="M99" s="234" t="b">
        <v>0</v>
      </c>
      <c r="N99" s="234" t="b">
        <v>0</v>
      </c>
      <c r="O99" s="234" t="b">
        <v>0</v>
      </c>
      <c r="P99" s="234" t="b">
        <v>0</v>
      </c>
      <c r="Q99" s="234" t="b">
        <v>0</v>
      </c>
      <c r="R99" s="236" t="b">
        <v>0</v>
      </c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H100" s="234" t="b">
        <v>0</v>
      </c>
      <c r="I100" s="234" t="b">
        <v>0</v>
      </c>
      <c r="J100" s="234"/>
      <c r="K100" s="234"/>
      <c r="L100" s="234"/>
      <c r="M100" s="234" t="b">
        <v>0</v>
      </c>
      <c r="N100" s="234" t="b">
        <v>0</v>
      </c>
      <c r="O100" s="234" t="b">
        <v>0</v>
      </c>
      <c r="P100" s="234" t="b">
        <v>0</v>
      </c>
      <c r="Q100" s="234" t="b">
        <v>0</v>
      </c>
      <c r="R100" s="236" t="b">
        <v>0</v>
      </c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H101" s="234" t="b">
        <v>0</v>
      </c>
      <c r="I101" s="234" t="b">
        <v>0</v>
      </c>
      <c r="J101" s="234"/>
      <c r="K101" s="234"/>
      <c r="L101" s="234"/>
      <c r="M101" s="234" t="b">
        <v>0</v>
      </c>
      <c r="N101" s="234" t="b">
        <v>0</v>
      </c>
      <c r="O101" s="234" t="b">
        <v>0</v>
      </c>
      <c r="P101" s="234" t="b">
        <v>0</v>
      </c>
      <c r="Q101" s="234" t="b">
        <v>0</v>
      </c>
      <c r="R101" s="236" t="b">
        <v>0</v>
      </c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H102" s="234" t="b">
        <v>0</v>
      </c>
      <c r="I102" s="234" t="b">
        <v>0</v>
      </c>
      <c r="J102" s="234"/>
      <c r="K102" s="234"/>
      <c r="L102" s="234"/>
      <c r="M102" s="234" t="b">
        <v>0</v>
      </c>
      <c r="N102" s="234" t="b">
        <v>0</v>
      </c>
      <c r="O102" s="234" t="b">
        <v>0</v>
      </c>
      <c r="P102" s="234" t="b">
        <v>0</v>
      </c>
      <c r="Q102" s="234" t="b">
        <v>0</v>
      </c>
      <c r="R102" s="236" t="b">
        <v>0</v>
      </c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H103" s="234" t="b">
        <v>0</v>
      </c>
      <c r="I103" s="234" t="b">
        <v>0</v>
      </c>
      <c r="J103" s="234"/>
      <c r="K103" s="234"/>
      <c r="L103" s="234"/>
      <c r="M103" s="234" t="b">
        <v>0</v>
      </c>
      <c r="N103" s="234" t="b">
        <v>0</v>
      </c>
      <c r="O103" s="234" t="b">
        <v>0</v>
      </c>
      <c r="P103" s="234" t="b">
        <v>0</v>
      </c>
      <c r="Q103" s="234" t="b">
        <v>0</v>
      </c>
      <c r="R103" s="236" t="b">
        <v>0</v>
      </c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H104" s="234" t="b">
        <v>0</v>
      </c>
      <c r="I104" s="234" t="b">
        <v>0</v>
      </c>
      <c r="J104" s="234"/>
      <c r="K104" s="234"/>
      <c r="L104" s="234"/>
      <c r="M104" s="234" t="b">
        <v>0</v>
      </c>
      <c r="N104" s="234" t="b">
        <v>0</v>
      </c>
      <c r="O104" s="234" t="b">
        <v>0</v>
      </c>
      <c r="P104" s="234" t="b">
        <v>0</v>
      </c>
      <c r="Q104" s="234" t="b">
        <v>0</v>
      </c>
      <c r="R104" s="236" t="b">
        <v>0</v>
      </c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H105" s="234" t="b">
        <v>0</v>
      </c>
      <c r="I105" s="234" t="b">
        <v>0</v>
      </c>
      <c r="J105" s="234"/>
      <c r="K105" s="234"/>
      <c r="L105" s="234"/>
      <c r="M105" s="234" t="b">
        <v>0</v>
      </c>
      <c r="N105" s="234" t="b">
        <v>0</v>
      </c>
      <c r="O105" s="234" t="b">
        <v>0</v>
      </c>
      <c r="P105" s="234" t="b">
        <v>0</v>
      </c>
      <c r="Q105" s="234" t="b">
        <v>0</v>
      </c>
      <c r="R105" s="236" t="b">
        <v>0</v>
      </c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H106" s="234" t="b">
        <v>0</v>
      </c>
      <c r="I106" s="234" t="b">
        <v>0</v>
      </c>
      <c r="J106" s="234"/>
      <c r="K106" s="234"/>
      <c r="L106" s="234"/>
      <c r="M106" s="234" t="b">
        <v>0</v>
      </c>
      <c r="N106" s="234" t="b">
        <v>0</v>
      </c>
      <c r="O106" s="234" t="b">
        <v>0</v>
      </c>
      <c r="P106" s="234" t="b">
        <v>0</v>
      </c>
      <c r="Q106" s="234" t="b">
        <v>0</v>
      </c>
      <c r="R106" s="236" t="b">
        <v>0</v>
      </c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H107" s="234" t="b">
        <v>0</v>
      </c>
      <c r="I107" s="234" t="b">
        <v>0</v>
      </c>
      <c r="J107" s="234"/>
      <c r="K107" s="234"/>
      <c r="L107" s="234"/>
      <c r="M107" s="234" t="b">
        <v>0</v>
      </c>
      <c r="N107" s="234" t="b">
        <v>0</v>
      </c>
      <c r="O107" s="234" t="b">
        <v>0</v>
      </c>
      <c r="P107" s="234" t="b">
        <v>0</v>
      </c>
      <c r="Q107" s="234" t="b">
        <v>0</v>
      </c>
      <c r="R107" s="236" t="b">
        <v>0</v>
      </c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H108" s="234" t="b">
        <v>0</v>
      </c>
      <c r="I108" s="234" t="b">
        <v>0</v>
      </c>
      <c r="J108" s="234"/>
      <c r="K108" s="234"/>
      <c r="L108" s="234"/>
      <c r="M108" s="234" t="b">
        <v>0</v>
      </c>
      <c r="N108" s="234" t="b">
        <v>0</v>
      </c>
      <c r="O108" s="234" t="b">
        <v>0</v>
      </c>
      <c r="P108" s="234" t="b">
        <v>0</v>
      </c>
      <c r="Q108" s="234" t="b">
        <v>0</v>
      </c>
      <c r="R108" s="236" t="b">
        <v>0</v>
      </c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H109" s="234" t="b">
        <v>0</v>
      </c>
      <c r="I109" s="234" t="b">
        <v>0</v>
      </c>
      <c r="J109" s="234"/>
      <c r="K109" s="234"/>
      <c r="L109" s="234"/>
      <c r="M109" s="234" t="b">
        <v>0</v>
      </c>
      <c r="N109" s="234" t="b">
        <v>0</v>
      </c>
      <c r="O109" s="234" t="b">
        <v>0</v>
      </c>
      <c r="P109" s="234" t="b">
        <v>0</v>
      </c>
      <c r="Q109" s="234" t="b">
        <v>0</v>
      </c>
      <c r="R109" s="236" t="b">
        <v>0</v>
      </c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H110" s="234" t="b">
        <v>0</v>
      </c>
      <c r="I110" s="234" t="b">
        <v>0</v>
      </c>
      <c r="J110" s="234"/>
      <c r="K110" s="234"/>
      <c r="L110" s="234"/>
      <c r="M110" s="234" t="b">
        <v>0</v>
      </c>
      <c r="N110" s="234" t="b">
        <v>0</v>
      </c>
      <c r="O110" s="234" t="b">
        <v>0</v>
      </c>
      <c r="P110" s="234" t="b">
        <v>0</v>
      </c>
      <c r="Q110" s="234" t="b">
        <v>0</v>
      </c>
      <c r="R110" s="236" t="b">
        <v>0</v>
      </c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H111" s="234" t="b">
        <v>0</v>
      </c>
      <c r="I111" s="234" t="b">
        <v>0</v>
      </c>
      <c r="J111" s="234"/>
      <c r="K111" s="234"/>
      <c r="L111" s="234"/>
      <c r="M111" s="234" t="b">
        <v>0</v>
      </c>
      <c r="N111" s="234" t="b">
        <v>0</v>
      </c>
      <c r="O111" s="234" t="b">
        <v>0</v>
      </c>
      <c r="P111" s="234" t="b">
        <v>0</v>
      </c>
      <c r="Q111" s="234" t="b">
        <v>0</v>
      </c>
      <c r="R111" s="236" t="b">
        <v>0</v>
      </c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H112" s="234" t="b">
        <v>0</v>
      </c>
      <c r="I112" s="234" t="b">
        <v>0</v>
      </c>
      <c r="J112" s="234"/>
      <c r="K112" s="234"/>
      <c r="L112" s="234"/>
      <c r="M112" s="234" t="b">
        <v>0</v>
      </c>
      <c r="N112" s="234" t="b">
        <v>0</v>
      </c>
      <c r="O112" s="234" t="b">
        <v>0</v>
      </c>
      <c r="P112" s="234" t="b">
        <v>0</v>
      </c>
      <c r="Q112" s="234" t="b">
        <v>0</v>
      </c>
      <c r="R112" s="236" t="b">
        <v>0</v>
      </c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H113" s="234" t="b">
        <v>0</v>
      </c>
      <c r="I113" s="234" t="b">
        <v>0</v>
      </c>
      <c r="J113" s="234"/>
      <c r="K113" s="234"/>
      <c r="L113" s="234"/>
      <c r="M113" s="234" t="b">
        <v>0</v>
      </c>
      <c r="N113" s="234" t="b">
        <v>0</v>
      </c>
      <c r="O113" s="234" t="b">
        <v>0</v>
      </c>
      <c r="P113" s="234" t="b">
        <v>0</v>
      </c>
      <c r="Q113" s="234" t="b">
        <v>0</v>
      </c>
      <c r="R113" s="236" t="b">
        <v>0</v>
      </c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H114" s="234" t="b">
        <v>0</v>
      </c>
      <c r="I114" s="234" t="b">
        <v>0</v>
      </c>
      <c r="J114" s="234"/>
      <c r="K114" s="234"/>
      <c r="L114" s="234"/>
      <c r="M114" s="234" t="b">
        <v>0</v>
      </c>
      <c r="N114" s="234" t="b">
        <v>0</v>
      </c>
      <c r="O114" s="234" t="b">
        <v>0</v>
      </c>
      <c r="P114" s="234" t="b">
        <v>0</v>
      </c>
      <c r="Q114" s="234" t="b">
        <v>0</v>
      </c>
      <c r="R114" s="236" t="b">
        <v>0</v>
      </c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H115" s="234" t="b">
        <v>0</v>
      </c>
      <c r="I115" s="234" t="b">
        <v>0</v>
      </c>
      <c r="J115" s="234"/>
      <c r="K115" s="234"/>
      <c r="L115" s="234"/>
      <c r="M115" s="234" t="b">
        <v>0</v>
      </c>
      <c r="N115" s="234" t="b">
        <v>0</v>
      </c>
      <c r="O115" s="234" t="b">
        <v>0</v>
      </c>
      <c r="P115" s="234" t="b">
        <v>0</v>
      </c>
      <c r="Q115" s="234" t="b">
        <v>0</v>
      </c>
      <c r="R115" s="236" t="b">
        <v>0</v>
      </c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H116" s="234" t="b">
        <v>0</v>
      </c>
      <c r="I116" s="234" t="b">
        <v>0</v>
      </c>
      <c r="J116" s="234"/>
      <c r="K116" s="234"/>
      <c r="L116" s="234"/>
      <c r="M116" s="234" t="b">
        <v>0</v>
      </c>
      <c r="N116" s="234" t="b">
        <v>0</v>
      </c>
      <c r="O116" s="234" t="b">
        <v>0</v>
      </c>
      <c r="P116" s="234" t="b">
        <v>0</v>
      </c>
      <c r="Q116" s="234" t="b">
        <v>0</v>
      </c>
      <c r="R116" s="236" t="b">
        <v>0</v>
      </c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H117" s="234" t="b">
        <v>0</v>
      </c>
      <c r="I117" s="234" t="b">
        <v>0</v>
      </c>
      <c r="J117" s="234"/>
      <c r="K117" s="234"/>
      <c r="L117" s="234"/>
      <c r="M117" s="234" t="b">
        <v>0</v>
      </c>
      <c r="N117" s="234" t="b">
        <v>0</v>
      </c>
      <c r="O117" s="234" t="b">
        <v>0</v>
      </c>
      <c r="P117" s="234" t="b">
        <v>0</v>
      </c>
      <c r="Q117" s="234" t="b">
        <v>0</v>
      </c>
      <c r="R117" s="236" t="b">
        <v>0</v>
      </c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H118" s="234" t="b">
        <v>0</v>
      </c>
      <c r="I118" s="234" t="b">
        <v>0</v>
      </c>
      <c r="J118" s="234"/>
      <c r="K118" s="234"/>
      <c r="L118" s="234"/>
      <c r="M118" s="234" t="b">
        <v>0</v>
      </c>
      <c r="N118" s="234" t="b">
        <v>0</v>
      </c>
      <c r="O118" s="234" t="b">
        <v>0</v>
      </c>
      <c r="P118" s="234" t="b">
        <v>0</v>
      </c>
      <c r="Q118" s="234" t="b">
        <v>0</v>
      </c>
      <c r="R118" s="236" t="b">
        <v>0</v>
      </c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H119" s="234" t="b">
        <v>0</v>
      </c>
      <c r="I119" s="234" t="b">
        <v>0</v>
      </c>
      <c r="J119" s="234"/>
      <c r="K119" s="234"/>
      <c r="L119" s="234"/>
      <c r="M119" s="234" t="b">
        <v>0</v>
      </c>
      <c r="N119" s="234" t="b">
        <v>0</v>
      </c>
      <c r="O119" s="234" t="b">
        <v>0</v>
      </c>
      <c r="P119" s="234" t="b">
        <v>0</v>
      </c>
      <c r="Q119" s="234" t="b">
        <v>0</v>
      </c>
      <c r="R119" s="236" t="b">
        <v>0</v>
      </c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H120" s="234" t="b">
        <v>0</v>
      </c>
      <c r="I120" s="234" t="b">
        <v>0</v>
      </c>
      <c r="J120" s="234"/>
      <c r="K120" s="234"/>
      <c r="L120" s="234"/>
      <c r="M120" s="234" t="b">
        <v>0</v>
      </c>
      <c r="N120" s="234" t="b">
        <v>0</v>
      </c>
      <c r="O120" s="234" t="b">
        <v>0</v>
      </c>
      <c r="P120" s="234" t="b">
        <v>0</v>
      </c>
      <c r="Q120" s="234" t="b">
        <v>0</v>
      </c>
      <c r="R120" s="236" t="b">
        <v>0</v>
      </c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H121" s="234" t="b">
        <v>0</v>
      </c>
      <c r="I121" s="234" t="b">
        <v>0</v>
      </c>
      <c r="J121" s="234"/>
      <c r="K121" s="234"/>
      <c r="L121" s="234"/>
      <c r="M121" s="234" t="b">
        <v>0</v>
      </c>
      <c r="N121" s="234" t="b">
        <v>0</v>
      </c>
      <c r="O121" s="234" t="b">
        <v>0</v>
      </c>
      <c r="P121" s="234" t="b">
        <v>0</v>
      </c>
      <c r="Q121" s="234" t="b">
        <v>0</v>
      </c>
      <c r="R121" s="236" t="b">
        <v>0</v>
      </c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H122" s="234" t="b">
        <v>0</v>
      </c>
      <c r="I122" s="234" t="b">
        <v>0</v>
      </c>
      <c r="J122" s="234"/>
      <c r="K122" s="234"/>
      <c r="L122" s="234"/>
      <c r="M122" s="234" t="b">
        <v>0</v>
      </c>
      <c r="N122" s="234" t="b">
        <v>0</v>
      </c>
      <c r="O122" s="234" t="b">
        <v>0</v>
      </c>
      <c r="P122" s="234" t="b">
        <v>0</v>
      </c>
      <c r="Q122" s="234" t="b">
        <v>0</v>
      </c>
      <c r="R122" s="236" t="b">
        <v>0</v>
      </c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H123" s="234" t="b">
        <v>0</v>
      </c>
      <c r="I123" s="234" t="b">
        <v>0</v>
      </c>
      <c r="J123" s="234"/>
      <c r="K123" s="234"/>
      <c r="L123" s="234"/>
      <c r="M123" s="234" t="b">
        <v>0</v>
      </c>
      <c r="N123" s="234" t="b">
        <v>0</v>
      </c>
      <c r="O123" s="234" t="b">
        <v>0</v>
      </c>
      <c r="P123" s="234" t="b">
        <v>0</v>
      </c>
      <c r="Q123" s="234" t="b">
        <v>0</v>
      </c>
      <c r="R123" s="236" t="b">
        <v>0</v>
      </c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H124" s="234" t="b">
        <v>0</v>
      </c>
      <c r="I124" s="234" t="b">
        <v>0</v>
      </c>
      <c r="J124" s="234"/>
      <c r="K124" s="234"/>
      <c r="L124" s="234"/>
      <c r="M124" s="234" t="b">
        <v>0</v>
      </c>
      <c r="N124" s="234" t="b">
        <v>0</v>
      </c>
      <c r="O124" s="234" t="b">
        <v>0</v>
      </c>
      <c r="P124" s="234" t="b">
        <v>0</v>
      </c>
      <c r="Q124" s="234" t="b">
        <v>0</v>
      </c>
      <c r="R124" s="236" t="b">
        <v>0</v>
      </c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H125" s="234" t="b">
        <v>0</v>
      </c>
      <c r="I125" s="234" t="b">
        <v>0</v>
      </c>
      <c r="J125" s="234"/>
      <c r="K125" s="234"/>
      <c r="L125" s="234"/>
      <c r="M125" s="234" t="b">
        <v>0</v>
      </c>
      <c r="N125" s="234" t="b">
        <v>0</v>
      </c>
      <c r="O125" s="234" t="b">
        <v>0</v>
      </c>
      <c r="P125" s="234" t="b">
        <v>0</v>
      </c>
      <c r="Q125" s="234" t="b">
        <v>0</v>
      </c>
      <c r="R125" s="236" t="b">
        <v>0</v>
      </c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H126" s="234" t="b">
        <v>0</v>
      </c>
      <c r="I126" s="234" t="b">
        <v>0</v>
      </c>
      <c r="J126" s="234"/>
      <c r="K126" s="234"/>
      <c r="L126" s="234"/>
      <c r="M126" s="234" t="b">
        <v>0</v>
      </c>
      <c r="N126" s="234" t="b">
        <v>0</v>
      </c>
      <c r="O126" s="234" t="b">
        <v>0</v>
      </c>
      <c r="P126" s="234" t="b">
        <v>0</v>
      </c>
      <c r="Q126" s="234" t="b">
        <v>0</v>
      </c>
      <c r="R126" s="236" t="b">
        <v>0</v>
      </c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H127" s="234" t="b">
        <v>0</v>
      </c>
      <c r="I127" s="234" t="b">
        <v>0</v>
      </c>
      <c r="J127" s="234"/>
      <c r="K127" s="234"/>
      <c r="L127" s="234"/>
      <c r="M127" s="234" t="b">
        <v>0</v>
      </c>
      <c r="N127" s="234" t="b">
        <v>0</v>
      </c>
      <c r="O127" s="234" t="b">
        <v>0</v>
      </c>
      <c r="P127" s="234" t="b">
        <v>0</v>
      </c>
      <c r="Q127" s="234" t="b">
        <v>0</v>
      </c>
      <c r="R127" s="236" t="b">
        <v>0</v>
      </c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H128" s="234" t="b">
        <v>0</v>
      </c>
      <c r="I128" s="234" t="b">
        <v>0</v>
      </c>
      <c r="J128" s="234"/>
      <c r="K128" s="234"/>
      <c r="L128" s="234"/>
      <c r="M128" s="234" t="b">
        <v>0</v>
      </c>
      <c r="N128" s="234" t="b">
        <v>0</v>
      </c>
      <c r="O128" s="234" t="b">
        <v>0</v>
      </c>
      <c r="P128" s="234" t="b">
        <v>0</v>
      </c>
      <c r="Q128" s="234" t="b">
        <v>0</v>
      </c>
      <c r="R128" s="236" t="b">
        <v>0</v>
      </c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H129" s="234" t="b">
        <v>0</v>
      </c>
      <c r="I129" s="234" t="b">
        <v>0</v>
      </c>
      <c r="J129" s="234"/>
      <c r="K129" s="234"/>
      <c r="L129" s="234"/>
      <c r="M129" s="234" t="b">
        <v>0</v>
      </c>
      <c r="N129" s="234" t="b">
        <v>0</v>
      </c>
      <c r="O129" s="234" t="b">
        <v>0</v>
      </c>
      <c r="P129" s="234" t="b">
        <v>0</v>
      </c>
      <c r="Q129" s="234" t="b">
        <v>0</v>
      </c>
      <c r="R129" s="236" t="b">
        <v>0</v>
      </c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H130" s="234" t="b">
        <v>0</v>
      </c>
      <c r="I130" s="234" t="b">
        <v>0</v>
      </c>
      <c r="J130" s="234"/>
      <c r="K130" s="234"/>
      <c r="L130" s="234"/>
      <c r="M130" s="234" t="b">
        <v>0</v>
      </c>
      <c r="N130" s="234" t="b">
        <v>0</v>
      </c>
      <c r="O130" s="234" t="b">
        <v>0</v>
      </c>
      <c r="P130" s="234" t="b">
        <v>0</v>
      </c>
      <c r="Q130" s="234" t="b">
        <v>0</v>
      </c>
      <c r="R130" s="236" t="b">
        <v>0</v>
      </c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H131" s="234" t="b">
        <v>0</v>
      </c>
      <c r="I131" s="234" t="b">
        <v>0</v>
      </c>
      <c r="J131" s="234"/>
      <c r="K131" s="234"/>
      <c r="L131" s="234"/>
      <c r="M131" s="234" t="b">
        <v>0</v>
      </c>
      <c r="N131" s="234" t="b">
        <v>0</v>
      </c>
      <c r="O131" s="234" t="b">
        <v>0</v>
      </c>
      <c r="P131" s="234" t="b">
        <v>0</v>
      </c>
      <c r="Q131" s="234" t="b">
        <v>0</v>
      </c>
      <c r="R131" s="236" t="b">
        <v>0</v>
      </c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H132" s="234" t="b">
        <v>0</v>
      </c>
      <c r="I132" s="234" t="b">
        <v>0</v>
      </c>
      <c r="J132" s="234"/>
      <c r="K132" s="234"/>
      <c r="L132" s="234"/>
      <c r="M132" s="234" t="b">
        <v>0</v>
      </c>
      <c r="N132" s="234" t="b">
        <v>0</v>
      </c>
      <c r="O132" s="234" t="b">
        <v>0</v>
      </c>
      <c r="P132" s="234" t="b">
        <v>0</v>
      </c>
      <c r="Q132" s="234" t="b">
        <v>0</v>
      </c>
      <c r="R132" s="236" t="b">
        <v>0</v>
      </c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H133" s="234" t="b">
        <v>0</v>
      </c>
      <c r="I133" s="234" t="b">
        <v>0</v>
      </c>
      <c r="J133" s="234"/>
      <c r="K133" s="234"/>
      <c r="L133" s="234"/>
      <c r="M133" s="234" t="b">
        <v>0</v>
      </c>
      <c r="N133" s="234" t="b">
        <v>0</v>
      </c>
      <c r="O133" s="234" t="b">
        <v>0</v>
      </c>
      <c r="P133" s="234" t="b">
        <v>0</v>
      </c>
      <c r="Q133" s="234" t="b">
        <v>0</v>
      </c>
      <c r="R133" s="236" t="b">
        <v>0</v>
      </c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H134" s="234" t="b">
        <v>0</v>
      </c>
      <c r="I134" s="234" t="b">
        <v>0</v>
      </c>
      <c r="J134" s="234"/>
      <c r="K134" s="234"/>
      <c r="L134" s="234"/>
      <c r="M134" s="234" t="b">
        <v>0</v>
      </c>
      <c r="N134" s="234" t="b">
        <v>0</v>
      </c>
      <c r="O134" s="234" t="b">
        <v>0</v>
      </c>
      <c r="P134" s="234" t="b">
        <v>0</v>
      </c>
      <c r="Q134" s="234" t="b">
        <v>0</v>
      </c>
      <c r="R134" s="236" t="b">
        <v>0</v>
      </c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H135" s="234" t="b">
        <v>0</v>
      </c>
      <c r="I135" s="234" t="b">
        <v>0</v>
      </c>
      <c r="J135" s="234"/>
      <c r="K135" s="234"/>
      <c r="L135" s="234"/>
      <c r="M135" s="234" t="b">
        <v>0</v>
      </c>
      <c r="N135" s="234" t="b">
        <v>0</v>
      </c>
      <c r="O135" s="234" t="b">
        <v>0</v>
      </c>
      <c r="P135" s="234" t="b">
        <v>0</v>
      </c>
      <c r="Q135" s="234" t="b">
        <v>0</v>
      </c>
      <c r="R135" s="236" t="b">
        <v>0</v>
      </c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H136" s="234" t="b">
        <v>0</v>
      </c>
      <c r="I136" s="234" t="b">
        <v>0</v>
      </c>
      <c r="J136" s="234"/>
      <c r="K136" s="234"/>
      <c r="L136" s="234"/>
      <c r="M136" s="234" t="b">
        <v>0</v>
      </c>
      <c r="N136" s="234" t="b">
        <v>0</v>
      </c>
      <c r="O136" s="234" t="b">
        <v>0</v>
      </c>
      <c r="P136" s="234" t="b">
        <v>0</v>
      </c>
      <c r="Q136" s="234" t="b">
        <v>0</v>
      </c>
      <c r="R136" s="236" t="b">
        <v>0</v>
      </c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H137" s="234" t="b">
        <v>0</v>
      </c>
      <c r="I137" s="234" t="b">
        <v>0</v>
      </c>
      <c r="J137" s="234"/>
      <c r="K137" s="234"/>
      <c r="L137" s="234"/>
      <c r="M137" s="234" t="b">
        <v>0</v>
      </c>
      <c r="N137" s="234" t="b">
        <v>0</v>
      </c>
      <c r="O137" s="234" t="b">
        <v>0</v>
      </c>
      <c r="P137" s="234" t="b">
        <v>0</v>
      </c>
      <c r="Q137" s="234" t="b">
        <v>0</v>
      </c>
      <c r="R137" s="236" t="b">
        <v>0</v>
      </c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H138" s="234" t="b">
        <v>0</v>
      </c>
      <c r="I138" s="234" t="b">
        <v>0</v>
      </c>
      <c r="J138" s="234"/>
      <c r="K138" s="234"/>
      <c r="L138" s="234"/>
      <c r="M138" s="234" t="b">
        <v>0</v>
      </c>
      <c r="N138" s="234" t="b">
        <v>0</v>
      </c>
      <c r="O138" s="234" t="b">
        <v>0</v>
      </c>
      <c r="P138" s="234" t="b">
        <v>0</v>
      </c>
      <c r="Q138" s="234" t="b">
        <v>0</v>
      </c>
      <c r="R138" s="236" t="b">
        <v>0</v>
      </c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H139" s="234" t="b">
        <v>0</v>
      </c>
      <c r="I139" s="234" t="b">
        <v>0</v>
      </c>
      <c r="J139" s="234"/>
      <c r="K139" s="234"/>
      <c r="L139" s="234"/>
      <c r="M139" s="234" t="b">
        <v>0</v>
      </c>
      <c r="N139" s="234" t="b">
        <v>0</v>
      </c>
      <c r="O139" s="234" t="b">
        <v>0</v>
      </c>
      <c r="P139" s="234" t="b">
        <v>0</v>
      </c>
      <c r="Q139" s="234" t="b">
        <v>0</v>
      </c>
      <c r="R139" s="236" t="b">
        <v>0</v>
      </c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H140" s="234" t="b">
        <v>0</v>
      </c>
      <c r="I140" s="234" t="b">
        <v>0</v>
      </c>
      <c r="J140" s="234"/>
      <c r="K140" s="234"/>
      <c r="L140" s="234"/>
      <c r="M140" s="234" t="b">
        <v>0</v>
      </c>
      <c r="N140" s="234" t="b">
        <v>0</v>
      </c>
      <c r="O140" s="234" t="b">
        <v>0</v>
      </c>
      <c r="P140" s="234" t="b">
        <v>0</v>
      </c>
      <c r="Q140" s="234" t="b">
        <v>0</v>
      </c>
      <c r="R140" s="236" t="b">
        <v>0</v>
      </c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H141" s="234" t="b">
        <v>0</v>
      </c>
      <c r="I141" s="234" t="b">
        <v>0</v>
      </c>
      <c r="J141" s="234"/>
      <c r="K141" s="234"/>
      <c r="L141" s="234"/>
      <c r="M141" s="234" t="b">
        <v>0</v>
      </c>
      <c r="N141" s="234" t="b">
        <v>0</v>
      </c>
      <c r="O141" s="234" t="b">
        <v>0</v>
      </c>
      <c r="P141" s="234" t="b">
        <v>0</v>
      </c>
      <c r="Q141" s="234" t="b">
        <v>0</v>
      </c>
      <c r="R141" s="236" t="b">
        <v>0</v>
      </c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H142" s="234" t="b">
        <v>0</v>
      </c>
      <c r="I142" s="234" t="b">
        <v>0</v>
      </c>
      <c r="J142" s="234"/>
      <c r="K142" s="234"/>
      <c r="L142" s="234"/>
      <c r="M142" s="234" t="b">
        <v>0</v>
      </c>
      <c r="N142" s="234" t="b">
        <v>0</v>
      </c>
      <c r="O142" s="234" t="b">
        <v>0</v>
      </c>
      <c r="P142" s="234" t="b">
        <v>0</v>
      </c>
      <c r="Q142" s="234" t="b">
        <v>0</v>
      </c>
      <c r="R142" s="236" t="b">
        <v>0</v>
      </c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H143" s="234" t="b">
        <v>0</v>
      </c>
      <c r="I143" s="234" t="b">
        <v>0</v>
      </c>
      <c r="J143" s="234"/>
      <c r="K143" s="234"/>
      <c r="L143" s="234"/>
      <c r="M143" s="234" t="b">
        <v>0</v>
      </c>
      <c r="N143" s="234" t="b">
        <v>0</v>
      </c>
      <c r="O143" s="234" t="b">
        <v>0</v>
      </c>
      <c r="P143" s="234" t="b">
        <v>0</v>
      </c>
      <c r="Q143" s="234" t="b">
        <v>0</v>
      </c>
      <c r="R143" s="236" t="b">
        <v>0</v>
      </c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H144" s="234" t="b">
        <v>0</v>
      </c>
      <c r="I144" s="234" t="b">
        <v>0</v>
      </c>
      <c r="J144" s="234"/>
      <c r="K144" s="234"/>
      <c r="L144" s="234"/>
      <c r="M144" s="234" t="b">
        <v>0</v>
      </c>
      <c r="N144" s="234" t="b">
        <v>0</v>
      </c>
      <c r="O144" s="234" t="b">
        <v>0</v>
      </c>
      <c r="P144" s="234" t="b">
        <v>0</v>
      </c>
      <c r="Q144" s="234" t="b">
        <v>0</v>
      </c>
      <c r="R144" s="236" t="b">
        <v>0</v>
      </c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H145" s="234" t="b">
        <v>0</v>
      </c>
      <c r="I145" s="234" t="b">
        <v>0</v>
      </c>
      <c r="J145" s="234"/>
      <c r="K145" s="234"/>
      <c r="L145" s="234"/>
      <c r="M145" s="234" t="b">
        <v>0</v>
      </c>
      <c r="N145" s="234" t="b">
        <v>0</v>
      </c>
      <c r="O145" s="234" t="b">
        <v>0</v>
      </c>
      <c r="P145" s="234" t="b">
        <v>0</v>
      </c>
      <c r="Q145" s="234" t="b">
        <v>0</v>
      </c>
      <c r="R145" s="236" t="b">
        <v>0</v>
      </c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H146" s="234" t="b">
        <v>0</v>
      </c>
      <c r="I146" s="234" t="b">
        <v>0</v>
      </c>
      <c r="J146" s="234"/>
      <c r="K146" s="234"/>
      <c r="L146" s="234"/>
      <c r="M146" s="234" t="b">
        <v>0</v>
      </c>
      <c r="N146" s="234" t="b">
        <v>0</v>
      </c>
      <c r="O146" s="234" t="b">
        <v>0</v>
      </c>
      <c r="P146" s="234" t="b">
        <v>0</v>
      </c>
      <c r="Q146" s="234" t="b">
        <v>0</v>
      </c>
      <c r="R146" s="236" t="b">
        <v>0</v>
      </c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H147" s="234" t="b">
        <v>0</v>
      </c>
      <c r="I147" s="234" t="b">
        <v>0</v>
      </c>
      <c r="J147" s="234"/>
      <c r="K147" s="234"/>
      <c r="L147" s="234"/>
      <c r="M147" s="234" t="b">
        <v>0</v>
      </c>
      <c r="N147" s="234" t="b">
        <v>0</v>
      </c>
      <c r="O147" s="234" t="b">
        <v>0</v>
      </c>
      <c r="P147" s="234" t="b">
        <v>0</v>
      </c>
      <c r="Q147" s="234" t="b">
        <v>0</v>
      </c>
      <c r="R147" s="236" t="b">
        <v>0</v>
      </c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H148" s="234" t="b">
        <v>0</v>
      </c>
      <c r="I148" s="234" t="b">
        <v>0</v>
      </c>
      <c r="J148" s="234"/>
      <c r="K148" s="234"/>
      <c r="L148" s="234"/>
      <c r="M148" s="234" t="b">
        <v>0</v>
      </c>
      <c r="N148" s="234" t="b">
        <v>0</v>
      </c>
      <c r="O148" s="234" t="b">
        <v>0</v>
      </c>
      <c r="P148" s="234" t="b">
        <v>0</v>
      </c>
      <c r="Q148" s="234" t="b">
        <v>0</v>
      </c>
      <c r="R148" s="236" t="b">
        <v>0</v>
      </c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H149" s="234" t="b">
        <v>0</v>
      </c>
      <c r="I149" s="234" t="b">
        <v>0</v>
      </c>
      <c r="J149" s="234"/>
      <c r="K149" s="234"/>
      <c r="L149" s="234"/>
      <c r="M149" s="234" t="b">
        <v>0</v>
      </c>
      <c r="N149" s="234" t="b">
        <v>0</v>
      </c>
      <c r="O149" s="234" t="b">
        <v>0</v>
      </c>
      <c r="P149" s="234" t="b">
        <v>0</v>
      </c>
      <c r="Q149" s="234" t="b">
        <v>0</v>
      </c>
      <c r="R149" s="236" t="b">
        <v>0</v>
      </c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H150" s="234" t="b">
        <v>0</v>
      </c>
      <c r="I150" s="234" t="b">
        <v>0</v>
      </c>
      <c r="J150" s="234"/>
      <c r="K150" s="234"/>
      <c r="L150" s="234"/>
      <c r="M150" s="234" t="b">
        <v>0</v>
      </c>
      <c r="N150" s="234" t="b">
        <v>0</v>
      </c>
      <c r="O150" s="234" t="b">
        <v>0</v>
      </c>
      <c r="P150" s="234" t="b">
        <v>0</v>
      </c>
      <c r="Q150" s="234" t="b">
        <v>0</v>
      </c>
      <c r="R150" s="236" t="b">
        <v>0</v>
      </c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H151" s="234" t="b">
        <v>0</v>
      </c>
      <c r="I151" s="234" t="b">
        <v>0</v>
      </c>
      <c r="J151" s="234"/>
      <c r="K151" s="234"/>
      <c r="L151" s="234"/>
      <c r="M151" s="234" t="b">
        <v>0</v>
      </c>
      <c r="N151" s="234" t="b">
        <v>0</v>
      </c>
      <c r="O151" s="234" t="b">
        <v>0</v>
      </c>
      <c r="P151" s="234" t="b">
        <v>0</v>
      </c>
      <c r="Q151" s="234" t="b">
        <v>0</v>
      </c>
      <c r="R151" s="236" t="b">
        <v>0</v>
      </c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H152" s="234" t="b">
        <v>0</v>
      </c>
      <c r="I152" s="234" t="b">
        <v>0</v>
      </c>
      <c r="J152" s="234"/>
      <c r="K152" s="234"/>
      <c r="L152" s="234"/>
      <c r="M152" s="234" t="b">
        <v>0</v>
      </c>
      <c r="N152" s="234" t="b">
        <v>0</v>
      </c>
      <c r="O152" s="234" t="b">
        <v>0</v>
      </c>
      <c r="P152" s="234" t="b">
        <v>0</v>
      </c>
      <c r="Q152" s="234" t="b">
        <v>0</v>
      </c>
      <c r="R152" s="236" t="b">
        <v>0</v>
      </c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H153" s="234" t="b">
        <v>0</v>
      </c>
      <c r="I153" s="234" t="b">
        <v>0</v>
      </c>
      <c r="J153" s="234"/>
      <c r="K153" s="234"/>
      <c r="L153" s="234"/>
      <c r="M153" s="234" t="b">
        <v>0</v>
      </c>
      <c r="N153" s="234" t="b">
        <v>0</v>
      </c>
      <c r="O153" s="234" t="b">
        <v>0</v>
      </c>
      <c r="P153" s="234" t="b">
        <v>0</v>
      </c>
      <c r="Q153" s="234" t="b">
        <v>0</v>
      </c>
      <c r="R153" s="236" t="b">
        <v>0</v>
      </c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H154" s="234" t="b">
        <v>0</v>
      </c>
      <c r="I154" s="234" t="b">
        <v>0</v>
      </c>
      <c r="J154" s="234"/>
      <c r="K154" s="234"/>
      <c r="L154" s="234"/>
      <c r="M154" s="234" t="b">
        <v>0</v>
      </c>
      <c r="N154" s="234" t="b">
        <v>0</v>
      </c>
      <c r="O154" s="234" t="b">
        <v>0</v>
      </c>
      <c r="P154" s="234" t="b">
        <v>0</v>
      </c>
      <c r="Q154" s="234" t="b">
        <v>0</v>
      </c>
      <c r="R154" s="236" t="b">
        <v>0</v>
      </c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H155" s="234" t="b">
        <v>0</v>
      </c>
      <c r="I155" s="234" t="b">
        <v>0</v>
      </c>
      <c r="J155" s="234"/>
      <c r="K155" s="234"/>
      <c r="L155" s="234"/>
      <c r="M155" s="234" t="b">
        <v>0</v>
      </c>
      <c r="N155" s="234" t="b">
        <v>0</v>
      </c>
      <c r="O155" s="234" t="b">
        <v>0</v>
      </c>
      <c r="P155" s="234" t="b">
        <v>0</v>
      </c>
      <c r="Q155" s="234" t="b">
        <v>0</v>
      </c>
      <c r="R155" s="236" t="b">
        <v>0</v>
      </c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H156" s="234" t="b">
        <v>0</v>
      </c>
      <c r="I156" s="234" t="b">
        <v>0</v>
      </c>
      <c r="J156" s="234"/>
      <c r="K156" s="234"/>
      <c r="L156" s="234"/>
      <c r="M156" s="234" t="b">
        <v>0</v>
      </c>
      <c r="N156" s="234" t="b">
        <v>0</v>
      </c>
      <c r="O156" s="234" t="b">
        <v>0</v>
      </c>
      <c r="P156" s="234" t="b">
        <v>0</v>
      </c>
      <c r="Q156" s="234" t="b">
        <v>0</v>
      </c>
      <c r="R156" s="236" t="b">
        <v>0</v>
      </c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H157" s="234" t="b">
        <v>0</v>
      </c>
      <c r="I157" s="234" t="b">
        <v>0</v>
      </c>
      <c r="J157" s="234"/>
      <c r="K157" s="234"/>
      <c r="L157" s="234"/>
      <c r="M157" s="234" t="b">
        <v>0</v>
      </c>
      <c r="N157" s="234" t="b">
        <v>0</v>
      </c>
      <c r="O157" s="234" t="b">
        <v>0</v>
      </c>
      <c r="P157" s="234" t="b">
        <v>0</v>
      </c>
      <c r="Q157" s="234" t="b">
        <v>0</v>
      </c>
      <c r="R157" s="236" t="b">
        <v>0</v>
      </c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H158" s="234" t="b">
        <v>0</v>
      </c>
      <c r="I158" s="234" t="b">
        <v>0</v>
      </c>
      <c r="J158" s="234"/>
      <c r="K158" s="234"/>
      <c r="L158" s="234"/>
      <c r="M158" s="234" t="b">
        <v>0</v>
      </c>
      <c r="N158" s="234" t="b">
        <v>0</v>
      </c>
      <c r="O158" s="234" t="b">
        <v>0</v>
      </c>
      <c r="P158" s="234" t="b">
        <v>0</v>
      </c>
      <c r="Q158" s="234" t="b">
        <v>0</v>
      </c>
      <c r="R158" s="236" t="b">
        <v>0</v>
      </c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H159" s="234" t="b">
        <v>0</v>
      </c>
      <c r="I159" s="234" t="b">
        <v>0</v>
      </c>
      <c r="J159" s="234"/>
      <c r="K159" s="234"/>
      <c r="L159" s="234"/>
      <c r="M159" s="234" t="b">
        <v>0</v>
      </c>
      <c r="N159" s="234" t="b">
        <v>0</v>
      </c>
      <c r="O159" s="234" t="b">
        <v>0</v>
      </c>
      <c r="P159" s="234" t="b">
        <v>0</v>
      </c>
      <c r="Q159" s="234" t="b">
        <v>0</v>
      </c>
      <c r="R159" s="236" t="b">
        <v>0</v>
      </c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H160" s="234" t="b">
        <v>0</v>
      </c>
      <c r="I160" s="234" t="b">
        <v>0</v>
      </c>
      <c r="J160" s="234"/>
      <c r="K160" s="234"/>
      <c r="L160" s="234"/>
      <c r="M160" s="234" t="b">
        <v>0</v>
      </c>
      <c r="N160" s="234" t="b">
        <v>0</v>
      </c>
      <c r="O160" s="234" t="b">
        <v>0</v>
      </c>
      <c r="P160" s="234" t="b">
        <v>0</v>
      </c>
      <c r="Q160" s="234" t="b">
        <v>0</v>
      </c>
      <c r="R160" s="236" t="b">
        <v>0</v>
      </c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H161" s="234" t="b">
        <v>0</v>
      </c>
      <c r="I161" s="234" t="b">
        <v>0</v>
      </c>
      <c r="J161" s="234"/>
      <c r="K161" s="234"/>
      <c r="L161" s="234"/>
      <c r="M161" s="234" t="b">
        <v>0</v>
      </c>
      <c r="N161" s="234" t="b">
        <v>0</v>
      </c>
      <c r="O161" s="234" t="b">
        <v>0</v>
      </c>
      <c r="P161" s="234" t="b">
        <v>0</v>
      </c>
      <c r="Q161" s="234" t="b">
        <v>0</v>
      </c>
      <c r="R161" s="236" t="b">
        <v>0</v>
      </c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H162" s="234" t="b">
        <v>0</v>
      </c>
      <c r="I162" s="234" t="b">
        <v>0</v>
      </c>
      <c r="J162" s="234"/>
      <c r="K162" s="234"/>
      <c r="L162" s="234"/>
      <c r="M162" s="234" t="b">
        <v>0</v>
      </c>
      <c r="N162" s="234" t="b">
        <v>0</v>
      </c>
      <c r="O162" s="234" t="b">
        <v>0</v>
      </c>
      <c r="P162" s="234" t="b">
        <v>0</v>
      </c>
      <c r="Q162" s="234" t="b">
        <v>0</v>
      </c>
      <c r="R162" s="236" t="b">
        <v>0</v>
      </c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H163" s="234" t="b">
        <v>0</v>
      </c>
      <c r="I163" s="234" t="b">
        <v>0</v>
      </c>
      <c r="J163" s="234"/>
      <c r="K163" s="234"/>
      <c r="L163" s="234"/>
      <c r="M163" s="234" t="b">
        <v>0</v>
      </c>
      <c r="N163" s="234" t="b">
        <v>0</v>
      </c>
      <c r="O163" s="234" t="b">
        <v>0</v>
      </c>
      <c r="P163" s="234" t="b">
        <v>0</v>
      </c>
      <c r="Q163" s="234" t="b">
        <v>0</v>
      </c>
      <c r="R163" s="236" t="b">
        <v>0</v>
      </c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H164" s="234" t="b">
        <v>0</v>
      </c>
      <c r="I164" s="234" t="b">
        <v>0</v>
      </c>
      <c r="J164" s="234"/>
      <c r="K164" s="234"/>
      <c r="L164" s="234"/>
      <c r="M164" s="234" t="b">
        <v>0</v>
      </c>
      <c r="N164" s="234" t="b">
        <v>0</v>
      </c>
      <c r="O164" s="234" t="b">
        <v>0</v>
      </c>
      <c r="P164" s="234" t="b">
        <v>0</v>
      </c>
      <c r="Q164" s="234" t="b">
        <v>0</v>
      </c>
      <c r="R164" s="236" t="b">
        <v>0</v>
      </c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H165" s="234" t="b">
        <v>0</v>
      </c>
      <c r="I165" s="234" t="b">
        <v>0</v>
      </c>
      <c r="J165" s="234"/>
      <c r="K165" s="234"/>
      <c r="L165" s="234"/>
      <c r="M165" s="234" t="b">
        <v>0</v>
      </c>
      <c r="N165" s="234" t="b">
        <v>0</v>
      </c>
      <c r="O165" s="234" t="b">
        <v>0</v>
      </c>
      <c r="P165" s="234" t="b">
        <v>0</v>
      </c>
      <c r="Q165" s="234" t="b">
        <v>0</v>
      </c>
      <c r="R165" s="236" t="b">
        <v>0</v>
      </c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H166" s="234" t="b">
        <v>0</v>
      </c>
      <c r="I166" s="234" t="b">
        <v>0</v>
      </c>
      <c r="J166" s="234"/>
      <c r="K166" s="234"/>
      <c r="L166" s="234"/>
      <c r="M166" s="234" t="b">
        <v>0</v>
      </c>
      <c r="N166" s="234" t="b">
        <v>0</v>
      </c>
      <c r="O166" s="234" t="b">
        <v>0</v>
      </c>
      <c r="P166" s="234" t="b">
        <v>0</v>
      </c>
      <c r="Q166" s="234" t="b">
        <v>0</v>
      </c>
      <c r="R166" s="236" t="b">
        <v>0</v>
      </c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H167" s="234" t="b">
        <v>0</v>
      </c>
      <c r="I167" s="234" t="b">
        <v>0</v>
      </c>
      <c r="J167" s="234"/>
      <c r="K167" s="234"/>
      <c r="L167" s="234"/>
      <c r="M167" s="234" t="b">
        <v>0</v>
      </c>
      <c r="N167" s="234" t="b">
        <v>0</v>
      </c>
      <c r="O167" s="234" t="b">
        <v>0</v>
      </c>
      <c r="P167" s="234" t="b">
        <v>0</v>
      </c>
      <c r="Q167" s="234" t="b">
        <v>0</v>
      </c>
      <c r="R167" s="236" t="b">
        <v>0</v>
      </c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H168" s="234" t="b">
        <v>0</v>
      </c>
      <c r="I168" s="234" t="b">
        <v>0</v>
      </c>
      <c r="J168" s="234"/>
      <c r="K168" s="234"/>
      <c r="L168" s="234"/>
      <c r="M168" s="234" t="b">
        <v>0</v>
      </c>
      <c r="N168" s="234" t="b">
        <v>0</v>
      </c>
      <c r="O168" s="234" t="b">
        <v>0</v>
      </c>
      <c r="P168" s="234" t="b">
        <v>0</v>
      </c>
      <c r="Q168" s="234" t="b">
        <v>0</v>
      </c>
      <c r="R168" s="236" t="b">
        <v>0</v>
      </c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H169" s="234" t="b">
        <v>0</v>
      </c>
      <c r="I169" s="234" t="b">
        <v>0</v>
      </c>
      <c r="J169" s="234"/>
      <c r="K169" s="234"/>
      <c r="L169" s="234"/>
      <c r="M169" s="234" t="b">
        <v>0</v>
      </c>
      <c r="N169" s="234" t="b">
        <v>0</v>
      </c>
      <c r="O169" s="234" t="b">
        <v>0</v>
      </c>
      <c r="P169" s="234" t="b">
        <v>0</v>
      </c>
      <c r="Q169" s="234" t="b">
        <v>0</v>
      </c>
      <c r="R169" s="236" t="b">
        <v>0</v>
      </c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H170" s="234" t="b">
        <v>0</v>
      </c>
      <c r="I170" s="234" t="b">
        <v>0</v>
      </c>
      <c r="J170" s="234"/>
      <c r="K170" s="234"/>
      <c r="L170" s="234"/>
      <c r="M170" s="234" t="b">
        <v>0</v>
      </c>
      <c r="N170" s="234" t="b">
        <v>0</v>
      </c>
      <c r="O170" s="234" t="b">
        <v>0</v>
      </c>
      <c r="P170" s="234" t="b">
        <v>0</v>
      </c>
      <c r="Q170" s="234" t="b">
        <v>0</v>
      </c>
      <c r="R170" s="236" t="b">
        <v>0</v>
      </c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H171" s="234" t="b">
        <v>0</v>
      </c>
      <c r="I171" s="234" t="b">
        <v>0</v>
      </c>
      <c r="J171" s="234"/>
      <c r="K171" s="234"/>
      <c r="L171" s="234"/>
      <c r="M171" s="234" t="b">
        <v>0</v>
      </c>
      <c r="N171" s="234" t="b">
        <v>0</v>
      </c>
      <c r="O171" s="234" t="b">
        <v>0</v>
      </c>
      <c r="P171" s="234" t="b">
        <v>0</v>
      </c>
      <c r="Q171" s="234" t="b">
        <v>0</v>
      </c>
      <c r="R171" s="236" t="b">
        <v>0</v>
      </c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H172" s="234" t="b">
        <v>0</v>
      </c>
      <c r="I172" s="234" t="b">
        <v>0</v>
      </c>
      <c r="J172" s="234"/>
      <c r="K172" s="234"/>
      <c r="L172" s="234"/>
      <c r="M172" s="234" t="b">
        <v>0</v>
      </c>
      <c r="N172" s="234" t="b">
        <v>0</v>
      </c>
      <c r="O172" s="234" t="b">
        <v>0</v>
      </c>
      <c r="P172" s="234" t="b">
        <v>0</v>
      </c>
      <c r="Q172" s="234" t="b">
        <v>0</v>
      </c>
      <c r="R172" s="236" t="b">
        <v>0</v>
      </c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H173" s="234" t="b">
        <v>0</v>
      </c>
      <c r="I173" s="234" t="b">
        <v>0</v>
      </c>
      <c r="J173" s="234"/>
      <c r="K173" s="234"/>
      <c r="L173" s="234"/>
      <c r="M173" s="234" t="b">
        <v>0</v>
      </c>
      <c r="N173" s="234" t="b">
        <v>0</v>
      </c>
      <c r="O173" s="234" t="b">
        <v>0</v>
      </c>
      <c r="P173" s="234" t="b">
        <v>0</v>
      </c>
      <c r="Q173" s="234" t="b">
        <v>0</v>
      </c>
      <c r="R173" s="236" t="b">
        <v>0</v>
      </c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H174" s="234" t="b">
        <v>0</v>
      </c>
      <c r="I174" s="234" t="b">
        <v>0</v>
      </c>
      <c r="J174" s="234"/>
      <c r="K174" s="234"/>
      <c r="L174" s="234"/>
      <c r="M174" s="234" t="b">
        <v>0</v>
      </c>
      <c r="N174" s="234" t="b">
        <v>0</v>
      </c>
      <c r="O174" s="234" t="b">
        <v>0</v>
      </c>
      <c r="P174" s="234" t="b">
        <v>0</v>
      </c>
      <c r="Q174" s="234" t="b">
        <v>0</v>
      </c>
      <c r="R174" s="236" t="b">
        <v>0</v>
      </c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H175" s="234" t="b">
        <v>0</v>
      </c>
      <c r="I175" s="234" t="b">
        <v>0</v>
      </c>
      <c r="J175" s="234"/>
      <c r="K175" s="234"/>
      <c r="L175" s="234"/>
      <c r="M175" s="234" t="b">
        <v>0</v>
      </c>
      <c r="N175" s="234" t="b">
        <v>0</v>
      </c>
      <c r="O175" s="234" t="b">
        <v>0</v>
      </c>
      <c r="P175" s="234" t="b">
        <v>0</v>
      </c>
      <c r="Q175" s="234" t="b">
        <v>0</v>
      </c>
      <c r="R175" s="236" t="b">
        <v>0</v>
      </c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H176" s="234" t="b">
        <v>0</v>
      </c>
      <c r="I176" s="234" t="b">
        <v>0</v>
      </c>
      <c r="J176" s="234"/>
      <c r="K176" s="234"/>
      <c r="L176" s="234"/>
      <c r="M176" s="234" t="b">
        <v>0</v>
      </c>
      <c r="N176" s="234" t="b">
        <v>0</v>
      </c>
      <c r="O176" s="234" t="b">
        <v>0</v>
      </c>
      <c r="P176" s="234" t="b">
        <v>0</v>
      </c>
      <c r="Q176" s="234" t="b">
        <v>0</v>
      </c>
      <c r="R176" s="236" t="b">
        <v>0</v>
      </c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H177" s="234" t="b">
        <v>0</v>
      </c>
      <c r="I177" s="234" t="b">
        <v>0</v>
      </c>
      <c r="J177" s="234"/>
      <c r="K177" s="234"/>
      <c r="L177" s="234"/>
      <c r="M177" s="234" t="b">
        <v>0</v>
      </c>
      <c r="N177" s="234" t="b">
        <v>0</v>
      </c>
      <c r="O177" s="234" t="b">
        <v>0</v>
      </c>
      <c r="P177" s="234" t="b">
        <v>0</v>
      </c>
      <c r="Q177" s="234" t="b">
        <v>0</v>
      </c>
      <c r="R177" s="236" t="b">
        <v>0</v>
      </c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H178" s="234" t="b">
        <v>0</v>
      </c>
      <c r="I178" s="234" t="b">
        <v>0</v>
      </c>
      <c r="J178" s="234"/>
      <c r="K178" s="234"/>
      <c r="L178" s="234"/>
      <c r="M178" s="234" t="b">
        <v>0</v>
      </c>
      <c r="N178" s="234" t="b">
        <v>0</v>
      </c>
      <c r="O178" s="234" t="b">
        <v>0</v>
      </c>
      <c r="P178" s="234" t="b">
        <v>0</v>
      </c>
      <c r="Q178" s="234" t="b">
        <v>0</v>
      </c>
      <c r="R178" s="236" t="b">
        <v>0</v>
      </c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H179" s="234" t="b">
        <v>0</v>
      </c>
      <c r="I179" s="234" t="b">
        <v>0</v>
      </c>
      <c r="J179" s="234"/>
      <c r="K179" s="234"/>
      <c r="L179" s="234"/>
      <c r="M179" s="234" t="b">
        <v>0</v>
      </c>
      <c r="N179" s="234" t="b">
        <v>0</v>
      </c>
      <c r="O179" s="234" t="b">
        <v>0</v>
      </c>
      <c r="P179" s="234" t="b">
        <v>0</v>
      </c>
      <c r="Q179" s="234" t="b">
        <v>0</v>
      </c>
      <c r="R179" s="236" t="b">
        <v>0</v>
      </c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H180" s="234" t="b">
        <v>0</v>
      </c>
      <c r="I180" s="234" t="b">
        <v>0</v>
      </c>
      <c r="J180" s="234"/>
      <c r="K180" s="234"/>
      <c r="L180" s="234"/>
      <c r="M180" s="234" t="b">
        <v>0</v>
      </c>
      <c r="N180" s="234" t="b">
        <v>0</v>
      </c>
      <c r="O180" s="234" t="b">
        <v>0</v>
      </c>
      <c r="P180" s="234" t="b">
        <v>0</v>
      </c>
      <c r="Q180" s="234" t="b">
        <v>0</v>
      </c>
      <c r="R180" s="236" t="b">
        <v>0</v>
      </c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H181" s="234" t="b">
        <v>0</v>
      </c>
      <c r="I181" s="234" t="b">
        <v>0</v>
      </c>
      <c r="J181" s="234"/>
      <c r="K181" s="234"/>
      <c r="L181" s="234"/>
      <c r="M181" s="234" t="b">
        <v>0</v>
      </c>
      <c r="N181" s="234" t="b">
        <v>0</v>
      </c>
      <c r="O181" s="234" t="b">
        <v>0</v>
      </c>
      <c r="P181" s="234" t="b">
        <v>0</v>
      </c>
      <c r="Q181" s="234" t="b">
        <v>0</v>
      </c>
      <c r="R181" s="236" t="b">
        <v>0</v>
      </c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H182" s="234" t="b">
        <v>0</v>
      </c>
      <c r="I182" s="234" t="b">
        <v>0</v>
      </c>
      <c r="J182" s="234"/>
      <c r="K182" s="234"/>
      <c r="L182" s="234"/>
      <c r="M182" s="234" t="b">
        <v>0</v>
      </c>
      <c r="N182" s="234" t="b">
        <v>0</v>
      </c>
      <c r="O182" s="234" t="b">
        <v>0</v>
      </c>
      <c r="P182" s="234" t="b">
        <v>0</v>
      </c>
      <c r="Q182" s="234" t="b">
        <v>0</v>
      </c>
      <c r="R182" s="236" t="b">
        <v>0</v>
      </c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H183" s="234" t="b">
        <v>0</v>
      </c>
      <c r="I183" s="234" t="b">
        <v>0</v>
      </c>
      <c r="J183" s="234"/>
      <c r="K183" s="234"/>
      <c r="L183" s="234"/>
      <c r="M183" s="234" t="b">
        <v>0</v>
      </c>
      <c r="N183" s="234" t="b">
        <v>0</v>
      </c>
      <c r="O183" s="234" t="b">
        <v>0</v>
      </c>
      <c r="P183" s="234" t="b">
        <v>0</v>
      </c>
      <c r="Q183" s="234" t="b">
        <v>0</v>
      </c>
      <c r="R183" s="236" t="b">
        <v>0</v>
      </c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H184" s="234" t="b">
        <v>0</v>
      </c>
      <c r="I184" s="234" t="b">
        <v>0</v>
      </c>
      <c r="J184" s="234"/>
      <c r="K184" s="234"/>
      <c r="L184" s="234"/>
      <c r="M184" s="234" t="b">
        <v>0</v>
      </c>
      <c r="N184" s="234" t="b">
        <v>0</v>
      </c>
      <c r="O184" s="234" t="b">
        <v>0</v>
      </c>
      <c r="P184" s="234" t="b">
        <v>0</v>
      </c>
      <c r="Q184" s="234" t="b">
        <v>0</v>
      </c>
      <c r="R184" s="236" t="b">
        <v>0</v>
      </c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H185" s="234" t="b">
        <v>0</v>
      </c>
      <c r="I185" s="234" t="b">
        <v>0</v>
      </c>
      <c r="J185" s="234"/>
      <c r="K185" s="234"/>
      <c r="L185" s="234"/>
      <c r="M185" s="234" t="b">
        <v>0</v>
      </c>
      <c r="N185" s="234" t="b">
        <v>0</v>
      </c>
      <c r="O185" s="234" t="b">
        <v>0</v>
      </c>
      <c r="P185" s="234" t="b">
        <v>0</v>
      </c>
      <c r="Q185" s="234" t="b">
        <v>0</v>
      </c>
      <c r="R185" s="236" t="b">
        <v>0</v>
      </c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H186" s="234" t="b">
        <v>0</v>
      </c>
      <c r="I186" s="234" t="b">
        <v>0</v>
      </c>
      <c r="J186" s="234"/>
      <c r="K186" s="234"/>
      <c r="L186" s="234"/>
      <c r="M186" s="234" t="b">
        <v>0</v>
      </c>
      <c r="N186" s="234" t="b">
        <v>0</v>
      </c>
      <c r="O186" s="234" t="b">
        <v>0</v>
      </c>
      <c r="P186" s="234" t="b">
        <v>0</v>
      </c>
      <c r="Q186" s="234" t="b">
        <v>0</v>
      </c>
      <c r="R186" s="236" t="b">
        <v>0</v>
      </c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H187" s="234" t="b">
        <v>0</v>
      </c>
      <c r="I187" s="234" t="b">
        <v>0</v>
      </c>
      <c r="J187" s="234"/>
      <c r="K187" s="234"/>
      <c r="L187" s="234"/>
      <c r="M187" s="234" t="b">
        <v>0</v>
      </c>
      <c r="N187" s="234" t="b">
        <v>0</v>
      </c>
      <c r="O187" s="234" t="b">
        <v>0</v>
      </c>
      <c r="P187" s="234" t="b">
        <v>0</v>
      </c>
      <c r="Q187" s="234" t="b">
        <v>0</v>
      </c>
      <c r="R187" s="236" t="b">
        <v>0</v>
      </c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H188" s="234" t="b">
        <v>0</v>
      </c>
      <c r="I188" s="234" t="b">
        <v>0</v>
      </c>
      <c r="J188" s="234"/>
      <c r="K188" s="234"/>
      <c r="L188" s="234"/>
      <c r="M188" s="234" t="b">
        <v>0</v>
      </c>
      <c r="N188" s="234" t="b">
        <v>0</v>
      </c>
      <c r="O188" s="234" t="b">
        <v>0</v>
      </c>
      <c r="P188" s="234" t="b">
        <v>0</v>
      </c>
      <c r="Q188" s="234" t="b">
        <v>0</v>
      </c>
      <c r="R188" s="236" t="b">
        <v>0</v>
      </c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H189" s="234" t="b">
        <v>0</v>
      </c>
      <c r="I189" s="234" t="b">
        <v>0</v>
      </c>
      <c r="J189" s="234"/>
      <c r="K189" s="234"/>
      <c r="L189" s="234"/>
      <c r="M189" s="234" t="b">
        <v>0</v>
      </c>
      <c r="N189" s="234" t="b">
        <v>0</v>
      </c>
      <c r="O189" s="234" t="b">
        <v>0</v>
      </c>
      <c r="P189" s="234" t="b">
        <v>0</v>
      </c>
      <c r="Q189" s="234" t="b">
        <v>0</v>
      </c>
      <c r="R189" s="236" t="b">
        <v>0</v>
      </c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H190" s="234" t="b">
        <v>0</v>
      </c>
      <c r="I190" s="234" t="b">
        <v>0</v>
      </c>
      <c r="J190" s="234"/>
      <c r="K190" s="234"/>
      <c r="L190" s="234"/>
      <c r="M190" s="234" t="b">
        <v>0</v>
      </c>
      <c r="N190" s="234" t="b">
        <v>0</v>
      </c>
      <c r="O190" s="234" t="b">
        <v>0</v>
      </c>
      <c r="P190" s="234" t="b">
        <v>0</v>
      </c>
      <c r="Q190" s="234" t="b">
        <v>0</v>
      </c>
      <c r="R190" s="236" t="b">
        <v>0</v>
      </c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H191" s="234" t="b">
        <v>0</v>
      </c>
      <c r="I191" s="234" t="b">
        <v>0</v>
      </c>
      <c r="J191" s="234"/>
      <c r="K191" s="234"/>
      <c r="L191" s="234"/>
      <c r="M191" s="234" t="b">
        <v>0</v>
      </c>
      <c r="N191" s="234" t="b">
        <v>0</v>
      </c>
      <c r="O191" s="234" t="b">
        <v>0</v>
      </c>
      <c r="P191" s="234" t="b">
        <v>0</v>
      </c>
      <c r="Q191" s="234" t="b">
        <v>0</v>
      </c>
      <c r="R191" s="236" t="b">
        <v>0</v>
      </c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H192" s="234" t="b">
        <v>0</v>
      </c>
      <c r="I192" s="234" t="b">
        <v>0</v>
      </c>
      <c r="J192" s="234"/>
      <c r="K192" s="234"/>
      <c r="L192" s="234"/>
      <c r="M192" s="234" t="b">
        <v>0</v>
      </c>
      <c r="N192" s="234" t="b">
        <v>0</v>
      </c>
      <c r="O192" s="234" t="b">
        <v>0</v>
      </c>
      <c r="P192" s="234" t="b">
        <v>0</v>
      </c>
      <c r="Q192" s="234" t="b">
        <v>0</v>
      </c>
      <c r="R192" s="236" t="b">
        <v>0</v>
      </c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H193" s="234" t="b">
        <v>0</v>
      </c>
      <c r="I193" s="234" t="b">
        <v>0</v>
      </c>
      <c r="J193" s="234"/>
      <c r="K193" s="234"/>
      <c r="L193" s="234"/>
      <c r="M193" s="234" t="b">
        <v>0</v>
      </c>
      <c r="N193" s="234" t="b">
        <v>0</v>
      </c>
      <c r="O193" s="234" t="b">
        <v>0</v>
      </c>
      <c r="P193" s="234" t="b">
        <v>0</v>
      </c>
      <c r="Q193" s="234" t="b">
        <v>0</v>
      </c>
      <c r="R193" s="236" t="b">
        <v>0</v>
      </c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H194" s="234" t="b">
        <v>0</v>
      </c>
      <c r="I194" s="234" t="b">
        <v>0</v>
      </c>
      <c r="J194" s="234"/>
      <c r="K194" s="234"/>
      <c r="L194" s="234"/>
      <c r="M194" s="234" t="b">
        <v>0</v>
      </c>
      <c r="N194" s="234" t="b">
        <v>0</v>
      </c>
      <c r="O194" s="234" t="b">
        <v>0</v>
      </c>
      <c r="P194" s="234" t="b">
        <v>0</v>
      </c>
      <c r="Q194" s="234" t="b">
        <v>0</v>
      </c>
      <c r="R194" s="236" t="b">
        <v>0</v>
      </c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H195" s="234" t="b">
        <v>0</v>
      </c>
      <c r="I195" s="234" t="b">
        <v>0</v>
      </c>
      <c r="J195" s="234"/>
      <c r="K195" s="234"/>
      <c r="L195" s="234"/>
      <c r="M195" s="234" t="b">
        <v>0</v>
      </c>
      <c r="N195" s="234" t="b">
        <v>0</v>
      </c>
      <c r="O195" s="234" t="b">
        <v>0</v>
      </c>
      <c r="P195" s="234" t="b">
        <v>0</v>
      </c>
      <c r="Q195" s="234" t="b">
        <v>0</v>
      </c>
      <c r="R195" s="236" t="b">
        <v>0</v>
      </c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H196" s="234" t="b">
        <v>0</v>
      </c>
      <c r="I196" s="234" t="b">
        <v>0</v>
      </c>
      <c r="J196" s="234"/>
      <c r="K196" s="234"/>
      <c r="L196" s="234"/>
      <c r="M196" s="234" t="b">
        <v>0</v>
      </c>
      <c r="N196" s="234" t="b">
        <v>0</v>
      </c>
      <c r="O196" s="234" t="b">
        <v>0</v>
      </c>
      <c r="P196" s="234" t="b">
        <v>0</v>
      </c>
      <c r="Q196" s="234" t="b">
        <v>0</v>
      </c>
      <c r="R196" s="236" t="b">
        <v>0</v>
      </c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H197" s="234" t="b">
        <v>0</v>
      </c>
      <c r="I197" s="234" t="b">
        <v>0</v>
      </c>
      <c r="J197" s="234"/>
      <c r="K197" s="234"/>
      <c r="L197" s="234"/>
      <c r="M197" s="234" t="b">
        <v>0</v>
      </c>
      <c r="N197" s="234" t="b">
        <v>0</v>
      </c>
      <c r="O197" s="234" t="b">
        <v>0</v>
      </c>
      <c r="P197" s="234" t="b">
        <v>0</v>
      </c>
      <c r="Q197" s="234" t="b">
        <v>0</v>
      </c>
      <c r="R197" s="236" t="b">
        <v>0</v>
      </c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H198" s="234" t="b">
        <v>0</v>
      </c>
      <c r="I198" s="234" t="b">
        <v>0</v>
      </c>
      <c r="J198" s="234"/>
      <c r="K198" s="234"/>
      <c r="L198" s="234"/>
      <c r="M198" s="234" t="b">
        <v>0</v>
      </c>
      <c r="N198" s="234" t="b">
        <v>0</v>
      </c>
      <c r="O198" s="234" t="b">
        <v>0</v>
      </c>
      <c r="P198" s="234" t="b">
        <v>0</v>
      </c>
      <c r="Q198" s="234" t="b">
        <v>0</v>
      </c>
      <c r="R198" s="236" t="b">
        <v>0</v>
      </c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H199" s="234" t="b">
        <v>0</v>
      </c>
      <c r="I199" s="234" t="b">
        <v>0</v>
      </c>
      <c r="J199" s="234"/>
      <c r="K199" s="234"/>
      <c r="L199" s="234"/>
      <c r="M199" s="234" t="b">
        <v>0</v>
      </c>
      <c r="N199" s="234" t="b">
        <v>0</v>
      </c>
      <c r="O199" s="234" t="b">
        <v>0</v>
      </c>
      <c r="P199" s="234" t="b">
        <v>0</v>
      </c>
      <c r="Q199" s="234" t="b">
        <v>0</v>
      </c>
      <c r="R199" s="236" t="b">
        <v>0</v>
      </c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H200" s="234" t="b">
        <v>0</v>
      </c>
      <c r="I200" s="234" t="b">
        <v>0</v>
      </c>
      <c r="J200" s="234"/>
      <c r="K200" s="234"/>
      <c r="L200" s="234"/>
      <c r="M200" s="234" t="b">
        <v>0</v>
      </c>
      <c r="N200" s="234" t="b">
        <v>0</v>
      </c>
      <c r="O200" s="234" t="b">
        <v>0</v>
      </c>
      <c r="P200" s="234" t="b">
        <v>0</v>
      </c>
      <c r="Q200" s="234" t="b">
        <v>0</v>
      </c>
      <c r="R200" s="236" t="b">
        <v>0</v>
      </c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H201" s="234" t="b">
        <v>0</v>
      </c>
      <c r="I201" s="234" t="b">
        <v>0</v>
      </c>
      <c r="J201" s="234"/>
      <c r="K201" s="234"/>
      <c r="L201" s="234"/>
      <c r="M201" s="234" t="b">
        <v>0</v>
      </c>
      <c r="N201" s="234" t="b">
        <v>0</v>
      </c>
      <c r="O201" s="234" t="b">
        <v>0</v>
      </c>
      <c r="P201" s="234" t="b">
        <v>0</v>
      </c>
      <c r="Q201" s="234" t="b">
        <v>0</v>
      </c>
      <c r="R201" s="236" t="b">
        <v>0</v>
      </c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H202" s="234" t="b">
        <v>0</v>
      </c>
      <c r="I202" s="234" t="b">
        <v>0</v>
      </c>
      <c r="J202" s="234"/>
      <c r="K202" s="234"/>
      <c r="L202" s="234"/>
      <c r="M202" s="234" t="b">
        <v>0</v>
      </c>
      <c r="N202" s="234" t="b">
        <v>0</v>
      </c>
      <c r="O202" s="234" t="b">
        <v>0</v>
      </c>
      <c r="P202" s="234" t="b">
        <v>0</v>
      </c>
      <c r="Q202" s="234" t="b">
        <v>0</v>
      </c>
      <c r="R202" s="236" t="b">
        <v>0</v>
      </c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H203" s="234" t="b">
        <v>0</v>
      </c>
      <c r="I203" s="234" t="b">
        <v>0</v>
      </c>
      <c r="J203" s="234"/>
      <c r="K203" s="234"/>
      <c r="L203" s="234"/>
      <c r="M203" s="234" t="b">
        <v>0</v>
      </c>
      <c r="N203" s="234" t="b">
        <v>0</v>
      </c>
      <c r="O203" s="234" t="b">
        <v>0</v>
      </c>
      <c r="P203" s="234" t="b">
        <v>0</v>
      </c>
      <c r="Q203" s="234" t="b">
        <v>0</v>
      </c>
      <c r="R203" s="236" t="b">
        <v>0</v>
      </c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H204" s="234" t="b">
        <v>0</v>
      </c>
      <c r="I204" s="234" t="b">
        <v>0</v>
      </c>
      <c r="J204" s="234"/>
      <c r="K204" s="234"/>
      <c r="L204" s="234"/>
      <c r="M204" s="234" t="b">
        <v>0</v>
      </c>
      <c r="N204" s="234" t="b">
        <v>0</v>
      </c>
      <c r="O204" s="234" t="b">
        <v>0</v>
      </c>
      <c r="P204" s="234" t="b">
        <v>0</v>
      </c>
      <c r="Q204" s="234" t="b">
        <v>0</v>
      </c>
      <c r="R204" s="236" t="b">
        <v>0</v>
      </c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H205" s="234" t="b">
        <v>0</v>
      </c>
      <c r="I205" s="234" t="b">
        <v>0</v>
      </c>
      <c r="J205" s="234"/>
      <c r="K205" s="234"/>
      <c r="L205" s="234"/>
      <c r="M205" s="234" t="b">
        <v>0</v>
      </c>
      <c r="N205" s="234" t="b">
        <v>0</v>
      </c>
      <c r="O205" s="234" t="b">
        <v>0</v>
      </c>
      <c r="P205" s="234" t="b">
        <v>0</v>
      </c>
      <c r="Q205" s="234" t="b">
        <v>0</v>
      </c>
      <c r="R205" s="236" t="b">
        <v>0</v>
      </c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H206" s="234" t="b">
        <v>0</v>
      </c>
      <c r="I206" s="234" t="b">
        <v>0</v>
      </c>
      <c r="J206" s="234"/>
      <c r="K206" s="234"/>
      <c r="L206" s="234"/>
      <c r="M206" s="234" t="b">
        <v>0</v>
      </c>
      <c r="N206" s="234" t="b">
        <v>0</v>
      </c>
      <c r="O206" s="234" t="b">
        <v>0</v>
      </c>
      <c r="P206" s="234" t="b">
        <v>0</v>
      </c>
      <c r="Q206" s="234" t="b">
        <v>0</v>
      </c>
      <c r="R206" s="236" t="b">
        <v>0</v>
      </c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H207" s="234" t="b">
        <v>0</v>
      </c>
      <c r="I207" s="234" t="b">
        <v>0</v>
      </c>
      <c r="J207" s="234"/>
      <c r="K207" s="234"/>
      <c r="L207" s="234"/>
      <c r="M207" s="234" t="b">
        <v>0</v>
      </c>
      <c r="N207" s="234" t="b">
        <v>0</v>
      </c>
      <c r="O207" s="234" t="b">
        <v>0</v>
      </c>
      <c r="P207" s="234" t="b">
        <v>0</v>
      </c>
      <c r="Q207" s="234" t="b">
        <v>0</v>
      </c>
      <c r="R207" s="236" t="b">
        <v>0</v>
      </c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H208" s="234" t="b">
        <v>0</v>
      </c>
      <c r="I208" s="234" t="b">
        <v>0</v>
      </c>
      <c r="J208" s="234"/>
      <c r="K208" s="234"/>
      <c r="L208" s="234"/>
      <c r="M208" s="234" t="b">
        <v>0</v>
      </c>
      <c r="N208" s="234" t="b">
        <v>0</v>
      </c>
      <c r="O208" s="234" t="b">
        <v>0</v>
      </c>
      <c r="P208" s="234" t="b">
        <v>0</v>
      </c>
      <c r="Q208" s="234" t="b">
        <v>0</v>
      </c>
      <c r="R208" s="236" t="b">
        <v>0</v>
      </c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H209" s="234" t="b">
        <v>0</v>
      </c>
      <c r="I209" s="234" t="b">
        <v>0</v>
      </c>
      <c r="J209" s="234"/>
      <c r="K209" s="234"/>
      <c r="L209" s="234"/>
      <c r="M209" s="234" t="b">
        <v>0</v>
      </c>
      <c r="N209" s="234" t="b">
        <v>0</v>
      </c>
      <c r="O209" s="234" t="b">
        <v>0</v>
      </c>
      <c r="P209" s="234" t="b">
        <v>0</v>
      </c>
      <c r="Q209" s="234" t="b">
        <v>0</v>
      </c>
      <c r="R209" s="236" t="b">
        <v>0</v>
      </c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H210" s="234" t="b">
        <v>0</v>
      </c>
      <c r="I210" s="234" t="b">
        <v>0</v>
      </c>
      <c r="J210" s="234"/>
      <c r="K210" s="234"/>
      <c r="L210" s="234"/>
      <c r="M210" s="234" t="b">
        <v>0</v>
      </c>
      <c r="N210" s="234" t="b">
        <v>0</v>
      </c>
      <c r="O210" s="234" t="b">
        <v>0</v>
      </c>
      <c r="P210" s="234" t="b">
        <v>0</v>
      </c>
      <c r="Q210" s="234" t="b">
        <v>0</v>
      </c>
      <c r="R210" s="236" t="b">
        <v>0</v>
      </c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H211" s="234" t="b">
        <v>0</v>
      </c>
      <c r="I211" s="234" t="b">
        <v>0</v>
      </c>
      <c r="J211" s="234"/>
      <c r="K211" s="234"/>
      <c r="L211" s="234"/>
      <c r="M211" s="234" t="b">
        <v>0</v>
      </c>
      <c r="N211" s="234" t="b">
        <v>0</v>
      </c>
      <c r="O211" s="234" t="b">
        <v>0</v>
      </c>
      <c r="P211" s="234" t="b">
        <v>0</v>
      </c>
      <c r="Q211" s="234" t="b">
        <v>0</v>
      </c>
      <c r="R211" s="236" t="b">
        <v>0</v>
      </c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H212" s="234" t="b">
        <v>0</v>
      </c>
      <c r="I212" s="234" t="b">
        <v>0</v>
      </c>
      <c r="J212" s="234"/>
      <c r="K212" s="234"/>
      <c r="L212" s="234"/>
      <c r="M212" s="234" t="b">
        <v>0</v>
      </c>
      <c r="N212" s="234" t="b">
        <v>0</v>
      </c>
      <c r="O212" s="234" t="b">
        <v>0</v>
      </c>
      <c r="P212" s="234" t="b">
        <v>0</v>
      </c>
      <c r="Q212" s="234" t="b">
        <v>0</v>
      </c>
      <c r="R212" s="236" t="b">
        <v>0</v>
      </c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H213" s="234" t="b">
        <v>0</v>
      </c>
      <c r="I213" s="234" t="b">
        <v>0</v>
      </c>
      <c r="J213" s="234"/>
      <c r="K213" s="234"/>
      <c r="L213" s="234"/>
      <c r="M213" s="234" t="b">
        <v>0</v>
      </c>
      <c r="N213" s="234" t="b">
        <v>0</v>
      </c>
      <c r="O213" s="234" t="b">
        <v>0</v>
      </c>
      <c r="P213" s="234" t="b">
        <v>0</v>
      </c>
      <c r="Q213" s="234" t="b">
        <v>0</v>
      </c>
      <c r="R213" s="236" t="b">
        <v>0</v>
      </c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H214" s="234" t="b">
        <v>0</v>
      </c>
      <c r="I214" s="234" t="b">
        <v>0</v>
      </c>
      <c r="J214" s="234"/>
      <c r="K214" s="234"/>
      <c r="L214" s="234"/>
      <c r="M214" s="234" t="b">
        <v>0</v>
      </c>
      <c r="N214" s="234" t="b">
        <v>0</v>
      </c>
      <c r="O214" s="234" t="b">
        <v>0</v>
      </c>
      <c r="P214" s="234" t="b">
        <v>0</v>
      </c>
      <c r="Q214" s="234" t="b">
        <v>0</v>
      </c>
      <c r="R214" s="236" t="b">
        <v>0</v>
      </c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H215" s="234" t="b">
        <v>0</v>
      </c>
      <c r="I215" s="234" t="b">
        <v>0</v>
      </c>
      <c r="J215" s="234"/>
      <c r="K215" s="234"/>
      <c r="L215" s="234"/>
      <c r="M215" s="234" t="b">
        <v>0</v>
      </c>
      <c r="N215" s="234" t="b">
        <v>0</v>
      </c>
      <c r="O215" s="234" t="b">
        <v>0</v>
      </c>
      <c r="P215" s="234" t="b">
        <v>0</v>
      </c>
      <c r="Q215" s="234" t="b">
        <v>0</v>
      </c>
      <c r="R215" s="236" t="b">
        <v>0</v>
      </c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H216" s="234" t="b">
        <v>0</v>
      </c>
      <c r="I216" s="234" t="b">
        <v>0</v>
      </c>
      <c r="J216" s="234"/>
      <c r="K216" s="234"/>
      <c r="L216" s="234"/>
      <c r="M216" s="234" t="b">
        <v>0</v>
      </c>
      <c r="N216" s="234" t="b">
        <v>0</v>
      </c>
      <c r="O216" s="234" t="b">
        <v>0</v>
      </c>
      <c r="P216" s="234" t="b">
        <v>0</v>
      </c>
      <c r="Q216" s="234" t="b">
        <v>0</v>
      </c>
      <c r="R216" s="236" t="b">
        <v>0</v>
      </c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H217" s="234" t="b">
        <v>0</v>
      </c>
      <c r="I217" s="234" t="b">
        <v>0</v>
      </c>
      <c r="J217" s="234"/>
      <c r="K217" s="234"/>
      <c r="L217" s="234"/>
      <c r="M217" s="234" t="b">
        <v>0</v>
      </c>
      <c r="N217" s="234" t="b">
        <v>0</v>
      </c>
      <c r="O217" s="234" t="b">
        <v>0</v>
      </c>
      <c r="P217" s="234" t="b">
        <v>0</v>
      </c>
      <c r="Q217" s="234" t="b">
        <v>0</v>
      </c>
      <c r="R217" s="236" t="b">
        <v>0</v>
      </c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H218" s="234" t="b">
        <v>0</v>
      </c>
      <c r="I218" s="234" t="b">
        <v>0</v>
      </c>
      <c r="J218" s="234"/>
      <c r="K218" s="234"/>
      <c r="L218" s="234"/>
      <c r="M218" s="234" t="b">
        <v>0</v>
      </c>
      <c r="N218" s="234" t="b">
        <v>0</v>
      </c>
      <c r="O218" s="234" t="b">
        <v>0</v>
      </c>
      <c r="P218" s="234" t="b">
        <v>0</v>
      </c>
      <c r="Q218" s="234" t="b">
        <v>0</v>
      </c>
      <c r="R218" s="236" t="b">
        <v>0</v>
      </c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H219" s="234" t="b">
        <v>0</v>
      </c>
      <c r="I219" s="234" t="b">
        <v>0</v>
      </c>
      <c r="J219" s="234"/>
      <c r="K219" s="234"/>
      <c r="L219" s="234"/>
      <c r="M219" s="234" t="b">
        <v>0</v>
      </c>
      <c r="N219" s="234" t="b">
        <v>0</v>
      </c>
      <c r="O219" s="234" t="b">
        <v>0</v>
      </c>
      <c r="P219" s="234" t="b">
        <v>0</v>
      </c>
      <c r="Q219" s="234" t="b">
        <v>0</v>
      </c>
      <c r="R219" s="236" t="b">
        <v>0</v>
      </c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H220" s="234" t="b">
        <v>0</v>
      </c>
      <c r="I220" s="234" t="b">
        <v>0</v>
      </c>
      <c r="J220" s="234"/>
      <c r="K220" s="234"/>
      <c r="L220" s="234"/>
      <c r="M220" s="234" t="b">
        <v>0</v>
      </c>
      <c r="N220" s="234" t="b">
        <v>0</v>
      </c>
      <c r="O220" s="234" t="b">
        <v>0</v>
      </c>
      <c r="P220" s="234" t="b">
        <v>0</v>
      </c>
      <c r="Q220" s="234" t="b">
        <v>0</v>
      </c>
      <c r="R220" s="236" t="b">
        <v>0</v>
      </c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H221" s="234" t="b">
        <v>0</v>
      </c>
      <c r="I221" s="234" t="b">
        <v>0</v>
      </c>
      <c r="J221" s="234"/>
      <c r="K221" s="234"/>
      <c r="L221" s="234"/>
      <c r="M221" s="234" t="b">
        <v>0</v>
      </c>
      <c r="N221" s="234" t="b">
        <v>0</v>
      </c>
      <c r="O221" s="234" t="b">
        <v>0</v>
      </c>
      <c r="P221" s="234" t="b">
        <v>0</v>
      </c>
      <c r="Q221" s="234" t="b">
        <v>0</v>
      </c>
      <c r="R221" s="236" t="b">
        <v>0</v>
      </c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H222" s="234" t="b">
        <v>0</v>
      </c>
      <c r="I222" s="234" t="b">
        <v>0</v>
      </c>
      <c r="J222" s="234"/>
      <c r="K222" s="234"/>
      <c r="L222" s="234"/>
      <c r="M222" s="234" t="b">
        <v>0</v>
      </c>
      <c r="N222" s="234" t="b">
        <v>0</v>
      </c>
      <c r="O222" s="234" t="b">
        <v>0</v>
      </c>
      <c r="P222" s="234" t="b">
        <v>0</v>
      </c>
      <c r="Q222" s="234" t="b">
        <v>0</v>
      </c>
      <c r="R222" s="236" t="b">
        <v>0</v>
      </c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H223" s="234" t="b">
        <v>0</v>
      </c>
      <c r="I223" s="234" t="b">
        <v>0</v>
      </c>
      <c r="J223" s="234"/>
      <c r="K223" s="234"/>
      <c r="L223" s="234"/>
      <c r="M223" s="234" t="b">
        <v>0</v>
      </c>
      <c r="N223" s="234" t="b">
        <v>0</v>
      </c>
      <c r="O223" s="234" t="b">
        <v>0</v>
      </c>
      <c r="P223" s="234" t="b">
        <v>0</v>
      </c>
      <c r="Q223" s="234" t="b">
        <v>0</v>
      </c>
      <c r="R223" s="236" t="b">
        <v>0</v>
      </c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H224" s="234" t="b">
        <v>0</v>
      </c>
      <c r="I224" s="234" t="b">
        <v>0</v>
      </c>
      <c r="J224" s="234"/>
      <c r="K224" s="234"/>
      <c r="L224" s="234"/>
      <c r="M224" s="234" t="b">
        <v>0</v>
      </c>
      <c r="N224" s="234" t="b">
        <v>0</v>
      </c>
      <c r="O224" s="234" t="b">
        <v>0</v>
      </c>
      <c r="P224" s="234" t="b">
        <v>0</v>
      </c>
      <c r="Q224" s="234" t="b">
        <v>0</v>
      </c>
      <c r="R224" s="236" t="b">
        <v>0</v>
      </c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H225" s="234" t="b">
        <v>0</v>
      </c>
      <c r="I225" s="234" t="b">
        <v>0</v>
      </c>
      <c r="J225" s="234"/>
      <c r="K225" s="234"/>
      <c r="L225" s="234"/>
      <c r="M225" s="234" t="b">
        <v>0</v>
      </c>
      <c r="N225" s="234" t="b">
        <v>0</v>
      </c>
      <c r="O225" s="234" t="b">
        <v>0</v>
      </c>
      <c r="P225" s="234" t="b">
        <v>0</v>
      </c>
      <c r="Q225" s="234" t="b">
        <v>0</v>
      </c>
      <c r="R225" s="236" t="b">
        <v>0</v>
      </c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H226" s="234" t="b">
        <v>0</v>
      </c>
      <c r="I226" s="234" t="b">
        <v>0</v>
      </c>
      <c r="J226" s="234"/>
      <c r="K226" s="234"/>
      <c r="L226" s="234"/>
      <c r="M226" s="234" t="b">
        <v>0</v>
      </c>
      <c r="N226" s="234" t="b">
        <v>0</v>
      </c>
      <c r="O226" s="234" t="b">
        <v>0</v>
      </c>
      <c r="P226" s="234" t="b">
        <v>0</v>
      </c>
      <c r="Q226" s="234" t="b">
        <v>0</v>
      </c>
      <c r="R226" s="236" t="b">
        <v>0</v>
      </c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H227" s="234" t="b">
        <v>0</v>
      </c>
      <c r="I227" s="234" t="b">
        <v>0</v>
      </c>
      <c r="J227" s="234"/>
      <c r="K227" s="234"/>
      <c r="L227" s="234"/>
      <c r="M227" s="234" t="b">
        <v>0</v>
      </c>
      <c r="N227" s="234" t="b">
        <v>0</v>
      </c>
      <c r="O227" s="234" t="b">
        <v>0</v>
      </c>
      <c r="P227" s="234" t="b">
        <v>0</v>
      </c>
      <c r="Q227" s="234" t="b">
        <v>0</v>
      </c>
      <c r="R227" s="236" t="b">
        <v>0</v>
      </c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H228" s="234" t="b">
        <v>0</v>
      </c>
      <c r="I228" s="234" t="b">
        <v>0</v>
      </c>
      <c r="J228" s="234"/>
      <c r="K228" s="234"/>
      <c r="L228" s="234"/>
      <c r="M228" s="234" t="b">
        <v>0</v>
      </c>
      <c r="N228" s="234" t="b">
        <v>0</v>
      </c>
      <c r="O228" s="234" t="b">
        <v>0</v>
      </c>
      <c r="P228" s="234" t="b">
        <v>0</v>
      </c>
      <c r="Q228" s="234" t="b">
        <v>0</v>
      </c>
      <c r="R228" s="236" t="b">
        <v>0</v>
      </c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H229" s="234" t="b">
        <v>0</v>
      </c>
      <c r="I229" s="234" t="b">
        <v>0</v>
      </c>
      <c r="J229" s="234"/>
      <c r="K229" s="234"/>
      <c r="L229" s="234"/>
      <c r="M229" s="234" t="b">
        <v>0</v>
      </c>
      <c r="N229" s="234" t="b">
        <v>0</v>
      </c>
      <c r="O229" s="234" t="b">
        <v>0</v>
      </c>
      <c r="P229" s="234" t="b">
        <v>0</v>
      </c>
      <c r="Q229" s="234" t="b">
        <v>0</v>
      </c>
      <c r="R229" s="236" t="b">
        <v>0</v>
      </c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H230" s="234" t="b">
        <v>0</v>
      </c>
      <c r="I230" s="234" t="b">
        <v>0</v>
      </c>
      <c r="J230" s="234"/>
      <c r="K230" s="234"/>
      <c r="L230" s="234"/>
      <c r="M230" s="234" t="b">
        <v>0</v>
      </c>
      <c r="N230" s="234" t="b">
        <v>0</v>
      </c>
      <c r="O230" s="234" t="b">
        <v>0</v>
      </c>
      <c r="P230" s="234" t="b">
        <v>0</v>
      </c>
      <c r="Q230" s="234" t="b">
        <v>0</v>
      </c>
      <c r="R230" s="236" t="b">
        <v>0</v>
      </c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H231" s="234" t="b">
        <v>0</v>
      </c>
      <c r="I231" s="234" t="b">
        <v>0</v>
      </c>
      <c r="J231" s="234"/>
      <c r="K231" s="234"/>
      <c r="L231" s="234"/>
      <c r="M231" s="234" t="b">
        <v>0</v>
      </c>
      <c r="N231" s="234" t="b">
        <v>0</v>
      </c>
      <c r="O231" s="234" t="b">
        <v>0</v>
      </c>
      <c r="P231" s="234" t="b">
        <v>0</v>
      </c>
      <c r="Q231" s="234" t="b">
        <v>0</v>
      </c>
      <c r="R231" s="236" t="b">
        <v>0</v>
      </c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H232" s="234" t="b">
        <v>0</v>
      </c>
      <c r="I232" s="234" t="b">
        <v>0</v>
      </c>
      <c r="J232" s="234"/>
      <c r="K232" s="234"/>
      <c r="L232" s="234"/>
      <c r="M232" s="234" t="b">
        <v>0</v>
      </c>
      <c r="N232" s="234" t="b">
        <v>0</v>
      </c>
      <c r="O232" s="234" t="b">
        <v>0</v>
      </c>
      <c r="P232" s="234" t="b">
        <v>0</v>
      </c>
      <c r="Q232" s="234" t="b">
        <v>0</v>
      </c>
      <c r="R232" s="236" t="b">
        <v>0</v>
      </c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H233" s="234" t="b">
        <v>0</v>
      </c>
      <c r="I233" s="234" t="b">
        <v>0</v>
      </c>
      <c r="J233" s="234"/>
      <c r="K233" s="234"/>
      <c r="L233" s="234"/>
      <c r="M233" s="234" t="b">
        <v>0</v>
      </c>
      <c r="N233" s="234" t="b">
        <v>0</v>
      </c>
      <c r="O233" s="234" t="b">
        <v>0</v>
      </c>
      <c r="P233" s="234" t="b">
        <v>0</v>
      </c>
      <c r="Q233" s="234" t="b">
        <v>0</v>
      </c>
      <c r="R233" s="236" t="b">
        <v>0</v>
      </c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H234" s="234" t="b">
        <v>0</v>
      </c>
      <c r="I234" s="234" t="b">
        <v>0</v>
      </c>
      <c r="J234" s="234"/>
      <c r="K234" s="234"/>
      <c r="L234" s="234"/>
      <c r="M234" s="234" t="b">
        <v>0</v>
      </c>
      <c r="N234" s="234" t="b">
        <v>0</v>
      </c>
      <c r="O234" s="234" t="b">
        <v>0</v>
      </c>
      <c r="P234" s="234" t="b">
        <v>0</v>
      </c>
      <c r="Q234" s="234" t="b">
        <v>0</v>
      </c>
      <c r="R234" s="236" t="b">
        <v>0</v>
      </c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H235" s="234" t="b">
        <v>0</v>
      </c>
      <c r="I235" s="234" t="b">
        <v>0</v>
      </c>
      <c r="J235" s="234"/>
      <c r="K235" s="234"/>
      <c r="L235" s="234"/>
      <c r="M235" s="234" t="b">
        <v>0</v>
      </c>
      <c r="N235" s="234" t="b">
        <v>0</v>
      </c>
      <c r="O235" s="234" t="b">
        <v>0</v>
      </c>
      <c r="P235" s="234" t="b">
        <v>0</v>
      </c>
      <c r="Q235" s="234" t="b">
        <v>0</v>
      </c>
      <c r="R235" s="236" t="b">
        <v>0</v>
      </c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H236" s="234" t="b">
        <v>0</v>
      </c>
      <c r="I236" s="234" t="b">
        <v>0</v>
      </c>
      <c r="J236" s="234"/>
      <c r="K236" s="234"/>
      <c r="L236" s="234"/>
      <c r="M236" s="234" t="b">
        <v>0</v>
      </c>
      <c r="N236" s="234" t="b">
        <v>0</v>
      </c>
      <c r="O236" s="234" t="b">
        <v>0</v>
      </c>
      <c r="P236" s="234" t="b">
        <v>0</v>
      </c>
      <c r="Q236" s="234" t="b">
        <v>0</v>
      </c>
      <c r="R236" s="236" t="b">
        <v>0</v>
      </c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H237" s="234" t="b">
        <v>0</v>
      </c>
      <c r="I237" s="234" t="b">
        <v>0</v>
      </c>
      <c r="J237" s="234"/>
      <c r="K237" s="234"/>
      <c r="L237" s="234"/>
      <c r="M237" s="234" t="b">
        <v>0</v>
      </c>
      <c r="N237" s="234" t="b">
        <v>0</v>
      </c>
      <c r="O237" s="234" t="b">
        <v>0</v>
      </c>
      <c r="P237" s="234" t="b">
        <v>0</v>
      </c>
      <c r="Q237" s="234" t="b">
        <v>0</v>
      </c>
      <c r="R237" s="236" t="b">
        <v>0</v>
      </c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H238" s="234" t="b">
        <v>0</v>
      </c>
      <c r="I238" s="234" t="b">
        <v>0</v>
      </c>
      <c r="J238" s="234"/>
      <c r="K238" s="234"/>
      <c r="L238" s="234"/>
      <c r="M238" s="234" t="b">
        <v>0</v>
      </c>
      <c r="N238" s="234" t="b">
        <v>0</v>
      </c>
      <c r="O238" s="234" t="b">
        <v>0</v>
      </c>
      <c r="P238" s="234" t="b">
        <v>0</v>
      </c>
      <c r="Q238" s="234" t="b">
        <v>0</v>
      </c>
      <c r="R238" s="236" t="b">
        <v>0</v>
      </c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H239" s="234" t="b">
        <v>0</v>
      </c>
      <c r="I239" s="234" t="b">
        <v>0</v>
      </c>
      <c r="J239" s="234"/>
      <c r="K239" s="234"/>
      <c r="L239" s="234"/>
      <c r="M239" s="234" t="b">
        <v>0</v>
      </c>
      <c r="N239" s="234" t="b">
        <v>0</v>
      </c>
      <c r="O239" s="234" t="b">
        <v>0</v>
      </c>
      <c r="P239" s="234" t="b">
        <v>0</v>
      </c>
      <c r="Q239" s="234" t="b">
        <v>0</v>
      </c>
      <c r="R239" s="236" t="b">
        <v>0</v>
      </c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H240" s="234" t="b">
        <v>0</v>
      </c>
      <c r="I240" s="234" t="b">
        <v>0</v>
      </c>
      <c r="J240" s="234"/>
      <c r="K240" s="234"/>
      <c r="L240" s="234"/>
      <c r="M240" s="234" t="b">
        <v>0</v>
      </c>
      <c r="N240" s="234" t="b">
        <v>0</v>
      </c>
      <c r="O240" s="234" t="b">
        <v>0</v>
      </c>
      <c r="P240" s="234" t="b">
        <v>0</v>
      </c>
      <c r="Q240" s="234" t="b">
        <v>0</v>
      </c>
      <c r="R240" s="236" t="b">
        <v>0</v>
      </c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H241" s="234" t="b">
        <v>0</v>
      </c>
      <c r="I241" s="234" t="b">
        <v>0</v>
      </c>
      <c r="J241" s="234"/>
      <c r="K241" s="234"/>
      <c r="L241" s="234"/>
      <c r="M241" s="234" t="b">
        <v>0</v>
      </c>
      <c r="N241" s="234" t="b">
        <v>0</v>
      </c>
      <c r="O241" s="234" t="b">
        <v>0</v>
      </c>
      <c r="P241" s="234" t="b">
        <v>0</v>
      </c>
      <c r="Q241" s="234" t="b">
        <v>0</v>
      </c>
      <c r="R241" s="236" t="b">
        <v>0</v>
      </c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H242" s="234" t="b">
        <v>0</v>
      </c>
      <c r="I242" s="234" t="b">
        <v>0</v>
      </c>
      <c r="J242" s="234"/>
      <c r="K242" s="234"/>
      <c r="L242" s="234"/>
      <c r="M242" s="234" t="b">
        <v>0</v>
      </c>
      <c r="N242" s="234" t="b">
        <v>0</v>
      </c>
      <c r="O242" s="234" t="b">
        <v>0</v>
      </c>
      <c r="P242" s="234" t="b">
        <v>0</v>
      </c>
      <c r="Q242" s="234" t="b">
        <v>0</v>
      </c>
      <c r="R242" s="236" t="b">
        <v>0</v>
      </c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H243" s="234" t="b">
        <v>0</v>
      </c>
      <c r="I243" s="234" t="b">
        <v>0</v>
      </c>
      <c r="J243" s="234"/>
      <c r="K243" s="234"/>
      <c r="L243" s="234"/>
      <c r="M243" s="234" t="b">
        <v>0</v>
      </c>
      <c r="N243" s="234" t="b">
        <v>0</v>
      </c>
      <c r="O243" s="234" t="b">
        <v>0</v>
      </c>
      <c r="P243" s="234" t="b">
        <v>0</v>
      </c>
      <c r="Q243" s="234" t="b">
        <v>0</v>
      </c>
      <c r="R243" s="236" t="b">
        <v>0</v>
      </c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H244" s="234" t="b">
        <v>0</v>
      </c>
      <c r="I244" s="234" t="b">
        <v>0</v>
      </c>
      <c r="J244" s="234"/>
      <c r="K244" s="234"/>
      <c r="L244" s="234"/>
      <c r="M244" s="234" t="b">
        <v>0</v>
      </c>
      <c r="N244" s="234" t="b">
        <v>0</v>
      </c>
      <c r="O244" s="234" t="b">
        <v>0</v>
      </c>
      <c r="P244" s="234" t="b">
        <v>0</v>
      </c>
      <c r="Q244" s="234" t="b">
        <v>0</v>
      </c>
      <c r="R244" s="236" t="b">
        <v>0</v>
      </c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H245" s="234" t="b">
        <v>0</v>
      </c>
      <c r="I245" s="234" t="b">
        <v>0</v>
      </c>
      <c r="J245" s="234"/>
      <c r="K245" s="234"/>
      <c r="L245" s="234"/>
      <c r="M245" s="234" t="b">
        <v>0</v>
      </c>
      <c r="N245" s="234" t="b">
        <v>0</v>
      </c>
      <c r="O245" s="234" t="b">
        <v>0</v>
      </c>
      <c r="P245" s="234" t="b">
        <v>0</v>
      </c>
      <c r="Q245" s="234" t="b">
        <v>0</v>
      </c>
      <c r="R245" s="236" t="b">
        <v>0</v>
      </c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H246" s="234" t="b">
        <v>0</v>
      </c>
      <c r="I246" s="234" t="b">
        <v>0</v>
      </c>
      <c r="J246" s="234"/>
      <c r="K246" s="234"/>
      <c r="L246" s="234"/>
      <c r="M246" s="234" t="b">
        <v>0</v>
      </c>
      <c r="N246" s="234" t="b">
        <v>0</v>
      </c>
      <c r="O246" s="234" t="b">
        <v>0</v>
      </c>
      <c r="P246" s="234" t="b">
        <v>0</v>
      </c>
      <c r="Q246" s="234" t="b">
        <v>0</v>
      </c>
      <c r="R246" s="236" t="b">
        <v>0</v>
      </c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H247" s="234" t="b">
        <v>0</v>
      </c>
      <c r="I247" s="234" t="b">
        <v>0</v>
      </c>
      <c r="J247" s="234"/>
      <c r="K247" s="234"/>
      <c r="L247" s="234"/>
      <c r="M247" s="234" t="b">
        <v>0</v>
      </c>
      <c r="N247" s="234" t="b">
        <v>0</v>
      </c>
      <c r="O247" s="234" t="b">
        <v>0</v>
      </c>
      <c r="P247" s="234" t="b">
        <v>0</v>
      </c>
      <c r="Q247" s="234" t="b">
        <v>0</v>
      </c>
      <c r="R247" s="236" t="b">
        <v>0</v>
      </c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H248" s="234" t="b">
        <v>0</v>
      </c>
      <c r="I248" s="234" t="b">
        <v>0</v>
      </c>
      <c r="J248" s="234"/>
      <c r="K248" s="234"/>
      <c r="L248" s="234"/>
      <c r="M248" s="234" t="b">
        <v>0</v>
      </c>
      <c r="N248" s="234" t="b">
        <v>0</v>
      </c>
      <c r="O248" s="234" t="b">
        <v>0</v>
      </c>
      <c r="P248" s="234" t="b">
        <v>0</v>
      </c>
      <c r="Q248" s="234" t="b">
        <v>0</v>
      </c>
      <c r="R248" s="236" t="b">
        <v>0</v>
      </c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H249" s="234" t="b">
        <v>0</v>
      </c>
      <c r="I249" s="234" t="b">
        <v>0</v>
      </c>
      <c r="J249" s="234"/>
      <c r="K249" s="234"/>
      <c r="L249" s="234"/>
      <c r="M249" s="234" t="b">
        <v>0</v>
      </c>
      <c r="N249" s="234" t="b">
        <v>0</v>
      </c>
      <c r="O249" s="234" t="b">
        <v>0</v>
      </c>
      <c r="P249" s="234" t="b">
        <v>0</v>
      </c>
      <c r="Q249" s="234" t="b">
        <v>0</v>
      </c>
      <c r="R249" s="236" t="b">
        <v>0</v>
      </c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H250" s="234" t="b">
        <v>0</v>
      </c>
      <c r="I250" s="234" t="b">
        <v>0</v>
      </c>
      <c r="J250" s="234"/>
      <c r="K250" s="234"/>
      <c r="L250" s="234"/>
      <c r="M250" s="234" t="b">
        <v>0</v>
      </c>
      <c r="N250" s="234" t="b">
        <v>0</v>
      </c>
      <c r="O250" s="234" t="b">
        <v>0</v>
      </c>
      <c r="P250" s="234" t="b">
        <v>0</v>
      </c>
      <c r="Q250" s="234" t="b">
        <v>0</v>
      </c>
      <c r="R250" s="236" t="b">
        <v>0</v>
      </c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H251" s="234" t="b">
        <v>0</v>
      </c>
      <c r="I251" s="234" t="b">
        <v>0</v>
      </c>
      <c r="J251" s="234"/>
      <c r="K251" s="234"/>
      <c r="L251" s="234"/>
      <c r="M251" s="234" t="b">
        <v>0</v>
      </c>
      <c r="N251" s="234" t="b">
        <v>0</v>
      </c>
      <c r="O251" s="234" t="b">
        <v>0</v>
      </c>
      <c r="P251" s="234" t="b">
        <v>0</v>
      </c>
      <c r="Q251" s="234" t="b">
        <v>0</v>
      </c>
      <c r="R251" s="236" t="b">
        <v>0</v>
      </c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H252" s="234" t="b">
        <v>0</v>
      </c>
      <c r="I252" s="234" t="b">
        <v>0</v>
      </c>
      <c r="J252" s="234"/>
      <c r="K252" s="234"/>
      <c r="L252" s="234"/>
      <c r="M252" s="234" t="b">
        <v>0</v>
      </c>
      <c r="N252" s="234" t="b">
        <v>0</v>
      </c>
      <c r="O252" s="234" t="b">
        <v>0</v>
      </c>
      <c r="P252" s="234" t="b">
        <v>0</v>
      </c>
      <c r="Q252" s="234" t="b">
        <v>0</v>
      </c>
      <c r="R252" s="236" t="b">
        <v>0</v>
      </c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H253" s="234" t="b">
        <v>0</v>
      </c>
      <c r="I253" s="234" t="b">
        <v>0</v>
      </c>
      <c r="J253" s="234"/>
      <c r="K253" s="234"/>
      <c r="L253" s="234"/>
      <c r="M253" s="234" t="b">
        <v>0</v>
      </c>
      <c r="N253" s="234" t="b">
        <v>0</v>
      </c>
      <c r="O253" s="234" t="b">
        <v>0</v>
      </c>
      <c r="P253" s="234" t="b">
        <v>0</v>
      </c>
      <c r="Q253" s="234" t="b">
        <v>0</v>
      </c>
      <c r="R253" s="236" t="b">
        <v>0</v>
      </c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H254" s="234" t="b">
        <v>0</v>
      </c>
      <c r="I254" s="234" t="b">
        <v>0</v>
      </c>
      <c r="J254" s="234"/>
      <c r="K254" s="234"/>
      <c r="L254" s="234"/>
      <c r="M254" s="234" t="b">
        <v>0</v>
      </c>
      <c r="N254" s="234" t="b">
        <v>0</v>
      </c>
      <c r="O254" s="234" t="b">
        <v>0</v>
      </c>
      <c r="P254" s="234" t="b">
        <v>0</v>
      </c>
      <c r="Q254" s="234" t="b">
        <v>0</v>
      </c>
      <c r="R254" s="236" t="b">
        <v>0</v>
      </c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H255" s="234" t="b">
        <v>0</v>
      </c>
      <c r="I255" s="234" t="b">
        <v>0</v>
      </c>
      <c r="J255" s="234"/>
      <c r="K255" s="234"/>
      <c r="L255" s="234"/>
      <c r="M255" s="234" t="b">
        <v>0</v>
      </c>
      <c r="N255" s="234" t="b">
        <v>0</v>
      </c>
      <c r="O255" s="234" t="b">
        <v>0</v>
      </c>
      <c r="P255" s="234" t="b">
        <v>0</v>
      </c>
      <c r="Q255" s="234" t="b">
        <v>0</v>
      </c>
      <c r="R255" s="236" t="b">
        <v>0</v>
      </c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H256" s="234" t="b">
        <v>0</v>
      </c>
      <c r="I256" s="234" t="b">
        <v>0</v>
      </c>
      <c r="J256" s="234"/>
      <c r="K256" s="234"/>
      <c r="L256" s="234"/>
      <c r="M256" s="234" t="b">
        <v>0</v>
      </c>
      <c r="N256" s="234" t="b">
        <v>0</v>
      </c>
      <c r="O256" s="234" t="b">
        <v>0</v>
      </c>
      <c r="P256" s="234" t="b">
        <v>0</v>
      </c>
      <c r="Q256" s="234" t="b">
        <v>0</v>
      </c>
      <c r="R256" s="236" t="b">
        <v>0</v>
      </c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H257" s="234" t="b">
        <v>0</v>
      </c>
      <c r="I257" s="234" t="b">
        <v>0</v>
      </c>
      <c r="J257" s="234"/>
      <c r="K257" s="234"/>
      <c r="L257" s="234"/>
      <c r="M257" s="234" t="b">
        <v>0</v>
      </c>
      <c r="N257" s="234" t="b">
        <v>0</v>
      </c>
      <c r="O257" s="234" t="b">
        <v>0</v>
      </c>
      <c r="P257" s="234" t="b">
        <v>0</v>
      </c>
      <c r="Q257" s="234" t="b">
        <v>0</v>
      </c>
      <c r="R257" s="236" t="b">
        <v>0</v>
      </c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H258" s="234" t="b">
        <v>0</v>
      </c>
      <c r="I258" s="234" t="b">
        <v>0</v>
      </c>
      <c r="J258" s="234"/>
      <c r="K258" s="234"/>
      <c r="L258" s="234"/>
      <c r="M258" s="234" t="b">
        <v>0</v>
      </c>
      <c r="N258" s="234" t="b">
        <v>0</v>
      </c>
      <c r="O258" s="234" t="b">
        <v>0</v>
      </c>
      <c r="P258" s="234" t="b">
        <v>0</v>
      </c>
      <c r="Q258" s="234" t="b">
        <v>0</v>
      </c>
      <c r="R258" s="236" t="b">
        <v>0</v>
      </c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H259" s="234" t="b">
        <v>0</v>
      </c>
      <c r="I259" s="234" t="b">
        <v>0</v>
      </c>
      <c r="J259" s="234"/>
      <c r="K259" s="234"/>
      <c r="L259" s="234"/>
      <c r="M259" s="234" t="b">
        <v>0</v>
      </c>
      <c r="N259" s="234" t="b">
        <v>0</v>
      </c>
      <c r="O259" s="234" t="b">
        <v>0</v>
      </c>
      <c r="P259" s="234" t="b">
        <v>0</v>
      </c>
      <c r="Q259" s="234" t="b">
        <v>0</v>
      </c>
      <c r="R259" s="236" t="b">
        <v>0</v>
      </c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H260" s="234" t="b">
        <v>0</v>
      </c>
      <c r="I260" s="234" t="b">
        <v>0</v>
      </c>
      <c r="J260" s="234"/>
      <c r="K260" s="234"/>
      <c r="L260" s="234"/>
      <c r="M260" s="234" t="b">
        <v>0</v>
      </c>
      <c r="N260" s="234" t="b">
        <v>0</v>
      </c>
      <c r="O260" s="234" t="b">
        <v>0</v>
      </c>
      <c r="P260" s="234" t="b">
        <v>0</v>
      </c>
      <c r="Q260" s="234" t="b">
        <v>0</v>
      </c>
      <c r="R260" s="236" t="b">
        <v>0</v>
      </c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H261" s="234" t="b">
        <v>0</v>
      </c>
      <c r="I261" s="234" t="b">
        <v>0</v>
      </c>
      <c r="J261" s="234"/>
      <c r="K261" s="234"/>
      <c r="L261" s="234"/>
      <c r="M261" s="234" t="b">
        <v>0</v>
      </c>
      <c r="N261" s="234" t="b">
        <v>0</v>
      </c>
      <c r="O261" s="234" t="b">
        <v>0</v>
      </c>
      <c r="P261" s="234" t="b">
        <v>0</v>
      </c>
      <c r="Q261" s="234" t="b">
        <v>0</v>
      </c>
      <c r="R261" s="236" t="b">
        <v>0</v>
      </c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H262" s="234" t="b">
        <v>0</v>
      </c>
      <c r="I262" s="234" t="b">
        <v>0</v>
      </c>
      <c r="J262" s="234"/>
      <c r="K262" s="234"/>
      <c r="L262" s="234"/>
      <c r="M262" s="234" t="b">
        <v>0</v>
      </c>
      <c r="N262" s="234" t="b">
        <v>0</v>
      </c>
      <c r="O262" s="234" t="b">
        <v>0</v>
      </c>
      <c r="P262" s="234" t="b">
        <v>0</v>
      </c>
      <c r="Q262" s="234" t="b">
        <v>0</v>
      </c>
      <c r="R262" s="236" t="b">
        <v>0</v>
      </c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H263" s="234" t="b">
        <v>0</v>
      </c>
      <c r="I263" s="234" t="b">
        <v>0</v>
      </c>
      <c r="J263" s="234"/>
      <c r="K263" s="234"/>
      <c r="L263" s="234"/>
      <c r="M263" s="234" t="b">
        <v>0</v>
      </c>
      <c r="N263" s="234" t="b">
        <v>0</v>
      </c>
      <c r="O263" s="234" t="b">
        <v>0</v>
      </c>
      <c r="P263" s="234" t="b">
        <v>0</v>
      </c>
      <c r="Q263" s="234" t="b">
        <v>0</v>
      </c>
      <c r="R263" s="236" t="b">
        <v>0</v>
      </c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H264" s="234" t="b">
        <v>0</v>
      </c>
      <c r="I264" s="234" t="b">
        <v>0</v>
      </c>
      <c r="J264" s="234"/>
      <c r="K264" s="234"/>
      <c r="L264" s="234"/>
      <c r="M264" s="234" t="b">
        <v>0</v>
      </c>
      <c r="N264" s="234" t="b">
        <v>0</v>
      </c>
      <c r="O264" s="234" t="b">
        <v>0</v>
      </c>
      <c r="P264" s="234" t="b">
        <v>0</v>
      </c>
      <c r="Q264" s="234" t="b">
        <v>0</v>
      </c>
      <c r="R264" s="236" t="b">
        <v>0</v>
      </c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H265" s="234" t="b">
        <v>0</v>
      </c>
      <c r="I265" s="234" t="b">
        <v>0</v>
      </c>
      <c r="J265" s="234"/>
      <c r="K265" s="234"/>
      <c r="L265" s="234"/>
      <c r="M265" s="234" t="b">
        <v>0</v>
      </c>
      <c r="N265" s="234" t="b">
        <v>0</v>
      </c>
      <c r="O265" s="234" t="b">
        <v>0</v>
      </c>
      <c r="P265" s="234" t="b">
        <v>0</v>
      </c>
      <c r="Q265" s="234" t="b">
        <v>0</v>
      </c>
      <c r="R265" s="236" t="b">
        <v>0</v>
      </c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H266" s="234" t="b">
        <v>0</v>
      </c>
      <c r="I266" s="234" t="b">
        <v>0</v>
      </c>
      <c r="J266" s="234"/>
      <c r="K266" s="234"/>
      <c r="L266" s="234"/>
      <c r="M266" s="234" t="b">
        <v>0</v>
      </c>
      <c r="N266" s="234" t="b">
        <v>0</v>
      </c>
      <c r="O266" s="234" t="b">
        <v>0</v>
      </c>
      <c r="P266" s="234" t="b">
        <v>0</v>
      </c>
      <c r="Q266" s="234" t="b">
        <v>0</v>
      </c>
      <c r="R266" s="236" t="b">
        <v>0</v>
      </c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H267" s="234" t="b">
        <v>0</v>
      </c>
      <c r="I267" s="234" t="b">
        <v>0</v>
      </c>
      <c r="J267" s="234"/>
      <c r="K267" s="234"/>
      <c r="L267" s="234"/>
      <c r="M267" s="234" t="b">
        <v>0</v>
      </c>
      <c r="N267" s="234" t="b">
        <v>0</v>
      </c>
      <c r="O267" s="234" t="b">
        <v>0</v>
      </c>
      <c r="P267" s="234" t="b">
        <v>0</v>
      </c>
      <c r="Q267" s="234" t="b">
        <v>0</v>
      </c>
      <c r="R267" s="236" t="b">
        <v>0</v>
      </c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H268" s="234" t="b">
        <v>0</v>
      </c>
      <c r="I268" s="234" t="b">
        <v>0</v>
      </c>
      <c r="J268" s="234"/>
      <c r="K268" s="234"/>
      <c r="L268" s="234"/>
      <c r="M268" s="234" t="b">
        <v>0</v>
      </c>
      <c r="N268" s="234" t="b">
        <v>0</v>
      </c>
      <c r="O268" s="234" t="b">
        <v>0</v>
      </c>
      <c r="P268" s="234" t="b">
        <v>0</v>
      </c>
      <c r="Q268" s="234" t="b">
        <v>0</v>
      </c>
      <c r="R268" s="236" t="b">
        <v>0</v>
      </c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H269" s="234" t="b">
        <v>0</v>
      </c>
      <c r="I269" s="234" t="b">
        <v>0</v>
      </c>
      <c r="J269" s="234"/>
      <c r="K269" s="234"/>
      <c r="L269" s="234"/>
      <c r="M269" s="234" t="b">
        <v>0</v>
      </c>
      <c r="N269" s="234" t="b">
        <v>0</v>
      </c>
      <c r="O269" s="234" t="b">
        <v>0</v>
      </c>
      <c r="P269" s="234" t="b">
        <v>0</v>
      </c>
      <c r="Q269" s="234" t="b">
        <v>0</v>
      </c>
      <c r="R269" s="236" t="b">
        <v>0</v>
      </c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H270" s="234" t="b">
        <v>0</v>
      </c>
      <c r="I270" s="234" t="b">
        <v>0</v>
      </c>
      <c r="J270" s="234"/>
      <c r="K270" s="234"/>
      <c r="L270" s="234"/>
      <c r="M270" s="234" t="b">
        <v>0</v>
      </c>
      <c r="N270" s="234" t="b">
        <v>0</v>
      </c>
      <c r="O270" s="234" t="b">
        <v>0</v>
      </c>
      <c r="P270" s="234" t="b">
        <v>0</v>
      </c>
      <c r="Q270" s="234" t="b">
        <v>0</v>
      </c>
      <c r="R270" s="236" t="b">
        <v>0</v>
      </c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H271" s="234" t="b">
        <v>0</v>
      </c>
      <c r="I271" s="234" t="b">
        <v>0</v>
      </c>
      <c r="J271" s="234"/>
      <c r="K271" s="234"/>
      <c r="L271" s="234"/>
      <c r="M271" s="234" t="b">
        <v>0</v>
      </c>
      <c r="N271" s="234" t="b">
        <v>0</v>
      </c>
      <c r="O271" s="234" t="b">
        <v>0</v>
      </c>
      <c r="P271" s="234" t="b">
        <v>0</v>
      </c>
      <c r="Q271" s="234" t="b">
        <v>0</v>
      </c>
      <c r="R271" s="236" t="b">
        <v>0</v>
      </c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H272" s="234" t="b">
        <v>0</v>
      </c>
      <c r="I272" s="234" t="b">
        <v>0</v>
      </c>
      <c r="J272" s="234"/>
      <c r="K272" s="234"/>
      <c r="L272" s="234"/>
      <c r="M272" s="234" t="b">
        <v>0</v>
      </c>
      <c r="N272" s="234" t="b">
        <v>0</v>
      </c>
      <c r="O272" s="234" t="b">
        <v>0</v>
      </c>
      <c r="P272" s="234" t="b">
        <v>0</v>
      </c>
      <c r="Q272" s="234" t="b">
        <v>0</v>
      </c>
      <c r="R272" s="236" t="b">
        <v>0</v>
      </c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H273" s="234" t="b">
        <v>0</v>
      </c>
      <c r="I273" s="234" t="b">
        <v>0</v>
      </c>
      <c r="J273" s="234"/>
      <c r="K273" s="234"/>
      <c r="L273" s="234"/>
      <c r="M273" s="234" t="b">
        <v>0</v>
      </c>
      <c r="N273" s="234" t="b">
        <v>0</v>
      </c>
      <c r="O273" s="234" t="b">
        <v>0</v>
      </c>
      <c r="P273" s="234" t="b">
        <v>0</v>
      </c>
      <c r="Q273" s="234" t="b">
        <v>0</v>
      </c>
      <c r="R273" s="236" t="b">
        <v>0</v>
      </c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H274" s="234" t="b">
        <v>0</v>
      </c>
      <c r="I274" s="234" t="b">
        <v>0</v>
      </c>
      <c r="J274" s="234"/>
      <c r="K274" s="234"/>
      <c r="L274" s="234"/>
      <c r="M274" s="234" t="b">
        <v>0</v>
      </c>
      <c r="N274" s="234" t="b">
        <v>0</v>
      </c>
      <c r="O274" s="234" t="b">
        <v>0</v>
      </c>
      <c r="P274" s="234" t="b">
        <v>0</v>
      </c>
      <c r="Q274" s="234" t="b">
        <v>0</v>
      </c>
      <c r="R274" s="236" t="b">
        <v>0</v>
      </c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H275" s="234" t="b">
        <v>0</v>
      </c>
      <c r="I275" s="234" t="b">
        <v>0</v>
      </c>
      <c r="J275" s="234"/>
      <c r="K275" s="234"/>
      <c r="L275" s="234"/>
      <c r="M275" s="234" t="b">
        <v>0</v>
      </c>
      <c r="N275" s="234" t="b">
        <v>0</v>
      </c>
      <c r="O275" s="234" t="b">
        <v>0</v>
      </c>
      <c r="P275" s="234" t="b">
        <v>0</v>
      </c>
      <c r="Q275" s="234" t="b">
        <v>0</v>
      </c>
      <c r="R275" s="236" t="b">
        <v>0</v>
      </c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H276" s="234" t="b">
        <v>0</v>
      </c>
      <c r="I276" s="234" t="b">
        <v>0</v>
      </c>
      <c r="J276" s="234"/>
      <c r="K276" s="234"/>
      <c r="L276" s="234"/>
      <c r="M276" s="234" t="b">
        <v>0</v>
      </c>
      <c r="N276" s="234" t="b">
        <v>0</v>
      </c>
      <c r="O276" s="234" t="b">
        <v>0</v>
      </c>
      <c r="P276" s="234" t="b">
        <v>0</v>
      </c>
      <c r="Q276" s="234" t="b">
        <v>0</v>
      </c>
      <c r="R276" s="236" t="b">
        <v>0</v>
      </c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H277" s="234" t="b">
        <v>0</v>
      </c>
      <c r="I277" s="234" t="b">
        <v>0</v>
      </c>
      <c r="J277" s="234"/>
      <c r="K277" s="234"/>
      <c r="L277" s="234"/>
      <c r="M277" s="234" t="b">
        <v>0</v>
      </c>
      <c r="N277" s="234" t="b">
        <v>0</v>
      </c>
      <c r="O277" s="234" t="b">
        <v>0</v>
      </c>
      <c r="P277" s="234" t="b">
        <v>0</v>
      </c>
      <c r="Q277" s="234" t="b">
        <v>0</v>
      </c>
      <c r="R277" s="236" t="b">
        <v>0</v>
      </c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H278" s="234" t="b">
        <v>0</v>
      </c>
      <c r="I278" s="234" t="b">
        <v>0</v>
      </c>
      <c r="J278" s="234"/>
      <c r="K278" s="234"/>
      <c r="L278" s="234"/>
      <c r="M278" s="234" t="b">
        <v>0</v>
      </c>
      <c r="N278" s="234" t="b">
        <v>0</v>
      </c>
      <c r="O278" s="234" t="b">
        <v>0</v>
      </c>
      <c r="P278" s="234" t="b">
        <v>0</v>
      </c>
      <c r="Q278" s="234" t="b">
        <v>0</v>
      </c>
      <c r="R278" s="236" t="b">
        <v>0</v>
      </c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H279" s="234" t="b">
        <v>0</v>
      </c>
      <c r="I279" s="234" t="b">
        <v>0</v>
      </c>
      <c r="J279" s="234"/>
      <c r="K279" s="234"/>
      <c r="L279" s="234"/>
      <c r="M279" s="234" t="b">
        <v>0</v>
      </c>
      <c r="N279" s="234" t="b">
        <v>0</v>
      </c>
      <c r="O279" s="234" t="b">
        <v>0</v>
      </c>
      <c r="P279" s="234" t="b">
        <v>0</v>
      </c>
      <c r="Q279" s="234" t="b">
        <v>0</v>
      </c>
      <c r="R279" s="236" t="b">
        <v>0</v>
      </c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H280" s="234" t="b">
        <v>0</v>
      </c>
      <c r="I280" s="234" t="b">
        <v>0</v>
      </c>
      <c r="J280" s="234"/>
      <c r="K280" s="234"/>
      <c r="L280" s="234"/>
      <c r="M280" s="234" t="b">
        <v>0</v>
      </c>
      <c r="N280" s="234" t="b">
        <v>0</v>
      </c>
      <c r="O280" s="234" t="b">
        <v>0</v>
      </c>
      <c r="P280" s="234" t="b">
        <v>0</v>
      </c>
      <c r="Q280" s="234" t="b">
        <v>0</v>
      </c>
      <c r="R280" s="236" t="b">
        <v>0</v>
      </c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H281" s="234" t="b">
        <v>0</v>
      </c>
      <c r="I281" s="234" t="b">
        <v>0</v>
      </c>
      <c r="J281" s="234"/>
      <c r="K281" s="234"/>
      <c r="L281" s="234"/>
      <c r="M281" s="234" t="b">
        <v>0</v>
      </c>
      <c r="N281" s="234" t="b">
        <v>0</v>
      </c>
      <c r="O281" s="234" t="b">
        <v>0</v>
      </c>
      <c r="P281" s="234" t="b">
        <v>0</v>
      </c>
      <c r="Q281" s="234" t="b">
        <v>0</v>
      </c>
      <c r="R281" s="236" t="b">
        <v>0</v>
      </c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H282" s="234" t="b">
        <v>0</v>
      </c>
      <c r="I282" s="234" t="b">
        <v>0</v>
      </c>
      <c r="J282" s="234"/>
      <c r="K282" s="234"/>
      <c r="L282" s="234"/>
      <c r="M282" s="234" t="b">
        <v>0</v>
      </c>
      <c r="N282" s="234" t="b">
        <v>0</v>
      </c>
      <c r="O282" s="234" t="b">
        <v>0</v>
      </c>
      <c r="P282" s="234" t="b">
        <v>0</v>
      </c>
      <c r="Q282" s="234" t="b">
        <v>0</v>
      </c>
      <c r="R282" s="236" t="b">
        <v>0</v>
      </c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H283" s="234" t="b">
        <v>0</v>
      </c>
      <c r="I283" s="234" t="b">
        <v>0</v>
      </c>
      <c r="J283" s="234"/>
      <c r="K283" s="234"/>
      <c r="L283" s="234"/>
      <c r="M283" s="234" t="b">
        <v>0</v>
      </c>
      <c r="N283" s="234" t="b">
        <v>0</v>
      </c>
      <c r="O283" s="234" t="b">
        <v>0</v>
      </c>
      <c r="P283" s="234" t="b">
        <v>0</v>
      </c>
      <c r="Q283" s="234" t="b">
        <v>0</v>
      </c>
      <c r="R283" s="236" t="b">
        <v>0</v>
      </c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H284" s="234" t="b">
        <v>0</v>
      </c>
      <c r="I284" s="234" t="b">
        <v>0</v>
      </c>
      <c r="J284" s="234"/>
      <c r="K284" s="234"/>
      <c r="L284" s="234"/>
      <c r="M284" s="234" t="b">
        <v>0</v>
      </c>
      <c r="N284" s="234" t="b">
        <v>0</v>
      </c>
      <c r="O284" s="234" t="b">
        <v>0</v>
      </c>
      <c r="P284" s="234" t="b">
        <v>0</v>
      </c>
      <c r="Q284" s="234" t="b">
        <v>0</v>
      </c>
      <c r="R284" s="236" t="b">
        <v>0</v>
      </c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H285" s="234" t="b">
        <v>0</v>
      </c>
      <c r="I285" s="234" t="b">
        <v>0</v>
      </c>
      <c r="J285" s="234"/>
      <c r="K285" s="234"/>
      <c r="L285" s="234"/>
      <c r="M285" s="234" t="b">
        <v>0</v>
      </c>
      <c r="N285" s="234" t="b">
        <v>0</v>
      </c>
      <c r="O285" s="234" t="b">
        <v>0</v>
      </c>
      <c r="P285" s="234" t="b">
        <v>0</v>
      </c>
      <c r="Q285" s="234" t="b">
        <v>0</v>
      </c>
      <c r="R285" s="236" t="b">
        <v>0</v>
      </c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H286" s="234" t="b">
        <v>0</v>
      </c>
      <c r="I286" s="234" t="b">
        <v>0</v>
      </c>
      <c r="J286" s="234"/>
      <c r="K286" s="234"/>
      <c r="L286" s="234"/>
      <c r="M286" s="234" t="b">
        <v>0</v>
      </c>
      <c r="N286" s="234" t="b">
        <v>0</v>
      </c>
      <c r="O286" s="234" t="b">
        <v>0</v>
      </c>
      <c r="P286" s="234" t="b">
        <v>0</v>
      </c>
      <c r="Q286" s="234" t="b">
        <v>0</v>
      </c>
      <c r="R286" s="236" t="b">
        <v>0</v>
      </c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H287" s="234" t="b">
        <v>0</v>
      </c>
      <c r="I287" s="234" t="b">
        <v>0</v>
      </c>
      <c r="J287" s="234"/>
      <c r="K287" s="234"/>
      <c r="L287" s="234"/>
      <c r="M287" s="234" t="b">
        <v>0</v>
      </c>
      <c r="N287" s="234" t="b">
        <v>0</v>
      </c>
      <c r="O287" s="234" t="b">
        <v>0</v>
      </c>
      <c r="P287" s="234" t="b">
        <v>0</v>
      </c>
      <c r="Q287" s="234" t="b">
        <v>0</v>
      </c>
      <c r="R287" s="236" t="b">
        <v>0</v>
      </c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H288" s="234" t="b">
        <v>0</v>
      </c>
      <c r="I288" s="234" t="b">
        <v>0</v>
      </c>
      <c r="J288" s="234"/>
      <c r="K288" s="234"/>
      <c r="L288" s="234"/>
      <c r="M288" s="234" t="b">
        <v>0</v>
      </c>
      <c r="N288" s="234" t="b">
        <v>0</v>
      </c>
      <c r="O288" s="234" t="b">
        <v>0</v>
      </c>
      <c r="P288" s="234" t="b">
        <v>0</v>
      </c>
      <c r="Q288" s="234" t="b">
        <v>0</v>
      </c>
      <c r="R288" s="236" t="b">
        <v>0</v>
      </c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H289" s="234" t="b">
        <v>0</v>
      </c>
      <c r="I289" s="234" t="b">
        <v>0</v>
      </c>
      <c r="J289" s="234"/>
      <c r="K289" s="234"/>
      <c r="L289" s="234"/>
      <c r="M289" s="234" t="b">
        <v>0</v>
      </c>
      <c r="N289" s="234" t="b">
        <v>0</v>
      </c>
      <c r="O289" s="234" t="b">
        <v>0</v>
      </c>
      <c r="P289" s="234" t="b">
        <v>0</v>
      </c>
      <c r="Q289" s="234" t="b">
        <v>0</v>
      </c>
      <c r="R289" s="236" t="b">
        <v>0</v>
      </c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H290" s="234" t="b">
        <v>0</v>
      </c>
      <c r="I290" s="234" t="b">
        <v>0</v>
      </c>
      <c r="J290" s="234"/>
      <c r="K290" s="234"/>
      <c r="L290" s="234"/>
      <c r="M290" s="234" t="b">
        <v>0</v>
      </c>
      <c r="N290" s="234" t="b">
        <v>0</v>
      </c>
      <c r="O290" s="234" t="b">
        <v>0</v>
      </c>
      <c r="P290" s="234" t="b">
        <v>0</v>
      </c>
      <c r="Q290" s="234" t="b">
        <v>0</v>
      </c>
      <c r="R290" s="236" t="b">
        <v>0</v>
      </c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H291" s="234" t="b">
        <v>0</v>
      </c>
      <c r="I291" s="234" t="b">
        <v>0</v>
      </c>
      <c r="J291" s="234"/>
      <c r="K291" s="234"/>
      <c r="L291" s="234"/>
      <c r="M291" s="234" t="b">
        <v>0</v>
      </c>
      <c r="N291" s="234" t="b">
        <v>0</v>
      </c>
      <c r="O291" s="234" t="b">
        <v>0</v>
      </c>
      <c r="P291" s="234" t="b">
        <v>0</v>
      </c>
      <c r="Q291" s="234" t="b">
        <v>0</v>
      </c>
      <c r="R291" s="236" t="b">
        <v>0</v>
      </c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H292" s="234" t="b">
        <v>0</v>
      </c>
      <c r="I292" s="234" t="b">
        <v>0</v>
      </c>
      <c r="J292" s="234"/>
      <c r="K292" s="234"/>
      <c r="L292" s="234"/>
      <c r="M292" s="234" t="b">
        <v>0</v>
      </c>
      <c r="N292" s="234" t="b">
        <v>0</v>
      </c>
      <c r="O292" s="234" t="b">
        <v>0</v>
      </c>
      <c r="P292" s="234" t="b">
        <v>0</v>
      </c>
      <c r="Q292" s="234" t="b">
        <v>0</v>
      </c>
      <c r="R292" s="236" t="b">
        <v>0</v>
      </c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H293" s="234" t="b">
        <v>0</v>
      </c>
      <c r="I293" s="234" t="b">
        <v>0</v>
      </c>
      <c r="J293" s="234"/>
      <c r="K293" s="234"/>
      <c r="L293" s="234"/>
      <c r="M293" s="234" t="b">
        <v>0</v>
      </c>
      <c r="N293" s="234" t="b">
        <v>0</v>
      </c>
      <c r="O293" s="234" t="b">
        <v>0</v>
      </c>
      <c r="P293" s="234" t="b">
        <v>0</v>
      </c>
      <c r="Q293" s="234" t="b">
        <v>0</v>
      </c>
      <c r="R293" s="236" t="b">
        <v>0</v>
      </c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H294" s="234" t="b">
        <v>0</v>
      </c>
      <c r="I294" s="234" t="b">
        <v>0</v>
      </c>
      <c r="J294" s="234"/>
      <c r="K294" s="234"/>
      <c r="L294" s="234"/>
      <c r="M294" s="234" t="b">
        <v>0</v>
      </c>
      <c r="N294" s="234" t="b">
        <v>0</v>
      </c>
      <c r="O294" s="234" t="b">
        <v>0</v>
      </c>
      <c r="P294" s="234" t="b">
        <v>0</v>
      </c>
      <c r="Q294" s="234" t="b">
        <v>0</v>
      </c>
      <c r="R294" s="236" t="b">
        <v>0</v>
      </c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H295" s="234" t="b">
        <v>0</v>
      </c>
      <c r="I295" s="234" t="b">
        <v>0</v>
      </c>
      <c r="J295" s="234"/>
      <c r="K295" s="234"/>
      <c r="L295" s="234"/>
      <c r="M295" s="234" t="b">
        <v>0</v>
      </c>
      <c r="N295" s="234" t="b">
        <v>0</v>
      </c>
      <c r="O295" s="234" t="b">
        <v>0</v>
      </c>
      <c r="P295" s="234" t="b">
        <v>0</v>
      </c>
      <c r="Q295" s="234" t="b">
        <v>0</v>
      </c>
      <c r="R295" s="236" t="b">
        <v>0</v>
      </c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H296" s="234" t="b">
        <v>0</v>
      </c>
      <c r="I296" s="234" t="b">
        <v>0</v>
      </c>
      <c r="J296" s="234"/>
      <c r="K296" s="234"/>
      <c r="L296" s="234"/>
      <c r="M296" s="234" t="b">
        <v>0</v>
      </c>
      <c r="N296" s="234" t="b">
        <v>0</v>
      </c>
      <c r="O296" s="234" t="b">
        <v>0</v>
      </c>
      <c r="P296" s="234" t="b">
        <v>0</v>
      </c>
      <c r="Q296" s="234" t="b">
        <v>0</v>
      </c>
      <c r="R296" s="236" t="b">
        <v>0</v>
      </c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H297" s="234" t="b">
        <v>0</v>
      </c>
      <c r="I297" s="234" t="b">
        <v>0</v>
      </c>
      <c r="J297" s="234"/>
      <c r="K297" s="234"/>
      <c r="L297" s="234"/>
      <c r="M297" s="234" t="b">
        <v>0</v>
      </c>
      <c r="N297" s="234" t="b">
        <v>0</v>
      </c>
      <c r="O297" s="234" t="b">
        <v>0</v>
      </c>
      <c r="P297" s="234" t="b">
        <v>0</v>
      </c>
      <c r="Q297" s="234" t="b">
        <v>0</v>
      </c>
      <c r="R297" s="236" t="b">
        <v>0</v>
      </c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H298" s="234" t="b">
        <v>0</v>
      </c>
      <c r="I298" s="234" t="b">
        <v>0</v>
      </c>
      <c r="J298" s="234"/>
      <c r="K298" s="234"/>
      <c r="L298" s="234"/>
      <c r="M298" s="234" t="b">
        <v>0</v>
      </c>
      <c r="N298" s="234" t="b">
        <v>0</v>
      </c>
      <c r="O298" s="234" t="b">
        <v>0</v>
      </c>
      <c r="P298" s="234" t="b">
        <v>0</v>
      </c>
      <c r="Q298" s="234" t="b">
        <v>0</v>
      </c>
      <c r="R298" s="236" t="b">
        <v>0</v>
      </c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H299" s="234" t="b">
        <v>0</v>
      </c>
      <c r="I299" s="234" t="b">
        <v>0</v>
      </c>
      <c r="J299" s="234"/>
      <c r="K299" s="234"/>
      <c r="L299" s="234"/>
      <c r="M299" s="234" t="b">
        <v>0</v>
      </c>
      <c r="N299" s="234" t="b">
        <v>0</v>
      </c>
      <c r="O299" s="234" t="b">
        <v>0</v>
      </c>
      <c r="P299" s="234" t="b">
        <v>0</v>
      </c>
      <c r="Q299" s="234" t="b">
        <v>0</v>
      </c>
      <c r="R299" s="236" t="b">
        <v>0</v>
      </c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H300" s="234" t="b">
        <v>0</v>
      </c>
      <c r="I300" s="234" t="b">
        <v>0</v>
      </c>
      <c r="J300" s="234"/>
      <c r="K300" s="234"/>
      <c r="L300" s="234"/>
      <c r="M300" s="234" t="b">
        <v>0</v>
      </c>
      <c r="N300" s="234" t="b">
        <v>0</v>
      </c>
      <c r="O300" s="234" t="b">
        <v>0</v>
      </c>
      <c r="P300" s="234" t="b">
        <v>0</v>
      </c>
      <c r="Q300" s="234" t="b">
        <v>0</v>
      </c>
      <c r="R300" s="236" t="b">
        <v>0</v>
      </c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H301" s="234" t="b">
        <v>0</v>
      </c>
      <c r="I301" s="234" t="b">
        <v>0</v>
      </c>
      <c r="J301" s="234"/>
      <c r="K301" s="234"/>
      <c r="L301" s="234"/>
      <c r="M301" s="234" t="b">
        <v>0</v>
      </c>
      <c r="N301" s="234" t="b">
        <v>0</v>
      </c>
      <c r="O301" s="234" t="b">
        <v>0</v>
      </c>
      <c r="P301" s="234" t="b">
        <v>0</v>
      </c>
      <c r="Q301" s="234" t="b">
        <v>0</v>
      </c>
      <c r="R301" s="236" t="b">
        <v>0</v>
      </c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H302" s="234" t="b">
        <v>0</v>
      </c>
      <c r="I302" s="234" t="b">
        <v>0</v>
      </c>
      <c r="J302" s="234"/>
      <c r="K302" s="234"/>
      <c r="L302" s="234"/>
      <c r="M302" s="234" t="b">
        <v>0</v>
      </c>
      <c r="N302" s="234" t="b">
        <v>0</v>
      </c>
      <c r="O302" s="234" t="b">
        <v>0</v>
      </c>
      <c r="P302" s="234" t="b">
        <v>0</v>
      </c>
      <c r="Q302" s="234" t="b">
        <v>0</v>
      </c>
      <c r="R302" s="236" t="b">
        <v>0</v>
      </c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H303" s="234" t="b">
        <v>0</v>
      </c>
      <c r="I303" s="234" t="b">
        <v>0</v>
      </c>
      <c r="J303" s="234"/>
      <c r="K303" s="234"/>
      <c r="L303" s="234"/>
      <c r="M303" s="234" t="b">
        <v>0</v>
      </c>
      <c r="N303" s="234" t="b">
        <v>0</v>
      </c>
      <c r="O303" s="234" t="b">
        <v>0</v>
      </c>
      <c r="P303" s="234" t="b">
        <v>0</v>
      </c>
      <c r="Q303" s="234" t="b">
        <v>0</v>
      </c>
      <c r="R303" s="236" t="b">
        <v>0</v>
      </c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H304" s="234" t="b">
        <v>0</v>
      </c>
      <c r="I304" s="234" t="b">
        <v>0</v>
      </c>
      <c r="J304" s="234"/>
      <c r="K304" s="234"/>
      <c r="L304" s="234"/>
      <c r="M304" s="234" t="b">
        <v>0</v>
      </c>
      <c r="N304" s="234" t="b">
        <v>0</v>
      </c>
      <c r="O304" s="234" t="b">
        <v>0</v>
      </c>
      <c r="P304" s="234" t="b">
        <v>0</v>
      </c>
      <c r="Q304" s="234" t="b">
        <v>0</v>
      </c>
      <c r="R304" s="236" t="b">
        <v>0</v>
      </c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H305" s="234" t="b">
        <v>0</v>
      </c>
      <c r="I305" s="234" t="b">
        <v>0</v>
      </c>
      <c r="J305" s="234"/>
      <c r="K305" s="234"/>
      <c r="L305" s="234"/>
      <c r="M305" s="234" t="b">
        <v>0</v>
      </c>
      <c r="N305" s="234" t="b">
        <v>0</v>
      </c>
      <c r="O305" s="234" t="b">
        <v>0</v>
      </c>
      <c r="P305" s="234" t="b">
        <v>0</v>
      </c>
      <c r="Q305" s="234" t="b">
        <v>0</v>
      </c>
      <c r="R305" s="236" t="b">
        <v>0</v>
      </c>
    </row>
  </sheetData>
  <dataValidations>
    <dataValidation type="list" allowBlank="1" showErrorMessage="1" sqref="L2:L305">
      <formula1>"DIAGNOSTIC ,INTERVENTIONAL,BOTH"</formula1>
    </dataValidation>
    <dataValidation type="list" allowBlank="1" showErrorMessage="1" sqref="A2:A38 A40:A282">
      <formula1>ANAGRAFICA!$B$2:$B$506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13"/>
    <col customWidth="1" min="2" max="2" width="10.63"/>
    <col customWidth="1" min="3" max="3" width="18.75"/>
    <col customWidth="1" min="4" max="4" width="11.88"/>
    <col customWidth="1" min="5" max="5" width="15.13"/>
    <col customWidth="1" min="6" max="6" width="13.0"/>
    <col customWidth="1" min="7" max="7" width="5.0"/>
    <col customWidth="1" min="8" max="8" width="30.63"/>
    <col customWidth="1" min="9" max="9" width="38.13"/>
    <col customWidth="1" min="10" max="10" width="42.75"/>
    <col customWidth="1" min="11" max="11" width="36.5"/>
    <col customWidth="1" min="12" max="12" width="35.38"/>
    <col customWidth="1" min="13" max="13" width="33.0"/>
    <col customWidth="1" min="14" max="14" width="37.63"/>
    <col customWidth="1" min="15" max="15" width="38.0"/>
    <col customWidth="1" min="16" max="16" width="40.13"/>
    <col customWidth="1" min="17" max="17" width="33.38"/>
    <col customWidth="1" min="18" max="18" width="29.88"/>
  </cols>
  <sheetData>
    <row r="1">
      <c r="A1" s="249" t="s">
        <v>1</v>
      </c>
      <c r="B1" s="250" t="s">
        <v>2</v>
      </c>
      <c r="C1" s="249" t="s">
        <v>3</v>
      </c>
      <c r="D1" s="249" t="s">
        <v>4</v>
      </c>
      <c r="E1" s="249" t="s">
        <v>385</v>
      </c>
      <c r="F1" s="251" t="s">
        <v>6</v>
      </c>
      <c r="G1" s="249" t="s">
        <v>386</v>
      </c>
      <c r="H1" s="252" t="s">
        <v>1332</v>
      </c>
      <c r="I1" s="253" t="s">
        <v>1333</v>
      </c>
      <c r="J1" s="253" t="s">
        <v>1334</v>
      </c>
      <c r="K1" s="253" t="s">
        <v>1335</v>
      </c>
      <c r="L1" s="253" t="s">
        <v>1336</v>
      </c>
      <c r="M1" s="253" t="s">
        <v>1337</v>
      </c>
      <c r="N1" s="252" t="s">
        <v>1338</v>
      </c>
      <c r="O1" s="252" t="s">
        <v>1339</v>
      </c>
      <c r="P1" s="252" t="s">
        <v>1340</v>
      </c>
      <c r="Q1" s="252" t="s">
        <v>1341</v>
      </c>
      <c r="R1" s="252" t="s">
        <v>1342</v>
      </c>
    </row>
    <row r="2">
      <c r="A2" s="57">
        <v>2.123023299E9</v>
      </c>
      <c r="B2" s="109" t="str">
        <f>VLOOKUP($A2,ANAGRAFICA!$B$1:$G$306,2,FALSE)</f>
        <v>BEATRICE</v>
      </c>
      <c r="C2" s="109" t="str">
        <f>VLOOKUP($A2,ANAGRAFICA!$B$1:$G$306,3,FALSE)</f>
        <v>GERARDINA</v>
      </c>
      <c r="D2" s="109" t="str">
        <f>VLOOKUP($A2,ANAGRAFICA!$B$1:$G$306,4,FALSE)</f>
        <v/>
      </c>
      <c r="E2" s="109">
        <f>VLOOKUP($A2,ANAGRAFICA!$B$1:$G$306,5,FALSE)</f>
        <v>3272024098</v>
      </c>
      <c r="F2" s="109">
        <f>VLOOKUP($A2,ANAGRAFICA!$B$1:$G$306,6,FALSE)</f>
        <v>2024</v>
      </c>
      <c r="G2" s="11">
        <v>1.0</v>
      </c>
      <c r="H2" s="14" t="s">
        <v>552</v>
      </c>
      <c r="I2" s="14" t="s">
        <v>1343</v>
      </c>
      <c r="J2" s="14" t="s">
        <v>1344</v>
      </c>
      <c r="K2" s="16"/>
      <c r="L2" s="14" t="s">
        <v>1345</v>
      </c>
      <c r="M2" s="14" t="s">
        <v>1346</v>
      </c>
      <c r="N2" s="16"/>
      <c r="O2" s="16"/>
      <c r="P2" s="14" t="s">
        <v>1347</v>
      </c>
      <c r="Q2" s="14" t="s">
        <v>1348</v>
      </c>
      <c r="R2" s="16"/>
    </row>
    <row r="3">
      <c r="A3" s="57">
        <v>2.124000241E9</v>
      </c>
      <c r="B3" s="109" t="str">
        <f>VLOOKUP($A3,ANAGRAFICA!$B$1:$G$306,2,FALSE)</f>
        <v>ISELLA</v>
      </c>
      <c r="C3" s="109" t="str">
        <f>VLOOKUP($A3,ANAGRAFICA!$B$1:$G$306,3,FALSE)</f>
        <v>VINCENZO</v>
      </c>
      <c r="D3" s="109" t="str">
        <f>VLOOKUP($A3,ANAGRAFICA!$B$1:$G$306,4,FALSE)</f>
        <v/>
      </c>
      <c r="E3" s="109">
        <f>VLOOKUP($A3,ANAGRAFICA!$B$1:$G$306,5,FALSE)</f>
        <v>3272024052</v>
      </c>
      <c r="F3" s="109">
        <f>VLOOKUP($A3,ANAGRAFICA!$B$1:$G$306,6,FALSE)</f>
        <v>2024</v>
      </c>
      <c r="G3" s="11">
        <v>1.0</v>
      </c>
      <c r="H3" s="14" t="s">
        <v>552</v>
      </c>
      <c r="I3" s="16"/>
      <c r="J3" s="16"/>
      <c r="K3" s="16"/>
      <c r="L3" s="16"/>
      <c r="M3" s="14" t="s">
        <v>1346</v>
      </c>
      <c r="N3" s="16"/>
      <c r="O3" s="16"/>
      <c r="P3" s="16"/>
      <c r="Q3" s="16"/>
      <c r="R3" s="16"/>
    </row>
    <row r="4">
      <c r="A4" s="57">
        <v>2.124000328E9</v>
      </c>
      <c r="B4" s="109" t="str">
        <f>VLOOKUP($A4,ANAGRAFICA!$B$1:$G$306,2,FALSE)</f>
        <v>LAVANGA</v>
      </c>
      <c r="C4" s="109" t="str">
        <f>VLOOKUP($A4,ANAGRAFICA!$B$1:$G$306,3,FALSE)</f>
        <v>DONATO</v>
      </c>
      <c r="D4" s="109" t="str">
        <f>VLOOKUP($A4,ANAGRAFICA!$B$1:$G$306,4,FALSE)</f>
        <v/>
      </c>
      <c r="E4" s="109">
        <f>VLOOKUP($A4,ANAGRAFICA!$B$1:$G$306,5,FALSE)</f>
        <v>3272024053</v>
      </c>
      <c r="F4" s="109">
        <f>VLOOKUP($A4,ANAGRAFICA!$B$1:$G$306,6,FALSE)</f>
        <v>2024</v>
      </c>
      <c r="G4" s="11">
        <v>1.0</v>
      </c>
      <c r="H4" s="14" t="s">
        <v>552</v>
      </c>
      <c r="I4" s="16"/>
      <c r="J4" s="16"/>
      <c r="K4" s="16"/>
      <c r="L4" s="16"/>
      <c r="M4" s="16"/>
      <c r="N4" s="16"/>
      <c r="O4" s="16"/>
      <c r="P4" s="16"/>
      <c r="Q4" s="16"/>
      <c r="R4" s="16"/>
    </row>
    <row r="5">
      <c r="A5" s="57">
        <v>2.124001121E9</v>
      </c>
      <c r="B5" s="109" t="str">
        <f>VLOOKUP($A5,ANAGRAFICA!$B$1:$G$306,2,FALSE)</f>
        <v>TIEGHI</v>
      </c>
      <c r="C5" s="109" t="str">
        <f>VLOOKUP($A5,ANAGRAFICA!$B$1:$G$306,3,FALSE)</f>
        <v>MASSIMO</v>
      </c>
      <c r="D5" s="109" t="str">
        <f>VLOOKUP($A5,ANAGRAFICA!$B$1:$G$306,4,FALSE)</f>
        <v/>
      </c>
      <c r="E5" s="109">
        <f>VLOOKUP($A5,ANAGRAFICA!$B$1:$G$306,5,FALSE)</f>
        <v>3272024054</v>
      </c>
      <c r="F5" s="109">
        <f>VLOOKUP($A5,ANAGRAFICA!$B$1:$G$306,6,FALSE)</f>
        <v>2024</v>
      </c>
      <c r="G5" s="11">
        <v>1.0</v>
      </c>
      <c r="H5" s="14" t="s">
        <v>552</v>
      </c>
      <c r="I5" s="16"/>
      <c r="J5" s="16"/>
      <c r="K5" s="16"/>
      <c r="L5" s="16"/>
      <c r="M5" s="16"/>
      <c r="N5" s="16"/>
      <c r="O5" s="16"/>
      <c r="P5" s="16"/>
      <c r="Q5" s="16"/>
      <c r="R5" s="16"/>
    </row>
    <row r="6">
      <c r="A6" s="57">
        <v>2.124002215E9</v>
      </c>
      <c r="B6" s="109" t="str">
        <f>VLOOKUP($A6,ANAGRAFICA!$B$1:$G$306,2,FALSE)</f>
        <v>SCHIFANO</v>
      </c>
      <c r="C6" s="109" t="str">
        <f>VLOOKUP($A6,ANAGRAFICA!$B$1:$G$306,3,FALSE)</f>
        <v>FRANCESCO</v>
      </c>
      <c r="D6" s="109" t="str">
        <f>VLOOKUP($A6,ANAGRAFICA!$B$1:$G$306,4,FALSE)</f>
        <v/>
      </c>
      <c r="E6" s="109">
        <f>VLOOKUP($A6,ANAGRAFICA!$B$1:$G$306,5,FALSE)</f>
        <v>3272024055</v>
      </c>
      <c r="F6" s="109">
        <f>VLOOKUP($A6,ANAGRAFICA!$B$1:$G$306,6,FALSE)</f>
        <v>2024</v>
      </c>
      <c r="G6" s="11">
        <v>1.0</v>
      </c>
      <c r="H6" s="14" t="s">
        <v>552</v>
      </c>
      <c r="I6" s="16"/>
      <c r="J6" s="16"/>
      <c r="K6" s="16"/>
      <c r="L6" s="16"/>
      <c r="M6" s="16"/>
      <c r="N6" s="16"/>
      <c r="O6" s="16"/>
      <c r="P6" s="16"/>
      <c r="Q6" s="16"/>
      <c r="R6" s="16"/>
    </row>
    <row r="7">
      <c r="A7" s="57">
        <v>2.124202869E9</v>
      </c>
      <c r="B7" s="109" t="str">
        <f>VLOOKUP($A7,ANAGRAFICA!$B$1:$G$306,2,FALSE)</f>
        <v>VALSECCHI</v>
      </c>
      <c r="C7" s="109" t="str">
        <f>VLOOKUP($A7,ANAGRAFICA!$B$1:$G$306,3,FALSE)</f>
        <v>ANDREA</v>
      </c>
      <c r="D7" s="109" t="str">
        <f>VLOOKUP($A7,ANAGRAFICA!$B$1:$G$306,4,FALSE)</f>
        <v/>
      </c>
      <c r="E7" s="109">
        <f>VLOOKUP($A7,ANAGRAFICA!$B$1:$G$306,5,FALSE)</f>
        <v>3272024056</v>
      </c>
      <c r="F7" s="109">
        <f>VLOOKUP($A7,ANAGRAFICA!$B$1:$G$306,6,FALSE)</f>
        <v>2024</v>
      </c>
      <c r="G7" s="11">
        <v>1.0</v>
      </c>
      <c r="H7" s="14" t="s">
        <v>552</v>
      </c>
      <c r="I7" s="14" t="s">
        <v>1349</v>
      </c>
      <c r="J7" s="14" t="s">
        <v>1344</v>
      </c>
      <c r="K7" s="16"/>
      <c r="L7" s="16"/>
      <c r="M7" s="14" t="s">
        <v>1350</v>
      </c>
      <c r="N7" s="16"/>
      <c r="O7" s="16"/>
      <c r="P7" s="16"/>
      <c r="Q7" s="14" t="s">
        <v>1348</v>
      </c>
      <c r="R7" s="16"/>
    </row>
    <row r="8">
      <c r="A8" s="57">
        <v>2.12401869E9</v>
      </c>
      <c r="B8" s="109" t="str">
        <f>VLOOKUP($A8,ANAGRAFICA!$B$1:$G$306,2,FALSE)</f>
        <v>AVENIDO</v>
      </c>
      <c r="C8" s="109" t="str">
        <f>VLOOKUP($A8,ANAGRAFICA!$B$1:$G$306,3,FALSE)</f>
        <v>DELFIN</v>
      </c>
      <c r="D8" s="109" t="str">
        <f>VLOOKUP($A8,ANAGRAFICA!$B$1:$G$306,4,FALSE)</f>
        <v>758-16</v>
      </c>
      <c r="E8" s="109">
        <f>VLOOKUP($A8,ANAGRAFICA!$B$1:$G$306,5,FALSE)</f>
        <v>3272024082</v>
      </c>
      <c r="F8" s="109">
        <f>VLOOKUP($A8,ANAGRAFICA!$B$1:$G$306,6,FALSE)</f>
        <v>2024</v>
      </c>
      <c r="G8" s="11">
        <v>1.0</v>
      </c>
      <c r="H8" s="14" t="s">
        <v>552</v>
      </c>
      <c r="I8" s="16"/>
      <c r="J8" s="16"/>
      <c r="K8" s="16"/>
      <c r="L8" s="16"/>
      <c r="M8" s="16"/>
      <c r="N8" s="16"/>
      <c r="O8" s="16"/>
      <c r="P8" s="16"/>
      <c r="Q8" s="16"/>
      <c r="R8" s="16"/>
    </row>
    <row r="9">
      <c r="A9" s="57">
        <v>2.124018637E9</v>
      </c>
      <c r="B9" s="109" t="str">
        <f>VLOOKUP($A9,ANAGRAFICA!$B$1:$G$306,2,FALSE)</f>
        <v>CARIBONI</v>
      </c>
      <c r="C9" s="109" t="str">
        <f>VLOOKUP($A9,ANAGRAFICA!$B$1:$G$306,3,FALSE)</f>
        <v>LORENZA</v>
      </c>
      <c r="D9" s="109" t="str">
        <f>VLOOKUP($A9,ANAGRAFICA!$B$1:$G$306,4,FALSE)</f>
        <v>758-15</v>
      </c>
      <c r="E9" s="109">
        <f>VLOOKUP($A9,ANAGRAFICA!$B$1:$G$306,5,FALSE)</f>
        <v>3272024081</v>
      </c>
      <c r="F9" s="109">
        <f>VLOOKUP($A9,ANAGRAFICA!$B$1:$G$306,6,FALSE)</f>
        <v>2024</v>
      </c>
      <c r="G9" s="11">
        <v>1.0</v>
      </c>
      <c r="H9" s="14" t="s">
        <v>552</v>
      </c>
      <c r="I9" s="16"/>
      <c r="J9" s="16"/>
      <c r="K9" s="16"/>
      <c r="L9" s="16"/>
      <c r="M9" s="16"/>
      <c r="N9" s="16"/>
      <c r="O9" s="16"/>
      <c r="P9" s="16"/>
      <c r="Q9" s="16"/>
      <c r="R9" s="16"/>
    </row>
    <row r="10">
      <c r="A10" s="57">
        <v>2.124014334E9</v>
      </c>
      <c r="B10" s="109" t="str">
        <f>VLOOKUP($A10,ANAGRAFICA!$B$1:$G$306,2,FALSE)</f>
        <v>PONTIGGIA</v>
      </c>
      <c r="C10" s="109" t="str">
        <f>VLOOKUP($A10,ANAGRAFICA!$B$1:$G$306,3,FALSE)</f>
        <v>FLAVIO</v>
      </c>
      <c r="D10" s="109" t="str">
        <f>VLOOKUP($A10,ANAGRAFICA!$B$1:$G$306,4,FALSE)</f>
        <v>758-9</v>
      </c>
      <c r="E10" s="109">
        <f>VLOOKUP($A10,ANAGRAFICA!$B$1:$G$306,5,FALSE)</f>
        <v>3272024075</v>
      </c>
      <c r="F10" s="109">
        <f>VLOOKUP($A10,ANAGRAFICA!$B$1:$G$306,6,FALSE)</f>
        <v>2024</v>
      </c>
      <c r="G10" s="11">
        <v>1.0</v>
      </c>
      <c r="H10" s="14" t="s">
        <v>552</v>
      </c>
      <c r="I10" s="16"/>
      <c r="J10" s="16"/>
      <c r="K10" s="16"/>
      <c r="L10" s="16"/>
      <c r="M10" s="14" t="s">
        <v>1350</v>
      </c>
      <c r="N10" s="16"/>
      <c r="O10" s="16"/>
      <c r="P10" s="16"/>
      <c r="Q10" s="16"/>
      <c r="R10" s="16"/>
    </row>
    <row r="11">
      <c r="A11" s="57">
        <v>2.124012915E9</v>
      </c>
      <c r="B11" s="109" t="str">
        <f>VLOOKUP($A11,ANAGRAFICA!$B$1:$G$306,2,FALSE)</f>
        <v>GARGIONI</v>
      </c>
      <c r="C11" s="109" t="str">
        <f>VLOOKUP($A11,ANAGRAFICA!$B$1:$G$306,3,FALSE)</f>
        <v>GIULIO</v>
      </c>
      <c r="D11" s="109" t="str">
        <f>VLOOKUP($A11,ANAGRAFICA!$B$1:$G$306,4,FALSE)</f>
        <v>758-6</v>
      </c>
      <c r="E11" s="109">
        <f>VLOOKUP($A11,ANAGRAFICA!$B$1:$G$306,5,FALSE)</f>
        <v>3272024072</v>
      </c>
      <c r="F11" s="109">
        <f>VLOOKUP($A11,ANAGRAFICA!$B$1:$G$306,6,FALSE)</f>
        <v>2024</v>
      </c>
      <c r="G11" s="11">
        <v>1.0</v>
      </c>
      <c r="H11" s="14" t="s">
        <v>552</v>
      </c>
      <c r="I11" s="14" t="s">
        <v>1349</v>
      </c>
      <c r="J11" s="16"/>
      <c r="K11" s="16"/>
      <c r="L11" s="16"/>
      <c r="M11" s="16"/>
      <c r="N11" s="16"/>
      <c r="O11" s="16"/>
      <c r="P11" s="16"/>
      <c r="Q11" s="16"/>
      <c r="R11" s="16"/>
    </row>
    <row r="12">
      <c r="A12" s="57">
        <v>2.124012963E9</v>
      </c>
      <c r="B12" s="109" t="str">
        <f>VLOOKUP($A12,ANAGRAFICA!$B$1:$G$306,2,FALSE)</f>
        <v>TARENZI</v>
      </c>
      <c r="C12" s="109" t="str">
        <f>VLOOKUP($A12,ANAGRAFICA!$B$1:$G$306,3,FALSE)</f>
        <v>GIACOMO</v>
      </c>
      <c r="D12" s="109" t="str">
        <f>VLOOKUP($A12,ANAGRAFICA!$B$1:$G$306,4,FALSE)</f>
        <v>758-7</v>
      </c>
      <c r="E12" s="109">
        <f>VLOOKUP($A12,ANAGRAFICA!$B$1:$G$306,5,FALSE)</f>
        <v>3272024073</v>
      </c>
      <c r="F12" s="109">
        <f>VLOOKUP($A12,ANAGRAFICA!$B$1:$G$306,6,FALSE)</f>
        <v>2024</v>
      </c>
      <c r="G12" s="11">
        <v>1.0</v>
      </c>
      <c r="H12" s="14" t="s">
        <v>552</v>
      </c>
      <c r="I12" s="14" t="s">
        <v>1349</v>
      </c>
      <c r="J12" s="14" t="s">
        <v>1344</v>
      </c>
      <c r="K12" s="16"/>
      <c r="L12" s="16"/>
      <c r="M12" s="14" t="s">
        <v>1351</v>
      </c>
      <c r="N12" s="16"/>
      <c r="O12" s="16"/>
      <c r="P12" s="16"/>
      <c r="Q12" s="16"/>
      <c r="R12" s="16"/>
    </row>
    <row r="13">
      <c r="A13" s="57">
        <v>2.124208629E9</v>
      </c>
      <c r="B13" s="109" t="str">
        <f>VLOOKUP($A13,ANAGRAFICA!$B$1:$G$306,2,FALSE)</f>
        <v>D'ANDREA</v>
      </c>
      <c r="C13" s="109" t="str">
        <f>VLOOKUP($A13,ANAGRAFICA!$B$1:$G$306,3,FALSE)</f>
        <v>FERNANDO ANTONIO</v>
      </c>
      <c r="D13" s="109" t="str">
        <f>VLOOKUP($A13,ANAGRAFICA!$B$1:$G$306,4,FALSE)</f>
        <v>758-5</v>
      </c>
      <c r="E13" s="109">
        <f>VLOOKUP($A13,ANAGRAFICA!$B$1:$G$306,5,FALSE)</f>
        <v>3272024071</v>
      </c>
      <c r="F13" s="109">
        <f>VLOOKUP($A13,ANAGRAFICA!$B$1:$G$306,6,FALSE)</f>
        <v>2024</v>
      </c>
      <c r="G13" s="11">
        <v>1.0</v>
      </c>
      <c r="H13" s="14" t="s">
        <v>552</v>
      </c>
      <c r="I13" s="16"/>
      <c r="J13" s="16"/>
      <c r="K13" s="16"/>
      <c r="L13" s="16"/>
      <c r="M13" s="14" t="s">
        <v>1346</v>
      </c>
      <c r="N13" s="16"/>
      <c r="O13" s="16"/>
      <c r="P13" s="16"/>
      <c r="Q13" s="16"/>
      <c r="R13" s="16"/>
    </row>
    <row r="14">
      <c r="A14" s="57">
        <v>2.1240107E9</v>
      </c>
      <c r="B14" s="109" t="str">
        <f>VLOOKUP($A14,ANAGRAFICA!$B$1:$G$306,2,FALSE)</f>
        <v>ORNAGHI</v>
      </c>
      <c r="C14" s="109" t="str">
        <f>VLOOKUP($A14,ANAGRAFICA!$B$1:$G$306,3,FALSE)</f>
        <v>LORENZO</v>
      </c>
      <c r="D14" s="109" t="str">
        <f>VLOOKUP($A14,ANAGRAFICA!$B$1:$G$306,4,FALSE)</f>
        <v>758-2</v>
      </c>
      <c r="E14" s="109">
        <f>VLOOKUP($A14,ANAGRAFICA!$B$1:$G$306,5,FALSE)</f>
        <v>3272024068</v>
      </c>
      <c r="F14" s="109">
        <f>VLOOKUP($A14,ANAGRAFICA!$B$1:$G$306,6,FALSE)</f>
        <v>2024</v>
      </c>
      <c r="G14" s="11">
        <v>1.0</v>
      </c>
      <c r="H14" s="14" t="s">
        <v>552</v>
      </c>
      <c r="I14" s="16"/>
      <c r="J14" s="16"/>
      <c r="K14" s="16"/>
      <c r="L14" s="14"/>
      <c r="M14" s="16"/>
      <c r="N14" s="16"/>
      <c r="O14" s="16"/>
      <c r="P14" s="16"/>
      <c r="Q14" s="16"/>
      <c r="R14" s="16"/>
    </row>
    <row r="15">
      <c r="A15" s="57">
        <v>2.124009735E9</v>
      </c>
      <c r="B15" s="109" t="str">
        <f>VLOOKUP($A15,ANAGRAFICA!$B$1:$G$306,2,FALSE)</f>
        <v>BOSSI</v>
      </c>
      <c r="C15" s="109" t="str">
        <f>VLOOKUP($A15,ANAGRAFICA!$B$1:$G$306,3,FALSE)</f>
        <v>LUDOVICO</v>
      </c>
      <c r="D15" s="109" t="str">
        <f>VLOOKUP($A15,ANAGRAFICA!$B$1:$G$306,4,FALSE)</f>
        <v>758-1</v>
      </c>
      <c r="E15" s="109">
        <f>VLOOKUP($A15,ANAGRAFICA!$B$1:$G$306,5,FALSE)</f>
        <v>3272024067</v>
      </c>
      <c r="F15" s="109">
        <f>VLOOKUP($A15,ANAGRAFICA!$B$1:$G$306,6,FALSE)</f>
        <v>2024</v>
      </c>
      <c r="G15" s="11">
        <v>1.0</v>
      </c>
      <c r="H15" s="14" t="s">
        <v>552</v>
      </c>
      <c r="I15" s="16"/>
      <c r="J15" s="16"/>
      <c r="K15" s="16"/>
      <c r="L15" s="16"/>
      <c r="M15" s="16"/>
      <c r="N15" s="16"/>
      <c r="O15" s="16"/>
      <c r="P15" s="16"/>
      <c r="Q15" s="14" t="s">
        <v>1348</v>
      </c>
      <c r="R15" s="16"/>
    </row>
    <row r="16">
      <c r="A16" s="57">
        <v>2.124011236E9</v>
      </c>
      <c r="B16" s="109" t="str">
        <f>VLOOKUP($A16,ANAGRAFICA!$B$1:$G$306,2,FALSE)</f>
        <v>BERETTA</v>
      </c>
      <c r="C16" s="109" t="str">
        <f>VLOOKUP($A16,ANAGRAFICA!$B$1:$G$306,3,FALSE)</f>
        <v>ENZO LUCIANO</v>
      </c>
      <c r="D16" s="109" t="str">
        <f>VLOOKUP($A16,ANAGRAFICA!$B$1:$G$306,4,FALSE)</f>
        <v>758-3</v>
      </c>
      <c r="E16" s="109">
        <f>VLOOKUP($A16,ANAGRAFICA!$B$1:$G$306,5,FALSE)</f>
        <v>3272024069</v>
      </c>
      <c r="F16" s="109">
        <f>VLOOKUP($A16,ANAGRAFICA!$B$1:$G$306,6,FALSE)</f>
        <v>2024</v>
      </c>
      <c r="G16" s="11">
        <v>1.0</v>
      </c>
      <c r="H16" s="14" t="s">
        <v>1352</v>
      </c>
      <c r="I16" s="14" t="s">
        <v>1343</v>
      </c>
      <c r="J16" s="16"/>
      <c r="K16" s="16"/>
      <c r="L16" s="16"/>
      <c r="M16" s="16"/>
      <c r="N16" s="16"/>
      <c r="O16" s="16"/>
      <c r="P16" s="16"/>
      <c r="Q16" s="16"/>
      <c r="R16" s="16"/>
    </row>
    <row r="17">
      <c r="A17" s="57">
        <v>2.124206072E9</v>
      </c>
      <c r="B17" s="109" t="str">
        <f>VLOOKUP($A17,ANAGRAFICA!$B$1:$G$306,2,FALSE)</f>
        <v>CONSONNI</v>
      </c>
      <c r="C17" s="109" t="str">
        <f>VLOOKUP($A17,ANAGRAFICA!$B$1:$G$306,3,FALSE)</f>
        <v>GIULIO</v>
      </c>
      <c r="D17" s="109" t="str">
        <f>VLOOKUP($A17,ANAGRAFICA!$B$1:$G$306,4,FALSE)</f>
        <v/>
      </c>
      <c r="E17" s="109">
        <f>VLOOKUP($A17,ANAGRAFICA!$B$1:$G$306,5,FALSE)</f>
        <v>3272024064</v>
      </c>
      <c r="F17" s="109">
        <f>VLOOKUP($A17,ANAGRAFICA!$B$1:$G$306,6,FALSE)</f>
        <v>2024</v>
      </c>
      <c r="G17" s="11">
        <v>1.0</v>
      </c>
      <c r="H17" s="14" t="s">
        <v>1352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>
      <c r="A18" s="57">
        <v>2.124007138E9</v>
      </c>
      <c r="B18" s="109" t="str">
        <f>VLOOKUP($A18,ANAGRAFICA!$B$1:$G$306,2,FALSE)</f>
        <v>TARTARELLI</v>
      </c>
      <c r="C18" s="109" t="str">
        <f>VLOOKUP($A18,ANAGRAFICA!$B$1:$G$306,3,FALSE)</f>
        <v>GIUSEPPE</v>
      </c>
      <c r="D18" s="109" t="str">
        <f>VLOOKUP($A18,ANAGRAFICA!$B$1:$G$306,4,FALSE)</f>
        <v/>
      </c>
      <c r="E18" s="109">
        <f>VLOOKUP($A18,ANAGRAFICA!$B$1:$G$306,5,FALSE)</f>
        <v>3272024063</v>
      </c>
      <c r="F18" s="109">
        <f>VLOOKUP($A18,ANAGRAFICA!$B$1:$G$306,6,FALSE)</f>
        <v>2024</v>
      </c>
      <c r="G18" s="11">
        <v>1.0</v>
      </c>
      <c r="H18" s="14" t="s">
        <v>552</v>
      </c>
      <c r="I18" s="16"/>
      <c r="J18" s="16"/>
      <c r="K18" s="16"/>
      <c r="L18" s="16"/>
      <c r="M18" s="14" t="s">
        <v>1346</v>
      </c>
      <c r="N18" s="16"/>
      <c r="O18" s="16"/>
      <c r="P18" s="16"/>
      <c r="Q18" s="16"/>
      <c r="R18" s="16"/>
    </row>
    <row r="19">
      <c r="A19" s="57">
        <v>2.124015827E9</v>
      </c>
      <c r="B19" s="109" t="str">
        <f>VLOOKUP($A19,ANAGRAFICA!$B$1:$G$306,2,FALSE)</f>
        <v>SCHIAVON</v>
      </c>
      <c r="C19" s="109" t="str">
        <f>VLOOKUP($A19,ANAGRAFICA!$B$1:$G$306,3,FALSE)</f>
        <v>ELIO PAOLO</v>
      </c>
      <c r="D19" s="109" t="str">
        <f>VLOOKUP($A19,ANAGRAFICA!$B$1:$G$306,4,FALSE)</f>
        <v>758-11</v>
      </c>
      <c r="E19" s="109">
        <f>VLOOKUP($A19,ANAGRAFICA!$B$1:$G$306,5,FALSE)</f>
        <v>3272024077</v>
      </c>
      <c r="F19" s="109">
        <f>VLOOKUP($A19,ANAGRAFICA!$B$1:$G$306,6,FALSE)</f>
        <v>2024</v>
      </c>
      <c r="G19" s="11">
        <v>1.0</v>
      </c>
      <c r="H19" s="14" t="s">
        <v>552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>
      <c r="A20" s="57">
        <v>2.12400578E9</v>
      </c>
      <c r="B20" s="109" t="str">
        <f>VLOOKUP($A20,ANAGRAFICA!$B$1:$G$306,2,FALSE)</f>
        <v>SAINCIUC</v>
      </c>
      <c r="C20" s="109" t="str">
        <f>VLOOKUP($A20,ANAGRAFICA!$B$1:$G$306,3,FALSE)</f>
        <v>AUREL</v>
      </c>
      <c r="D20" s="109" t="str">
        <f>VLOOKUP($A20,ANAGRAFICA!$B$1:$G$306,4,FALSE)</f>
        <v/>
      </c>
      <c r="E20" s="109">
        <f>VLOOKUP($A20,ANAGRAFICA!$B$1:$G$306,5,FALSE)</f>
        <v>3272024061</v>
      </c>
      <c r="F20" s="109">
        <f>VLOOKUP($A20,ANAGRAFICA!$B$1:$G$306,6,FALSE)</f>
        <v>2024</v>
      </c>
      <c r="G20" s="11">
        <v>1.0</v>
      </c>
      <c r="H20" s="14" t="s">
        <v>552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>
      <c r="A21" s="57">
        <v>2.124004761E9</v>
      </c>
      <c r="B21" s="109" t="str">
        <f>VLOOKUP($A21,ANAGRAFICA!$B$1:$G$306,2,FALSE)</f>
        <v>TRAMPOLIN</v>
      </c>
      <c r="C21" s="109" t="str">
        <f>VLOOKUP($A21,ANAGRAFICA!$B$1:$G$306,3,FALSE)</f>
        <v>FABIO</v>
      </c>
      <c r="D21" s="109" t="str">
        <f>VLOOKUP($A21,ANAGRAFICA!$B$1:$G$306,4,FALSE)</f>
        <v/>
      </c>
      <c r="E21" s="109">
        <f>VLOOKUP($A21,ANAGRAFICA!$B$1:$G$306,5,FALSE)</f>
        <v>3272024060</v>
      </c>
      <c r="F21" s="109">
        <f>VLOOKUP($A21,ANAGRAFICA!$B$1:$G$306,6,FALSE)</f>
        <v>2024</v>
      </c>
      <c r="G21" s="11">
        <v>1.0</v>
      </c>
      <c r="H21" s="14" t="s">
        <v>552</v>
      </c>
      <c r="I21" s="14" t="s">
        <v>1349</v>
      </c>
      <c r="J21" s="16"/>
      <c r="K21" s="16"/>
      <c r="L21" s="16"/>
      <c r="M21" s="14" t="s">
        <v>1350</v>
      </c>
      <c r="N21" s="16"/>
      <c r="O21" s="16"/>
      <c r="P21" s="16"/>
      <c r="Q21" s="16"/>
      <c r="R21" s="16"/>
    </row>
    <row r="22">
      <c r="A22" s="57">
        <v>2.124003924E9</v>
      </c>
      <c r="B22" s="109" t="str">
        <f>VLOOKUP($A22,ANAGRAFICA!$B$1:$G$306,2,FALSE)</f>
        <v>MUHAMMAD</v>
      </c>
      <c r="C22" s="109" t="str">
        <f>VLOOKUP($A22,ANAGRAFICA!$B$1:$G$306,3,FALSE)</f>
        <v>SHARIF</v>
      </c>
      <c r="D22" s="109" t="str">
        <f>VLOOKUP($A22,ANAGRAFICA!$B$1:$G$306,4,FALSE)</f>
        <v/>
      </c>
      <c r="E22" s="109">
        <f>VLOOKUP($A22,ANAGRAFICA!$B$1:$G$306,5,FALSE)</f>
        <v>3272024059</v>
      </c>
      <c r="F22" s="109">
        <f>VLOOKUP($A22,ANAGRAFICA!$B$1:$G$306,6,FALSE)</f>
        <v>2024</v>
      </c>
      <c r="G22" s="11">
        <v>1.0</v>
      </c>
      <c r="H22" s="14" t="s">
        <v>552</v>
      </c>
      <c r="I22" s="16"/>
      <c r="J22" s="16"/>
      <c r="K22" s="16"/>
      <c r="L22" s="16"/>
      <c r="M22" s="14" t="s">
        <v>1350</v>
      </c>
      <c r="N22" s="16"/>
      <c r="O22" s="16"/>
      <c r="P22" s="16"/>
      <c r="Q22" s="16"/>
      <c r="R22" s="16"/>
    </row>
    <row r="23">
      <c r="A23" s="57">
        <v>2.124206072E9</v>
      </c>
      <c r="B23" s="109" t="str">
        <f>VLOOKUP($A23,ANAGRAFICA!$B$1:$G$306,2,FALSE)</f>
        <v>CONSONNI</v>
      </c>
      <c r="C23" s="109" t="str">
        <f>VLOOKUP($A23,ANAGRAFICA!$B$1:$G$306,3,FALSE)</f>
        <v>GIULIO</v>
      </c>
      <c r="D23" s="109" t="str">
        <f>VLOOKUP($A23,ANAGRAFICA!$B$1:$G$306,4,FALSE)</f>
        <v/>
      </c>
      <c r="E23" s="109">
        <f>VLOOKUP($A23,ANAGRAFICA!$B$1:$G$306,5,FALSE)</f>
        <v>3272024064</v>
      </c>
      <c r="F23" s="109">
        <f>VLOOKUP($A23,ANAGRAFICA!$B$1:$G$306,6,FALSE)</f>
        <v>2024</v>
      </c>
      <c r="G23" s="11">
        <v>2.0</v>
      </c>
      <c r="H23" s="14" t="s">
        <v>552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>
      <c r="A24" s="57">
        <v>2.124023603E9</v>
      </c>
      <c r="B24" s="109" t="str">
        <f>VLOOKUP($A24,ANAGRAFICA!$B$1:$G$306,2,FALSE)</f>
        <v>MAZZARDIS </v>
      </c>
      <c r="C24" s="109" t="str">
        <f>VLOOKUP($A24,ANAGRAFICA!$B$1:$G$306,3,FALSE)</f>
        <v>DAVIDE</v>
      </c>
      <c r="D24" s="109" t="str">
        <f>VLOOKUP($A24,ANAGRAFICA!$B$1:$G$306,4,FALSE)</f>
        <v>758-19</v>
      </c>
      <c r="E24" s="109">
        <f>VLOOKUP($A24,ANAGRAFICA!$B$1:$G$306,5,FALSE)</f>
        <v>3272024085</v>
      </c>
      <c r="F24" s="109">
        <f>VLOOKUP($A24,ANAGRAFICA!$B$1:$G$306,6,FALSE)</f>
        <v>2024</v>
      </c>
      <c r="G24" s="11">
        <v>1.0</v>
      </c>
      <c r="H24" s="14" t="s">
        <v>552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</row>
    <row r="25">
      <c r="A25" s="57">
        <v>2.124206072E9</v>
      </c>
      <c r="B25" s="109" t="str">
        <f>VLOOKUP($A25,ANAGRAFICA!$B$1:$G$306,2,FALSE)</f>
        <v>CONSONNI</v>
      </c>
      <c r="C25" s="109" t="str">
        <f>VLOOKUP($A25,ANAGRAFICA!$B$1:$G$306,3,FALSE)</f>
        <v>GIULIO</v>
      </c>
      <c r="D25" s="109" t="str">
        <f>VLOOKUP($A25,ANAGRAFICA!$B$1:$G$306,4,FALSE)</f>
        <v/>
      </c>
      <c r="E25" s="109">
        <f>VLOOKUP($A25,ANAGRAFICA!$B$1:$G$306,5,FALSE)</f>
        <v>3272024064</v>
      </c>
      <c r="F25" s="109">
        <f>VLOOKUP($A25,ANAGRAFICA!$B$1:$G$306,6,FALSE)</f>
        <v>2024</v>
      </c>
      <c r="G25" s="11">
        <v>1.0</v>
      </c>
      <c r="H25" s="14" t="s">
        <v>1352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>
      <c r="A26" s="57">
        <v>2.124025195E9</v>
      </c>
      <c r="B26" s="109" t="str">
        <f>VLOOKUP($A26,ANAGRAFICA!$B$1:$G$306,2,FALSE)</f>
        <v>FAZIO</v>
      </c>
      <c r="C26" s="109" t="str">
        <f>VLOOKUP($A26,ANAGRAFICA!$B$1:$G$306,3,FALSE)</f>
        <v>FRANCESCO ANTONIO</v>
      </c>
      <c r="D26" s="109" t="str">
        <f>VLOOKUP($A26,ANAGRAFICA!$B$1:$G$306,4,FALSE)</f>
        <v>758-21</v>
      </c>
      <c r="E26" s="109">
        <f>VLOOKUP($A26,ANAGRAFICA!$B$1:$G$306,5,FALSE)</f>
        <v>3272024087</v>
      </c>
      <c r="F26" s="109">
        <f>VLOOKUP($A26,ANAGRAFICA!$B$1:$G$306,6,FALSE)</f>
        <v>2024</v>
      </c>
      <c r="G26" s="11">
        <v>1.0</v>
      </c>
      <c r="H26" s="14" t="s">
        <v>552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</row>
    <row r="27">
      <c r="A27" s="57">
        <v>2.125000348E9</v>
      </c>
      <c r="B27" s="109" t="str">
        <f>VLOOKUP($A27,ANAGRAFICA!$B$1:$G$306,2,FALSE)</f>
        <v>SLAVKOVA</v>
      </c>
      <c r="C27" s="109" t="str">
        <f>VLOOKUP($A27,ANAGRAFICA!$B$1:$G$306,3,FALSE)</f>
        <v>EVELINA PLAMENOVA</v>
      </c>
      <c r="D27" s="109" t="str">
        <f>VLOOKUP($A27,ANAGRAFICA!$B$1:$G$306,4,FALSE)</f>
        <v/>
      </c>
      <c r="E27" s="109">
        <f>VLOOKUP($A27,ANAGRAFICA!$B$1:$G$306,5,FALSE)</f>
        <v>3272025051</v>
      </c>
      <c r="F27" s="109">
        <f>VLOOKUP($A27,ANAGRAFICA!$B$1:$G$306,6,FALSE)</f>
        <v>2025</v>
      </c>
      <c r="G27" s="11">
        <v>1.0</v>
      </c>
      <c r="H27" s="14" t="s">
        <v>1352</v>
      </c>
      <c r="I27" s="14" t="s">
        <v>1353</v>
      </c>
      <c r="J27" s="16"/>
      <c r="K27" s="16"/>
      <c r="L27" s="16"/>
      <c r="M27" s="14"/>
      <c r="N27" s="16"/>
      <c r="O27" s="16"/>
      <c r="P27" s="16"/>
      <c r="Q27" s="16"/>
      <c r="R27" s="16"/>
    </row>
    <row r="28">
      <c r="A28" s="57">
        <v>2.124025878E9</v>
      </c>
      <c r="B28" s="109" t="str">
        <f>VLOOKUP($A28,ANAGRAFICA!$B$1:$G$306,2,FALSE)</f>
        <v>PEDRONI </v>
      </c>
      <c r="C28" s="109" t="str">
        <f>VLOOKUP($A28,ANAGRAFICA!$B$1:$G$306,3,FALSE)</f>
        <v>PIERANGELO</v>
      </c>
      <c r="D28" s="109" t="str">
        <f>VLOOKUP($A28,ANAGRAFICA!$B$1:$G$306,4,FALSE)</f>
        <v>758-22</v>
      </c>
      <c r="E28" s="109">
        <f>VLOOKUP($A28,ANAGRAFICA!$B$1:$G$306,5,FALSE)</f>
        <v>3272024088</v>
      </c>
      <c r="F28" s="109">
        <f>VLOOKUP($A28,ANAGRAFICA!$B$1:$G$306,6,FALSE)</f>
        <v>2024</v>
      </c>
      <c r="G28" s="11">
        <v>1.0</v>
      </c>
      <c r="H28" s="14" t="s">
        <v>552</v>
      </c>
      <c r="I28" s="14" t="s">
        <v>1349</v>
      </c>
      <c r="J28" s="16"/>
      <c r="K28" s="16"/>
      <c r="L28" s="16"/>
      <c r="M28" s="14"/>
      <c r="N28" s="16"/>
      <c r="O28" s="16"/>
      <c r="P28" s="16"/>
      <c r="Q28" s="16"/>
      <c r="R28" s="16"/>
    </row>
    <row r="29">
      <c r="A29" s="57">
        <v>2.125004454E9</v>
      </c>
      <c r="B29" s="109" t="str">
        <f>VLOOKUP($A29,ANAGRAFICA!$B$1:$G$306,2,FALSE)</f>
        <v>ANTIGNANO</v>
      </c>
      <c r="C29" s="109" t="str">
        <f>VLOOKUP($A29,ANAGRAFICA!$B$1:$G$306,3,FALSE)</f>
        <v>MAURO</v>
      </c>
      <c r="D29" s="109" t="str">
        <f>VLOOKUP($A29,ANAGRAFICA!$B$1:$G$306,4,FALSE)</f>
        <v>758-23</v>
      </c>
      <c r="E29" s="109">
        <f>VLOOKUP($A29,ANAGRAFICA!$B$1:$G$306,5,FALSE)</f>
        <v>3272025052</v>
      </c>
      <c r="F29" s="109">
        <f>VLOOKUP($A29,ANAGRAFICA!$B$1:$G$306,6,FALSE)</f>
        <v>2025</v>
      </c>
      <c r="G29" s="11">
        <v>1.0</v>
      </c>
      <c r="H29" s="14" t="s">
        <v>1307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>
      <c r="A30" s="57">
        <v>2.125004867E9</v>
      </c>
      <c r="B30" s="109" t="str">
        <f>VLOOKUP($A30,ANAGRAFICA!$B$1:$G$306,2,FALSE)</f>
        <v>MARCONI</v>
      </c>
      <c r="C30" s="109" t="str">
        <f>VLOOKUP($A30,ANAGRAFICA!$B$1:$G$306,3,FALSE)</f>
        <v>PIETRO VITTORIO</v>
      </c>
      <c r="D30" s="109" t="str">
        <f>VLOOKUP($A30,ANAGRAFICA!$B$1:$G$306,4,FALSE)</f>
        <v/>
      </c>
      <c r="E30" s="154" t="s">
        <v>691</v>
      </c>
      <c r="F30" s="109">
        <f>VLOOKUP($A30,ANAGRAFICA!$B$1:$G$306,6,FALSE)</f>
        <v>2025</v>
      </c>
      <c r="G30" s="11">
        <v>1.0</v>
      </c>
      <c r="H30" s="14" t="s">
        <v>552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</row>
    <row r="31">
      <c r="A31" s="57">
        <v>2.025010247E9</v>
      </c>
      <c r="B31" s="109" t="str">
        <f>VLOOKUP($A31,ANAGRAFICA!$B$1:$G$306,2,FALSE)</f>
        <v>TREMOLADA</v>
      </c>
      <c r="C31" s="109" t="str">
        <f>VLOOKUP($A31,ANAGRAFICA!$B$1:$G$306,3,FALSE)</f>
        <v>MARCO</v>
      </c>
      <c r="D31" s="109" t="str">
        <f>VLOOKUP($A31,ANAGRAFICA!$B$1:$G$306,4,FALSE)</f>
        <v>758-25</v>
      </c>
      <c r="E31" s="109">
        <f>VLOOKUP($A31,ANAGRAFICA!$B$1:$G$306,5,FALSE)</f>
        <v>3272025054</v>
      </c>
      <c r="F31" s="109">
        <f>VLOOKUP($A31,ANAGRAFICA!$B$1:$G$306,6,FALSE)</f>
        <v>2025</v>
      </c>
      <c r="G31" s="11">
        <v>1.0</v>
      </c>
      <c r="H31" s="14" t="s">
        <v>552</v>
      </c>
      <c r="I31" s="16"/>
      <c r="J31" s="16"/>
      <c r="K31" s="16"/>
      <c r="L31" s="16"/>
      <c r="M31" s="16"/>
      <c r="N31" s="16"/>
      <c r="O31" s="16"/>
      <c r="P31" s="16"/>
      <c r="Q31" s="14" t="s">
        <v>1348</v>
      </c>
      <c r="R31" s="16"/>
    </row>
    <row r="32">
      <c r="A32" s="57">
        <v>2.025010247E9</v>
      </c>
      <c r="B32" s="109" t="str">
        <f>VLOOKUP($A32,ANAGRAFICA!$B$1:$G$306,2,FALSE)</f>
        <v>TREMOLADA</v>
      </c>
      <c r="C32" s="109" t="str">
        <f>VLOOKUP($A32,ANAGRAFICA!$B$1:$G$306,3,FALSE)</f>
        <v>MARCO</v>
      </c>
      <c r="D32" s="109" t="str">
        <f>VLOOKUP($A32,ANAGRAFICA!$B$1:$G$306,4,FALSE)</f>
        <v>758-25</v>
      </c>
      <c r="E32" s="109">
        <f>VLOOKUP($A32,ANAGRAFICA!$B$1:$G$306,5,FALSE)</f>
        <v>3272025054</v>
      </c>
      <c r="F32" s="109">
        <f>VLOOKUP($A32,ANAGRAFICA!$B$1:$G$306,6,FALSE)</f>
        <v>2025</v>
      </c>
      <c r="G32" s="11">
        <v>2.0</v>
      </c>
      <c r="H32" s="14" t="s">
        <v>552</v>
      </c>
      <c r="I32" s="14" t="s">
        <v>1349</v>
      </c>
      <c r="J32" s="16"/>
      <c r="K32" s="16"/>
      <c r="L32" s="16"/>
      <c r="M32" s="16"/>
      <c r="N32" s="16"/>
      <c r="O32" s="16"/>
      <c r="P32" s="16"/>
      <c r="Q32" s="14" t="s">
        <v>1348</v>
      </c>
      <c r="R32" s="16"/>
    </row>
    <row r="33">
      <c r="A33" s="57">
        <v>2.125020858E9</v>
      </c>
      <c r="B33" s="109" t="str">
        <f>VLOOKUP($A33,ANAGRAFICA!$B$1:$G$306,2,FALSE)</f>
        <v>FALVO</v>
      </c>
      <c r="C33" s="109" t="str">
        <f>VLOOKUP($A33,ANAGRAFICA!$B$1:$G$306,3,FALSE)</f>
        <v>FRANCESCO</v>
      </c>
      <c r="D33" s="109" t="str">
        <f>VLOOKUP($A33,ANAGRAFICA!$B$1:$G$306,4,FALSE)</f>
        <v/>
      </c>
      <c r="E33" s="109">
        <f>VLOOKUP($A33,ANAGRAFICA!$B$1:$G$306,5,FALSE)</f>
        <v>3272025055</v>
      </c>
      <c r="F33" s="109">
        <f>VLOOKUP($A33,ANAGRAFICA!$B$1:$G$306,6,FALSE)</f>
        <v>2025</v>
      </c>
      <c r="G33" s="11">
        <v>1.0</v>
      </c>
      <c r="H33" s="14" t="s">
        <v>552</v>
      </c>
      <c r="I33" s="14" t="s">
        <v>1349</v>
      </c>
      <c r="J33" s="14"/>
      <c r="K33" s="16"/>
      <c r="L33" s="16"/>
      <c r="M33" s="16"/>
      <c r="N33" s="14"/>
      <c r="O33" s="16"/>
      <c r="P33" s="16"/>
      <c r="Q33" s="16"/>
      <c r="R33" s="16"/>
    </row>
    <row r="34">
      <c r="A34" s="57">
        <v>2.125023093E9</v>
      </c>
      <c r="B34" s="109" t="str">
        <f>VLOOKUP($A34,ANAGRAFICA!$B$1:$G$306,2,FALSE)</f>
        <v>GHEZZI</v>
      </c>
      <c r="C34" s="109" t="str">
        <f>VLOOKUP($A34,ANAGRAFICA!$B$1:$G$306,3,FALSE)</f>
        <v>FABIO</v>
      </c>
      <c r="D34" s="109" t="str">
        <f>VLOOKUP($A34,ANAGRAFICA!$B$1:$G$306,4,FALSE)</f>
        <v>758-28</v>
      </c>
      <c r="E34" s="109">
        <f>VLOOKUP($A34,ANAGRAFICA!$B$1:$G$306,5,FALSE)</f>
        <v>3272025056</v>
      </c>
      <c r="F34" s="109">
        <f>VLOOKUP($A34,ANAGRAFICA!$B$1:$G$306,6,FALSE)</f>
        <v>2025</v>
      </c>
      <c r="G34" s="11">
        <v>1.0</v>
      </c>
      <c r="H34" s="14" t="s">
        <v>552</v>
      </c>
      <c r="I34" s="14" t="s">
        <v>1354</v>
      </c>
      <c r="J34" s="16"/>
      <c r="K34" s="16"/>
      <c r="L34" s="16"/>
      <c r="M34" s="16"/>
      <c r="N34" s="16"/>
      <c r="O34" s="16"/>
      <c r="P34" s="16"/>
      <c r="Q34" s="16"/>
      <c r="R34" s="16"/>
    </row>
    <row r="35">
      <c r="A35" s="57">
        <v>2.125024608E9</v>
      </c>
      <c r="B35" s="109" t="str">
        <f>VLOOKUP($A35,ANAGRAFICA!$B$1:$G$306,2,FALSE)</f>
        <v>ZAPPIA</v>
      </c>
      <c r="C35" s="109" t="str">
        <f>VLOOKUP($A35,ANAGRAFICA!$B$1:$G$306,3,FALSE)</f>
        <v>LEONARDO</v>
      </c>
      <c r="D35" s="109" t="str">
        <f>VLOOKUP($A35,ANAGRAFICA!$B$1:$G$306,4,FALSE)</f>
        <v>758-29</v>
      </c>
      <c r="E35" s="109">
        <f>VLOOKUP($A35,ANAGRAFICA!$B$1:$G$306,5,FALSE)</f>
        <v>3272025057</v>
      </c>
      <c r="F35" s="109">
        <f>VLOOKUP($A35,ANAGRAFICA!$B$1:$G$306,6,FALSE)</f>
        <v>2025</v>
      </c>
      <c r="G35" s="11">
        <v>1.0</v>
      </c>
      <c r="H35" s="14" t="s">
        <v>552</v>
      </c>
      <c r="I35" s="14" t="s">
        <v>1349</v>
      </c>
      <c r="J35" s="16"/>
      <c r="K35" s="16"/>
      <c r="L35" s="16"/>
      <c r="M35" s="14" t="s">
        <v>1350</v>
      </c>
      <c r="N35" s="14" t="s">
        <v>1355</v>
      </c>
      <c r="O35" s="16"/>
      <c r="P35" s="16"/>
      <c r="Q35" s="16"/>
      <c r="R35" s="16"/>
    </row>
    <row r="36">
      <c r="A36" s="57">
        <v>2.125025861E9</v>
      </c>
      <c r="B36" s="109" t="str">
        <f>VLOOKUP($A36,ANAGRAFICA!$B$1:$G$306,2,FALSE)</f>
        <v>CASSANI</v>
      </c>
      <c r="C36" s="109" t="str">
        <f>VLOOKUP($A36,ANAGRAFICA!$B$1:$G$306,3,FALSE)</f>
        <v>DAVIDE VIRGILIO</v>
      </c>
      <c r="D36" s="109" t="str">
        <f>VLOOKUP($A36,ANAGRAFICA!$B$1:$G$306,4,FALSE)</f>
        <v>758-31</v>
      </c>
      <c r="E36" s="109">
        <f>VLOOKUP($A36,ANAGRAFICA!$B$1:$G$306,5,FALSE)</f>
        <v>3272025058</v>
      </c>
      <c r="F36" s="109">
        <f>VLOOKUP($A36,ANAGRAFICA!$B$1:$G$306,6,FALSE)</f>
        <v>2025</v>
      </c>
      <c r="G36" s="11">
        <v>1.0</v>
      </c>
      <c r="H36" s="14" t="s">
        <v>552</v>
      </c>
      <c r="I36" s="14" t="s">
        <v>1349</v>
      </c>
      <c r="J36" s="16"/>
      <c r="K36" s="16"/>
      <c r="L36" s="16"/>
      <c r="M36" s="14" t="s">
        <v>1346</v>
      </c>
      <c r="N36" s="16"/>
      <c r="O36" s="16"/>
      <c r="P36" s="16"/>
      <c r="Q36" s="16"/>
      <c r="R36" s="16"/>
    </row>
    <row r="37">
      <c r="A37" s="57">
        <v>2.125026559E9</v>
      </c>
      <c r="B37" s="109" t="str">
        <f>VLOOKUP($A37,ANAGRAFICA!$B$1:$G$306,2,FALSE)</f>
        <v>VEDUTI</v>
      </c>
      <c r="C37" s="109" t="str">
        <f>VLOOKUP($A37,ANAGRAFICA!$B$1:$G$306,3,FALSE)</f>
        <v>LORENZO</v>
      </c>
      <c r="D37" s="109" t="str">
        <f>VLOOKUP($A37,ANAGRAFICA!$B$1:$G$306,4,FALSE)</f>
        <v>758-32</v>
      </c>
      <c r="E37" s="109">
        <f>VLOOKUP($A37,ANAGRAFICA!$B$1:$G$306,5,FALSE)</f>
        <v>3272025059</v>
      </c>
      <c r="F37" s="109">
        <f>VLOOKUP($A37,ANAGRAFICA!$B$1:$G$306,6,FALSE)</f>
        <v>2025</v>
      </c>
      <c r="G37" s="6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</row>
    <row r="38">
      <c r="A38" s="57">
        <v>2.125027331E9</v>
      </c>
      <c r="B38" s="109" t="str">
        <f>VLOOKUP($A38,ANAGRAFICA!$B$1:$G$306,2,FALSE)</f>
        <v>QUARIN</v>
      </c>
      <c r="C38" s="109" t="str">
        <f>VLOOKUP($A38,ANAGRAFICA!$B$1:$G$306,3,FALSE)</f>
        <v>FRANCO</v>
      </c>
      <c r="D38" s="109" t="str">
        <f>VLOOKUP($A38,ANAGRAFICA!$B$1:$G$306,4,FALSE)</f>
        <v>758-34</v>
      </c>
      <c r="E38" s="109" t="str">
        <f>VLOOKUP($A38,ANAGRAFICA!$B$1:$G$306,5,FALSE)</f>
        <v/>
      </c>
      <c r="F38" s="109">
        <f>VLOOKUP($A38,ANAGRAFICA!$B$1:$G$306,6,FALSE)</f>
        <v>2025</v>
      </c>
      <c r="G38" s="11">
        <v>1.0</v>
      </c>
      <c r="H38" s="14" t="s">
        <v>1307</v>
      </c>
      <c r="I38" s="14" t="s">
        <v>1354</v>
      </c>
      <c r="J38" s="16"/>
      <c r="K38" s="16"/>
      <c r="L38" s="16"/>
      <c r="M38" s="16"/>
      <c r="N38" s="16"/>
      <c r="O38" s="16"/>
      <c r="P38" s="16"/>
      <c r="Q38" s="16"/>
      <c r="R38" s="16"/>
    </row>
    <row r="39">
      <c r="A39" s="57">
        <v>2.125029623E9</v>
      </c>
      <c r="B39" s="109" t="str">
        <f>VLOOKUP($A39,ANAGRAFICA!$B$1:$G$306,2,FALSE)</f>
        <v>IANDIORIO</v>
      </c>
      <c r="C39" s="109" t="str">
        <f>VLOOKUP($A39,ANAGRAFICA!$B$1:$G$306,3,FALSE)</f>
        <v>ALDO NATALINO</v>
      </c>
      <c r="D39" s="109" t="str">
        <f>VLOOKUP($A39,ANAGRAFICA!$B$1:$G$306,4,FALSE)</f>
        <v>758-36</v>
      </c>
      <c r="E39" s="109">
        <f>VLOOKUP($A39,ANAGRAFICA!$B$1:$G$306,5,FALSE)</f>
        <v>3272025062</v>
      </c>
      <c r="F39" s="109">
        <f>VLOOKUP($A39,ANAGRAFICA!$B$1:$G$306,6,FALSE)</f>
        <v>2025</v>
      </c>
      <c r="G39" s="11">
        <v>1.0</v>
      </c>
      <c r="H39" s="14" t="s">
        <v>552</v>
      </c>
      <c r="I39" s="14" t="s">
        <v>1349</v>
      </c>
      <c r="J39" s="14" t="s">
        <v>1344</v>
      </c>
      <c r="K39" s="16"/>
      <c r="L39" s="16"/>
      <c r="M39" s="16"/>
      <c r="N39" s="16"/>
      <c r="O39" s="16"/>
      <c r="P39" s="16"/>
      <c r="Q39" s="16"/>
      <c r="R39" s="16"/>
    </row>
    <row r="40">
      <c r="A40" s="57">
        <v>2.125026384E9</v>
      </c>
      <c r="B40" s="109" t="str">
        <f>VLOOKUP($A40,ANAGRAFICA!$B$1:$G$306,2,FALSE)</f>
        <v>PRINCIPATO</v>
      </c>
      <c r="C40" s="109" t="str">
        <f>VLOOKUP($A40,ANAGRAFICA!$B$1:$G$306,3,FALSE)</f>
        <v>FRANCO ANGELO</v>
      </c>
      <c r="D40" s="109" t="str">
        <f>VLOOKUP($A40,ANAGRAFICA!$B$1:$G$306,4,FALSE)</f>
        <v>758-35</v>
      </c>
      <c r="E40" s="109">
        <f>VLOOKUP($A40,ANAGRAFICA!$B$1:$G$306,5,FALSE)</f>
        <v>3272025061</v>
      </c>
      <c r="F40" s="109">
        <f>VLOOKUP($A40,ANAGRAFICA!$B$1:$G$306,6,FALSE)</f>
        <v>2025</v>
      </c>
      <c r="G40" s="11">
        <v>1.0</v>
      </c>
      <c r="H40" s="14" t="s">
        <v>552</v>
      </c>
      <c r="I40" s="14" t="s">
        <v>1349</v>
      </c>
      <c r="J40" s="14" t="s">
        <v>1344</v>
      </c>
      <c r="K40" s="16"/>
      <c r="L40" s="16"/>
      <c r="M40" s="14" t="s">
        <v>1346</v>
      </c>
      <c r="N40" s="16"/>
      <c r="O40" s="16"/>
      <c r="P40" s="16"/>
      <c r="Q40" s="16"/>
      <c r="R40" s="16"/>
    </row>
    <row r="41">
      <c r="A41" s="57">
        <v>2.125026559E9</v>
      </c>
      <c r="B41" s="109" t="str">
        <f>VLOOKUP($A41,ANAGRAFICA!$B$1:$G$306,2,FALSE)</f>
        <v>VEDUTI</v>
      </c>
      <c r="C41" s="109" t="str">
        <f>VLOOKUP($A41,ANAGRAFICA!$B$1:$G$306,3,FALSE)</f>
        <v>LORENZO</v>
      </c>
      <c r="D41" s="109" t="str">
        <f>VLOOKUP($A41,ANAGRAFICA!$B$1:$G$306,4,FALSE)</f>
        <v>758-32</v>
      </c>
      <c r="E41" s="109">
        <f>VLOOKUP($A41,ANAGRAFICA!$B$1:$G$306,5,FALSE)</f>
        <v>3272025059</v>
      </c>
      <c r="F41" s="109">
        <f>VLOOKUP($A41,ANAGRAFICA!$B$1:$G$306,6,FALSE)</f>
        <v>2025</v>
      </c>
      <c r="G41" s="11">
        <v>1.0</v>
      </c>
      <c r="H41" s="14" t="s">
        <v>1307</v>
      </c>
      <c r="I41" s="16"/>
      <c r="J41" s="14"/>
      <c r="K41" s="16"/>
      <c r="L41" s="16"/>
      <c r="M41" s="16"/>
      <c r="N41" s="16"/>
      <c r="O41" s="16"/>
      <c r="P41" s="16"/>
      <c r="Q41" s="16"/>
      <c r="R41" s="16"/>
    </row>
    <row r="42">
      <c r="A42" s="57">
        <v>2.125032902E9</v>
      </c>
      <c r="B42" s="109" t="str">
        <f>VLOOKUP($A42,ANAGRAFICA!$B$1:$G$306,2,FALSE)</f>
        <v>BRAIDA</v>
      </c>
      <c r="C42" s="109" t="str">
        <f>VLOOKUP($A42,ANAGRAFICA!$B$1:$G$306,3,FALSE)</f>
        <v>ILARIO</v>
      </c>
      <c r="D42" s="109" t="str">
        <f>VLOOKUP($A42,ANAGRAFICA!$B$1:$G$306,4,FALSE)</f>
        <v>758-37</v>
      </c>
      <c r="E42" s="109">
        <f>VLOOKUP($A42,ANAGRAFICA!$B$1:$G$306,5,FALSE)</f>
        <v>3272025063</v>
      </c>
      <c r="F42" s="109">
        <f>VLOOKUP($A42,ANAGRAFICA!$B$1:$G$306,6,FALSE)</f>
        <v>2025</v>
      </c>
      <c r="G42" s="11">
        <v>1.0</v>
      </c>
      <c r="H42" s="14" t="s">
        <v>552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</row>
    <row r="43">
      <c r="A43" s="57">
        <v>2.125026869E9</v>
      </c>
      <c r="B43" s="109" t="str">
        <f>VLOOKUP($A43,ANAGRAFICA!$B$1:$G$306,2,FALSE)</f>
        <v>NACCARI</v>
      </c>
      <c r="C43" s="109" t="str">
        <f>VLOOKUP($A43,ANAGRAFICA!$B$1:$G$306,3,FALSE)</f>
        <v>ROBERTO</v>
      </c>
      <c r="D43" s="109" t="str">
        <f>VLOOKUP($A43,ANAGRAFICA!$B$1:$G$306,4,FALSE)</f>
        <v>758-33</v>
      </c>
      <c r="E43" s="109">
        <f>VLOOKUP($A43,ANAGRAFICA!$B$1:$G$306,5,FALSE)</f>
        <v>3272025060</v>
      </c>
      <c r="F43" s="109">
        <f>VLOOKUP($A43,ANAGRAFICA!$B$1:$G$306,6,FALSE)</f>
        <v>2025</v>
      </c>
      <c r="G43" s="11">
        <v>1.0</v>
      </c>
      <c r="H43" s="14" t="s">
        <v>552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</row>
    <row r="44">
      <c r="A44" s="57">
        <v>2.125032653E9</v>
      </c>
      <c r="B44" s="109" t="str">
        <f>VLOOKUP($A44,ANAGRAFICA!$B$1:$G$306,2,FALSE)</f>
        <v>BAIOCCO</v>
      </c>
      <c r="C44" s="109" t="str">
        <f>VLOOKUP($A44,ANAGRAFICA!$B$1:$G$306,3,FALSE)</f>
        <v>RICCARDO</v>
      </c>
      <c r="D44" s="109" t="str">
        <f>VLOOKUP($A44,ANAGRAFICA!$B$1:$G$306,4,FALSE)</f>
        <v/>
      </c>
      <c r="E44" s="109">
        <f>VLOOKUP($A44,ANAGRAFICA!$B$1:$G$306,5,FALSE)</f>
        <v>3272025064</v>
      </c>
      <c r="F44" s="109">
        <f>VLOOKUP($A44,ANAGRAFICA!$B$1:$G$306,6,FALSE)</f>
        <v>2025</v>
      </c>
      <c r="G44" s="11">
        <v>1.0</v>
      </c>
      <c r="H44" s="14" t="s">
        <v>552</v>
      </c>
      <c r="I44" s="14" t="s">
        <v>1349</v>
      </c>
      <c r="J44" s="16"/>
      <c r="K44" s="16"/>
      <c r="L44" s="16"/>
      <c r="M44" s="16"/>
      <c r="N44" s="16"/>
      <c r="O44" s="16"/>
      <c r="P44" s="16"/>
      <c r="Q44" s="16"/>
      <c r="R44" s="16"/>
    </row>
    <row r="45">
      <c r="A45" s="57">
        <v>2.125037955E9</v>
      </c>
      <c r="B45" s="109" t="str">
        <f>VLOOKUP($A45,ANAGRAFICA!$B$1:$G$306,2,FALSE)</f>
        <v>MANNINO</v>
      </c>
      <c r="C45" s="109" t="str">
        <f>VLOOKUP($A45,ANAGRAFICA!$B$1:$G$306,3,FALSE)</f>
        <v>ANDREA</v>
      </c>
      <c r="D45" s="109" t="str">
        <f>VLOOKUP($A45,ANAGRAFICA!$B$1:$G$306,4,FALSE)</f>
        <v>758-39</v>
      </c>
      <c r="E45" s="109">
        <f>VLOOKUP($A45,ANAGRAFICA!$B$1:$G$306,5,FALSE)</f>
        <v>3272025066</v>
      </c>
      <c r="F45" s="109">
        <f>VLOOKUP($A45,ANAGRAFICA!$B$1:$G$306,6,FALSE)</f>
        <v>2025</v>
      </c>
      <c r="G45" s="11">
        <v>1.0</v>
      </c>
      <c r="H45" s="14" t="s">
        <v>552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</row>
    <row r="46">
      <c r="A46" s="57">
        <v>2.125037782E9</v>
      </c>
      <c r="B46" s="109" t="str">
        <f>VLOOKUP($A46,ANAGRAFICA!$B$1:$G$306,2,FALSE)</f>
        <v>GILARDI</v>
      </c>
      <c r="C46" s="109" t="str">
        <f>VLOOKUP($A46,ANAGRAFICA!$B$1:$G$306,3,FALSE)</f>
        <v>CARLO VIRGINIO</v>
      </c>
      <c r="D46" s="109" t="str">
        <f>VLOOKUP($A46,ANAGRAFICA!$B$1:$G$306,4,FALSE)</f>
        <v>758-38</v>
      </c>
      <c r="E46" s="109">
        <f>VLOOKUP($A46,ANAGRAFICA!$B$1:$G$306,5,FALSE)</f>
        <v>3272025065</v>
      </c>
      <c r="F46" s="109">
        <f>VLOOKUP($A46,ANAGRAFICA!$B$1:$G$306,6,FALSE)</f>
        <v>2025</v>
      </c>
      <c r="G46" s="11">
        <v>1.0</v>
      </c>
      <c r="H46" s="14" t="s">
        <v>552</v>
      </c>
      <c r="I46" s="14" t="s">
        <v>1349</v>
      </c>
      <c r="J46" s="16"/>
      <c r="K46" s="16"/>
      <c r="L46" s="16"/>
      <c r="M46" s="16"/>
      <c r="N46" s="16"/>
      <c r="O46" s="16"/>
      <c r="P46" s="16"/>
      <c r="Q46" s="16"/>
      <c r="R46" s="16"/>
    </row>
    <row r="47">
      <c r="A47" s="57">
        <v>2.125040106E9</v>
      </c>
      <c r="B47" s="109" t="str">
        <f>VLOOKUP($A47,ANAGRAFICA!$B$1:$G$306,2,FALSE)</f>
        <v>COLNAGHI</v>
      </c>
      <c r="C47" s="109" t="str">
        <f>VLOOKUP($A47,ANAGRAFICA!$B$1:$G$306,3,FALSE)</f>
        <v>EUGENIO PIERO</v>
      </c>
      <c r="D47" s="109" t="str">
        <f>VLOOKUP($A47,ANAGRAFICA!$B$1:$G$306,4,FALSE)</f>
        <v>758-41</v>
      </c>
      <c r="E47" s="109">
        <f>VLOOKUP($A47,ANAGRAFICA!$B$1:$G$306,5,FALSE)</f>
        <v>3272025068</v>
      </c>
      <c r="F47" s="109">
        <f>VLOOKUP($A47,ANAGRAFICA!$B$1:$G$306,6,FALSE)</f>
        <v>2025</v>
      </c>
      <c r="G47" s="11">
        <v>1.0</v>
      </c>
      <c r="H47" s="14" t="s">
        <v>552</v>
      </c>
      <c r="I47" s="14" t="s">
        <v>1354</v>
      </c>
      <c r="J47" s="16"/>
      <c r="K47" s="16"/>
      <c r="L47" s="16"/>
      <c r="M47" s="16"/>
      <c r="N47" s="16"/>
      <c r="O47" s="16"/>
      <c r="P47" s="16"/>
      <c r="Q47" s="16"/>
      <c r="R47" s="16"/>
    </row>
    <row r="48">
      <c r="A48" s="57">
        <v>2.125040052E9</v>
      </c>
      <c r="B48" s="109" t="str">
        <f>VLOOKUP($A48,ANAGRAFICA!$B$1:$G$306,2,FALSE)</f>
        <v>TODESCATO</v>
      </c>
      <c r="C48" s="109" t="str">
        <f>VLOOKUP($A48,ANAGRAFICA!$B$1:$G$306,3,FALSE)</f>
        <v>GIANLUCA</v>
      </c>
      <c r="D48" s="109" t="str">
        <f>VLOOKUP($A48,ANAGRAFICA!$B$1:$G$306,4,FALSE)</f>
        <v>758-40</v>
      </c>
      <c r="E48" s="109">
        <f>VLOOKUP($A48,ANAGRAFICA!$B$1:$G$306,5,FALSE)</f>
        <v>3272025067</v>
      </c>
      <c r="F48" s="109">
        <f>VLOOKUP($A48,ANAGRAFICA!$B$1:$G$306,6,FALSE)</f>
        <v>2025</v>
      </c>
      <c r="G48" s="11">
        <v>1.0</v>
      </c>
      <c r="H48" s="14" t="s">
        <v>552</v>
      </c>
      <c r="I48" s="14" t="s">
        <v>1356</v>
      </c>
      <c r="J48" s="16"/>
      <c r="K48" s="16"/>
      <c r="L48" s="16"/>
      <c r="M48" s="16"/>
      <c r="N48" s="16"/>
      <c r="O48" s="16"/>
      <c r="P48" s="16"/>
      <c r="Q48" s="16"/>
      <c r="R48" s="16"/>
    </row>
    <row r="49">
      <c r="A49" s="57">
        <v>2.125040835E9</v>
      </c>
      <c r="B49" s="109" t="str">
        <f>VLOOKUP($A49,ANAGRAFICA!$B$1:$G$306,2,FALSE)</f>
        <v>PESACANE</v>
      </c>
      <c r="C49" s="109" t="str">
        <f>VLOOKUP($A49,ANAGRAFICA!$B$1:$G$306,3,FALSE)</f>
        <v>MATTEO VALERIO</v>
      </c>
      <c r="D49" s="109" t="str">
        <f>VLOOKUP($A49,ANAGRAFICA!$B$1:$G$306,4,FALSE)</f>
        <v>758-42</v>
      </c>
      <c r="E49" s="109">
        <f>VLOOKUP($A49,ANAGRAFICA!$B$1:$G$306,5,FALSE)</f>
        <v>3272025069</v>
      </c>
      <c r="F49" s="109">
        <f>VLOOKUP($A49,ANAGRAFICA!$B$1:$G$306,6,FALSE)</f>
        <v>2025</v>
      </c>
      <c r="G49" s="11">
        <v>1.0</v>
      </c>
      <c r="H49" s="14" t="s">
        <v>552</v>
      </c>
      <c r="I49" s="14" t="s">
        <v>1349</v>
      </c>
      <c r="J49" s="16"/>
      <c r="K49" s="16"/>
      <c r="L49" s="16"/>
      <c r="M49" s="16"/>
      <c r="N49" s="16"/>
      <c r="O49" s="16"/>
      <c r="P49" s="16"/>
      <c r="Q49" s="16"/>
      <c r="R49" s="16"/>
    </row>
    <row r="50">
      <c r="A50" s="57">
        <v>2.125042368E9</v>
      </c>
      <c r="B50" s="109" t="str">
        <f>VLOOKUP($A50,ANAGRAFICA!$B$1:$G$306,2,FALSE)</f>
        <v>MARKOVIC</v>
      </c>
      <c r="C50" s="109" t="str">
        <f>VLOOKUP($A50,ANAGRAFICA!$B$1:$G$306,3,FALSE)</f>
        <v>BRANKO</v>
      </c>
      <c r="D50" s="109" t="str">
        <f>VLOOKUP($A50,ANAGRAFICA!$B$1:$G$306,4,FALSE)</f>
        <v>758-43</v>
      </c>
      <c r="E50" s="109">
        <f>VLOOKUP($A50,ANAGRAFICA!$B$1:$G$306,5,FALSE)</f>
        <v>3272025070</v>
      </c>
      <c r="F50" s="109">
        <f>VLOOKUP($A50,ANAGRAFICA!$B$1:$G$306,6,FALSE)</f>
        <v>2025</v>
      </c>
      <c r="G50" s="11">
        <v>1.0</v>
      </c>
      <c r="H50" s="14" t="s">
        <v>552</v>
      </c>
      <c r="I50" s="14" t="s">
        <v>1349</v>
      </c>
      <c r="J50" s="16"/>
      <c r="K50" s="16"/>
      <c r="L50" s="16"/>
      <c r="M50" s="16"/>
      <c r="N50" s="16"/>
      <c r="O50" s="16"/>
      <c r="P50" s="16"/>
      <c r="Q50" s="16"/>
      <c r="R50" s="16"/>
    </row>
    <row r="51">
      <c r="A51" s="57">
        <v>2.125046195E9</v>
      </c>
      <c r="B51" s="109" t="str">
        <f>VLOOKUP($A51,ANAGRAFICA!$B$1:$G$306,2,FALSE)</f>
        <v>CASILLO</v>
      </c>
      <c r="C51" s="109" t="str">
        <f>VLOOKUP($A51,ANAGRAFICA!$B$1:$G$306,3,FALSE)</f>
        <v>SALVATORE</v>
      </c>
      <c r="D51" s="109" t="str">
        <f>VLOOKUP($A51,ANAGRAFICA!$B$1:$G$306,4,FALSE)</f>
        <v>758-44</v>
      </c>
      <c r="E51" s="109">
        <f>VLOOKUP($A51,ANAGRAFICA!$B$1:$G$306,5,FALSE)</f>
        <v>3272025071</v>
      </c>
      <c r="F51" s="109">
        <f>VLOOKUP($A51,ANAGRAFICA!$B$1:$G$306,6,FALSE)</f>
        <v>2025</v>
      </c>
      <c r="G51" s="11">
        <v>1.0</v>
      </c>
      <c r="H51" s="14" t="s">
        <v>552</v>
      </c>
      <c r="I51" s="14" t="s">
        <v>1354</v>
      </c>
      <c r="J51" s="16"/>
      <c r="K51" s="16"/>
      <c r="L51" s="16"/>
      <c r="M51" s="16"/>
      <c r="N51" s="16"/>
      <c r="O51" s="16"/>
      <c r="P51" s="16"/>
      <c r="Q51" s="16"/>
      <c r="R51" s="16"/>
    </row>
    <row r="52">
      <c r="A52" s="57">
        <v>2.125051424E9</v>
      </c>
      <c r="B52" s="109" t="str">
        <f>VLOOKUP($A52,ANAGRAFICA!$B$1:$G$306,2,FALSE)</f>
        <v>CASABURI</v>
      </c>
      <c r="C52" s="109" t="str">
        <f>VLOOKUP($A52,ANAGRAFICA!$B$1:$G$306,3,FALSE)</f>
        <v>ERRICO</v>
      </c>
      <c r="D52" s="109" t="str">
        <f>VLOOKUP($A52,ANAGRAFICA!$B$1:$G$306,4,FALSE)</f>
        <v>758-45</v>
      </c>
      <c r="E52" s="109">
        <f>VLOOKUP($A52,ANAGRAFICA!$B$1:$G$306,5,FALSE)</f>
        <v>3272025072</v>
      </c>
      <c r="F52" s="109">
        <f>VLOOKUP($A52,ANAGRAFICA!$B$1:$G$306,6,FALSE)</f>
        <v>2025</v>
      </c>
      <c r="G52" s="11">
        <v>1.0</v>
      </c>
      <c r="H52" s="14" t="s">
        <v>552</v>
      </c>
      <c r="I52" s="14" t="s">
        <v>1349</v>
      </c>
      <c r="J52" s="16"/>
      <c r="K52" s="16"/>
      <c r="L52" s="16"/>
      <c r="M52" s="16"/>
      <c r="N52" s="16"/>
      <c r="O52" s="16"/>
      <c r="P52" s="16"/>
      <c r="Q52" s="14" t="s">
        <v>1348</v>
      </c>
      <c r="R52" s="16"/>
    </row>
    <row r="53">
      <c r="A53" s="57">
        <v>2.1250527E9</v>
      </c>
      <c r="B53" s="109" t="str">
        <f>VLOOKUP($A53,ANAGRAFICA!$B$1:$G$306,2,FALSE)</f>
        <v>GADDA</v>
      </c>
      <c r="C53" s="109" t="str">
        <f>VLOOKUP($A53,ANAGRAFICA!$B$1:$G$306,3,FALSE)</f>
        <v>LILIANA</v>
      </c>
      <c r="D53" s="109" t="str">
        <f>VLOOKUP($A53,ANAGRAFICA!$B$1:$G$306,4,FALSE)</f>
        <v>758-46</v>
      </c>
      <c r="E53" s="109">
        <f>VLOOKUP($A53,ANAGRAFICA!$B$1:$G$306,5,FALSE)</f>
        <v>3272025073</v>
      </c>
      <c r="F53" s="109">
        <f>VLOOKUP($A53,ANAGRAFICA!$B$1:$G$306,6,FALSE)</f>
        <v>2025</v>
      </c>
      <c r="G53" s="11">
        <v>1.0</v>
      </c>
      <c r="H53" s="14" t="s">
        <v>1352</v>
      </c>
      <c r="I53" s="14" t="s">
        <v>1353</v>
      </c>
      <c r="J53" s="16"/>
      <c r="K53" s="16"/>
      <c r="L53" s="16"/>
      <c r="M53" s="14" t="s">
        <v>1357</v>
      </c>
      <c r="N53" s="16"/>
      <c r="O53" s="16"/>
      <c r="P53" s="16"/>
      <c r="Q53" s="16"/>
      <c r="R53" s="16"/>
    </row>
    <row r="54">
      <c r="A54" s="57">
        <v>2.126002771E9</v>
      </c>
      <c r="B54" s="109" t="str">
        <f>VLOOKUP($A54,ANAGRAFICA!$B$1:$G$306,2,FALSE)</f>
        <v>LONGOBARDI</v>
      </c>
      <c r="C54" s="109" t="str">
        <f>VLOOKUP($A54,ANAGRAFICA!$B$1:$G$306,3,FALSE)</f>
        <v>FRANCESCO</v>
      </c>
      <c r="D54" s="109" t="str">
        <f>VLOOKUP($A54,ANAGRAFICA!$B$1:$G$306,4,FALSE)</f>
        <v>758-52</v>
      </c>
      <c r="E54" s="109" t="str">
        <f>VLOOKUP($A54,ANAGRAFICA!$B$1:$G$306,5,FALSE)</f>
        <v/>
      </c>
      <c r="F54" s="109">
        <f>VLOOKUP($A54,ANAGRAFICA!$B$1:$G$306,6,FALSE)</f>
        <v>2026</v>
      </c>
      <c r="G54" s="11">
        <v>1.0</v>
      </c>
      <c r="H54" s="14" t="s">
        <v>552</v>
      </c>
      <c r="I54" s="14" t="s">
        <v>1349</v>
      </c>
      <c r="J54" s="16"/>
      <c r="K54" s="16"/>
      <c r="L54" s="16"/>
      <c r="M54" s="14"/>
      <c r="N54" s="16"/>
      <c r="O54" s="16"/>
      <c r="P54" s="14"/>
      <c r="Q54" s="16"/>
      <c r="R54" s="16"/>
    </row>
    <row r="55">
      <c r="A55" s="57">
        <v>2.126001104E9</v>
      </c>
      <c r="B55" s="109" t="str">
        <f>VLOOKUP($A55,ANAGRAFICA!$B$1:$G$306,2,FALSE)</f>
        <v>LOREGGIA</v>
      </c>
      <c r="C55" s="109" t="str">
        <f>VLOOKUP($A55,ANAGRAFICA!$B$1:$G$306,3,FALSE)</f>
        <v>GIAN MARCO</v>
      </c>
      <c r="D55" s="109" t="str">
        <f>VLOOKUP($A55,ANAGRAFICA!$B$1:$G$306,4,FALSE)</f>
        <v>758-51</v>
      </c>
      <c r="E55" s="109" t="str">
        <f>VLOOKUP($A55,ANAGRAFICA!$B$1:$G$306,5,FALSE)</f>
        <v/>
      </c>
      <c r="F55" s="109">
        <f>VLOOKUP($A55,ANAGRAFICA!$B$1:$G$306,6,FALSE)</f>
        <v>2026</v>
      </c>
      <c r="G55" s="11">
        <v>1.0</v>
      </c>
      <c r="H55" s="14" t="s">
        <v>552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</row>
    <row r="56">
      <c r="A56" s="94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G56" s="6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>
      <c r="A57" s="94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G57" s="6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</row>
    <row r="58">
      <c r="A58" s="94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G58" s="6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</row>
    <row r="59">
      <c r="A59" s="94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G59" s="6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</row>
    <row r="60">
      <c r="A60" s="94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G60" s="6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>
      <c r="A61" s="94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G61" s="6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G62" s="6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G63" s="6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G64" s="6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G65" s="6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G66" s="6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G67" s="6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G68" s="6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G69" s="6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G70" s="6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G71" s="6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6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6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6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6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6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6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6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6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6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6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6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6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6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6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6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6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6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6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6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6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6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6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6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6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6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6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6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6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6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6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6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6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6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6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6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6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6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6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6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6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6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6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6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6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6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6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6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6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6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6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6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6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6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6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6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6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6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6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6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6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6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6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6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6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6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6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6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6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6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6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6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6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6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6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6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6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6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6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6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6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6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6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6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6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6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6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6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6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6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6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6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6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6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6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6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6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6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6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6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6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6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6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6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6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6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6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6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6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6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6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6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6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6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6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6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6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6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6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6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6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6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6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6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6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6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6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6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6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6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6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6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6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6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6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6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6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6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6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6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6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6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6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6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6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6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6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6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6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6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6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6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6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6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6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6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6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6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6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6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6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6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6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6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6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6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6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6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6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6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6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6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6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6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6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6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6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6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6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6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6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6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6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6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6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6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6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6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6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6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6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6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6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6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6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6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6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6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6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6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6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6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6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6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6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6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6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6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6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6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6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6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6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6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6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6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6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6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6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6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6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6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6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6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6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6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6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6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6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</row>
  </sheetData>
  <dataValidations>
    <dataValidation type="list" allowBlank="1" showErrorMessage="1" sqref="M2:M299">
      <formula1>"ACS,CHD,CHF,CV SHOCK,TAMPONADE,PHN,PE,ARRHYTHMIA"</formula1>
    </dataValidation>
    <dataValidation type="list" allowBlank="1" showErrorMessage="1" sqref="H2:H299">
      <formula1>"CARDIAC,NON CARDIAC,UNKNOWN"</formula1>
    </dataValidation>
    <dataValidation type="list" allowBlank="1" showErrorMessage="1" sqref="O2:O299">
      <formula1>"NON STROKE,STROKE,HEMORRAGIC STGROKE,SPINAL CORD INJURY"</formula1>
    </dataValidation>
    <dataValidation type="list" allowBlank="1" showErrorMessage="1" sqref="I2:I299">
      <formula1>"LV DYSFUNCTION,VASOPLEGIA,CARDAIC TAMPONADE,OBSTRUCTIVE SHOCK,ARRHYTHMIA"</formula1>
    </dataValidation>
    <dataValidation type="list" allowBlank="1" showErrorMessage="1" sqref="N2:N299">
      <formula1>"AIRWAY EMERGENCY,MEDIASTINAL MASS,OSTRUBCTIVE AIRWAY DISEASE,LUNG DISEASE"</formula1>
    </dataValidation>
    <dataValidation type="list" allowBlank="1" showErrorMessage="1" sqref="Q2:Q299">
      <formula1>"DISTRIBUTIVE SHOCK,SEPTIC SHOCK"</formula1>
    </dataValidation>
    <dataValidation type="list" allowBlank="1" showErrorMessage="1" sqref="J2:J299">
      <formula1>"Hypoxemia,Hypercarbia,Pulmonary Hemorrhage ,PNX"</formula1>
    </dataValidation>
    <dataValidation type="list" allowBlank="1" showErrorMessage="1" sqref="P2:P299">
      <formula1>"CKD,INTOXICATION,ELECTROLYTE ABNORMALITIES"</formula1>
    </dataValidation>
    <dataValidation type="list" allowBlank="1" showErrorMessage="1" sqref="A2:A283">
      <formula1>ANAGRAFICA!$B$2:$B$506</formula1>
    </dataValidation>
    <dataValidation type="list" allowBlank="1" showErrorMessage="1" sqref="L2:L299">
      <formula1>"METABOLIC ACIDOSIS"</formula1>
    </dataValidation>
    <dataValidation type="list" allowBlank="1" showErrorMessage="1" sqref="R2:R299">
      <formula1>"HEMORRAGIC SHOCL,MAJOR TRAUMA,PREGNANCY / DELIVERY"</formula1>
    </dataValidation>
    <dataValidation type="list" allowBlank="1" showErrorMessage="1" sqref="K2:K299">
      <formula1>"Impending Herniation Syndrome"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15.13"/>
    <col customWidth="1" min="2" max="2" width="19.13"/>
    <col customWidth="1" min="3" max="3" width="14.5"/>
    <col customWidth="1" min="4" max="4" width="11.88"/>
    <col customWidth="1" min="5" max="5" width="17.75"/>
    <col customWidth="1" min="6" max="6" width="6.38"/>
    <col customWidth="1" min="7" max="7" width="9.63"/>
    <col customWidth="1" min="8" max="8" width="40.63"/>
    <col customWidth="1" min="9" max="9" width="14.63"/>
    <col customWidth="1" min="10" max="10" width="16.88"/>
    <col customWidth="1" min="11" max="11" width="15.88"/>
    <col customWidth="1" min="12" max="12" width="13.75"/>
    <col customWidth="1" min="13" max="13" width="17.88"/>
    <col customWidth="1" min="14" max="14" width="18.88"/>
    <col customWidth="1" min="15" max="16" width="20.13"/>
    <col customWidth="1" min="17" max="17" width="6.75"/>
    <col customWidth="1" min="18" max="18" width="10.25"/>
    <col customWidth="1" min="19" max="19" width="9.5"/>
    <col customWidth="1" min="20" max="20" width="17.0"/>
    <col customWidth="1" min="21" max="21" width="12.75"/>
    <col customWidth="1" min="22" max="22" width="10.75"/>
    <col customWidth="1" min="23" max="24" width="29.75"/>
    <col customWidth="1" min="25" max="25" width="6.88"/>
    <col customWidth="1" min="26" max="26" width="4.0"/>
    <col customWidth="1" min="27" max="27" width="12.0"/>
    <col customWidth="1" min="28" max="28" width="12.25"/>
    <col customWidth="1" min="29" max="29" width="13.13"/>
    <col customWidth="1" min="30" max="30" width="13.75"/>
    <col customWidth="1" min="31" max="31" width="7.13"/>
    <col customWidth="1" min="32" max="32" width="21.88"/>
    <col customWidth="1" min="33" max="33" width="16.88"/>
    <col customWidth="1" min="34" max="34" width="12.5"/>
    <col customWidth="1" min="35" max="35" width="13.38"/>
  </cols>
  <sheetData>
    <row r="1">
      <c r="A1" s="254" t="s">
        <v>1</v>
      </c>
      <c r="B1" s="255" t="s">
        <v>2</v>
      </c>
      <c r="C1" s="254" t="s">
        <v>3</v>
      </c>
      <c r="D1" s="254" t="s">
        <v>4</v>
      </c>
      <c r="E1" s="254" t="s">
        <v>385</v>
      </c>
      <c r="F1" s="256" t="s">
        <v>6</v>
      </c>
      <c r="G1" s="254" t="s">
        <v>1263</v>
      </c>
      <c r="H1" s="256" t="s">
        <v>1358</v>
      </c>
      <c r="I1" s="254" t="s">
        <v>1359</v>
      </c>
      <c r="J1" s="256" t="s">
        <v>1360</v>
      </c>
      <c r="K1" s="256" t="s">
        <v>1361</v>
      </c>
      <c r="L1" s="257" t="s">
        <v>1362</v>
      </c>
      <c r="M1" s="256" t="s">
        <v>1363</v>
      </c>
      <c r="N1" s="256" t="s">
        <v>1364</v>
      </c>
      <c r="O1" s="256" t="s">
        <v>1365</v>
      </c>
      <c r="P1" s="256" t="s">
        <v>1366</v>
      </c>
      <c r="Q1" s="254" t="s">
        <v>1367</v>
      </c>
      <c r="R1" s="256" t="s">
        <v>1368</v>
      </c>
      <c r="S1" s="256" t="s">
        <v>1369</v>
      </c>
      <c r="T1" s="256" t="s">
        <v>1370</v>
      </c>
      <c r="U1" s="254" t="s">
        <v>1371</v>
      </c>
      <c r="V1" s="256" t="s">
        <v>1372</v>
      </c>
      <c r="W1" s="254" t="s">
        <v>1373</v>
      </c>
      <c r="X1" s="254" t="s">
        <v>1374</v>
      </c>
      <c r="Y1" s="256" t="s">
        <v>1375</v>
      </c>
      <c r="Z1" s="254" t="s">
        <v>1376</v>
      </c>
      <c r="AA1" s="254" t="s">
        <v>1377</v>
      </c>
      <c r="AB1" s="254" t="s">
        <v>1378</v>
      </c>
      <c r="AC1" s="254" t="s">
        <v>1379</v>
      </c>
      <c r="AD1" s="254" t="s">
        <v>1380</v>
      </c>
      <c r="AE1" s="254" t="s">
        <v>1153</v>
      </c>
      <c r="AF1" s="254" t="s">
        <v>1381</v>
      </c>
      <c r="AG1" s="254" t="s">
        <v>1382</v>
      </c>
      <c r="AH1" s="254" t="s">
        <v>1383</v>
      </c>
      <c r="AI1" s="254" t="s">
        <v>1384</v>
      </c>
    </row>
    <row r="2">
      <c r="A2" s="57">
        <v>2.123023299E9</v>
      </c>
      <c r="B2" s="109" t="str">
        <f>VLOOKUP($A2,ANAGRAFICA!$B$1:$G$306,2,FALSE)</f>
        <v>BEATRICE</v>
      </c>
      <c r="C2" s="109" t="str">
        <f>VLOOKUP($A2,ANAGRAFICA!$B$1:$G$306,3,FALSE)</f>
        <v>GERARDINA</v>
      </c>
      <c r="D2" s="109" t="str">
        <f>VLOOKUP($A2,ANAGRAFICA!$B$1:$G$306,4,FALSE)</f>
        <v/>
      </c>
      <c r="E2" s="109">
        <f>VLOOKUP($A2,ANAGRAFICA!$B$1:$G$306,5,FALSE)</f>
        <v>3272024098</v>
      </c>
      <c r="F2" s="109">
        <f>VLOOKUP($A2,ANAGRAFICA!$B$1:$G$306,6,FALSE)</f>
        <v>2024</v>
      </c>
      <c r="G2" s="3" t="s">
        <v>1385</v>
      </c>
      <c r="H2" s="3" t="b">
        <v>1</v>
      </c>
      <c r="I2" s="3" t="b">
        <v>1</v>
      </c>
      <c r="J2" s="117"/>
      <c r="K2" s="3" t="s">
        <v>1280</v>
      </c>
      <c r="L2" s="117" t="b">
        <v>0</v>
      </c>
      <c r="M2" s="117" t="b">
        <v>0</v>
      </c>
      <c r="N2" s="117" t="b">
        <v>0</v>
      </c>
      <c r="R2" s="77">
        <v>45292.0</v>
      </c>
      <c r="S2" s="3" t="s">
        <v>1386</v>
      </c>
      <c r="W2" s="117"/>
      <c r="X2" s="45" t="s">
        <v>1387</v>
      </c>
      <c r="Y2" s="3" t="s">
        <v>1388</v>
      </c>
      <c r="Z2" s="117" t="b">
        <v>0</v>
      </c>
      <c r="AB2" s="3">
        <v>2.0</v>
      </c>
      <c r="AF2" s="117" t="b">
        <v>0</v>
      </c>
      <c r="AG2" s="117" t="b">
        <v>0</v>
      </c>
      <c r="AH2" s="117"/>
    </row>
    <row r="3">
      <c r="A3" s="57">
        <v>2.124000241E9</v>
      </c>
      <c r="B3" s="109" t="str">
        <f>VLOOKUP($A3,ANAGRAFICA!$B$1:$G$306,2,FALSE)</f>
        <v>ISELLA</v>
      </c>
      <c r="C3" s="109" t="str">
        <f>VLOOKUP($A3,ANAGRAFICA!$B$1:$G$306,3,FALSE)</f>
        <v>VINCENZO</v>
      </c>
      <c r="D3" s="109" t="str">
        <f>VLOOKUP($A3,ANAGRAFICA!$B$1:$G$306,4,FALSE)</f>
        <v/>
      </c>
      <c r="E3" s="109">
        <f>VLOOKUP($A3,ANAGRAFICA!$B$1:$G$306,5,FALSE)</f>
        <v>3272024052</v>
      </c>
      <c r="F3" s="109">
        <f>VLOOKUP($A3,ANAGRAFICA!$B$1:$G$306,6,FALSE)</f>
        <v>2024</v>
      </c>
      <c r="G3" s="3" t="s">
        <v>1389</v>
      </c>
      <c r="H3" s="117" t="b">
        <v>0</v>
      </c>
      <c r="I3" s="3" t="b">
        <v>1</v>
      </c>
      <c r="J3" s="3" t="s">
        <v>1390</v>
      </c>
      <c r="K3" s="117"/>
      <c r="L3" s="3" t="b">
        <v>1</v>
      </c>
      <c r="M3" s="3" t="b">
        <v>1</v>
      </c>
      <c r="N3" s="117" t="b">
        <v>0</v>
      </c>
      <c r="O3" s="3" t="s">
        <v>1391</v>
      </c>
      <c r="P3" s="3" t="s">
        <v>1392</v>
      </c>
      <c r="Q3" s="3">
        <v>0.0</v>
      </c>
      <c r="R3" s="77">
        <v>45296.0</v>
      </c>
      <c r="S3" s="3" t="s">
        <v>660</v>
      </c>
      <c r="T3" s="3" t="s">
        <v>1393</v>
      </c>
      <c r="U3" s="3" t="s">
        <v>1394</v>
      </c>
      <c r="V3" s="3" t="s">
        <v>660</v>
      </c>
      <c r="W3" s="3" t="s">
        <v>1387</v>
      </c>
      <c r="X3" s="3" t="s">
        <v>1395</v>
      </c>
      <c r="Y3" s="3" t="s">
        <v>1396</v>
      </c>
      <c r="Z3" s="3" t="b">
        <v>1</v>
      </c>
      <c r="AA3" s="3">
        <v>2.0</v>
      </c>
      <c r="AB3" s="3">
        <v>0.0</v>
      </c>
      <c r="AC3" s="3">
        <v>5.0</v>
      </c>
      <c r="AF3" s="117" t="b">
        <v>0</v>
      </c>
      <c r="AG3" s="3" t="b">
        <v>1</v>
      </c>
      <c r="AH3" s="3" t="s">
        <v>1397</v>
      </c>
      <c r="AI3" s="3" t="s">
        <v>44</v>
      </c>
    </row>
    <row r="4">
      <c r="A4" s="57">
        <v>2.124000328E9</v>
      </c>
      <c r="B4" s="109" t="str">
        <f>VLOOKUP($A4,ANAGRAFICA!$B$1:$G$306,2,FALSE)</f>
        <v>LAVANGA</v>
      </c>
      <c r="C4" s="109" t="str">
        <f>VLOOKUP($A4,ANAGRAFICA!$B$1:$G$306,3,FALSE)</f>
        <v>DONATO</v>
      </c>
      <c r="D4" s="109" t="str">
        <f>VLOOKUP($A4,ANAGRAFICA!$B$1:$G$306,4,FALSE)</f>
        <v/>
      </c>
      <c r="E4" s="109">
        <f>VLOOKUP($A4,ANAGRAFICA!$B$1:$G$306,5,FALSE)</f>
        <v>3272024053</v>
      </c>
      <c r="F4" s="109">
        <f>VLOOKUP($A4,ANAGRAFICA!$B$1:$G$306,6,FALSE)</f>
        <v>2024</v>
      </c>
      <c r="G4" s="3" t="s">
        <v>1389</v>
      </c>
      <c r="H4" s="117" t="b">
        <v>0</v>
      </c>
      <c r="I4" s="3" t="b">
        <v>1</v>
      </c>
      <c r="J4" s="3" t="s">
        <v>1164</v>
      </c>
      <c r="K4" s="117"/>
      <c r="L4" s="3" t="b">
        <v>1</v>
      </c>
      <c r="M4" s="3" t="b">
        <v>1</v>
      </c>
      <c r="N4" s="117" t="b">
        <v>0</v>
      </c>
      <c r="O4" s="3" t="s">
        <v>1398</v>
      </c>
      <c r="P4" s="3" t="s">
        <v>1399</v>
      </c>
      <c r="Q4" s="3">
        <v>2.0</v>
      </c>
      <c r="R4" s="77">
        <v>45298.0</v>
      </c>
      <c r="S4" s="3" t="s">
        <v>1400</v>
      </c>
      <c r="T4" s="3" t="s">
        <v>912</v>
      </c>
      <c r="U4" s="3" t="s">
        <v>1401</v>
      </c>
      <c r="V4" s="3" t="s">
        <v>1400</v>
      </c>
      <c r="W4" s="3" t="s">
        <v>1387</v>
      </c>
      <c r="X4" s="3" t="s">
        <v>1387</v>
      </c>
      <c r="Y4" s="3" t="s">
        <v>1388</v>
      </c>
      <c r="Z4" s="3" t="b">
        <v>1</v>
      </c>
      <c r="AA4" s="3">
        <v>3.0</v>
      </c>
      <c r="AB4" s="3">
        <v>6.0</v>
      </c>
      <c r="AC4" s="3">
        <v>7.0</v>
      </c>
      <c r="AD4" s="3">
        <v>450.0</v>
      </c>
      <c r="AF4" s="117" t="b">
        <v>0</v>
      </c>
      <c r="AG4" s="3" t="b">
        <v>1</v>
      </c>
      <c r="AH4" s="3" t="s">
        <v>1397</v>
      </c>
      <c r="AI4" s="3" t="s">
        <v>49</v>
      </c>
    </row>
    <row r="5">
      <c r="A5" s="57">
        <v>2.124001121E9</v>
      </c>
      <c r="B5" s="109" t="str">
        <f>VLOOKUP($A5,ANAGRAFICA!$B$1:$G$306,2,FALSE)</f>
        <v>TIEGHI</v>
      </c>
      <c r="C5" s="109" t="str">
        <f>VLOOKUP($A5,ANAGRAFICA!$B$1:$G$306,3,FALSE)</f>
        <v>MASSIMO</v>
      </c>
      <c r="D5" s="109" t="str">
        <f>VLOOKUP($A5,ANAGRAFICA!$B$1:$G$306,4,FALSE)</f>
        <v/>
      </c>
      <c r="E5" s="109">
        <f>VLOOKUP($A5,ANAGRAFICA!$B$1:$G$306,5,FALSE)</f>
        <v>3272024054</v>
      </c>
      <c r="F5" s="109">
        <f>VLOOKUP($A5,ANAGRAFICA!$B$1:$G$306,6,FALSE)</f>
        <v>2024</v>
      </c>
      <c r="G5" s="3" t="s">
        <v>1385</v>
      </c>
      <c r="H5" s="117" t="b">
        <v>0</v>
      </c>
      <c r="I5" s="3" t="b">
        <v>1</v>
      </c>
      <c r="J5" s="117"/>
      <c r="K5" s="3" t="s">
        <v>1293</v>
      </c>
      <c r="L5" s="117" t="b">
        <v>0</v>
      </c>
      <c r="M5" s="117" t="b">
        <v>0</v>
      </c>
      <c r="N5" s="117" t="b">
        <v>0</v>
      </c>
      <c r="R5" s="77">
        <v>45309.0</v>
      </c>
      <c r="S5" s="3" t="s">
        <v>825</v>
      </c>
      <c r="V5" s="3" t="s">
        <v>825</v>
      </c>
      <c r="W5" s="117"/>
      <c r="X5" s="3" t="s">
        <v>1387</v>
      </c>
      <c r="Y5" s="3" t="s">
        <v>1388</v>
      </c>
      <c r="Z5" s="3" t="b">
        <v>1</v>
      </c>
      <c r="AB5" s="3">
        <v>15.0</v>
      </c>
      <c r="AC5" s="3">
        <v>1.0</v>
      </c>
      <c r="AD5" s="3">
        <v>450.0</v>
      </c>
      <c r="AF5" s="3" t="b">
        <v>1</v>
      </c>
      <c r="AG5" s="117" t="b">
        <v>0</v>
      </c>
      <c r="AH5" s="117"/>
    </row>
    <row r="6">
      <c r="A6" s="57">
        <v>2.124002215E9</v>
      </c>
      <c r="B6" s="109" t="str">
        <f>VLOOKUP($A6,ANAGRAFICA!$B$1:$G$306,2,FALSE)</f>
        <v>SCHIFANO</v>
      </c>
      <c r="C6" s="109" t="str">
        <f>VLOOKUP($A6,ANAGRAFICA!$B$1:$G$306,3,FALSE)</f>
        <v>FRANCESCO</v>
      </c>
      <c r="D6" s="109" t="str">
        <f>VLOOKUP($A6,ANAGRAFICA!$B$1:$G$306,4,FALSE)</f>
        <v/>
      </c>
      <c r="E6" s="109">
        <f>VLOOKUP($A6,ANAGRAFICA!$B$1:$G$306,5,FALSE)</f>
        <v>3272024055</v>
      </c>
      <c r="F6" s="109">
        <f>VLOOKUP($A6,ANAGRAFICA!$B$1:$G$306,6,FALSE)</f>
        <v>2024</v>
      </c>
      <c r="G6" s="3" t="s">
        <v>1389</v>
      </c>
      <c r="H6" s="117" t="b">
        <v>0</v>
      </c>
      <c r="I6" s="3" t="b">
        <v>1</v>
      </c>
      <c r="J6" s="3" t="s">
        <v>1390</v>
      </c>
      <c r="K6" s="117"/>
      <c r="L6" s="3" t="b">
        <v>1</v>
      </c>
      <c r="M6" s="3" t="b">
        <v>1</v>
      </c>
      <c r="N6" s="117" t="b">
        <v>0</v>
      </c>
      <c r="R6" s="77">
        <v>45325.0</v>
      </c>
      <c r="S6" s="3" t="s">
        <v>99</v>
      </c>
      <c r="U6" s="3" t="s">
        <v>1402</v>
      </c>
      <c r="V6" s="3" t="s">
        <v>1403</v>
      </c>
      <c r="W6" s="3"/>
      <c r="X6" s="3" t="s">
        <v>1387</v>
      </c>
      <c r="Y6" s="3" t="s">
        <v>1404</v>
      </c>
      <c r="Z6" s="3" t="b">
        <v>1</v>
      </c>
      <c r="AB6" s="3">
        <v>3.0</v>
      </c>
      <c r="AC6" s="3">
        <v>1.0</v>
      </c>
      <c r="AF6" s="3" t="b">
        <v>0</v>
      </c>
      <c r="AG6" s="117" t="b">
        <v>0</v>
      </c>
      <c r="AH6" s="3" t="s">
        <v>1397</v>
      </c>
      <c r="AI6" s="3" t="s">
        <v>1405</v>
      </c>
    </row>
    <row r="7">
      <c r="A7" s="57">
        <v>2.124202869E9</v>
      </c>
      <c r="B7" s="109" t="str">
        <f>VLOOKUP($A7,ANAGRAFICA!$B$1:$G$306,2,FALSE)</f>
        <v>VALSECCHI</v>
      </c>
      <c r="C7" s="109" t="str">
        <f>VLOOKUP($A7,ANAGRAFICA!$B$1:$G$306,3,FALSE)</f>
        <v>ANDREA</v>
      </c>
      <c r="D7" s="109" t="str">
        <f>VLOOKUP($A7,ANAGRAFICA!$B$1:$G$306,4,FALSE)</f>
        <v/>
      </c>
      <c r="E7" s="109">
        <f>VLOOKUP($A7,ANAGRAFICA!$B$1:$G$306,5,FALSE)</f>
        <v>3272024056</v>
      </c>
      <c r="F7" s="109">
        <f>VLOOKUP($A7,ANAGRAFICA!$B$1:$G$306,6,FALSE)</f>
        <v>2024</v>
      </c>
      <c r="G7" s="3" t="s">
        <v>1385</v>
      </c>
      <c r="H7" s="117" t="b">
        <v>0</v>
      </c>
      <c r="I7" s="3" t="b">
        <v>1</v>
      </c>
      <c r="J7" s="117"/>
      <c r="K7" s="3" t="s">
        <v>1293</v>
      </c>
      <c r="L7" s="117" t="b">
        <v>0</v>
      </c>
      <c r="M7" s="117" t="b">
        <v>0</v>
      </c>
      <c r="N7" s="117" t="b">
        <v>0</v>
      </c>
      <c r="R7" s="77">
        <v>45336.0</v>
      </c>
      <c r="S7" s="3" t="s">
        <v>354</v>
      </c>
      <c r="V7" s="3" t="s">
        <v>354</v>
      </c>
      <c r="W7" s="3"/>
      <c r="X7" s="3" t="s">
        <v>1395</v>
      </c>
      <c r="Y7" s="3" t="s">
        <v>1396</v>
      </c>
      <c r="Z7" s="117" t="b">
        <v>0</v>
      </c>
      <c r="AC7" s="3">
        <v>3.0</v>
      </c>
      <c r="AF7" s="3" t="b">
        <v>0</v>
      </c>
      <c r="AG7" s="117" t="b">
        <v>0</v>
      </c>
      <c r="AH7" s="117"/>
    </row>
    <row r="8">
      <c r="A8" s="57">
        <v>2.124019725E9</v>
      </c>
      <c r="B8" s="109" t="str">
        <f>VLOOKUP($A8,ANAGRAFICA!$B$1:$G$306,2,FALSE)</f>
        <v>AMIWO</v>
      </c>
      <c r="C8" s="109" t="str">
        <f>VLOOKUP($A8,ANAGRAFICA!$B$1:$G$306,3,FALSE)</f>
        <v>REX STEVE</v>
      </c>
      <c r="D8" s="109" t="str">
        <f>VLOOKUP($A8,ANAGRAFICA!$B$1:$G$306,4,FALSE)</f>
        <v>758-18</v>
      </c>
      <c r="E8" s="109">
        <f>VLOOKUP($A8,ANAGRAFICA!$B$1:$G$306,5,FALSE)</f>
        <v>3272024084</v>
      </c>
      <c r="F8" s="109">
        <f>VLOOKUP($A8,ANAGRAFICA!$B$1:$G$306,6,FALSE)</f>
        <v>2024</v>
      </c>
      <c r="G8" s="3" t="s">
        <v>1385</v>
      </c>
      <c r="H8" s="117" t="b">
        <v>0</v>
      </c>
      <c r="I8" s="3" t="b">
        <v>1</v>
      </c>
      <c r="J8" s="117"/>
      <c r="K8" s="3" t="s">
        <v>1406</v>
      </c>
      <c r="L8" s="3" t="b">
        <v>1</v>
      </c>
      <c r="M8" s="3" t="b">
        <v>0</v>
      </c>
      <c r="N8" s="117" t="b">
        <v>0</v>
      </c>
      <c r="W8" s="117"/>
      <c r="X8" s="117"/>
      <c r="Z8" s="117" t="b">
        <v>0</v>
      </c>
      <c r="AF8" s="117" t="b">
        <v>0</v>
      </c>
      <c r="AG8" s="117" t="b">
        <v>0</v>
      </c>
      <c r="AH8" s="117"/>
    </row>
    <row r="9">
      <c r="A9" s="57">
        <v>2.12401869E9</v>
      </c>
      <c r="B9" s="109" t="str">
        <f>VLOOKUP($A9,ANAGRAFICA!$B$1:$G$306,2,FALSE)</f>
        <v>AVENIDO</v>
      </c>
      <c r="C9" s="109" t="str">
        <f>VLOOKUP($A9,ANAGRAFICA!$B$1:$G$306,3,FALSE)</f>
        <v>DELFIN</v>
      </c>
      <c r="D9" s="109" t="str">
        <f>VLOOKUP($A9,ANAGRAFICA!$B$1:$G$306,4,FALSE)</f>
        <v>758-16</v>
      </c>
      <c r="E9" s="109">
        <f>VLOOKUP($A9,ANAGRAFICA!$B$1:$G$306,5,FALSE)</f>
        <v>3272024082</v>
      </c>
      <c r="F9" s="109">
        <f>VLOOKUP($A9,ANAGRAFICA!$B$1:$G$306,6,FALSE)</f>
        <v>2024</v>
      </c>
      <c r="G9" s="3" t="s">
        <v>1389</v>
      </c>
      <c r="H9" s="117" t="b">
        <v>0</v>
      </c>
      <c r="I9" s="3" t="b">
        <v>1</v>
      </c>
      <c r="J9" s="3" t="s">
        <v>1390</v>
      </c>
      <c r="K9" s="117"/>
      <c r="L9" s="117" t="b">
        <v>0</v>
      </c>
      <c r="M9" s="3" t="b">
        <v>1</v>
      </c>
      <c r="N9" s="117" t="b">
        <v>0</v>
      </c>
      <c r="O9" s="3" t="s">
        <v>1407</v>
      </c>
      <c r="R9" s="76">
        <v>45585.0</v>
      </c>
      <c r="S9" s="3" t="s">
        <v>1408</v>
      </c>
      <c r="T9" s="3" t="s">
        <v>823</v>
      </c>
      <c r="U9" s="3" t="s">
        <v>115</v>
      </c>
      <c r="V9" s="3" t="s">
        <v>814</v>
      </c>
      <c r="W9" s="3"/>
      <c r="X9" s="3" t="s">
        <v>1387</v>
      </c>
      <c r="Z9" s="3" t="b">
        <v>0</v>
      </c>
      <c r="AB9" s="3">
        <v>7.0</v>
      </c>
      <c r="AC9" s="3">
        <v>6.0</v>
      </c>
      <c r="AD9" s="3">
        <v>450.0</v>
      </c>
      <c r="AF9" s="117" t="b">
        <v>0</v>
      </c>
      <c r="AG9" s="117" t="b">
        <v>0</v>
      </c>
      <c r="AH9" s="3" t="s">
        <v>1397</v>
      </c>
      <c r="AI9" s="3" t="s">
        <v>1409</v>
      </c>
    </row>
    <row r="10">
      <c r="A10" s="57">
        <v>2.124018637E9</v>
      </c>
      <c r="B10" s="109" t="str">
        <f>VLOOKUP($A10,ANAGRAFICA!$B$1:$G$306,2,FALSE)</f>
        <v>CARIBONI</v>
      </c>
      <c r="C10" s="109" t="str">
        <f>VLOOKUP($A10,ANAGRAFICA!$B$1:$G$306,3,FALSE)</f>
        <v>LORENZA</v>
      </c>
      <c r="D10" s="109" t="str">
        <f>VLOOKUP($A10,ANAGRAFICA!$B$1:$G$306,4,FALSE)</f>
        <v>758-15</v>
      </c>
      <c r="E10" s="109">
        <f>VLOOKUP($A10,ANAGRAFICA!$B$1:$G$306,5,FALSE)</f>
        <v>3272024081</v>
      </c>
      <c r="F10" s="109">
        <f>VLOOKUP($A10,ANAGRAFICA!$B$1:$G$306,6,FALSE)</f>
        <v>2024</v>
      </c>
      <c r="G10" s="3" t="s">
        <v>1389</v>
      </c>
      <c r="H10" s="117" t="b">
        <v>0</v>
      </c>
      <c r="I10" s="3" t="b">
        <v>1</v>
      </c>
      <c r="J10" s="3" t="s">
        <v>1164</v>
      </c>
      <c r="K10" s="117"/>
      <c r="L10" s="117" t="b">
        <v>0</v>
      </c>
      <c r="M10" s="3" t="b">
        <v>1</v>
      </c>
      <c r="N10" s="117" t="b">
        <v>0</v>
      </c>
      <c r="O10" s="3" t="s">
        <v>1410</v>
      </c>
      <c r="P10" s="258" t="s">
        <v>1411</v>
      </c>
      <c r="Q10" s="3" t="s">
        <v>516</v>
      </c>
      <c r="R10" s="76">
        <v>45584.0</v>
      </c>
      <c r="S10" s="3" t="s">
        <v>1412</v>
      </c>
      <c r="T10" s="3" t="s">
        <v>1413</v>
      </c>
      <c r="U10" s="3" t="s">
        <v>1414</v>
      </c>
      <c r="V10" s="3" t="s">
        <v>1415</v>
      </c>
      <c r="W10" s="117"/>
      <c r="X10" s="3" t="s">
        <v>1387</v>
      </c>
      <c r="Y10" s="3" t="s">
        <v>1388</v>
      </c>
      <c r="Z10" s="3" t="b">
        <v>1</v>
      </c>
      <c r="AB10" s="3">
        <v>2.0</v>
      </c>
      <c r="AC10" s="3">
        <v>3.0</v>
      </c>
      <c r="AF10" s="3" t="b">
        <v>1</v>
      </c>
      <c r="AG10" s="117" t="b">
        <v>0</v>
      </c>
      <c r="AH10" s="3" t="s">
        <v>1397</v>
      </c>
      <c r="AI10" s="3" t="s">
        <v>1416</v>
      </c>
    </row>
    <row r="11">
      <c r="A11" s="57">
        <v>2.124014334E9</v>
      </c>
      <c r="B11" s="109" t="str">
        <f>VLOOKUP($A11,ANAGRAFICA!$B$1:$G$306,2,FALSE)</f>
        <v>PONTIGGIA</v>
      </c>
      <c r="C11" s="109" t="str">
        <f>VLOOKUP($A11,ANAGRAFICA!$B$1:$G$306,3,FALSE)</f>
        <v>FLAVIO</v>
      </c>
      <c r="D11" s="109" t="str">
        <f>VLOOKUP($A11,ANAGRAFICA!$B$1:$G$306,4,FALSE)</f>
        <v>758-9</v>
      </c>
      <c r="E11" s="109">
        <f>VLOOKUP($A11,ANAGRAFICA!$B$1:$G$306,5,FALSE)</f>
        <v>3272024075</v>
      </c>
      <c r="F11" s="109">
        <f>VLOOKUP($A11,ANAGRAFICA!$B$1:$G$306,6,FALSE)</f>
        <v>2024</v>
      </c>
      <c r="G11" s="3" t="s">
        <v>1389</v>
      </c>
      <c r="H11" s="117" t="b">
        <v>0</v>
      </c>
      <c r="I11" s="3" t="b">
        <v>1</v>
      </c>
      <c r="J11" s="3" t="s">
        <v>1390</v>
      </c>
      <c r="K11" s="117"/>
      <c r="L11" s="117" t="b">
        <v>0</v>
      </c>
      <c r="M11" s="3" t="b">
        <v>1</v>
      </c>
      <c r="N11" s="117" t="b">
        <v>0</v>
      </c>
      <c r="O11" s="3" t="s">
        <v>1417</v>
      </c>
      <c r="P11" s="3" t="s">
        <v>516</v>
      </c>
      <c r="Q11" s="3" t="s">
        <v>516</v>
      </c>
      <c r="R11" s="77">
        <v>45512.0</v>
      </c>
      <c r="S11" s="3" t="s">
        <v>1418</v>
      </c>
      <c r="T11" s="3" t="s">
        <v>516</v>
      </c>
      <c r="U11" s="3" t="s">
        <v>1419</v>
      </c>
      <c r="V11" s="3" t="s">
        <v>1418</v>
      </c>
      <c r="W11" s="117"/>
      <c r="X11" s="3" t="s">
        <v>1387</v>
      </c>
      <c r="Y11" s="3" t="s">
        <v>1388</v>
      </c>
      <c r="Z11" s="3" t="b">
        <v>1</v>
      </c>
      <c r="AB11" s="3">
        <v>6.0</v>
      </c>
      <c r="AC11" s="3">
        <v>6.0</v>
      </c>
      <c r="AD11" s="3">
        <v>450.0</v>
      </c>
      <c r="AF11" s="117" t="b">
        <v>0</v>
      </c>
      <c r="AG11" s="3" t="b">
        <v>1</v>
      </c>
      <c r="AH11" s="3" t="s">
        <v>1397</v>
      </c>
      <c r="AI11" s="3" t="s">
        <v>521</v>
      </c>
    </row>
    <row r="12">
      <c r="A12" s="57">
        <v>2.124012915E9</v>
      </c>
      <c r="B12" s="109" t="str">
        <f>VLOOKUP($A12,ANAGRAFICA!$B$1:$G$306,2,FALSE)</f>
        <v>GARGIONI</v>
      </c>
      <c r="C12" s="109" t="str">
        <f>VLOOKUP($A12,ANAGRAFICA!$B$1:$G$306,3,FALSE)</f>
        <v>GIULIO</v>
      </c>
      <c r="D12" s="109" t="str">
        <f>VLOOKUP($A12,ANAGRAFICA!$B$1:$G$306,4,FALSE)</f>
        <v>758-6</v>
      </c>
      <c r="E12" s="109">
        <f>VLOOKUP($A12,ANAGRAFICA!$B$1:$G$306,5,FALSE)</f>
        <v>3272024072</v>
      </c>
      <c r="F12" s="109">
        <f>VLOOKUP($A12,ANAGRAFICA!$B$1:$G$306,6,FALSE)</f>
        <v>2024</v>
      </c>
      <c r="G12" s="3" t="s">
        <v>1389</v>
      </c>
      <c r="H12" s="117" t="b">
        <v>0</v>
      </c>
      <c r="I12" s="3" t="b">
        <v>1</v>
      </c>
      <c r="J12" s="3" t="s">
        <v>1293</v>
      </c>
      <c r="K12" s="117"/>
      <c r="L12" s="117" t="b">
        <v>0</v>
      </c>
      <c r="M12" s="3" t="b">
        <v>1</v>
      </c>
      <c r="N12" s="117" t="b">
        <v>0</v>
      </c>
      <c r="O12" s="3" t="s">
        <v>1420</v>
      </c>
      <c r="P12" s="3" t="s">
        <v>1421</v>
      </c>
      <c r="Q12" s="3">
        <v>0.0</v>
      </c>
      <c r="R12" s="77">
        <v>45485.0</v>
      </c>
      <c r="S12" s="3" t="s">
        <v>1422</v>
      </c>
      <c r="T12" s="3" t="s">
        <v>1423</v>
      </c>
      <c r="U12" s="3" t="s">
        <v>318</v>
      </c>
      <c r="V12" s="3" t="s">
        <v>1422</v>
      </c>
      <c r="W12" s="3" t="s">
        <v>1387</v>
      </c>
      <c r="X12" s="3" t="s">
        <v>1387</v>
      </c>
      <c r="Y12" s="3" t="s">
        <v>1388</v>
      </c>
      <c r="Z12" s="3" t="b">
        <v>1</v>
      </c>
      <c r="AA12" s="3">
        <v>1.0</v>
      </c>
      <c r="AB12" s="3">
        <v>1.0</v>
      </c>
      <c r="AC12" s="3">
        <v>3.0</v>
      </c>
      <c r="AD12" s="3">
        <v>300.0</v>
      </c>
      <c r="AF12" s="3" t="b">
        <v>0</v>
      </c>
      <c r="AG12" s="3" t="b">
        <v>1</v>
      </c>
      <c r="AH12" s="3" t="s">
        <v>1397</v>
      </c>
      <c r="AI12" s="3" t="s">
        <v>1424</v>
      </c>
    </row>
    <row r="13">
      <c r="A13" s="57">
        <v>2.124012963E9</v>
      </c>
      <c r="B13" s="109" t="str">
        <f>VLOOKUP($A13,ANAGRAFICA!$B$1:$G$306,2,FALSE)</f>
        <v>TARENZI</v>
      </c>
      <c r="C13" s="109" t="str">
        <f>VLOOKUP($A13,ANAGRAFICA!$B$1:$G$306,3,FALSE)</f>
        <v>GIACOMO</v>
      </c>
      <c r="D13" s="109" t="str">
        <f>VLOOKUP($A13,ANAGRAFICA!$B$1:$G$306,4,FALSE)</f>
        <v>758-7</v>
      </c>
      <c r="E13" s="109">
        <f>VLOOKUP($A13,ANAGRAFICA!$B$1:$G$306,5,FALSE)</f>
        <v>3272024073</v>
      </c>
      <c r="F13" s="109">
        <f>VLOOKUP($A13,ANAGRAFICA!$B$1:$G$306,6,FALSE)</f>
        <v>2024</v>
      </c>
      <c r="G13" s="3" t="s">
        <v>1385</v>
      </c>
      <c r="H13" s="117" t="b">
        <v>0</v>
      </c>
      <c r="I13" s="3" t="b">
        <v>1</v>
      </c>
      <c r="J13" s="117"/>
      <c r="K13" s="3" t="s">
        <v>1406</v>
      </c>
      <c r="L13" s="3" t="b">
        <v>1</v>
      </c>
      <c r="M13" s="117" t="b">
        <v>0</v>
      </c>
      <c r="N13" s="117" t="b">
        <v>0</v>
      </c>
      <c r="R13" s="77">
        <v>45487.0</v>
      </c>
      <c r="S13" s="3" t="s">
        <v>827</v>
      </c>
      <c r="V13" s="3" t="s">
        <v>827</v>
      </c>
      <c r="W13" s="3"/>
      <c r="X13" s="3" t="s">
        <v>1395</v>
      </c>
      <c r="Y13" s="3" t="s">
        <v>1396</v>
      </c>
      <c r="Z13" s="3" t="b">
        <v>1</v>
      </c>
      <c r="AC13" s="3">
        <v>5.0</v>
      </c>
      <c r="AF13" s="117" t="b">
        <v>0</v>
      </c>
      <c r="AG13" s="117" t="b">
        <v>0</v>
      </c>
      <c r="AH13" s="117"/>
      <c r="AI13" s="3" t="s">
        <v>1425</v>
      </c>
    </row>
    <row r="14">
      <c r="A14" s="57">
        <v>2.124208629E9</v>
      </c>
      <c r="B14" s="109" t="str">
        <f>VLOOKUP($A14,ANAGRAFICA!$B$1:$G$306,2,FALSE)</f>
        <v>D'ANDREA</v>
      </c>
      <c r="C14" s="109" t="str">
        <f>VLOOKUP($A14,ANAGRAFICA!$B$1:$G$306,3,FALSE)</f>
        <v>FERNANDO ANTONIO</v>
      </c>
      <c r="D14" s="109" t="str">
        <f>VLOOKUP($A14,ANAGRAFICA!$B$1:$G$306,4,FALSE)</f>
        <v>758-5</v>
      </c>
      <c r="E14" s="109">
        <f>VLOOKUP($A14,ANAGRAFICA!$B$1:$G$306,5,FALSE)</f>
        <v>3272024071</v>
      </c>
      <c r="F14" s="109">
        <f>VLOOKUP($A14,ANAGRAFICA!$B$1:$G$306,6,FALSE)</f>
        <v>2024</v>
      </c>
      <c r="G14" s="3" t="s">
        <v>1389</v>
      </c>
      <c r="H14" s="117" t="b">
        <v>0</v>
      </c>
      <c r="I14" s="3" t="b">
        <v>1</v>
      </c>
      <c r="J14" s="3" t="s">
        <v>1164</v>
      </c>
      <c r="K14" s="117"/>
      <c r="L14" s="117" t="b">
        <v>0</v>
      </c>
      <c r="M14" s="3" t="b">
        <v>1</v>
      </c>
      <c r="N14" s="117" t="b">
        <v>0</v>
      </c>
      <c r="O14" s="3" t="s">
        <v>1426</v>
      </c>
      <c r="P14" s="3" t="s">
        <v>1427</v>
      </c>
      <c r="Q14" s="3" t="s">
        <v>516</v>
      </c>
      <c r="R14" s="77">
        <v>45470.0</v>
      </c>
      <c r="S14" s="3" t="s">
        <v>846</v>
      </c>
      <c r="T14" s="3" t="s">
        <v>516</v>
      </c>
      <c r="U14" s="3" t="s">
        <v>1428</v>
      </c>
      <c r="V14" s="3" t="s">
        <v>846</v>
      </c>
      <c r="W14" s="3"/>
      <c r="X14" s="3" t="s">
        <v>1387</v>
      </c>
      <c r="Y14" s="3" t="s">
        <v>1388</v>
      </c>
      <c r="Z14" s="3" t="b">
        <v>1</v>
      </c>
      <c r="AB14" s="3">
        <v>8.0</v>
      </c>
      <c r="AC14" s="3">
        <v>5.0</v>
      </c>
      <c r="AD14" s="3">
        <v>450.0</v>
      </c>
      <c r="AF14" s="117" t="b">
        <v>0</v>
      </c>
      <c r="AG14" s="3" t="b">
        <v>1</v>
      </c>
      <c r="AH14" s="3" t="s">
        <v>1397</v>
      </c>
      <c r="AI14" s="3" t="s">
        <v>1429</v>
      </c>
    </row>
    <row r="15">
      <c r="A15" s="57">
        <v>2.1240107E9</v>
      </c>
      <c r="B15" s="109" t="str">
        <f>VLOOKUP($A15,ANAGRAFICA!$B$1:$G$306,2,FALSE)</f>
        <v>ORNAGHI</v>
      </c>
      <c r="C15" s="109" t="str">
        <f>VLOOKUP($A15,ANAGRAFICA!$B$1:$G$306,3,FALSE)</f>
        <v>LORENZO</v>
      </c>
      <c r="D15" s="109" t="str">
        <f>VLOOKUP($A15,ANAGRAFICA!$B$1:$G$306,4,FALSE)</f>
        <v>758-2</v>
      </c>
      <c r="E15" s="109">
        <f>VLOOKUP($A15,ANAGRAFICA!$B$1:$G$306,5,FALSE)</f>
        <v>3272024068</v>
      </c>
      <c r="F15" s="109">
        <f>VLOOKUP($A15,ANAGRAFICA!$B$1:$G$306,6,FALSE)</f>
        <v>2024</v>
      </c>
      <c r="G15" s="3" t="s">
        <v>1389</v>
      </c>
      <c r="H15" s="117" t="b">
        <v>0</v>
      </c>
      <c r="I15" s="3" t="b">
        <v>1</v>
      </c>
      <c r="J15" s="3" t="s">
        <v>1164</v>
      </c>
      <c r="K15" s="3"/>
      <c r="L15" s="3" t="b">
        <v>0</v>
      </c>
      <c r="M15" s="3" t="b">
        <v>1</v>
      </c>
      <c r="N15" s="117" t="b">
        <v>0</v>
      </c>
      <c r="O15" s="3" t="s">
        <v>1430</v>
      </c>
      <c r="P15" s="3" t="s">
        <v>1431</v>
      </c>
      <c r="R15" s="77">
        <v>45448.0</v>
      </c>
      <c r="S15" s="3" t="s">
        <v>1432</v>
      </c>
      <c r="T15" s="3" t="s">
        <v>818</v>
      </c>
      <c r="U15" s="3" t="s">
        <v>651</v>
      </c>
      <c r="V15" s="3" t="s">
        <v>1432</v>
      </c>
      <c r="W15" s="3" t="s">
        <v>1387</v>
      </c>
      <c r="X15" s="3" t="s">
        <v>1395</v>
      </c>
      <c r="Y15" s="3" t="s">
        <v>1396</v>
      </c>
      <c r="Z15" s="3" t="b">
        <v>1</v>
      </c>
      <c r="AA15" s="3">
        <v>1.0</v>
      </c>
      <c r="AB15" s="3">
        <v>8.0</v>
      </c>
      <c r="AC15" s="3">
        <v>7.0</v>
      </c>
      <c r="AD15" s="3">
        <v>300.0</v>
      </c>
      <c r="AF15" s="117" t="b">
        <v>0</v>
      </c>
      <c r="AG15" s="3" t="b">
        <v>1</v>
      </c>
      <c r="AH15" s="3" t="s">
        <v>1397</v>
      </c>
      <c r="AI15" s="3" t="s">
        <v>115</v>
      </c>
    </row>
    <row r="16">
      <c r="A16" s="57">
        <v>2.124009735E9</v>
      </c>
      <c r="B16" s="109" t="str">
        <f>VLOOKUP($A16,ANAGRAFICA!$B$1:$G$306,2,FALSE)</f>
        <v>BOSSI</v>
      </c>
      <c r="C16" s="109" t="str">
        <f>VLOOKUP($A16,ANAGRAFICA!$B$1:$G$306,3,FALSE)</f>
        <v>LUDOVICO</v>
      </c>
      <c r="D16" s="109" t="str">
        <f>VLOOKUP($A16,ANAGRAFICA!$B$1:$G$306,4,FALSE)</f>
        <v>758-1</v>
      </c>
      <c r="E16" s="109">
        <f>VLOOKUP($A16,ANAGRAFICA!$B$1:$G$306,5,FALSE)</f>
        <v>3272024067</v>
      </c>
      <c r="F16" s="109">
        <f>VLOOKUP($A16,ANAGRAFICA!$B$1:$G$306,6,FALSE)</f>
        <v>2024</v>
      </c>
      <c r="G16" s="3" t="s">
        <v>1389</v>
      </c>
      <c r="H16" s="117" t="b">
        <v>0</v>
      </c>
      <c r="I16" s="3" t="b">
        <v>1</v>
      </c>
      <c r="J16" s="3" t="s">
        <v>1164</v>
      </c>
      <c r="K16" s="3"/>
      <c r="L16" s="3" t="b">
        <v>0</v>
      </c>
      <c r="M16" s="3" t="b">
        <v>1</v>
      </c>
      <c r="N16" s="117" t="b">
        <v>0</v>
      </c>
      <c r="O16" s="3" t="s">
        <v>1420</v>
      </c>
      <c r="P16" s="3" t="s">
        <v>1433</v>
      </c>
      <c r="Q16" s="3" t="s">
        <v>516</v>
      </c>
      <c r="R16" s="77">
        <v>45434.0</v>
      </c>
      <c r="S16" s="3" t="s">
        <v>1434</v>
      </c>
      <c r="T16" s="3" t="s">
        <v>1435</v>
      </c>
      <c r="U16" s="3" t="s">
        <v>639</v>
      </c>
      <c r="V16" s="3" t="s">
        <v>1436</v>
      </c>
      <c r="W16" s="3" t="s">
        <v>1387</v>
      </c>
      <c r="X16" s="3" t="s">
        <v>1387</v>
      </c>
      <c r="Y16" s="3" t="s">
        <v>1388</v>
      </c>
      <c r="Z16" s="3" t="b">
        <v>1</v>
      </c>
      <c r="AB16" s="3">
        <v>3.0</v>
      </c>
      <c r="AC16" s="3">
        <v>6.0</v>
      </c>
      <c r="AD16" s="3">
        <v>300.0</v>
      </c>
      <c r="AF16" s="117" t="b">
        <v>0</v>
      </c>
      <c r="AG16" s="117" t="b">
        <v>0</v>
      </c>
      <c r="AH16" s="3" t="s">
        <v>1397</v>
      </c>
      <c r="AI16" s="3" t="s">
        <v>110</v>
      </c>
    </row>
    <row r="17">
      <c r="A17" s="57">
        <v>2.124011236E9</v>
      </c>
      <c r="B17" s="109" t="str">
        <f>VLOOKUP($A17,ANAGRAFICA!$B$1:$G$306,2,FALSE)</f>
        <v>BERETTA</v>
      </c>
      <c r="C17" s="109" t="str">
        <f>VLOOKUP($A17,ANAGRAFICA!$B$1:$G$306,3,FALSE)</f>
        <v>ENZO LUCIANO</v>
      </c>
      <c r="D17" s="109" t="str">
        <f>VLOOKUP($A17,ANAGRAFICA!$B$1:$G$306,4,FALSE)</f>
        <v>758-3</v>
      </c>
      <c r="E17" s="109">
        <f>VLOOKUP($A17,ANAGRAFICA!$B$1:$G$306,5,FALSE)</f>
        <v>3272024069</v>
      </c>
      <c r="F17" s="109">
        <f>VLOOKUP($A17,ANAGRAFICA!$B$1:$G$306,6,FALSE)</f>
        <v>2024</v>
      </c>
      <c r="G17" s="3" t="s">
        <v>1385</v>
      </c>
      <c r="H17" s="117" t="b">
        <v>0</v>
      </c>
      <c r="I17" s="3" t="b">
        <v>1</v>
      </c>
      <c r="J17" s="117"/>
      <c r="K17" s="3" t="s">
        <v>1437</v>
      </c>
      <c r="L17" s="3" t="b">
        <v>1</v>
      </c>
      <c r="M17" s="117" t="b">
        <v>0</v>
      </c>
      <c r="N17" s="117" t="b">
        <v>0</v>
      </c>
      <c r="R17" s="77">
        <v>45461.0</v>
      </c>
      <c r="S17" s="3" t="s">
        <v>1438</v>
      </c>
      <c r="V17" s="3" t="s">
        <v>1438</v>
      </c>
      <c r="W17" s="117"/>
      <c r="X17" s="3" t="s">
        <v>1395</v>
      </c>
      <c r="Y17" s="3" t="s">
        <v>1396</v>
      </c>
      <c r="Z17" s="3" t="b">
        <v>1</v>
      </c>
      <c r="AA17" s="3">
        <v>0.0</v>
      </c>
      <c r="AB17" s="3">
        <v>2.0</v>
      </c>
      <c r="AC17" s="3">
        <v>3.0</v>
      </c>
      <c r="AF17" s="3" t="b">
        <v>1</v>
      </c>
      <c r="AG17" s="117" t="b">
        <v>0</v>
      </c>
      <c r="AH17" s="117"/>
    </row>
    <row r="18">
      <c r="A18" s="57">
        <v>2.124206072E9</v>
      </c>
      <c r="B18" s="109" t="str">
        <f>VLOOKUP($A18,ANAGRAFICA!$B$1:$G$306,2,FALSE)</f>
        <v>CONSONNI</v>
      </c>
      <c r="C18" s="109" t="str">
        <f>VLOOKUP($A18,ANAGRAFICA!$B$1:$G$306,3,FALSE)</f>
        <v>GIULIO</v>
      </c>
      <c r="D18" s="109" t="str">
        <f>VLOOKUP($A18,ANAGRAFICA!$B$1:$G$306,4,FALSE)</f>
        <v/>
      </c>
      <c r="E18" s="109">
        <f>VLOOKUP($A18,ANAGRAFICA!$B$1:$G$306,5,FALSE)</f>
        <v>3272024064</v>
      </c>
      <c r="F18" s="109">
        <f>VLOOKUP($A18,ANAGRAFICA!$B$1:$G$306,6,FALSE)</f>
        <v>2024</v>
      </c>
      <c r="G18" s="3" t="s">
        <v>1389</v>
      </c>
      <c r="H18" s="117" t="b">
        <v>0</v>
      </c>
      <c r="I18" s="3" t="b">
        <v>1</v>
      </c>
      <c r="J18" s="3" t="s">
        <v>1164</v>
      </c>
      <c r="K18" s="3"/>
      <c r="L18" s="117" t="b">
        <v>0</v>
      </c>
      <c r="M18" s="3" t="b">
        <v>0</v>
      </c>
      <c r="N18" s="117" t="b">
        <v>0</v>
      </c>
      <c r="O18" s="3" t="s">
        <v>1439</v>
      </c>
      <c r="P18" s="3" t="s">
        <v>1440</v>
      </c>
      <c r="R18" s="77">
        <v>45408.0</v>
      </c>
      <c r="W18" s="3"/>
      <c r="X18" s="3" t="s">
        <v>1387</v>
      </c>
      <c r="Y18" s="3" t="s">
        <v>1388</v>
      </c>
      <c r="Z18" s="117" t="b">
        <v>0</v>
      </c>
      <c r="AF18" s="3" t="b">
        <v>1</v>
      </c>
      <c r="AG18" s="117" t="b">
        <v>0</v>
      </c>
      <c r="AH18" s="3" t="s">
        <v>1397</v>
      </c>
    </row>
    <row r="19">
      <c r="A19" s="57">
        <v>2.124007138E9</v>
      </c>
      <c r="B19" s="109" t="str">
        <f>VLOOKUP($A19,ANAGRAFICA!$B$1:$G$306,2,FALSE)</f>
        <v>TARTARELLI</v>
      </c>
      <c r="C19" s="109" t="str">
        <f>VLOOKUP($A19,ANAGRAFICA!$B$1:$G$306,3,FALSE)</f>
        <v>GIUSEPPE</v>
      </c>
      <c r="D19" s="109" t="str">
        <f>VLOOKUP($A19,ANAGRAFICA!$B$1:$G$306,4,FALSE)</f>
        <v/>
      </c>
      <c r="E19" s="109">
        <f>VLOOKUP($A19,ANAGRAFICA!$B$1:$G$306,5,FALSE)</f>
        <v>3272024063</v>
      </c>
      <c r="F19" s="109">
        <f>VLOOKUP($A19,ANAGRAFICA!$B$1:$G$306,6,FALSE)</f>
        <v>2024</v>
      </c>
      <c r="G19" s="3" t="s">
        <v>1389</v>
      </c>
      <c r="H19" s="117" t="b">
        <v>0</v>
      </c>
      <c r="I19" s="3" t="b">
        <v>1</v>
      </c>
      <c r="J19" s="3" t="s">
        <v>1441</v>
      </c>
      <c r="K19" s="117"/>
      <c r="L19" s="117" t="b">
        <v>0</v>
      </c>
      <c r="M19" s="3" t="b">
        <v>1</v>
      </c>
      <c r="N19" s="117" t="b">
        <v>0</v>
      </c>
      <c r="R19" s="77">
        <v>45395.0</v>
      </c>
      <c r="S19" s="3" t="s">
        <v>92</v>
      </c>
      <c r="T19" s="3" t="s">
        <v>516</v>
      </c>
      <c r="U19" s="3" t="s">
        <v>516</v>
      </c>
      <c r="V19" s="3" t="s">
        <v>92</v>
      </c>
      <c r="W19" s="3" t="s">
        <v>1387</v>
      </c>
      <c r="X19" s="3" t="s">
        <v>1387</v>
      </c>
      <c r="Y19" s="3" t="s">
        <v>1388</v>
      </c>
      <c r="Z19" s="3" t="b">
        <v>1</v>
      </c>
      <c r="AA19" s="3">
        <v>1.0</v>
      </c>
      <c r="AB19" s="3">
        <v>1.0</v>
      </c>
      <c r="AC19" s="3">
        <v>5.0</v>
      </c>
      <c r="AD19" s="3">
        <v>450.0</v>
      </c>
      <c r="AF19" s="117" t="b">
        <v>0</v>
      </c>
      <c r="AG19" s="3" t="b">
        <v>1</v>
      </c>
      <c r="AH19" s="3" t="s">
        <v>1397</v>
      </c>
      <c r="AI19" s="3" t="s">
        <v>452</v>
      </c>
    </row>
    <row r="20">
      <c r="A20" s="57">
        <v>2.124015827E9</v>
      </c>
      <c r="B20" s="109" t="str">
        <f>VLOOKUP($A20,ANAGRAFICA!$B$1:$G$306,2,FALSE)</f>
        <v>SCHIAVON</v>
      </c>
      <c r="C20" s="109" t="str">
        <f>VLOOKUP($A20,ANAGRAFICA!$B$1:$G$306,3,FALSE)</f>
        <v>ELIO PAOLO</v>
      </c>
      <c r="D20" s="109" t="str">
        <f>VLOOKUP($A20,ANAGRAFICA!$B$1:$G$306,4,FALSE)</f>
        <v>758-11</v>
      </c>
      <c r="E20" s="109">
        <f>VLOOKUP($A20,ANAGRAFICA!$B$1:$G$306,5,FALSE)</f>
        <v>3272024077</v>
      </c>
      <c r="F20" s="109">
        <f>VLOOKUP($A20,ANAGRAFICA!$B$1:$G$306,6,FALSE)</f>
        <v>2024</v>
      </c>
      <c r="G20" s="3" t="s">
        <v>1385</v>
      </c>
      <c r="H20" s="117" t="b">
        <v>0</v>
      </c>
      <c r="I20" s="3" t="b">
        <v>1</v>
      </c>
      <c r="J20" s="117"/>
      <c r="K20" s="3" t="s">
        <v>1406</v>
      </c>
      <c r="L20" s="3" t="b">
        <v>1</v>
      </c>
      <c r="M20" s="117" t="b">
        <v>0</v>
      </c>
      <c r="N20" s="117" t="b">
        <v>0</v>
      </c>
      <c r="R20" s="77">
        <v>45543.0</v>
      </c>
      <c r="S20" s="3" t="s">
        <v>792</v>
      </c>
      <c r="V20" s="3" t="s">
        <v>792</v>
      </c>
      <c r="W20" s="117"/>
      <c r="X20" s="3" t="s">
        <v>1387</v>
      </c>
      <c r="Y20" s="3" t="s">
        <v>1388</v>
      </c>
      <c r="Z20" s="3" t="b">
        <v>1</v>
      </c>
      <c r="AB20" s="3">
        <v>5.0</v>
      </c>
      <c r="AC20" s="3">
        <v>5.0</v>
      </c>
      <c r="AD20" s="3">
        <v>450.0</v>
      </c>
      <c r="AF20" s="117" t="b">
        <v>0</v>
      </c>
      <c r="AG20" s="117" t="b">
        <v>0</v>
      </c>
      <c r="AH20" s="117"/>
    </row>
    <row r="21">
      <c r="A21" s="57">
        <v>2.12400578E9</v>
      </c>
      <c r="B21" s="109" t="str">
        <f>VLOOKUP($A21,ANAGRAFICA!$B$1:$G$306,2,FALSE)</f>
        <v>SAINCIUC</v>
      </c>
      <c r="C21" s="109" t="str">
        <f>VLOOKUP($A21,ANAGRAFICA!$B$1:$G$306,3,FALSE)</f>
        <v>AUREL</v>
      </c>
      <c r="D21" s="109" t="str">
        <f>VLOOKUP($A21,ANAGRAFICA!$B$1:$G$306,4,FALSE)</f>
        <v/>
      </c>
      <c r="E21" s="109">
        <f>VLOOKUP($A21,ANAGRAFICA!$B$1:$G$306,5,FALSE)</f>
        <v>3272024061</v>
      </c>
      <c r="F21" s="109">
        <f>VLOOKUP($A21,ANAGRAFICA!$B$1:$G$306,6,FALSE)</f>
        <v>2024</v>
      </c>
      <c r="G21" s="3" t="s">
        <v>1389</v>
      </c>
      <c r="H21" s="117" t="b">
        <v>0</v>
      </c>
      <c r="I21" s="3" t="b">
        <v>1</v>
      </c>
      <c r="J21" s="3" t="s">
        <v>1164</v>
      </c>
      <c r="K21" s="117"/>
      <c r="L21" s="117" t="b">
        <v>0</v>
      </c>
      <c r="M21" s="3" t="b">
        <v>1</v>
      </c>
      <c r="N21" s="117" t="b">
        <v>0</v>
      </c>
      <c r="O21" s="3" t="s">
        <v>1420</v>
      </c>
      <c r="Q21" s="3">
        <v>7.0</v>
      </c>
      <c r="R21" s="77">
        <v>45376.0</v>
      </c>
      <c r="S21" s="3" t="s">
        <v>1442</v>
      </c>
      <c r="T21" s="3" t="s">
        <v>1443</v>
      </c>
      <c r="U21" s="3" t="s">
        <v>259</v>
      </c>
      <c r="W21" s="117"/>
      <c r="X21" s="3" t="s">
        <v>1387</v>
      </c>
      <c r="Y21" s="3" t="s">
        <v>1388</v>
      </c>
      <c r="Z21" s="117" t="b">
        <v>0</v>
      </c>
      <c r="AB21" s="3">
        <v>7.0</v>
      </c>
      <c r="AC21" s="3">
        <v>4.0</v>
      </c>
      <c r="AD21" s="3">
        <v>300.0</v>
      </c>
      <c r="AF21" s="3" t="b">
        <v>1</v>
      </c>
      <c r="AG21" s="117" t="b">
        <v>0</v>
      </c>
      <c r="AH21" s="3" t="s">
        <v>1397</v>
      </c>
      <c r="AI21" s="3" t="s">
        <v>1444</v>
      </c>
    </row>
    <row r="22">
      <c r="A22" s="57">
        <v>2.124004761E9</v>
      </c>
      <c r="B22" s="109" t="str">
        <f>VLOOKUP($A22,ANAGRAFICA!$B$1:$G$306,2,FALSE)</f>
        <v>TRAMPOLIN</v>
      </c>
      <c r="C22" s="109" t="str">
        <f>VLOOKUP($A22,ANAGRAFICA!$B$1:$G$306,3,FALSE)</f>
        <v>FABIO</v>
      </c>
      <c r="D22" s="109" t="str">
        <f>VLOOKUP($A22,ANAGRAFICA!$B$1:$G$306,4,FALSE)</f>
        <v/>
      </c>
      <c r="E22" s="109">
        <f>VLOOKUP($A22,ANAGRAFICA!$B$1:$G$306,5,FALSE)</f>
        <v>3272024060</v>
      </c>
      <c r="F22" s="109">
        <f>VLOOKUP($A22,ANAGRAFICA!$B$1:$G$306,6,FALSE)</f>
        <v>2024</v>
      </c>
      <c r="G22" s="3" t="s">
        <v>1389</v>
      </c>
      <c r="H22" s="117" t="b">
        <v>0</v>
      </c>
      <c r="I22" s="3" t="b">
        <v>1</v>
      </c>
      <c r="J22" s="3" t="s">
        <v>1164</v>
      </c>
      <c r="K22" s="117"/>
      <c r="L22" s="117" t="b">
        <v>0</v>
      </c>
      <c r="M22" s="3" t="b">
        <v>1</v>
      </c>
      <c r="N22" s="117" t="b">
        <v>0</v>
      </c>
      <c r="O22" s="3" t="s">
        <v>1445</v>
      </c>
      <c r="P22" s="3" t="s">
        <v>1446</v>
      </c>
      <c r="Q22" s="3" t="s">
        <v>516</v>
      </c>
      <c r="R22" s="77">
        <v>45361.0</v>
      </c>
      <c r="S22" s="3" t="s">
        <v>1447</v>
      </c>
      <c r="T22" s="3" t="s">
        <v>516</v>
      </c>
      <c r="U22" s="3" t="s">
        <v>746</v>
      </c>
      <c r="V22" s="3" t="s">
        <v>1447</v>
      </c>
      <c r="W22" s="3" t="s">
        <v>1387</v>
      </c>
      <c r="X22" s="3" t="s">
        <v>1387</v>
      </c>
      <c r="Y22" s="3" t="s">
        <v>1388</v>
      </c>
      <c r="Z22" s="3" t="b">
        <v>1</v>
      </c>
      <c r="AA22" s="3">
        <v>2.0</v>
      </c>
      <c r="AB22" s="3">
        <v>1.0</v>
      </c>
      <c r="AC22" s="3">
        <v>11.0</v>
      </c>
      <c r="AF22" s="117" t="b">
        <v>0</v>
      </c>
      <c r="AG22" s="3" t="b">
        <v>1</v>
      </c>
      <c r="AH22" s="3" t="s">
        <v>1397</v>
      </c>
      <c r="AI22" s="3" t="s">
        <v>79</v>
      </c>
    </row>
    <row r="23">
      <c r="A23" s="57">
        <v>2.124003924E9</v>
      </c>
      <c r="B23" s="109" t="str">
        <f>VLOOKUP($A23,ANAGRAFICA!$B$1:$G$306,2,FALSE)</f>
        <v>MUHAMMAD</v>
      </c>
      <c r="C23" s="109" t="str">
        <f>VLOOKUP($A23,ANAGRAFICA!$B$1:$G$306,3,FALSE)</f>
        <v>SHARIF</v>
      </c>
      <c r="D23" s="109" t="str">
        <f>VLOOKUP($A23,ANAGRAFICA!$B$1:$G$306,4,FALSE)</f>
        <v/>
      </c>
      <c r="E23" s="109">
        <f>VLOOKUP($A23,ANAGRAFICA!$B$1:$G$306,5,FALSE)</f>
        <v>3272024059</v>
      </c>
      <c r="F23" s="109">
        <f>VLOOKUP($A23,ANAGRAFICA!$B$1:$G$306,6,FALSE)</f>
        <v>2024</v>
      </c>
      <c r="G23" s="3" t="s">
        <v>1389</v>
      </c>
      <c r="H23" s="117" t="b">
        <v>0</v>
      </c>
      <c r="I23" s="3" t="b">
        <v>1</v>
      </c>
      <c r="J23" s="3" t="s">
        <v>1390</v>
      </c>
      <c r="K23" s="117"/>
      <c r="L23" s="117" t="b">
        <v>0</v>
      </c>
      <c r="M23" s="3" t="b">
        <v>1</v>
      </c>
      <c r="N23" s="3" t="b">
        <v>1</v>
      </c>
      <c r="O23" s="3" t="s">
        <v>516</v>
      </c>
      <c r="P23" s="3" t="s">
        <v>516</v>
      </c>
      <c r="Q23" s="3" t="s">
        <v>516</v>
      </c>
      <c r="R23" s="77">
        <v>45349.0</v>
      </c>
      <c r="S23" s="3" t="s">
        <v>1448</v>
      </c>
      <c r="T23" s="3" t="s">
        <v>516</v>
      </c>
      <c r="U23" s="3" t="s">
        <v>516</v>
      </c>
      <c r="V23" s="3" t="s">
        <v>1448</v>
      </c>
      <c r="W23" s="3" t="s">
        <v>1387</v>
      </c>
      <c r="X23" s="3" t="s">
        <v>1387</v>
      </c>
      <c r="Y23" s="3" t="s">
        <v>1388</v>
      </c>
      <c r="Z23" s="3" t="b">
        <v>1</v>
      </c>
      <c r="AA23" s="3">
        <v>3.0</v>
      </c>
      <c r="AB23" s="3" t="s">
        <v>516</v>
      </c>
      <c r="AC23" s="3">
        <v>9.0</v>
      </c>
      <c r="AD23" s="3">
        <v>450.0</v>
      </c>
      <c r="AF23" s="117" t="b">
        <v>0</v>
      </c>
      <c r="AG23" s="3" t="b">
        <v>1</v>
      </c>
      <c r="AH23" s="3" t="s">
        <v>1397</v>
      </c>
      <c r="AI23" s="3" t="s">
        <v>75</v>
      </c>
    </row>
    <row r="24">
      <c r="A24" s="57">
        <v>2.124206072E9</v>
      </c>
      <c r="B24" s="109" t="str">
        <f>VLOOKUP($A24,ANAGRAFICA!$B$1:$G$306,2,FALSE)</f>
        <v>CONSONNI</v>
      </c>
      <c r="C24" s="109" t="str">
        <f>VLOOKUP($A24,ANAGRAFICA!$B$1:$G$306,3,FALSE)</f>
        <v>GIULIO</v>
      </c>
      <c r="D24" s="109" t="str">
        <f>VLOOKUP($A24,ANAGRAFICA!$B$1:$G$306,4,FALSE)</f>
        <v/>
      </c>
      <c r="E24" s="109">
        <f>VLOOKUP($A24,ANAGRAFICA!$B$1:$G$306,5,FALSE)</f>
        <v>3272024064</v>
      </c>
      <c r="F24" s="109">
        <f>VLOOKUP($A24,ANAGRAFICA!$B$1:$G$306,6,FALSE)</f>
        <v>2024</v>
      </c>
      <c r="G24" s="3" t="s">
        <v>1385</v>
      </c>
      <c r="H24" s="117" t="b">
        <v>0</v>
      </c>
      <c r="I24" s="3" t="b">
        <v>1</v>
      </c>
      <c r="J24" s="117"/>
      <c r="K24" s="3" t="s">
        <v>1280</v>
      </c>
      <c r="L24" s="3" t="b">
        <v>1</v>
      </c>
      <c r="M24" s="117" t="b">
        <v>0</v>
      </c>
      <c r="N24" s="117" t="b">
        <v>0</v>
      </c>
      <c r="R24" s="77">
        <v>45416.0</v>
      </c>
      <c r="W24" s="3"/>
      <c r="X24" s="3" t="s">
        <v>1395</v>
      </c>
      <c r="Y24" s="3" t="s">
        <v>1396</v>
      </c>
      <c r="Z24" s="3" t="b">
        <v>1</v>
      </c>
      <c r="AF24" s="117" t="b">
        <v>0</v>
      </c>
      <c r="AG24" s="117" t="b">
        <v>0</v>
      </c>
      <c r="AH24" s="117"/>
    </row>
    <row r="25">
      <c r="A25" s="57">
        <v>2.124023603E9</v>
      </c>
      <c r="B25" s="109" t="str">
        <f>VLOOKUP($A25,ANAGRAFICA!$B$1:$G$306,2,FALSE)</f>
        <v>MAZZARDIS </v>
      </c>
      <c r="C25" s="109" t="str">
        <f>VLOOKUP($A25,ANAGRAFICA!$B$1:$G$306,3,FALSE)</f>
        <v>DAVIDE</v>
      </c>
      <c r="D25" s="109" t="str">
        <f>VLOOKUP($A25,ANAGRAFICA!$B$1:$G$306,4,FALSE)</f>
        <v>758-19</v>
      </c>
      <c r="E25" s="109">
        <f>VLOOKUP($A25,ANAGRAFICA!$B$1:$G$306,5,FALSE)</f>
        <v>3272024085</v>
      </c>
      <c r="F25" s="109">
        <f>VLOOKUP($A25,ANAGRAFICA!$B$1:$G$306,6,FALSE)</f>
        <v>2024</v>
      </c>
      <c r="G25" s="3" t="s">
        <v>1389</v>
      </c>
      <c r="H25" s="117" t="b">
        <v>0</v>
      </c>
      <c r="I25" s="3" t="b">
        <v>1</v>
      </c>
      <c r="J25" s="3" t="s">
        <v>1164</v>
      </c>
      <c r="K25" s="117"/>
      <c r="L25" s="117" t="b">
        <v>0</v>
      </c>
      <c r="M25" s="3" t="b">
        <v>1</v>
      </c>
      <c r="N25" s="117" t="b">
        <v>0</v>
      </c>
      <c r="O25" s="3" t="s">
        <v>1449</v>
      </c>
      <c r="P25" s="3" t="s">
        <v>1450</v>
      </c>
      <c r="Q25" s="3" t="s">
        <v>516</v>
      </c>
      <c r="R25" s="76">
        <v>45622.0</v>
      </c>
      <c r="S25" s="3" t="s">
        <v>1451</v>
      </c>
      <c r="U25" s="3" t="s">
        <v>529</v>
      </c>
      <c r="V25" s="3" t="s">
        <v>1451</v>
      </c>
      <c r="W25" s="117"/>
      <c r="X25" s="3" t="s">
        <v>1387</v>
      </c>
      <c r="Y25" s="3" t="s">
        <v>1388</v>
      </c>
      <c r="Z25" s="117" t="b">
        <v>0</v>
      </c>
      <c r="AC25" s="3">
        <v>8.0</v>
      </c>
      <c r="AD25" s="3">
        <v>450.0</v>
      </c>
      <c r="AE25" s="3" t="s">
        <v>1452</v>
      </c>
      <c r="AF25" s="3" t="b">
        <v>1</v>
      </c>
      <c r="AG25" s="117" t="b">
        <v>0</v>
      </c>
      <c r="AH25" s="3" t="s">
        <v>1397</v>
      </c>
      <c r="AI25" s="3" t="s">
        <v>1453</v>
      </c>
    </row>
    <row r="26">
      <c r="A26" s="57">
        <v>2.124023603E9</v>
      </c>
      <c r="B26" s="109" t="str">
        <f>VLOOKUP($A26,ANAGRAFICA!$B$1:$G$306,2,FALSE)</f>
        <v>MAZZARDIS </v>
      </c>
      <c r="C26" s="109" t="str">
        <f>VLOOKUP($A26,ANAGRAFICA!$B$1:$G$306,3,FALSE)</f>
        <v>DAVIDE</v>
      </c>
      <c r="D26" s="109" t="str">
        <f>VLOOKUP($A26,ANAGRAFICA!$B$1:$G$306,4,FALSE)</f>
        <v>758-19</v>
      </c>
      <c r="E26" s="109">
        <f>VLOOKUP($A26,ANAGRAFICA!$B$1:$G$306,5,FALSE)</f>
        <v>3272024085</v>
      </c>
      <c r="F26" s="109">
        <f>VLOOKUP($A26,ANAGRAFICA!$B$1:$G$306,6,FALSE)</f>
        <v>2024</v>
      </c>
      <c r="G26" s="3" t="s">
        <v>1385</v>
      </c>
      <c r="H26" s="117" t="b">
        <v>0</v>
      </c>
      <c r="I26" s="3" t="b">
        <v>1</v>
      </c>
      <c r="J26" s="3"/>
      <c r="K26" s="3" t="s">
        <v>1280</v>
      </c>
      <c r="L26" s="117" t="b">
        <v>0</v>
      </c>
      <c r="M26" s="3" t="b">
        <v>1</v>
      </c>
      <c r="N26" s="3" t="b">
        <v>1</v>
      </c>
      <c r="W26" s="3" t="s">
        <v>1395</v>
      </c>
      <c r="X26" s="3" t="s">
        <v>1395</v>
      </c>
      <c r="Y26" s="3" t="s">
        <v>1396</v>
      </c>
      <c r="Z26" s="3" t="b">
        <v>1</v>
      </c>
      <c r="AC26" s="3">
        <v>1.0</v>
      </c>
      <c r="AF26" s="117" t="b">
        <v>0</v>
      </c>
      <c r="AG26" s="3" t="b">
        <v>1</v>
      </c>
      <c r="AH26" s="117"/>
    </row>
    <row r="27">
      <c r="A27" s="57">
        <v>2.124025195E9</v>
      </c>
      <c r="B27" s="109" t="str">
        <f>VLOOKUP($A27,ANAGRAFICA!$B$1:$G$306,2,FALSE)</f>
        <v>FAZIO</v>
      </c>
      <c r="C27" s="109" t="str">
        <f>VLOOKUP($A27,ANAGRAFICA!$B$1:$G$306,3,FALSE)</f>
        <v>FRANCESCO ANTONIO</v>
      </c>
      <c r="D27" s="109" t="str">
        <f>VLOOKUP($A27,ANAGRAFICA!$B$1:$G$306,4,FALSE)</f>
        <v>758-21</v>
      </c>
      <c r="E27" s="109">
        <f>VLOOKUP($A27,ANAGRAFICA!$B$1:$G$306,5,FALSE)</f>
        <v>3272024087</v>
      </c>
      <c r="F27" s="109">
        <f>VLOOKUP($A27,ANAGRAFICA!$B$1:$G$306,6,FALSE)</f>
        <v>2024</v>
      </c>
      <c r="G27" s="3" t="s">
        <v>1389</v>
      </c>
      <c r="H27" s="117" t="b">
        <v>0</v>
      </c>
      <c r="I27" s="3" t="b">
        <v>1</v>
      </c>
      <c r="J27" s="3" t="s">
        <v>1441</v>
      </c>
      <c r="K27" s="117"/>
      <c r="L27" s="117" t="b">
        <v>0</v>
      </c>
      <c r="M27" s="3" t="b">
        <v>1</v>
      </c>
      <c r="N27" s="117" t="b">
        <v>0</v>
      </c>
      <c r="O27" s="3" t="s">
        <v>1454</v>
      </c>
      <c r="P27" s="258"/>
      <c r="Q27" s="3" t="s">
        <v>1455</v>
      </c>
      <c r="R27" s="77">
        <v>45631.0</v>
      </c>
      <c r="S27" s="3" t="s">
        <v>1456</v>
      </c>
      <c r="T27" s="3" t="s">
        <v>1457</v>
      </c>
      <c r="U27" s="3" t="s">
        <v>1386</v>
      </c>
      <c r="V27" s="3" t="s">
        <v>1456</v>
      </c>
      <c r="W27" s="3" t="s">
        <v>1387</v>
      </c>
      <c r="X27" s="3" t="s">
        <v>1387</v>
      </c>
      <c r="Y27" s="3" t="s">
        <v>1388</v>
      </c>
      <c r="Z27" s="3" t="b">
        <v>1</v>
      </c>
      <c r="AB27" s="3">
        <v>6.0</v>
      </c>
      <c r="AC27" s="3">
        <v>6.0</v>
      </c>
      <c r="AD27" s="3">
        <v>450.0</v>
      </c>
      <c r="AF27" s="117" t="b">
        <v>0</v>
      </c>
      <c r="AG27" s="117" t="b">
        <v>0</v>
      </c>
      <c r="AH27" s="3" t="s">
        <v>1397</v>
      </c>
      <c r="AI27" s="3" t="s">
        <v>1458</v>
      </c>
    </row>
    <row r="28">
      <c r="A28" s="57">
        <v>2.125000348E9</v>
      </c>
      <c r="B28" s="109" t="str">
        <f>VLOOKUP($A28,ANAGRAFICA!$B$1:$G$306,2,FALSE)</f>
        <v>SLAVKOVA</v>
      </c>
      <c r="C28" s="109" t="str">
        <f>VLOOKUP($A28,ANAGRAFICA!$B$1:$G$306,3,FALSE)</f>
        <v>EVELINA PLAMENOVA</v>
      </c>
      <c r="D28" s="109" t="str">
        <f>VLOOKUP($A28,ANAGRAFICA!$B$1:$G$306,4,FALSE)</f>
        <v/>
      </c>
      <c r="E28" s="109">
        <f>VLOOKUP($A28,ANAGRAFICA!$B$1:$G$306,5,FALSE)</f>
        <v>3272025051</v>
      </c>
      <c r="F28" s="109">
        <f>VLOOKUP($A28,ANAGRAFICA!$B$1:$G$306,6,FALSE)</f>
        <v>2025</v>
      </c>
      <c r="G28" s="3" t="s">
        <v>1385</v>
      </c>
      <c r="H28" s="117" t="b">
        <v>0</v>
      </c>
      <c r="I28" s="3" t="b">
        <v>1</v>
      </c>
      <c r="J28" s="117"/>
      <c r="K28" s="3" t="s">
        <v>1280</v>
      </c>
      <c r="L28" s="117" t="b">
        <v>0</v>
      </c>
      <c r="M28" s="117" t="b">
        <v>0</v>
      </c>
      <c r="N28" s="117" t="b">
        <v>0</v>
      </c>
      <c r="R28" s="77">
        <v>45662.0</v>
      </c>
      <c r="S28" s="3"/>
      <c r="W28" s="117"/>
      <c r="X28" s="3" t="s">
        <v>1395</v>
      </c>
      <c r="Y28" s="3" t="s">
        <v>1396</v>
      </c>
      <c r="Z28" s="3" t="b">
        <v>1</v>
      </c>
      <c r="AF28" s="117" t="b">
        <v>0</v>
      </c>
      <c r="AG28" s="117" t="b">
        <v>0</v>
      </c>
      <c r="AH28" s="117"/>
    </row>
    <row r="29">
      <c r="A29" s="57">
        <v>2.124025878E9</v>
      </c>
      <c r="B29" s="109" t="str">
        <f>VLOOKUP($A29,ANAGRAFICA!$B$1:$G$306,2,FALSE)</f>
        <v>PEDRONI </v>
      </c>
      <c r="C29" s="109" t="str">
        <f>VLOOKUP($A29,ANAGRAFICA!$B$1:$G$306,3,FALSE)</f>
        <v>PIERANGELO</v>
      </c>
      <c r="D29" s="109" t="str">
        <f>VLOOKUP($A29,ANAGRAFICA!$B$1:$G$306,4,FALSE)</f>
        <v>758-22</v>
      </c>
      <c r="E29" s="109">
        <f>VLOOKUP($A29,ANAGRAFICA!$B$1:$G$306,5,FALSE)</f>
        <v>3272024088</v>
      </c>
      <c r="F29" s="109">
        <f>VLOOKUP($A29,ANAGRAFICA!$B$1:$G$306,6,FALSE)</f>
        <v>2024</v>
      </c>
      <c r="G29" s="3" t="s">
        <v>1385</v>
      </c>
      <c r="H29" s="117" t="b">
        <v>0</v>
      </c>
      <c r="I29" s="3" t="b">
        <v>1</v>
      </c>
      <c r="J29" s="117"/>
      <c r="K29" s="3" t="s">
        <v>1293</v>
      </c>
      <c r="L29" s="3" t="b">
        <v>1</v>
      </c>
      <c r="M29" s="3" t="b">
        <v>1</v>
      </c>
      <c r="N29" s="3" t="b">
        <v>1</v>
      </c>
      <c r="R29" s="76">
        <v>45636.0</v>
      </c>
      <c r="S29" s="3" t="s">
        <v>314</v>
      </c>
      <c r="V29" s="3" t="s">
        <v>314</v>
      </c>
      <c r="W29" s="3"/>
      <c r="X29" s="3" t="s">
        <v>1395</v>
      </c>
      <c r="Y29" s="3" t="s">
        <v>1396</v>
      </c>
      <c r="Z29" s="3" t="b">
        <v>1</v>
      </c>
      <c r="AB29" s="3">
        <v>3.0</v>
      </c>
      <c r="AC29" s="3" t="s">
        <v>516</v>
      </c>
      <c r="AF29" s="117" t="b">
        <v>0</v>
      </c>
      <c r="AG29" s="117" t="b">
        <v>0</v>
      </c>
      <c r="AH29" s="117"/>
    </row>
    <row r="30">
      <c r="A30" s="57">
        <v>2.125004454E9</v>
      </c>
      <c r="B30" s="109" t="str">
        <f>VLOOKUP($A30,ANAGRAFICA!$B$1:$G$306,2,FALSE)</f>
        <v>ANTIGNANO</v>
      </c>
      <c r="C30" s="109" t="str">
        <f>VLOOKUP($A30,ANAGRAFICA!$B$1:$G$306,3,FALSE)</f>
        <v>MAURO</v>
      </c>
      <c r="D30" s="109" t="str">
        <f>VLOOKUP($A30,ANAGRAFICA!$B$1:$G$306,4,FALSE)</f>
        <v>758-23</v>
      </c>
      <c r="E30" s="109">
        <f>VLOOKUP($A30,ANAGRAFICA!$B$1:$G$306,5,FALSE)</f>
        <v>3272025052</v>
      </c>
      <c r="F30" s="109">
        <f>VLOOKUP($A30,ANAGRAFICA!$B$1:$G$306,6,FALSE)</f>
        <v>2025</v>
      </c>
      <c r="G30" s="3" t="s">
        <v>1389</v>
      </c>
      <c r="H30" s="117" t="b">
        <v>0</v>
      </c>
      <c r="I30" s="3" t="b">
        <v>1</v>
      </c>
      <c r="J30" s="3" t="s">
        <v>1164</v>
      </c>
      <c r="K30" s="117"/>
      <c r="L30" s="3" t="b">
        <v>0</v>
      </c>
      <c r="M30" s="3" t="b">
        <v>1</v>
      </c>
      <c r="N30" s="117" t="b">
        <v>0</v>
      </c>
      <c r="O30" s="3" t="s">
        <v>1459</v>
      </c>
      <c r="P30" s="3" t="s">
        <v>1460</v>
      </c>
      <c r="Q30" s="3" t="s">
        <v>516</v>
      </c>
      <c r="R30" s="77">
        <v>45688.0</v>
      </c>
      <c r="S30" s="3" t="s">
        <v>1461</v>
      </c>
      <c r="U30" s="3" t="s">
        <v>1462</v>
      </c>
      <c r="V30" s="3" t="s">
        <v>1461</v>
      </c>
      <c r="W30" s="3"/>
      <c r="X30" s="3" t="s">
        <v>1387</v>
      </c>
      <c r="Y30" s="3" t="s">
        <v>1388</v>
      </c>
      <c r="Z30" s="3" t="b">
        <v>1</v>
      </c>
      <c r="AB30" s="3">
        <v>4.0</v>
      </c>
      <c r="AC30" s="3">
        <v>6.0</v>
      </c>
      <c r="AD30" s="3">
        <v>450.0</v>
      </c>
      <c r="AF30" s="117" t="b">
        <v>0</v>
      </c>
      <c r="AG30" s="3" t="b">
        <v>1</v>
      </c>
      <c r="AH30" s="3" t="s">
        <v>1397</v>
      </c>
      <c r="AI30" s="3" t="s">
        <v>1463</v>
      </c>
    </row>
    <row r="31">
      <c r="A31" s="57">
        <v>2.125004867E9</v>
      </c>
      <c r="B31" s="109" t="str">
        <f>VLOOKUP($A31,ANAGRAFICA!$B$1:$G$306,2,FALSE)</f>
        <v>MARCONI</v>
      </c>
      <c r="C31" s="109" t="str">
        <f>VLOOKUP($A31,ANAGRAFICA!$B$1:$G$306,3,FALSE)</f>
        <v>PIETRO VITTORIO</v>
      </c>
      <c r="D31" s="109" t="str">
        <f>VLOOKUP($A31,ANAGRAFICA!$B$1:$G$306,4,FALSE)</f>
        <v/>
      </c>
      <c r="E31" s="154" t="s">
        <v>691</v>
      </c>
      <c r="F31" s="109">
        <f>VLOOKUP($A31,ANAGRAFICA!$B$1:$G$306,6,FALSE)</f>
        <v>2025</v>
      </c>
      <c r="G31" s="3" t="s">
        <v>1389</v>
      </c>
      <c r="H31" s="117" t="b">
        <v>0</v>
      </c>
      <c r="I31" s="3" t="b">
        <v>0</v>
      </c>
      <c r="J31" s="3" t="s">
        <v>1390</v>
      </c>
      <c r="K31" s="3" t="s">
        <v>1464</v>
      </c>
      <c r="L31" s="3" t="b">
        <v>1</v>
      </c>
      <c r="M31" s="3" t="b">
        <v>0</v>
      </c>
      <c r="N31" s="117" t="b">
        <v>0</v>
      </c>
      <c r="O31" s="3" t="s">
        <v>1465</v>
      </c>
      <c r="R31" s="77">
        <v>45691.0</v>
      </c>
      <c r="S31" s="3" t="s">
        <v>421</v>
      </c>
      <c r="U31" s="3" t="s">
        <v>762</v>
      </c>
      <c r="V31" s="3" t="s">
        <v>421</v>
      </c>
      <c r="W31" s="117"/>
      <c r="X31" s="3" t="s">
        <v>1387</v>
      </c>
      <c r="Y31" s="3" t="s">
        <v>1388</v>
      </c>
      <c r="Z31" s="3" t="b">
        <v>1</v>
      </c>
      <c r="AB31" s="3">
        <v>4.0</v>
      </c>
      <c r="AC31" s="3">
        <v>4.0</v>
      </c>
      <c r="AF31" s="117" t="b">
        <v>0</v>
      </c>
      <c r="AG31" s="3" t="b">
        <v>1</v>
      </c>
      <c r="AH31" s="3" t="s">
        <v>1397</v>
      </c>
      <c r="AI31" s="3" t="s">
        <v>213</v>
      </c>
    </row>
    <row r="32">
      <c r="A32" s="57">
        <v>2.025010247E9</v>
      </c>
      <c r="B32" s="109" t="str">
        <f>VLOOKUP($A32,ANAGRAFICA!$B$1:$G$306,2,FALSE)</f>
        <v>TREMOLADA</v>
      </c>
      <c r="C32" s="109" t="str">
        <f>VLOOKUP($A32,ANAGRAFICA!$B$1:$G$306,3,FALSE)</f>
        <v>MARCO</v>
      </c>
      <c r="D32" s="109" t="str">
        <f>VLOOKUP($A32,ANAGRAFICA!$B$1:$G$306,4,FALSE)</f>
        <v>758-25</v>
      </c>
      <c r="E32" s="109">
        <f>VLOOKUP($A32,ANAGRAFICA!$B$1:$G$306,5,FALSE)</f>
        <v>3272025054</v>
      </c>
      <c r="F32" s="109">
        <f>VLOOKUP($A32,ANAGRAFICA!$B$1:$G$306,6,FALSE)</f>
        <v>2025</v>
      </c>
      <c r="G32" s="3" t="s">
        <v>1385</v>
      </c>
      <c r="H32" s="117" t="b">
        <v>0</v>
      </c>
      <c r="I32" s="3" t="b">
        <v>1</v>
      </c>
      <c r="J32" s="3" t="s">
        <v>1466</v>
      </c>
      <c r="K32" s="3" t="s">
        <v>1464</v>
      </c>
      <c r="L32" s="3" t="b">
        <v>0</v>
      </c>
      <c r="M32" s="3" t="b">
        <v>0</v>
      </c>
      <c r="N32" s="117" t="b">
        <v>0</v>
      </c>
      <c r="O32" s="3" t="s">
        <v>1430</v>
      </c>
      <c r="P32" s="3" t="s">
        <v>1467</v>
      </c>
      <c r="Q32" s="3">
        <v>1.0</v>
      </c>
      <c r="R32" s="77">
        <v>45720.0</v>
      </c>
      <c r="S32" s="3" t="s">
        <v>49</v>
      </c>
      <c r="U32" s="3" t="s">
        <v>49</v>
      </c>
      <c r="V32" s="3" t="s">
        <v>49</v>
      </c>
      <c r="W32" s="3" t="s">
        <v>1395</v>
      </c>
      <c r="X32" s="3" t="s">
        <v>1395</v>
      </c>
      <c r="Y32" s="3" t="s">
        <v>1396</v>
      </c>
      <c r="Z32" s="3" t="b">
        <v>1</v>
      </c>
      <c r="AB32" s="3">
        <v>0.0</v>
      </c>
      <c r="AC32" s="3">
        <v>3.0</v>
      </c>
      <c r="AD32" s="3">
        <v>300.0</v>
      </c>
      <c r="AF32" s="3" t="b">
        <v>1</v>
      </c>
      <c r="AG32" s="117" t="b">
        <v>0</v>
      </c>
      <c r="AH32" s="117"/>
    </row>
    <row r="33">
      <c r="A33" s="57">
        <v>2.125020858E9</v>
      </c>
      <c r="B33" s="109" t="str">
        <f>VLOOKUP($A33,ANAGRAFICA!$B$1:$G$306,2,FALSE)</f>
        <v>FALVO</v>
      </c>
      <c r="C33" s="109" t="str">
        <f>VLOOKUP($A33,ANAGRAFICA!$B$1:$G$306,3,FALSE)</f>
        <v>FRANCESCO</v>
      </c>
      <c r="D33" s="109" t="str">
        <f>VLOOKUP($A33,ANAGRAFICA!$B$1:$G$306,4,FALSE)</f>
        <v/>
      </c>
      <c r="E33" s="109">
        <f>VLOOKUP($A33,ANAGRAFICA!$B$1:$G$306,5,FALSE)</f>
        <v>3272025055</v>
      </c>
      <c r="F33" s="109">
        <f>VLOOKUP($A33,ANAGRAFICA!$B$1:$G$306,6,FALSE)</f>
        <v>2025</v>
      </c>
      <c r="G33" s="3" t="s">
        <v>1389</v>
      </c>
      <c r="H33" s="117" t="b">
        <v>0</v>
      </c>
      <c r="I33" s="3" t="b">
        <v>1</v>
      </c>
      <c r="J33" s="3" t="s">
        <v>1164</v>
      </c>
      <c r="K33" s="117"/>
      <c r="L33" s="3" t="b">
        <v>0</v>
      </c>
      <c r="M33" s="3" t="b">
        <v>1</v>
      </c>
      <c r="N33" s="117" t="b">
        <v>0</v>
      </c>
      <c r="O33" s="3" t="s">
        <v>1468</v>
      </c>
      <c r="R33" s="77">
        <v>45787.0</v>
      </c>
      <c r="S33" s="3" t="s">
        <v>1469</v>
      </c>
      <c r="T33" s="3" t="s">
        <v>1470</v>
      </c>
      <c r="U33" s="3" t="s">
        <v>1471</v>
      </c>
      <c r="V33" s="3" t="s">
        <v>1469</v>
      </c>
      <c r="W33" s="3" t="s">
        <v>1387</v>
      </c>
      <c r="X33" s="3" t="s">
        <v>1395</v>
      </c>
      <c r="Y33" s="3" t="s">
        <v>1472</v>
      </c>
      <c r="Z33" s="3" t="b">
        <v>1</v>
      </c>
      <c r="AA33" s="3">
        <v>1.0</v>
      </c>
      <c r="AB33" s="3">
        <v>4.0</v>
      </c>
      <c r="AC33" s="3">
        <v>9.0</v>
      </c>
      <c r="AD33" s="3">
        <v>450.0</v>
      </c>
      <c r="AF33" s="117" t="b">
        <v>0</v>
      </c>
      <c r="AG33" s="3" t="b">
        <v>1</v>
      </c>
      <c r="AH33" s="3" t="s">
        <v>1397</v>
      </c>
      <c r="AI33" s="3" t="s">
        <v>224</v>
      </c>
    </row>
    <row r="34">
      <c r="A34" s="57">
        <v>2.125023093E9</v>
      </c>
      <c r="B34" s="109" t="str">
        <f>VLOOKUP($A34,ANAGRAFICA!$B$1:$G$306,2,FALSE)</f>
        <v>GHEZZI</v>
      </c>
      <c r="C34" s="109" t="str">
        <f>VLOOKUP($A34,ANAGRAFICA!$B$1:$G$306,3,FALSE)</f>
        <v>FABIO</v>
      </c>
      <c r="D34" s="109" t="str">
        <f>VLOOKUP($A34,ANAGRAFICA!$B$1:$G$306,4,FALSE)</f>
        <v>758-28</v>
      </c>
      <c r="E34" s="109">
        <f>VLOOKUP($A34,ANAGRAFICA!$B$1:$G$306,5,FALSE)</f>
        <v>3272025056</v>
      </c>
      <c r="F34" s="109">
        <f>VLOOKUP($A34,ANAGRAFICA!$B$1:$G$306,6,FALSE)</f>
        <v>2025</v>
      </c>
      <c r="G34" s="3" t="s">
        <v>1389</v>
      </c>
      <c r="H34" s="117" t="b">
        <v>0</v>
      </c>
      <c r="I34" s="3" t="b">
        <v>1</v>
      </c>
      <c r="J34" s="3" t="s">
        <v>1390</v>
      </c>
      <c r="K34" s="117"/>
      <c r="L34" s="3" t="b">
        <v>0</v>
      </c>
      <c r="M34" s="3" t="b">
        <v>1</v>
      </c>
      <c r="N34" s="117" t="b">
        <v>0</v>
      </c>
      <c r="O34" s="3" t="s">
        <v>1473</v>
      </c>
      <c r="P34" s="3" t="s">
        <v>1474</v>
      </c>
      <c r="Q34" s="3">
        <v>0.0</v>
      </c>
      <c r="R34" s="77">
        <v>45800.0</v>
      </c>
      <c r="S34" s="3" t="s">
        <v>1475</v>
      </c>
      <c r="T34" s="3" t="s">
        <v>1476</v>
      </c>
      <c r="U34" s="3" t="s">
        <v>1476</v>
      </c>
      <c r="V34" s="3" t="s">
        <v>1476</v>
      </c>
      <c r="W34" s="3" t="s">
        <v>1387</v>
      </c>
      <c r="X34" s="3" t="s">
        <v>1387</v>
      </c>
      <c r="Y34" s="3" t="s">
        <v>1388</v>
      </c>
      <c r="Z34" s="3" t="b">
        <v>1</v>
      </c>
      <c r="AB34" s="3">
        <v>8.0</v>
      </c>
      <c r="AF34" s="117" t="b">
        <v>0</v>
      </c>
      <c r="AG34" s="3" t="b">
        <v>1</v>
      </c>
      <c r="AH34" s="3" t="s">
        <v>1477</v>
      </c>
      <c r="AI34" s="3" t="s">
        <v>1478</v>
      </c>
    </row>
    <row r="35">
      <c r="A35" s="57">
        <v>2.125025861E9</v>
      </c>
      <c r="B35" s="109" t="str">
        <f>VLOOKUP($A35,ANAGRAFICA!$B$1:$G$306,2,FALSE)</f>
        <v>CASSANI</v>
      </c>
      <c r="C35" s="109" t="str">
        <f>VLOOKUP($A35,ANAGRAFICA!$B$1:$G$306,3,FALSE)</f>
        <v>DAVIDE VIRGILIO</v>
      </c>
      <c r="D35" s="109" t="str">
        <f>VLOOKUP($A35,ANAGRAFICA!$B$1:$G$306,4,FALSE)</f>
        <v>758-31</v>
      </c>
      <c r="E35" s="109">
        <f>VLOOKUP($A35,ANAGRAFICA!$B$1:$G$306,5,FALSE)</f>
        <v>3272025058</v>
      </c>
      <c r="F35" s="109">
        <f>VLOOKUP($A35,ANAGRAFICA!$B$1:$G$306,6,FALSE)</f>
        <v>2025</v>
      </c>
      <c r="G35" s="3" t="s">
        <v>1389</v>
      </c>
      <c r="H35" s="117" t="b">
        <v>0</v>
      </c>
      <c r="I35" s="3" t="b">
        <v>1</v>
      </c>
      <c r="J35" s="3" t="s">
        <v>1390</v>
      </c>
      <c r="K35" s="117"/>
      <c r="L35" s="117" t="b">
        <v>0</v>
      </c>
      <c r="M35" s="3" t="b">
        <v>1</v>
      </c>
      <c r="N35" s="117" t="b">
        <v>0</v>
      </c>
      <c r="O35" s="3" t="s">
        <v>1479</v>
      </c>
      <c r="P35" s="3" t="s">
        <v>1480</v>
      </c>
      <c r="Q35" s="3" t="s">
        <v>1481</v>
      </c>
      <c r="R35" s="77">
        <v>45818.0</v>
      </c>
      <c r="S35" s="3" t="s">
        <v>1482</v>
      </c>
      <c r="T35" s="3" t="s">
        <v>516</v>
      </c>
      <c r="U35" s="3" t="s">
        <v>1483</v>
      </c>
      <c r="V35" s="3" t="s">
        <v>1482</v>
      </c>
      <c r="W35" s="3" t="s">
        <v>1387</v>
      </c>
      <c r="X35" s="3" t="s">
        <v>1395</v>
      </c>
      <c r="Y35" s="3" t="s">
        <v>1388</v>
      </c>
      <c r="Z35" s="3" t="b">
        <v>1</v>
      </c>
      <c r="AA35" s="3">
        <v>1.0</v>
      </c>
      <c r="AB35" s="3">
        <v>0.0</v>
      </c>
      <c r="AC35" s="3">
        <v>4.0</v>
      </c>
      <c r="AF35" s="3" t="b">
        <v>1</v>
      </c>
      <c r="AG35" s="3" t="b">
        <v>1</v>
      </c>
      <c r="AH35" s="3" t="s">
        <v>1477</v>
      </c>
      <c r="AI35" s="3" t="s">
        <v>241</v>
      </c>
    </row>
    <row r="36">
      <c r="A36" s="57">
        <v>2.125026559E9</v>
      </c>
      <c r="B36" s="109" t="str">
        <f>VLOOKUP($A36,ANAGRAFICA!$B$1:$G$306,2,FALSE)</f>
        <v>VEDUTI</v>
      </c>
      <c r="C36" s="109" t="str">
        <f>VLOOKUP($A36,ANAGRAFICA!$B$1:$G$306,3,FALSE)</f>
        <v>LORENZO</v>
      </c>
      <c r="D36" s="109" t="str">
        <f>VLOOKUP($A36,ANAGRAFICA!$B$1:$G$306,4,FALSE)</f>
        <v>758-32</v>
      </c>
      <c r="E36" s="109">
        <f>VLOOKUP($A36,ANAGRAFICA!$B$1:$G$306,5,FALSE)</f>
        <v>3272025059</v>
      </c>
      <c r="F36" s="109">
        <f>VLOOKUP($A36,ANAGRAFICA!$B$1:$G$306,6,FALSE)</f>
        <v>2025</v>
      </c>
      <c r="G36" s="3" t="s">
        <v>1389</v>
      </c>
      <c r="H36" s="117" t="b">
        <v>0</v>
      </c>
      <c r="I36" s="3" t="b">
        <v>1</v>
      </c>
      <c r="J36" s="3" t="s">
        <v>1390</v>
      </c>
      <c r="K36" s="117"/>
      <c r="L36" s="117" t="b">
        <v>0</v>
      </c>
      <c r="M36" s="3" t="b">
        <v>1</v>
      </c>
      <c r="N36" s="117" t="b">
        <v>0</v>
      </c>
      <c r="O36" s="3" t="s">
        <v>1484</v>
      </c>
      <c r="R36" s="77">
        <v>45824.0</v>
      </c>
      <c r="S36" s="3" t="s">
        <v>769</v>
      </c>
      <c r="U36" s="3" t="s">
        <v>1485</v>
      </c>
      <c r="V36" s="3" t="s">
        <v>1486</v>
      </c>
      <c r="W36" s="3"/>
      <c r="X36" s="3" t="s">
        <v>1387</v>
      </c>
      <c r="Y36" s="3" t="s">
        <v>1388</v>
      </c>
      <c r="Z36" s="3" t="b">
        <v>1</v>
      </c>
      <c r="AB36" s="3">
        <v>4.0</v>
      </c>
      <c r="AC36" s="3">
        <v>5.0</v>
      </c>
      <c r="AD36" s="3">
        <v>450.0</v>
      </c>
      <c r="AF36" s="117" t="b">
        <v>0</v>
      </c>
      <c r="AG36" s="3" t="b">
        <v>1</v>
      </c>
      <c r="AH36" s="3" t="s">
        <v>1397</v>
      </c>
      <c r="AI36" s="3" t="s">
        <v>246</v>
      </c>
    </row>
    <row r="37">
      <c r="A37" s="57">
        <v>2.125027331E9</v>
      </c>
      <c r="B37" s="109" t="str">
        <f>VLOOKUP($A37,ANAGRAFICA!$B$1:$G$306,2,FALSE)</f>
        <v>QUARIN</v>
      </c>
      <c r="C37" s="109" t="str">
        <f>VLOOKUP($A37,ANAGRAFICA!$B$1:$G$306,3,FALSE)</f>
        <v>FRANCO</v>
      </c>
      <c r="D37" s="109" t="str">
        <f>VLOOKUP($A37,ANAGRAFICA!$B$1:$G$306,4,FALSE)</f>
        <v>758-34</v>
      </c>
      <c r="E37" s="109" t="str">
        <f>VLOOKUP($A37,ANAGRAFICA!$B$1:$G$306,5,FALSE)</f>
        <v/>
      </c>
      <c r="F37" s="109">
        <f>VLOOKUP($A37,ANAGRAFICA!$B$1:$G$306,6,FALSE)</f>
        <v>2025</v>
      </c>
      <c r="G37" s="3" t="s">
        <v>1389</v>
      </c>
      <c r="H37" s="3" t="b">
        <v>0</v>
      </c>
      <c r="I37" s="3" t="b">
        <v>1</v>
      </c>
      <c r="J37" s="3" t="s">
        <v>1164</v>
      </c>
      <c r="K37" s="117"/>
      <c r="L37" s="117" t="b">
        <v>0</v>
      </c>
      <c r="M37" s="3" t="b">
        <v>1</v>
      </c>
      <c r="N37" s="117" t="b">
        <v>0</v>
      </c>
      <c r="O37" s="3" t="s">
        <v>1487</v>
      </c>
      <c r="P37" s="258" t="s">
        <v>1488</v>
      </c>
      <c r="Q37" s="3">
        <v>5.0</v>
      </c>
      <c r="R37" s="77">
        <v>45828.0</v>
      </c>
      <c r="S37" s="3" t="s">
        <v>1489</v>
      </c>
      <c r="T37" s="3" t="s">
        <v>1490</v>
      </c>
      <c r="U37" s="3" t="s">
        <v>1491</v>
      </c>
      <c r="V37" s="3" t="s">
        <v>1489</v>
      </c>
      <c r="W37" s="3" t="s">
        <v>1387</v>
      </c>
      <c r="X37" s="3" t="s">
        <v>1395</v>
      </c>
      <c r="Y37" s="3" t="s">
        <v>1396</v>
      </c>
      <c r="Z37" s="3" t="b">
        <v>1</v>
      </c>
      <c r="AA37" s="3">
        <v>3.0</v>
      </c>
      <c r="AB37" s="3">
        <v>0.0</v>
      </c>
      <c r="AC37" s="3">
        <v>5.0</v>
      </c>
      <c r="AD37" s="3">
        <v>0.0</v>
      </c>
      <c r="AF37" s="117" t="b">
        <v>0</v>
      </c>
      <c r="AG37" s="3" t="b">
        <v>1</v>
      </c>
      <c r="AH37" s="3" t="s">
        <v>1397</v>
      </c>
      <c r="AI37" s="3" t="s">
        <v>258</v>
      </c>
    </row>
    <row r="38">
      <c r="A38" s="57">
        <v>2.125026384E9</v>
      </c>
      <c r="B38" s="109" t="str">
        <f>VLOOKUP($A38,ANAGRAFICA!$B$1:$G$306,2,FALSE)</f>
        <v>PRINCIPATO</v>
      </c>
      <c r="C38" s="109" t="str">
        <f>VLOOKUP($A38,ANAGRAFICA!$B$1:$G$306,3,FALSE)</f>
        <v>FRANCO ANGELO</v>
      </c>
      <c r="D38" s="109" t="str">
        <f>VLOOKUP($A38,ANAGRAFICA!$B$1:$G$306,4,FALSE)</f>
        <v>758-35</v>
      </c>
      <c r="E38" s="109">
        <f>VLOOKUP($A38,ANAGRAFICA!$B$1:$G$306,5,FALSE)</f>
        <v>3272025061</v>
      </c>
      <c r="F38" s="109">
        <f>VLOOKUP($A38,ANAGRAFICA!$B$1:$G$306,6,FALSE)</f>
        <v>2025</v>
      </c>
      <c r="G38" s="3" t="s">
        <v>1385</v>
      </c>
      <c r="H38" s="117" t="b">
        <v>0</v>
      </c>
      <c r="I38" s="3" t="b">
        <v>1</v>
      </c>
      <c r="J38" s="117"/>
      <c r="K38" s="3" t="s">
        <v>1437</v>
      </c>
      <c r="L38" s="3" t="b">
        <v>1</v>
      </c>
      <c r="M38" s="117" t="b">
        <v>0</v>
      </c>
      <c r="N38" s="117" t="b">
        <v>0</v>
      </c>
      <c r="R38" s="3" t="s">
        <v>1492</v>
      </c>
      <c r="S38" s="3" t="s">
        <v>639</v>
      </c>
      <c r="V38" s="3" t="s">
        <v>639</v>
      </c>
      <c r="W38" s="3"/>
      <c r="X38" s="117"/>
      <c r="Y38" s="3" t="s">
        <v>1396</v>
      </c>
      <c r="Z38" s="3" t="b">
        <v>1</v>
      </c>
      <c r="AA38" s="3">
        <v>0.0</v>
      </c>
      <c r="AC38" s="3">
        <v>3.0</v>
      </c>
      <c r="AF38" s="117" t="b">
        <v>0</v>
      </c>
      <c r="AG38" s="117" t="b">
        <v>0</v>
      </c>
      <c r="AH38" s="117"/>
    </row>
    <row r="39">
      <c r="A39" s="57">
        <v>2.125026559E9</v>
      </c>
      <c r="B39" s="109" t="str">
        <f>VLOOKUP($A39,ANAGRAFICA!$B$1:$G$306,2,FALSE)</f>
        <v>VEDUTI</v>
      </c>
      <c r="C39" s="109" t="str">
        <f>VLOOKUP($A39,ANAGRAFICA!$B$1:$G$306,3,FALSE)</f>
        <v>LORENZO</v>
      </c>
      <c r="D39" s="109" t="str">
        <f>VLOOKUP($A39,ANAGRAFICA!$B$1:$G$306,4,FALSE)</f>
        <v>758-32</v>
      </c>
      <c r="E39" s="109">
        <f>VLOOKUP($A39,ANAGRAFICA!$B$1:$G$306,5,FALSE)</f>
        <v>3272025059</v>
      </c>
      <c r="F39" s="109">
        <f>VLOOKUP($A39,ANAGRAFICA!$B$1:$G$306,6,FALSE)</f>
        <v>2025</v>
      </c>
      <c r="G39" s="3" t="s">
        <v>1389</v>
      </c>
      <c r="H39" s="117" t="b">
        <v>0</v>
      </c>
      <c r="I39" s="3" t="b">
        <v>1</v>
      </c>
      <c r="J39" s="3" t="s">
        <v>1390</v>
      </c>
      <c r="K39" s="117"/>
      <c r="L39" s="117" t="b">
        <v>0</v>
      </c>
      <c r="M39" s="3" t="b">
        <v>1</v>
      </c>
      <c r="N39" s="117" t="b">
        <v>0</v>
      </c>
      <c r="O39" s="3" t="s">
        <v>1484</v>
      </c>
      <c r="R39" s="77">
        <v>45824.0</v>
      </c>
      <c r="S39" s="3" t="s">
        <v>769</v>
      </c>
      <c r="U39" s="3" t="s">
        <v>1485</v>
      </c>
      <c r="V39" s="3" t="s">
        <v>1486</v>
      </c>
      <c r="W39" s="3"/>
      <c r="X39" s="3" t="s">
        <v>1387</v>
      </c>
      <c r="Y39" s="3" t="s">
        <v>1388</v>
      </c>
      <c r="Z39" s="3" t="b">
        <v>1</v>
      </c>
      <c r="AB39" s="3">
        <v>4.0</v>
      </c>
      <c r="AC39" s="3">
        <v>5.0</v>
      </c>
      <c r="AD39" s="3">
        <v>450.0</v>
      </c>
      <c r="AF39" s="117" t="b">
        <v>0</v>
      </c>
      <c r="AG39" s="3" t="b">
        <v>1</v>
      </c>
      <c r="AH39" s="3" t="s">
        <v>1397</v>
      </c>
      <c r="AI39" s="3" t="s">
        <v>246</v>
      </c>
    </row>
    <row r="40">
      <c r="A40" s="57">
        <v>2.125032902E9</v>
      </c>
      <c r="B40" s="109" t="str">
        <f>VLOOKUP($A40,ANAGRAFICA!$B$1:$G$306,2,FALSE)</f>
        <v>BRAIDA</v>
      </c>
      <c r="C40" s="109" t="str">
        <f>VLOOKUP($A40,ANAGRAFICA!$B$1:$G$306,3,FALSE)</f>
        <v>ILARIO</v>
      </c>
      <c r="D40" s="109" t="str">
        <f>VLOOKUP($A40,ANAGRAFICA!$B$1:$G$306,4,FALSE)</f>
        <v>758-37</v>
      </c>
      <c r="E40" s="109">
        <f>VLOOKUP($A40,ANAGRAFICA!$B$1:$G$306,5,FALSE)</f>
        <v>3272025063</v>
      </c>
      <c r="F40" s="109">
        <f>VLOOKUP($A40,ANAGRAFICA!$B$1:$G$306,6,FALSE)</f>
        <v>2025</v>
      </c>
      <c r="G40" s="3" t="s">
        <v>1385</v>
      </c>
      <c r="H40" s="117" t="b">
        <v>0</v>
      </c>
      <c r="I40" s="3" t="b">
        <v>1</v>
      </c>
      <c r="J40" s="3"/>
      <c r="K40" s="3" t="s">
        <v>1406</v>
      </c>
      <c r="L40" s="3" t="b">
        <v>0</v>
      </c>
      <c r="M40" s="3" t="b">
        <v>1</v>
      </c>
      <c r="N40" s="117" t="b">
        <v>0</v>
      </c>
      <c r="R40" s="77">
        <v>45870.0</v>
      </c>
      <c r="S40" s="3" t="s">
        <v>1493</v>
      </c>
      <c r="V40" s="3" t="s">
        <v>1493</v>
      </c>
      <c r="W40" s="3"/>
      <c r="X40" s="3"/>
      <c r="Y40" s="3" t="s">
        <v>1388</v>
      </c>
      <c r="Z40" s="3" t="b">
        <v>1</v>
      </c>
      <c r="AF40" s="3" t="b">
        <v>1</v>
      </c>
      <c r="AG40" s="117" t="b">
        <v>0</v>
      </c>
      <c r="AH40" s="117"/>
    </row>
    <row r="41">
      <c r="A41" s="57">
        <v>2.125026869E9</v>
      </c>
      <c r="B41" s="109" t="str">
        <f>VLOOKUP($A41,ANAGRAFICA!$B$1:$G$306,2,FALSE)</f>
        <v>NACCARI</v>
      </c>
      <c r="C41" s="109" t="str">
        <f>VLOOKUP($A41,ANAGRAFICA!$B$1:$G$306,3,FALSE)</f>
        <v>ROBERTO</v>
      </c>
      <c r="D41" s="109" t="str">
        <f>VLOOKUP($A41,ANAGRAFICA!$B$1:$G$306,4,FALSE)</f>
        <v>758-33</v>
      </c>
      <c r="E41" s="109">
        <f>VLOOKUP($A41,ANAGRAFICA!$B$1:$G$306,5,FALSE)</f>
        <v>3272025060</v>
      </c>
      <c r="F41" s="109">
        <f>VLOOKUP($A41,ANAGRAFICA!$B$1:$G$306,6,FALSE)</f>
        <v>2025</v>
      </c>
      <c r="G41" s="3" t="s">
        <v>1385</v>
      </c>
      <c r="H41" s="117" t="b">
        <v>0</v>
      </c>
      <c r="I41" s="3" t="b">
        <v>1</v>
      </c>
      <c r="J41" s="3" t="s">
        <v>1293</v>
      </c>
      <c r="K41" s="3" t="s">
        <v>1293</v>
      </c>
      <c r="L41" s="117" t="b">
        <v>0</v>
      </c>
      <c r="M41" s="117" t="b">
        <v>0</v>
      </c>
      <c r="N41" s="117" t="b">
        <v>0</v>
      </c>
      <c r="R41" s="77">
        <v>45825.0</v>
      </c>
      <c r="S41" s="3" t="s">
        <v>420</v>
      </c>
      <c r="V41" s="3" t="s">
        <v>420</v>
      </c>
      <c r="W41" s="3" t="s">
        <v>1395</v>
      </c>
      <c r="X41" s="117"/>
      <c r="Y41" s="3" t="s">
        <v>1396</v>
      </c>
      <c r="Z41" s="3" t="b">
        <v>1</v>
      </c>
      <c r="AC41" s="3">
        <v>2.0</v>
      </c>
      <c r="AF41" s="3" t="b">
        <v>0</v>
      </c>
      <c r="AG41" s="117" t="b">
        <v>0</v>
      </c>
      <c r="AH41" s="117"/>
    </row>
    <row r="42">
      <c r="A42" s="57">
        <v>2.125037955E9</v>
      </c>
      <c r="B42" s="109" t="str">
        <f>VLOOKUP($A42,ANAGRAFICA!$B$1:$G$306,2,FALSE)</f>
        <v>MANNINO</v>
      </c>
      <c r="C42" s="109" t="str">
        <f>VLOOKUP($A42,ANAGRAFICA!$B$1:$G$306,3,FALSE)</f>
        <v>ANDREA</v>
      </c>
      <c r="D42" s="109" t="str">
        <f>VLOOKUP($A42,ANAGRAFICA!$B$1:$G$306,4,FALSE)</f>
        <v>758-39</v>
      </c>
      <c r="E42" s="109">
        <f>VLOOKUP($A42,ANAGRAFICA!$B$1:$G$306,5,FALSE)</f>
        <v>3272025066</v>
      </c>
      <c r="F42" s="109">
        <f>VLOOKUP($A42,ANAGRAFICA!$B$1:$G$306,6,FALSE)</f>
        <v>2025</v>
      </c>
      <c r="G42" s="3" t="s">
        <v>1389</v>
      </c>
      <c r="H42" s="117" t="b">
        <v>0</v>
      </c>
      <c r="I42" s="3" t="b">
        <v>1</v>
      </c>
      <c r="J42" s="3" t="s">
        <v>1164</v>
      </c>
      <c r="K42" s="117"/>
      <c r="L42" s="117" t="b">
        <v>0</v>
      </c>
      <c r="M42" s="3" t="b">
        <v>1</v>
      </c>
      <c r="N42" s="117" t="b">
        <v>0</v>
      </c>
      <c r="O42" s="3" t="s">
        <v>1494</v>
      </c>
      <c r="P42" s="3" t="s">
        <v>1495</v>
      </c>
      <c r="R42" s="77">
        <v>45913.0</v>
      </c>
      <c r="S42" s="3" t="s">
        <v>484</v>
      </c>
      <c r="T42" s="3" t="s">
        <v>1496</v>
      </c>
      <c r="U42" s="3" t="s">
        <v>1497</v>
      </c>
      <c r="V42" s="3" t="s">
        <v>484</v>
      </c>
      <c r="W42" s="3" t="s">
        <v>1387</v>
      </c>
      <c r="X42" s="3" t="s">
        <v>1387</v>
      </c>
      <c r="Y42" s="3" t="s">
        <v>1388</v>
      </c>
      <c r="Z42" s="3" t="b">
        <v>1</v>
      </c>
      <c r="AA42" s="3">
        <v>5.0</v>
      </c>
      <c r="AB42" s="3">
        <v>4.0</v>
      </c>
      <c r="AC42" s="3">
        <v>8.0</v>
      </c>
      <c r="AD42" s="3">
        <v>300.0</v>
      </c>
      <c r="AF42" s="3" t="b">
        <v>1</v>
      </c>
      <c r="AG42" s="3" t="b">
        <v>1</v>
      </c>
      <c r="AH42" s="3" t="s">
        <v>1397</v>
      </c>
      <c r="AI42" s="3" t="s">
        <v>286</v>
      </c>
    </row>
    <row r="43">
      <c r="A43" s="57">
        <v>2.125040106E9</v>
      </c>
      <c r="B43" s="109" t="str">
        <f>VLOOKUP($A43,ANAGRAFICA!$B$1:$G$306,2,FALSE)</f>
        <v>COLNAGHI</v>
      </c>
      <c r="C43" s="109" t="str">
        <f>VLOOKUP($A43,ANAGRAFICA!$B$1:$G$306,3,FALSE)</f>
        <v>EUGENIO PIERO</v>
      </c>
      <c r="D43" s="109" t="str">
        <f>VLOOKUP($A43,ANAGRAFICA!$B$1:$G$306,4,FALSE)</f>
        <v>758-41</v>
      </c>
      <c r="E43" s="109">
        <f>VLOOKUP($A43,ANAGRAFICA!$B$1:$G$306,5,FALSE)</f>
        <v>3272025068</v>
      </c>
      <c r="F43" s="109">
        <f>VLOOKUP($A43,ANAGRAFICA!$B$1:$G$306,6,FALSE)</f>
        <v>2025</v>
      </c>
      <c r="G43" s="3" t="s">
        <v>1385</v>
      </c>
      <c r="H43" s="117" t="b">
        <v>0</v>
      </c>
      <c r="I43" s="3" t="b">
        <v>1</v>
      </c>
      <c r="J43" s="117"/>
      <c r="K43" s="3" t="s">
        <v>1315</v>
      </c>
      <c r="L43" s="117" t="b">
        <v>0</v>
      </c>
      <c r="M43" s="3" t="b">
        <v>1</v>
      </c>
      <c r="N43" s="117" t="b">
        <v>0</v>
      </c>
      <c r="Q43" s="3">
        <v>1.0</v>
      </c>
      <c r="R43" s="77">
        <v>45667.0</v>
      </c>
      <c r="S43" s="3" t="s">
        <v>446</v>
      </c>
      <c r="V43" s="3" t="s">
        <v>446</v>
      </c>
      <c r="W43" s="3"/>
      <c r="X43" s="117"/>
      <c r="Y43" s="3" t="s">
        <v>885</v>
      </c>
      <c r="Z43" s="3" t="b">
        <v>1</v>
      </c>
      <c r="AB43" s="3">
        <v>9.0</v>
      </c>
      <c r="AC43" s="3">
        <v>5.0</v>
      </c>
      <c r="AF43" s="117" t="b">
        <v>0</v>
      </c>
      <c r="AG43" s="117" t="b">
        <v>0</v>
      </c>
      <c r="AH43" s="117"/>
    </row>
    <row r="44">
      <c r="A44" s="57">
        <v>2.125040835E9</v>
      </c>
      <c r="B44" s="109" t="str">
        <f>VLOOKUP($A44,ANAGRAFICA!$B$1:$G$306,2,FALSE)</f>
        <v>PESACANE</v>
      </c>
      <c r="C44" s="109" t="str">
        <f>VLOOKUP($A44,ANAGRAFICA!$B$1:$G$306,3,FALSE)</f>
        <v>MATTEO VALERIO</v>
      </c>
      <c r="D44" s="109" t="str">
        <f>VLOOKUP($A44,ANAGRAFICA!$B$1:$G$306,4,FALSE)</f>
        <v>758-42</v>
      </c>
      <c r="E44" s="109">
        <f>VLOOKUP($A44,ANAGRAFICA!$B$1:$G$306,5,FALSE)</f>
        <v>3272025069</v>
      </c>
      <c r="F44" s="109">
        <f>VLOOKUP($A44,ANAGRAFICA!$B$1:$G$306,6,FALSE)</f>
        <v>2025</v>
      </c>
      <c r="G44" s="3" t="s">
        <v>1389</v>
      </c>
      <c r="H44" s="117" t="b">
        <v>0</v>
      </c>
      <c r="I44" s="3" t="b">
        <v>1</v>
      </c>
      <c r="J44" s="3" t="s">
        <v>1390</v>
      </c>
      <c r="K44" s="117"/>
      <c r="L44" s="117" t="b">
        <v>0</v>
      </c>
      <c r="M44" s="3" t="b">
        <v>1</v>
      </c>
      <c r="N44" s="117" t="b">
        <v>0</v>
      </c>
      <c r="O44" s="3" t="s">
        <v>1430</v>
      </c>
      <c r="Q44" s="3" t="s">
        <v>1481</v>
      </c>
      <c r="R44" s="77">
        <v>45931.0</v>
      </c>
      <c r="S44" s="3" t="s">
        <v>242</v>
      </c>
      <c r="T44" s="3" t="s">
        <v>1498</v>
      </c>
      <c r="U44" s="3" t="s">
        <v>503</v>
      </c>
      <c r="V44" s="3" t="s">
        <v>242</v>
      </c>
      <c r="W44" s="3" t="s">
        <v>1387</v>
      </c>
      <c r="X44" s="3" t="s">
        <v>1395</v>
      </c>
      <c r="Y44" s="3" t="s">
        <v>1396</v>
      </c>
      <c r="Z44" s="3" t="b">
        <v>1</v>
      </c>
      <c r="AA44" s="3">
        <v>1.0</v>
      </c>
      <c r="AB44" s="3">
        <v>0.0</v>
      </c>
      <c r="AC44" s="3">
        <v>6.0</v>
      </c>
      <c r="AF44" s="3" t="b">
        <v>1</v>
      </c>
      <c r="AG44" s="3" t="b">
        <v>1</v>
      </c>
      <c r="AH44" s="3" t="s">
        <v>1397</v>
      </c>
      <c r="AI44" s="3" t="s">
        <v>216</v>
      </c>
    </row>
    <row r="45">
      <c r="A45" s="57">
        <v>2.125042368E9</v>
      </c>
      <c r="B45" s="109" t="str">
        <f>VLOOKUP($A45,ANAGRAFICA!$B$1:$G$306,2,FALSE)</f>
        <v>MARKOVIC</v>
      </c>
      <c r="C45" s="109" t="str">
        <f>VLOOKUP($A45,ANAGRAFICA!$B$1:$G$306,3,FALSE)</f>
        <v>BRANKO</v>
      </c>
      <c r="D45" s="109" t="str">
        <f>VLOOKUP($A45,ANAGRAFICA!$B$1:$G$306,4,FALSE)</f>
        <v>758-43</v>
      </c>
      <c r="E45" s="109">
        <f>VLOOKUP($A45,ANAGRAFICA!$B$1:$G$306,5,FALSE)</f>
        <v>3272025070</v>
      </c>
      <c r="F45" s="109">
        <f>VLOOKUP($A45,ANAGRAFICA!$B$1:$G$306,6,FALSE)</f>
        <v>2025</v>
      </c>
      <c r="G45" s="3" t="s">
        <v>1389</v>
      </c>
      <c r="H45" s="117" t="b">
        <v>0</v>
      </c>
      <c r="I45" s="3" t="b">
        <v>1</v>
      </c>
      <c r="J45" s="3" t="s">
        <v>1499</v>
      </c>
      <c r="K45" s="117"/>
      <c r="L45" s="117" t="b">
        <v>0</v>
      </c>
      <c r="M45" s="117" t="b">
        <v>0</v>
      </c>
      <c r="N45" s="117" t="b">
        <v>0</v>
      </c>
      <c r="R45" s="76">
        <v>45941.0</v>
      </c>
      <c r="S45" s="3" t="s">
        <v>1500</v>
      </c>
      <c r="T45" s="3" t="s">
        <v>1501</v>
      </c>
      <c r="V45" s="3" t="s">
        <v>1501</v>
      </c>
      <c r="W45" s="3" t="s">
        <v>1387</v>
      </c>
      <c r="X45" s="3" t="s">
        <v>1387</v>
      </c>
      <c r="Y45" s="3" t="s">
        <v>1388</v>
      </c>
      <c r="Z45" s="3" t="b">
        <v>1</v>
      </c>
      <c r="AB45" s="3">
        <v>5.0</v>
      </c>
      <c r="AC45" s="3">
        <v>4.0</v>
      </c>
      <c r="AD45" s="3">
        <v>300.0</v>
      </c>
      <c r="AF45" s="3" t="b">
        <v>0</v>
      </c>
      <c r="AG45" s="3" t="b">
        <v>1</v>
      </c>
      <c r="AH45" s="3" t="s">
        <v>1397</v>
      </c>
      <c r="AI45" s="3" t="s">
        <v>309</v>
      </c>
    </row>
    <row r="46">
      <c r="A46" s="57">
        <v>2.125046195E9</v>
      </c>
      <c r="B46" s="109" t="str">
        <f>VLOOKUP($A46,ANAGRAFICA!$B$1:$G$306,2,FALSE)</f>
        <v>CASILLO</v>
      </c>
      <c r="C46" s="109" t="str">
        <f>VLOOKUP($A46,ANAGRAFICA!$B$1:$G$306,3,FALSE)</f>
        <v>SALVATORE</v>
      </c>
      <c r="D46" s="109" t="str">
        <f>VLOOKUP($A46,ANAGRAFICA!$B$1:$G$306,4,FALSE)</f>
        <v>758-44</v>
      </c>
      <c r="E46" s="109">
        <f>VLOOKUP($A46,ANAGRAFICA!$B$1:$G$306,5,FALSE)</f>
        <v>3272025071</v>
      </c>
      <c r="F46" s="109">
        <f>VLOOKUP($A46,ANAGRAFICA!$B$1:$G$306,6,FALSE)</f>
        <v>2025</v>
      </c>
      <c r="G46" s="3" t="s">
        <v>1389</v>
      </c>
      <c r="H46" s="117" t="b">
        <v>0</v>
      </c>
      <c r="I46" s="3" t="b">
        <v>1</v>
      </c>
      <c r="J46" s="3" t="s">
        <v>1466</v>
      </c>
      <c r="K46" s="117"/>
      <c r="L46" s="117" t="b">
        <v>0</v>
      </c>
      <c r="M46" s="3" t="b">
        <v>1</v>
      </c>
      <c r="N46" s="117" t="b">
        <v>0</v>
      </c>
      <c r="O46" s="3" t="s">
        <v>1502</v>
      </c>
      <c r="P46" s="3" t="s">
        <v>1503</v>
      </c>
      <c r="Q46" s="3" t="s">
        <v>1504</v>
      </c>
      <c r="R46" s="77">
        <v>45964.0</v>
      </c>
      <c r="S46" s="3" t="s">
        <v>848</v>
      </c>
      <c r="T46" s="3" t="s">
        <v>176</v>
      </c>
      <c r="U46" s="3" t="s">
        <v>539</v>
      </c>
      <c r="V46" s="3" t="s">
        <v>848</v>
      </c>
      <c r="W46" s="3" t="s">
        <v>1387</v>
      </c>
      <c r="X46" s="3" t="s">
        <v>1387</v>
      </c>
      <c r="Y46" s="3" t="s">
        <v>1388</v>
      </c>
      <c r="Z46" s="117" t="b">
        <v>0</v>
      </c>
      <c r="AA46" s="3">
        <v>2.0</v>
      </c>
      <c r="AB46" s="3">
        <v>1.0</v>
      </c>
      <c r="AC46" s="3">
        <v>11.0</v>
      </c>
      <c r="AF46" s="3" t="b">
        <v>1</v>
      </c>
      <c r="AG46" s="3" t="b">
        <v>1</v>
      </c>
      <c r="AH46" s="3" t="s">
        <v>1397</v>
      </c>
      <c r="AI46" s="3" t="s">
        <v>963</v>
      </c>
    </row>
    <row r="47">
      <c r="A47" s="57">
        <v>2.1250527E9</v>
      </c>
      <c r="B47" s="109" t="str">
        <f>VLOOKUP($A47,ANAGRAFICA!$B$1:$G$306,2,FALSE)</f>
        <v>GADDA</v>
      </c>
      <c r="C47" s="109" t="str">
        <f>VLOOKUP($A47,ANAGRAFICA!$B$1:$G$306,3,FALSE)</f>
        <v>LILIANA</v>
      </c>
      <c r="D47" s="109" t="str">
        <f>VLOOKUP($A47,ANAGRAFICA!$B$1:$G$306,4,FALSE)</f>
        <v>758-46</v>
      </c>
      <c r="E47" s="109">
        <f>VLOOKUP($A47,ANAGRAFICA!$B$1:$G$306,5,FALSE)</f>
        <v>3272025073</v>
      </c>
      <c r="F47" s="109">
        <f>VLOOKUP($A47,ANAGRAFICA!$B$1:$G$306,6,FALSE)</f>
        <v>2025</v>
      </c>
      <c r="G47" s="3" t="s">
        <v>1389</v>
      </c>
      <c r="H47" s="117" t="b">
        <v>0</v>
      </c>
      <c r="I47" s="3" t="b">
        <v>1</v>
      </c>
      <c r="J47" s="3" t="s">
        <v>1293</v>
      </c>
      <c r="K47" s="3" t="s">
        <v>1406</v>
      </c>
      <c r="L47" s="117" t="b">
        <v>0</v>
      </c>
      <c r="M47" s="3" t="b">
        <v>1</v>
      </c>
      <c r="N47" s="117" t="b">
        <v>0</v>
      </c>
      <c r="R47" s="76">
        <v>46006.0</v>
      </c>
      <c r="W47" s="3"/>
      <c r="X47" s="117"/>
      <c r="Y47" s="3" t="s">
        <v>1396</v>
      </c>
      <c r="Z47" s="3" t="b">
        <v>1</v>
      </c>
      <c r="AC47" s="3">
        <v>1.0</v>
      </c>
      <c r="AF47" s="117" t="b">
        <v>0</v>
      </c>
      <c r="AG47" s="117" t="b">
        <v>0</v>
      </c>
      <c r="AH47" s="117"/>
    </row>
    <row r="48">
      <c r="A48" s="57">
        <v>2.126002771E9</v>
      </c>
      <c r="B48" s="109" t="str">
        <f>VLOOKUP($A48,ANAGRAFICA!$B$1:$G$306,2,FALSE)</f>
        <v>LONGOBARDI</v>
      </c>
      <c r="C48" s="109" t="str">
        <f>VLOOKUP($A48,ANAGRAFICA!$B$1:$G$306,3,FALSE)</f>
        <v>FRANCESCO</v>
      </c>
      <c r="D48" s="109" t="str">
        <f>VLOOKUP($A48,ANAGRAFICA!$B$1:$G$306,4,FALSE)</f>
        <v>758-52</v>
      </c>
      <c r="E48" s="109" t="str">
        <f>VLOOKUP($A48,ANAGRAFICA!$B$1:$G$306,5,FALSE)</f>
        <v/>
      </c>
      <c r="F48" s="109">
        <f>VLOOKUP($A48,ANAGRAFICA!$B$1:$G$306,6,FALSE)</f>
        <v>2026</v>
      </c>
      <c r="G48" s="3" t="s">
        <v>1389</v>
      </c>
      <c r="H48" s="117" t="b">
        <v>0</v>
      </c>
      <c r="I48" s="3" t="b">
        <v>1</v>
      </c>
      <c r="J48" s="3" t="s">
        <v>1164</v>
      </c>
      <c r="K48" s="117"/>
      <c r="L48" s="3" t="b">
        <v>1</v>
      </c>
      <c r="M48" s="3" t="b">
        <v>1</v>
      </c>
      <c r="N48" s="117" t="b">
        <v>0</v>
      </c>
      <c r="O48" s="3" t="s">
        <v>1505</v>
      </c>
      <c r="P48" s="3" t="s">
        <v>1506</v>
      </c>
      <c r="R48" s="77">
        <v>46194.0</v>
      </c>
      <c r="S48" s="3" t="s">
        <v>1507</v>
      </c>
      <c r="T48" s="3" t="s">
        <v>1508</v>
      </c>
      <c r="U48" s="3" t="s">
        <v>538</v>
      </c>
      <c r="V48" s="3" t="s">
        <v>1507</v>
      </c>
      <c r="W48" s="3" t="s">
        <v>1387</v>
      </c>
      <c r="X48" s="3" t="s">
        <v>1387</v>
      </c>
      <c r="Y48" s="3" t="s">
        <v>1388</v>
      </c>
      <c r="Z48" s="3" t="b">
        <v>1</v>
      </c>
      <c r="AB48" s="3">
        <v>3.0</v>
      </c>
      <c r="AC48" s="3">
        <v>5.0</v>
      </c>
      <c r="AF48" s="3" t="b">
        <v>1</v>
      </c>
      <c r="AG48" s="117" t="b">
        <v>0</v>
      </c>
      <c r="AH48" s="3" t="s">
        <v>1397</v>
      </c>
      <c r="AI48" s="3" t="s">
        <v>923</v>
      </c>
    </row>
    <row r="49">
      <c r="A49" s="57">
        <v>2.126001104E9</v>
      </c>
      <c r="B49" s="109" t="str">
        <f>VLOOKUP($A49,ANAGRAFICA!$B$1:$G$306,2,FALSE)</f>
        <v>LOREGGIA</v>
      </c>
      <c r="C49" s="109" t="str">
        <f>VLOOKUP($A49,ANAGRAFICA!$B$1:$G$306,3,FALSE)</f>
        <v>GIAN MARCO</v>
      </c>
      <c r="D49" s="109" t="str">
        <f>VLOOKUP($A49,ANAGRAFICA!$B$1:$G$306,4,FALSE)</f>
        <v>758-51</v>
      </c>
      <c r="E49" s="109" t="str">
        <f>VLOOKUP($A49,ANAGRAFICA!$B$1:$G$306,5,FALSE)</f>
        <v/>
      </c>
      <c r="F49" s="109">
        <f>VLOOKUP($A49,ANAGRAFICA!$B$1:$G$306,6,FALSE)</f>
        <v>2026</v>
      </c>
      <c r="G49" s="3" t="s">
        <v>1389</v>
      </c>
      <c r="H49" s="117" t="b">
        <v>0</v>
      </c>
      <c r="I49" s="3" t="b">
        <v>1</v>
      </c>
      <c r="J49" s="3" t="s">
        <v>1499</v>
      </c>
      <c r="K49" s="117"/>
      <c r="L49" s="3" t="b">
        <v>1</v>
      </c>
      <c r="M49" s="3" t="b">
        <v>1</v>
      </c>
      <c r="N49" s="3" t="b">
        <v>1</v>
      </c>
      <c r="O49" s="3" t="s">
        <v>1509</v>
      </c>
      <c r="R49" s="77">
        <v>46033.0</v>
      </c>
      <c r="S49" s="3" t="s">
        <v>1510</v>
      </c>
      <c r="T49" s="3" t="s">
        <v>516</v>
      </c>
      <c r="U49" s="3" t="s">
        <v>706</v>
      </c>
      <c r="V49" s="3" t="s">
        <v>1510</v>
      </c>
      <c r="W49" s="3" t="s">
        <v>1387</v>
      </c>
      <c r="X49" s="3" t="s">
        <v>1395</v>
      </c>
      <c r="Y49" s="3" t="s">
        <v>1396</v>
      </c>
      <c r="Z49" s="3" t="b">
        <v>1</v>
      </c>
      <c r="AA49" s="3">
        <v>2.0</v>
      </c>
      <c r="AB49" s="3">
        <v>4.0</v>
      </c>
      <c r="AC49" s="3">
        <v>7.0</v>
      </c>
      <c r="AF49" s="117" t="b">
        <v>0</v>
      </c>
      <c r="AG49" s="3" t="b">
        <v>1</v>
      </c>
      <c r="AH49" s="3" t="s">
        <v>1397</v>
      </c>
      <c r="AI49" s="3" t="s">
        <v>348</v>
      </c>
    </row>
    <row r="50">
      <c r="A50" s="94"/>
      <c r="B50" s="109" t="str">
        <f>VLOOKUP($A50,ANAGRAFICA!$B$1:$G$306,2,FALSE)</f>
        <v>#N/A</v>
      </c>
      <c r="C50" s="109" t="str">
        <f>VLOOKUP($A50,ANAGRAFICA!$B$1:$G$306,3,FALSE)</f>
        <v>#N/A</v>
      </c>
      <c r="D50" s="109" t="str">
        <f>VLOOKUP($A50,ANAGRAFICA!$B$1:$G$306,4,FALSE)</f>
        <v>#N/A</v>
      </c>
      <c r="E50" s="109" t="str">
        <f>VLOOKUP($A50,ANAGRAFICA!$B$1:$G$306,5,FALSE)</f>
        <v>#N/A</v>
      </c>
      <c r="F50" s="109" t="str">
        <f>VLOOKUP($A50,ANAGRAFICA!$B$1:$G$306,6,FALSE)</f>
        <v>#N/A</v>
      </c>
      <c r="G50" s="117"/>
      <c r="H50" s="117" t="b">
        <v>0</v>
      </c>
      <c r="I50" s="117" t="b">
        <v>0</v>
      </c>
      <c r="J50" s="117"/>
      <c r="K50" s="117"/>
      <c r="L50" s="117" t="b">
        <v>0</v>
      </c>
      <c r="M50" s="117" t="b">
        <v>0</v>
      </c>
      <c r="N50" s="117" t="b">
        <v>0</v>
      </c>
      <c r="W50" s="117"/>
      <c r="X50" s="117"/>
      <c r="Z50" s="117" t="b">
        <v>0</v>
      </c>
      <c r="AF50" s="117" t="b">
        <v>0</v>
      </c>
      <c r="AG50" s="117" t="b">
        <v>0</v>
      </c>
      <c r="AH50" s="117"/>
    </row>
    <row r="51">
      <c r="A51" s="94"/>
      <c r="B51" s="109" t="str">
        <f>VLOOKUP($A51,ANAGRAFICA!$B$1:$G$306,2,FALSE)</f>
        <v>#N/A</v>
      </c>
      <c r="C51" s="109" t="str">
        <f>VLOOKUP($A51,ANAGRAFICA!$B$1:$G$306,3,FALSE)</f>
        <v>#N/A</v>
      </c>
      <c r="D51" s="109" t="str">
        <f>VLOOKUP($A51,ANAGRAFICA!$B$1:$G$306,4,FALSE)</f>
        <v>#N/A</v>
      </c>
      <c r="E51" s="109" t="str">
        <f>VLOOKUP($A51,ANAGRAFICA!$B$1:$G$306,5,FALSE)</f>
        <v>#N/A</v>
      </c>
      <c r="F51" s="109" t="str">
        <f>VLOOKUP($A51,ANAGRAFICA!$B$1:$G$306,6,FALSE)</f>
        <v>#N/A</v>
      </c>
      <c r="G51" s="117"/>
      <c r="H51" s="117" t="b">
        <v>0</v>
      </c>
      <c r="I51" s="117" t="b">
        <v>0</v>
      </c>
      <c r="J51" s="117"/>
      <c r="K51" s="117"/>
      <c r="L51" s="117" t="b">
        <v>0</v>
      </c>
      <c r="M51" s="117" t="b">
        <v>0</v>
      </c>
      <c r="N51" s="117" t="b">
        <v>0</v>
      </c>
      <c r="W51" s="117"/>
      <c r="X51" s="117"/>
      <c r="Z51" s="117" t="b">
        <v>0</v>
      </c>
      <c r="AF51" s="117" t="b">
        <v>0</v>
      </c>
      <c r="AG51" s="117" t="b">
        <v>0</v>
      </c>
      <c r="AH51" s="117"/>
    </row>
    <row r="52">
      <c r="A52" s="94"/>
      <c r="B52" s="109" t="str">
        <f>VLOOKUP($A52,ANAGRAFICA!$B$1:$G$306,2,FALSE)</f>
        <v>#N/A</v>
      </c>
      <c r="C52" s="109" t="str">
        <f>VLOOKUP($A52,ANAGRAFICA!$B$1:$G$306,3,FALSE)</f>
        <v>#N/A</v>
      </c>
      <c r="D52" s="109" t="str">
        <f>VLOOKUP($A52,ANAGRAFICA!$B$1:$G$306,4,FALSE)</f>
        <v>#N/A</v>
      </c>
      <c r="E52" s="109" t="str">
        <f>VLOOKUP($A52,ANAGRAFICA!$B$1:$G$306,5,FALSE)</f>
        <v>#N/A</v>
      </c>
      <c r="F52" s="109" t="str">
        <f>VLOOKUP($A52,ANAGRAFICA!$B$1:$G$306,6,FALSE)</f>
        <v>#N/A</v>
      </c>
      <c r="G52" s="117"/>
      <c r="H52" s="117" t="b">
        <v>0</v>
      </c>
      <c r="I52" s="117" t="b">
        <v>0</v>
      </c>
      <c r="J52" s="117"/>
      <c r="K52" s="117"/>
      <c r="L52" s="117" t="b">
        <v>0</v>
      </c>
      <c r="M52" s="117" t="b">
        <v>0</v>
      </c>
      <c r="N52" s="117" t="b">
        <v>0</v>
      </c>
      <c r="W52" s="117"/>
      <c r="X52" s="117"/>
      <c r="Z52" s="117" t="b">
        <v>0</v>
      </c>
      <c r="AF52" s="117" t="b">
        <v>0</v>
      </c>
      <c r="AG52" s="117" t="b">
        <v>0</v>
      </c>
      <c r="AH52" s="117"/>
    </row>
    <row r="53">
      <c r="A53" s="94"/>
      <c r="B53" s="109" t="str">
        <f>VLOOKUP($A53,ANAGRAFICA!$B$1:$G$306,2,FALSE)</f>
        <v>#N/A</v>
      </c>
      <c r="C53" s="109" t="str">
        <f>VLOOKUP($A53,ANAGRAFICA!$B$1:$G$306,3,FALSE)</f>
        <v>#N/A</v>
      </c>
      <c r="D53" s="109" t="str">
        <f>VLOOKUP($A53,ANAGRAFICA!$B$1:$G$306,4,FALSE)</f>
        <v>#N/A</v>
      </c>
      <c r="E53" s="109" t="str">
        <f>VLOOKUP($A53,ANAGRAFICA!$B$1:$G$306,5,FALSE)</f>
        <v>#N/A</v>
      </c>
      <c r="F53" s="109" t="str">
        <f>VLOOKUP($A53,ANAGRAFICA!$B$1:$G$306,6,FALSE)</f>
        <v>#N/A</v>
      </c>
      <c r="G53" s="117"/>
      <c r="H53" s="117" t="b">
        <v>0</v>
      </c>
      <c r="I53" s="117" t="b">
        <v>0</v>
      </c>
      <c r="J53" s="117"/>
      <c r="K53" s="117"/>
      <c r="L53" s="117" t="b">
        <v>0</v>
      </c>
      <c r="M53" s="117" t="b">
        <v>0</v>
      </c>
      <c r="N53" s="117" t="b">
        <v>0</v>
      </c>
      <c r="W53" s="117"/>
      <c r="X53" s="117"/>
      <c r="Z53" s="117" t="b">
        <v>0</v>
      </c>
      <c r="AF53" s="117" t="b">
        <v>0</v>
      </c>
      <c r="AG53" s="117" t="b">
        <v>0</v>
      </c>
      <c r="AH53" s="117"/>
    </row>
    <row r="54">
      <c r="A54" s="94"/>
      <c r="B54" s="109" t="str">
        <f>VLOOKUP($A54,ANAGRAFICA!$B$1:$G$306,2,FALSE)</f>
        <v>#N/A</v>
      </c>
      <c r="C54" s="109" t="str">
        <f>VLOOKUP($A54,ANAGRAFICA!$B$1:$G$306,3,FALSE)</f>
        <v>#N/A</v>
      </c>
      <c r="D54" s="109" t="str">
        <f>VLOOKUP($A54,ANAGRAFICA!$B$1:$G$306,4,FALSE)</f>
        <v>#N/A</v>
      </c>
      <c r="E54" s="109" t="str">
        <f>VLOOKUP($A54,ANAGRAFICA!$B$1:$G$306,5,FALSE)</f>
        <v>#N/A</v>
      </c>
      <c r="F54" s="109" t="str">
        <f>VLOOKUP($A54,ANAGRAFICA!$B$1:$G$306,6,FALSE)</f>
        <v>#N/A</v>
      </c>
      <c r="G54" s="117"/>
      <c r="H54" s="117" t="b">
        <v>0</v>
      </c>
      <c r="I54" s="117" t="b">
        <v>0</v>
      </c>
      <c r="J54" s="117"/>
      <c r="K54" s="117"/>
      <c r="L54" s="117" t="b">
        <v>0</v>
      </c>
      <c r="M54" s="117" t="b">
        <v>0</v>
      </c>
      <c r="N54" s="117" t="b">
        <v>0</v>
      </c>
      <c r="W54" s="117"/>
      <c r="X54" s="117"/>
      <c r="Z54" s="117" t="b">
        <v>0</v>
      </c>
      <c r="AF54" s="117" t="b">
        <v>0</v>
      </c>
      <c r="AG54" s="117" t="b">
        <v>0</v>
      </c>
      <c r="AH54" s="117"/>
    </row>
    <row r="55">
      <c r="A55" s="94"/>
      <c r="B55" s="109" t="str">
        <f>VLOOKUP($A55,ANAGRAFICA!$B$1:$G$306,2,FALSE)</f>
        <v>#N/A</v>
      </c>
      <c r="C55" s="109" t="str">
        <f>VLOOKUP($A55,ANAGRAFICA!$B$1:$G$306,3,FALSE)</f>
        <v>#N/A</v>
      </c>
      <c r="D55" s="109" t="str">
        <f>VLOOKUP($A55,ANAGRAFICA!$B$1:$G$306,4,FALSE)</f>
        <v>#N/A</v>
      </c>
      <c r="E55" s="109" t="str">
        <f>VLOOKUP($A55,ANAGRAFICA!$B$1:$G$306,5,FALSE)</f>
        <v>#N/A</v>
      </c>
      <c r="F55" s="109" t="str">
        <f>VLOOKUP($A55,ANAGRAFICA!$B$1:$G$306,6,FALSE)</f>
        <v>#N/A</v>
      </c>
      <c r="G55" s="117"/>
      <c r="H55" s="117" t="b">
        <v>0</v>
      </c>
      <c r="I55" s="117" t="b">
        <v>0</v>
      </c>
      <c r="J55" s="117"/>
      <c r="K55" s="117"/>
      <c r="L55" s="117" t="b">
        <v>0</v>
      </c>
      <c r="M55" s="117" t="b">
        <v>0</v>
      </c>
      <c r="N55" s="117" t="b">
        <v>0</v>
      </c>
      <c r="W55" s="117"/>
      <c r="X55" s="117"/>
      <c r="Z55" s="117" t="b">
        <v>0</v>
      </c>
      <c r="AF55" s="117" t="b">
        <v>0</v>
      </c>
      <c r="AG55" s="117" t="b">
        <v>0</v>
      </c>
      <c r="AH55" s="117"/>
    </row>
    <row r="56">
      <c r="A56" s="94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G56" s="117"/>
      <c r="H56" s="117" t="b">
        <v>0</v>
      </c>
      <c r="I56" s="117" t="b">
        <v>0</v>
      </c>
      <c r="J56" s="117"/>
      <c r="K56" s="117"/>
      <c r="L56" s="117" t="b">
        <v>0</v>
      </c>
      <c r="M56" s="117" t="b">
        <v>0</v>
      </c>
      <c r="N56" s="117" t="b">
        <v>0</v>
      </c>
      <c r="W56" s="117"/>
      <c r="X56" s="117"/>
      <c r="Z56" s="117" t="b">
        <v>0</v>
      </c>
      <c r="AF56" s="117" t="b">
        <v>0</v>
      </c>
      <c r="AG56" s="117" t="b">
        <v>0</v>
      </c>
      <c r="AH56" s="117"/>
    </row>
    <row r="57">
      <c r="A57" s="94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G57" s="117"/>
      <c r="H57" s="117" t="b">
        <v>0</v>
      </c>
      <c r="I57" s="117" t="b">
        <v>0</v>
      </c>
      <c r="J57" s="117"/>
      <c r="K57" s="117"/>
      <c r="L57" s="117" t="b">
        <v>0</v>
      </c>
      <c r="M57" s="117" t="b">
        <v>0</v>
      </c>
      <c r="N57" s="117" t="b">
        <v>0</v>
      </c>
      <c r="W57" s="117"/>
      <c r="X57" s="117"/>
      <c r="Z57" s="117" t="b">
        <v>0</v>
      </c>
      <c r="AF57" s="117" t="b">
        <v>0</v>
      </c>
      <c r="AG57" s="117" t="b">
        <v>0</v>
      </c>
      <c r="AH57" s="117"/>
    </row>
    <row r="58">
      <c r="A58" s="94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G58" s="117"/>
      <c r="H58" s="117" t="b">
        <v>0</v>
      </c>
      <c r="I58" s="117" t="b">
        <v>0</v>
      </c>
      <c r="J58" s="117"/>
      <c r="K58" s="117"/>
      <c r="L58" s="117" t="b">
        <v>0</v>
      </c>
      <c r="M58" s="117" t="b">
        <v>0</v>
      </c>
      <c r="N58" s="117" t="b">
        <v>0</v>
      </c>
      <c r="W58" s="117"/>
      <c r="X58" s="117"/>
      <c r="Z58" s="117" t="b">
        <v>0</v>
      </c>
      <c r="AF58" s="117" t="b">
        <v>0</v>
      </c>
      <c r="AG58" s="117" t="b">
        <v>0</v>
      </c>
      <c r="AH58" s="117"/>
    </row>
    <row r="59">
      <c r="A59" s="94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G59" s="117"/>
      <c r="H59" s="117" t="b">
        <v>0</v>
      </c>
      <c r="I59" s="117" t="b">
        <v>0</v>
      </c>
      <c r="J59" s="117"/>
      <c r="K59" s="117"/>
      <c r="L59" s="117" t="b">
        <v>0</v>
      </c>
      <c r="M59" s="117" t="b">
        <v>0</v>
      </c>
      <c r="N59" s="117" t="b">
        <v>0</v>
      </c>
      <c r="W59" s="117"/>
      <c r="X59" s="117"/>
      <c r="Z59" s="117" t="b">
        <v>0</v>
      </c>
      <c r="AF59" s="117" t="b">
        <v>0</v>
      </c>
      <c r="AG59" s="117" t="b">
        <v>0</v>
      </c>
      <c r="AH59" s="117"/>
    </row>
    <row r="60">
      <c r="A60" s="94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G60" s="117"/>
      <c r="H60" s="117" t="b">
        <v>0</v>
      </c>
      <c r="I60" s="117" t="b">
        <v>0</v>
      </c>
      <c r="J60" s="117"/>
      <c r="K60" s="117"/>
      <c r="L60" s="117" t="b">
        <v>0</v>
      </c>
      <c r="M60" s="117" t="b">
        <v>0</v>
      </c>
      <c r="N60" s="117" t="b">
        <v>0</v>
      </c>
      <c r="W60" s="117"/>
      <c r="X60" s="117"/>
      <c r="Z60" s="117" t="b">
        <v>0</v>
      </c>
      <c r="AF60" s="117" t="b">
        <v>0</v>
      </c>
      <c r="AG60" s="117" t="b">
        <v>0</v>
      </c>
      <c r="AH60" s="117"/>
    </row>
    <row r="61">
      <c r="A61" s="94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G61" s="117"/>
      <c r="H61" s="117" t="b">
        <v>0</v>
      </c>
      <c r="I61" s="117" t="b">
        <v>0</v>
      </c>
      <c r="J61" s="117"/>
      <c r="K61" s="117"/>
      <c r="L61" s="117" t="b">
        <v>0</v>
      </c>
      <c r="M61" s="117" t="b">
        <v>0</v>
      </c>
      <c r="N61" s="117" t="b">
        <v>0</v>
      </c>
      <c r="W61" s="117"/>
      <c r="X61" s="117"/>
      <c r="Z61" s="117" t="b">
        <v>0</v>
      </c>
      <c r="AF61" s="117" t="b">
        <v>0</v>
      </c>
      <c r="AG61" s="117" t="b">
        <v>0</v>
      </c>
      <c r="AH61" s="117"/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G62" s="117"/>
      <c r="H62" s="117" t="b">
        <v>0</v>
      </c>
      <c r="I62" s="117" t="b">
        <v>0</v>
      </c>
      <c r="J62" s="117"/>
      <c r="K62" s="117"/>
      <c r="L62" s="117" t="b">
        <v>0</v>
      </c>
      <c r="M62" s="117" t="b">
        <v>0</v>
      </c>
      <c r="N62" s="117" t="b">
        <v>0</v>
      </c>
      <c r="W62" s="117"/>
      <c r="X62" s="117"/>
      <c r="Z62" s="117" t="b">
        <v>0</v>
      </c>
      <c r="AF62" s="117" t="b">
        <v>0</v>
      </c>
      <c r="AG62" s="117" t="b">
        <v>0</v>
      </c>
      <c r="AH62" s="117"/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G63" s="117"/>
      <c r="H63" s="117" t="b">
        <v>0</v>
      </c>
      <c r="I63" s="117" t="b">
        <v>0</v>
      </c>
      <c r="J63" s="117"/>
      <c r="K63" s="117"/>
      <c r="L63" s="117" t="b">
        <v>0</v>
      </c>
      <c r="M63" s="117" t="b">
        <v>0</v>
      </c>
      <c r="N63" s="117" t="b">
        <v>0</v>
      </c>
      <c r="W63" s="117"/>
      <c r="X63" s="117"/>
      <c r="Z63" s="117" t="b">
        <v>0</v>
      </c>
      <c r="AF63" s="117" t="b">
        <v>0</v>
      </c>
      <c r="AG63" s="117" t="b">
        <v>0</v>
      </c>
      <c r="AH63" s="117"/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G64" s="117"/>
      <c r="H64" s="117" t="b">
        <v>0</v>
      </c>
      <c r="I64" s="117" t="b">
        <v>0</v>
      </c>
      <c r="J64" s="117"/>
      <c r="K64" s="117"/>
      <c r="L64" s="117" t="b">
        <v>0</v>
      </c>
      <c r="M64" s="117" t="b">
        <v>0</v>
      </c>
      <c r="N64" s="117" t="b">
        <v>0</v>
      </c>
      <c r="W64" s="117"/>
      <c r="X64" s="117"/>
      <c r="Z64" s="117" t="b">
        <v>0</v>
      </c>
      <c r="AF64" s="117" t="b">
        <v>0</v>
      </c>
      <c r="AG64" s="117" t="b">
        <v>0</v>
      </c>
      <c r="AH64" s="117"/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G65" s="117"/>
      <c r="H65" s="117" t="b">
        <v>0</v>
      </c>
      <c r="I65" s="117" t="b">
        <v>0</v>
      </c>
      <c r="J65" s="117"/>
      <c r="K65" s="117"/>
      <c r="L65" s="117" t="b">
        <v>0</v>
      </c>
      <c r="M65" s="117" t="b">
        <v>0</v>
      </c>
      <c r="N65" s="117" t="b">
        <v>0</v>
      </c>
      <c r="W65" s="117"/>
      <c r="X65" s="117"/>
      <c r="Z65" s="117" t="b">
        <v>0</v>
      </c>
      <c r="AF65" s="117" t="b">
        <v>0</v>
      </c>
      <c r="AG65" s="117" t="b">
        <v>0</v>
      </c>
      <c r="AH65" s="117"/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G66" s="117"/>
      <c r="H66" s="117" t="b">
        <v>0</v>
      </c>
      <c r="I66" s="117" t="b">
        <v>0</v>
      </c>
      <c r="J66" s="117"/>
      <c r="K66" s="117"/>
      <c r="L66" s="117" t="b">
        <v>0</v>
      </c>
      <c r="M66" s="117" t="b">
        <v>0</v>
      </c>
      <c r="N66" s="117" t="b">
        <v>0</v>
      </c>
      <c r="W66" s="117"/>
      <c r="X66" s="117"/>
      <c r="Z66" s="117" t="b">
        <v>0</v>
      </c>
      <c r="AF66" s="117" t="b">
        <v>0</v>
      </c>
      <c r="AG66" s="117" t="b">
        <v>0</v>
      </c>
      <c r="AH66" s="117"/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G67" s="117"/>
      <c r="H67" s="117" t="b">
        <v>0</v>
      </c>
      <c r="I67" s="117" t="b">
        <v>0</v>
      </c>
      <c r="J67" s="117"/>
      <c r="K67" s="117"/>
      <c r="L67" s="117" t="b">
        <v>0</v>
      </c>
      <c r="M67" s="117" t="b">
        <v>0</v>
      </c>
      <c r="N67" s="117" t="b">
        <v>0</v>
      </c>
      <c r="W67" s="117"/>
      <c r="X67" s="117"/>
      <c r="Z67" s="117" t="b">
        <v>0</v>
      </c>
      <c r="AF67" s="117" t="b">
        <v>0</v>
      </c>
      <c r="AG67" s="117" t="b">
        <v>0</v>
      </c>
      <c r="AH67" s="117"/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G68" s="117"/>
      <c r="H68" s="117" t="b">
        <v>0</v>
      </c>
      <c r="I68" s="117" t="b">
        <v>0</v>
      </c>
      <c r="J68" s="117"/>
      <c r="K68" s="117"/>
      <c r="L68" s="117" t="b">
        <v>0</v>
      </c>
      <c r="M68" s="117" t="b">
        <v>0</v>
      </c>
      <c r="N68" s="117" t="b">
        <v>0</v>
      </c>
      <c r="W68" s="117"/>
      <c r="X68" s="117"/>
      <c r="Z68" s="117" t="b">
        <v>0</v>
      </c>
      <c r="AF68" s="117" t="b">
        <v>0</v>
      </c>
      <c r="AG68" s="117" t="b">
        <v>0</v>
      </c>
      <c r="AH68" s="117"/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G69" s="117"/>
      <c r="H69" s="117" t="b">
        <v>0</v>
      </c>
      <c r="I69" s="117" t="b">
        <v>0</v>
      </c>
      <c r="J69" s="117"/>
      <c r="K69" s="117"/>
      <c r="L69" s="117" t="b">
        <v>0</v>
      </c>
      <c r="M69" s="117" t="b">
        <v>0</v>
      </c>
      <c r="N69" s="117" t="b">
        <v>0</v>
      </c>
      <c r="W69" s="117"/>
      <c r="X69" s="117"/>
      <c r="Z69" s="117" t="b">
        <v>0</v>
      </c>
      <c r="AF69" s="117" t="b">
        <v>0</v>
      </c>
      <c r="AG69" s="117" t="b">
        <v>0</v>
      </c>
      <c r="AH69" s="117"/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G70" s="117"/>
      <c r="H70" s="117" t="b">
        <v>0</v>
      </c>
      <c r="I70" s="117" t="b">
        <v>0</v>
      </c>
      <c r="J70" s="117"/>
      <c r="K70" s="117"/>
      <c r="L70" s="117" t="b">
        <v>0</v>
      </c>
      <c r="M70" s="117" t="b">
        <v>0</v>
      </c>
      <c r="N70" s="117" t="b">
        <v>0</v>
      </c>
      <c r="W70" s="117"/>
      <c r="X70" s="117"/>
      <c r="Z70" s="117" t="b">
        <v>0</v>
      </c>
      <c r="AF70" s="117" t="b">
        <v>0</v>
      </c>
      <c r="AG70" s="117" t="b">
        <v>0</v>
      </c>
      <c r="AH70" s="117"/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G71" s="117"/>
      <c r="H71" s="117" t="b">
        <v>0</v>
      </c>
      <c r="I71" s="117" t="b">
        <v>0</v>
      </c>
      <c r="J71" s="117"/>
      <c r="K71" s="117"/>
      <c r="L71" s="117" t="b">
        <v>0</v>
      </c>
      <c r="M71" s="117" t="b">
        <v>0</v>
      </c>
      <c r="N71" s="117" t="b">
        <v>0</v>
      </c>
      <c r="W71" s="117"/>
      <c r="X71" s="117"/>
      <c r="Z71" s="117" t="b">
        <v>0</v>
      </c>
      <c r="AF71" s="117" t="b">
        <v>0</v>
      </c>
      <c r="AG71" s="117" t="b">
        <v>0</v>
      </c>
      <c r="AH71" s="117"/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117"/>
      <c r="H72" s="117" t="b">
        <v>0</v>
      </c>
      <c r="I72" s="117" t="b">
        <v>0</v>
      </c>
      <c r="J72" s="117"/>
      <c r="K72" s="117"/>
      <c r="L72" s="117" t="b">
        <v>0</v>
      </c>
      <c r="M72" s="117" t="b">
        <v>0</v>
      </c>
      <c r="N72" s="117" t="b">
        <v>0</v>
      </c>
      <c r="W72" s="117"/>
      <c r="X72" s="117"/>
      <c r="Z72" s="117" t="b">
        <v>0</v>
      </c>
      <c r="AF72" s="117" t="b">
        <v>0</v>
      </c>
      <c r="AG72" s="117" t="b">
        <v>0</v>
      </c>
      <c r="AH72" s="117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117"/>
      <c r="H73" s="117" t="b">
        <v>0</v>
      </c>
      <c r="I73" s="117" t="b">
        <v>0</v>
      </c>
      <c r="J73" s="117"/>
      <c r="K73" s="117"/>
      <c r="L73" s="117" t="b">
        <v>0</v>
      </c>
      <c r="M73" s="117" t="b">
        <v>0</v>
      </c>
      <c r="N73" s="117" t="b">
        <v>0</v>
      </c>
      <c r="W73" s="117"/>
      <c r="X73" s="117"/>
      <c r="Z73" s="117" t="b">
        <v>0</v>
      </c>
      <c r="AF73" s="117" t="b">
        <v>0</v>
      </c>
      <c r="AG73" s="117" t="b">
        <v>0</v>
      </c>
      <c r="AH73" s="117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117"/>
      <c r="H74" s="117" t="b">
        <v>0</v>
      </c>
      <c r="I74" s="117" t="b">
        <v>0</v>
      </c>
      <c r="J74" s="117"/>
      <c r="K74" s="117"/>
      <c r="L74" s="117" t="b">
        <v>0</v>
      </c>
      <c r="M74" s="117" t="b">
        <v>0</v>
      </c>
      <c r="N74" s="117" t="b">
        <v>0</v>
      </c>
      <c r="W74" s="117"/>
      <c r="X74" s="117"/>
      <c r="Z74" s="117" t="b">
        <v>0</v>
      </c>
      <c r="AF74" s="117" t="b">
        <v>0</v>
      </c>
      <c r="AG74" s="117" t="b">
        <v>0</v>
      </c>
      <c r="AH74" s="117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117"/>
      <c r="H75" s="117" t="b">
        <v>0</v>
      </c>
      <c r="I75" s="117" t="b">
        <v>0</v>
      </c>
      <c r="J75" s="117"/>
      <c r="K75" s="117"/>
      <c r="L75" s="117" t="b">
        <v>0</v>
      </c>
      <c r="M75" s="117" t="b">
        <v>0</v>
      </c>
      <c r="N75" s="117" t="b">
        <v>0</v>
      </c>
      <c r="W75" s="117"/>
      <c r="X75" s="117"/>
      <c r="Z75" s="117" t="b">
        <v>0</v>
      </c>
      <c r="AF75" s="117" t="b">
        <v>0</v>
      </c>
      <c r="AG75" s="117" t="b">
        <v>0</v>
      </c>
      <c r="AH75" s="117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117"/>
      <c r="H76" s="117" t="b">
        <v>0</v>
      </c>
      <c r="I76" s="117" t="b">
        <v>0</v>
      </c>
      <c r="J76" s="117"/>
      <c r="K76" s="117"/>
      <c r="L76" s="117" t="b">
        <v>0</v>
      </c>
      <c r="M76" s="117" t="b">
        <v>0</v>
      </c>
      <c r="N76" s="117" t="b">
        <v>0</v>
      </c>
      <c r="W76" s="117"/>
      <c r="X76" s="117"/>
      <c r="Z76" s="117" t="b">
        <v>0</v>
      </c>
      <c r="AF76" s="117" t="b">
        <v>0</v>
      </c>
      <c r="AG76" s="117" t="b">
        <v>0</v>
      </c>
      <c r="AH76" s="117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117"/>
      <c r="H77" s="117" t="b">
        <v>0</v>
      </c>
      <c r="I77" s="117" t="b">
        <v>0</v>
      </c>
      <c r="J77" s="117"/>
      <c r="K77" s="117"/>
      <c r="L77" s="117" t="b">
        <v>0</v>
      </c>
      <c r="M77" s="117" t="b">
        <v>0</v>
      </c>
      <c r="N77" s="117" t="b">
        <v>0</v>
      </c>
      <c r="W77" s="117"/>
      <c r="X77" s="117"/>
      <c r="Z77" s="117" t="b">
        <v>0</v>
      </c>
      <c r="AF77" s="117" t="b">
        <v>0</v>
      </c>
      <c r="AG77" s="117" t="b">
        <v>0</v>
      </c>
      <c r="AH77" s="117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117"/>
      <c r="H78" s="117" t="b">
        <v>0</v>
      </c>
      <c r="I78" s="117" t="b">
        <v>0</v>
      </c>
      <c r="J78" s="117"/>
      <c r="K78" s="117"/>
      <c r="L78" s="117" t="b">
        <v>0</v>
      </c>
      <c r="M78" s="117" t="b">
        <v>0</v>
      </c>
      <c r="N78" s="117" t="b">
        <v>0</v>
      </c>
      <c r="W78" s="117"/>
      <c r="X78" s="117"/>
      <c r="Z78" s="117" t="b">
        <v>0</v>
      </c>
      <c r="AF78" s="117" t="b">
        <v>0</v>
      </c>
      <c r="AG78" s="117" t="b">
        <v>0</v>
      </c>
      <c r="AH78" s="117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117"/>
      <c r="H79" s="117" t="b">
        <v>0</v>
      </c>
      <c r="I79" s="117" t="b">
        <v>0</v>
      </c>
      <c r="J79" s="117"/>
      <c r="K79" s="117"/>
      <c r="L79" s="117" t="b">
        <v>0</v>
      </c>
      <c r="M79" s="117" t="b">
        <v>0</v>
      </c>
      <c r="N79" s="117" t="b">
        <v>0</v>
      </c>
      <c r="W79" s="117"/>
      <c r="X79" s="117"/>
      <c r="Z79" s="117" t="b">
        <v>0</v>
      </c>
      <c r="AF79" s="117" t="b">
        <v>0</v>
      </c>
      <c r="AG79" s="117" t="b">
        <v>0</v>
      </c>
      <c r="AH79" s="117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117"/>
      <c r="H80" s="117" t="b">
        <v>0</v>
      </c>
      <c r="I80" s="117" t="b">
        <v>0</v>
      </c>
      <c r="J80" s="117"/>
      <c r="K80" s="117"/>
      <c r="L80" s="117" t="b">
        <v>0</v>
      </c>
      <c r="M80" s="117" t="b">
        <v>0</v>
      </c>
      <c r="N80" s="117" t="b">
        <v>0</v>
      </c>
      <c r="W80" s="117"/>
      <c r="X80" s="117"/>
      <c r="Z80" s="117" t="b">
        <v>0</v>
      </c>
      <c r="AF80" s="117" t="b">
        <v>0</v>
      </c>
      <c r="AG80" s="117" t="b">
        <v>0</v>
      </c>
      <c r="AH80" s="117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117"/>
      <c r="H81" s="117" t="b">
        <v>0</v>
      </c>
      <c r="I81" s="117" t="b">
        <v>0</v>
      </c>
      <c r="J81" s="117"/>
      <c r="K81" s="117"/>
      <c r="L81" s="117" t="b">
        <v>0</v>
      </c>
      <c r="M81" s="117" t="b">
        <v>0</v>
      </c>
      <c r="N81" s="117" t="b">
        <v>0</v>
      </c>
      <c r="W81" s="117"/>
      <c r="X81" s="117"/>
      <c r="Z81" s="117" t="b">
        <v>0</v>
      </c>
      <c r="AF81" s="117" t="b">
        <v>0</v>
      </c>
      <c r="AG81" s="117" t="b">
        <v>0</v>
      </c>
      <c r="AH81" s="117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117"/>
      <c r="H82" s="117" t="b">
        <v>0</v>
      </c>
      <c r="I82" s="117" t="b">
        <v>0</v>
      </c>
      <c r="J82" s="117"/>
      <c r="K82" s="117"/>
      <c r="L82" s="117" t="b">
        <v>0</v>
      </c>
      <c r="M82" s="117" t="b">
        <v>0</v>
      </c>
      <c r="N82" s="117" t="b">
        <v>0</v>
      </c>
      <c r="W82" s="117"/>
      <c r="X82" s="117"/>
      <c r="Z82" s="117" t="b">
        <v>0</v>
      </c>
      <c r="AF82" s="117" t="b">
        <v>0</v>
      </c>
      <c r="AG82" s="117" t="b">
        <v>0</v>
      </c>
      <c r="AH82" s="117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117"/>
      <c r="H83" s="117" t="b">
        <v>0</v>
      </c>
      <c r="I83" s="117" t="b">
        <v>0</v>
      </c>
      <c r="J83" s="117"/>
      <c r="K83" s="117"/>
      <c r="L83" s="117" t="b">
        <v>0</v>
      </c>
      <c r="M83" s="117" t="b">
        <v>0</v>
      </c>
      <c r="N83" s="117" t="b">
        <v>0</v>
      </c>
      <c r="W83" s="117"/>
      <c r="X83" s="117"/>
      <c r="Z83" s="117" t="b">
        <v>0</v>
      </c>
      <c r="AF83" s="117" t="b">
        <v>0</v>
      </c>
      <c r="AG83" s="117" t="b">
        <v>0</v>
      </c>
      <c r="AH83" s="117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117"/>
      <c r="H84" s="117" t="b">
        <v>0</v>
      </c>
      <c r="I84" s="117" t="b">
        <v>0</v>
      </c>
      <c r="J84" s="117"/>
      <c r="K84" s="117"/>
      <c r="L84" s="117" t="b">
        <v>0</v>
      </c>
      <c r="M84" s="117" t="b">
        <v>0</v>
      </c>
      <c r="N84" s="117" t="b">
        <v>0</v>
      </c>
      <c r="W84" s="117"/>
      <c r="X84" s="117"/>
      <c r="Z84" s="117" t="b">
        <v>0</v>
      </c>
      <c r="AF84" s="117" t="b">
        <v>0</v>
      </c>
      <c r="AG84" s="117" t="b">
        <v>0</v>
      </c>
      <c r="AH84" s="117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117"/>
      <c r="H85" s="117" t="b">
        <v>0</v>
      </c>
      <c r="I85" s="117" t="b">
        <v>0</v>
      </c>
      <c r="J85" s="117"/>
      <c r="K85" s="117"/>
      <c r="L85" s="117" t="b">
        <v>0</v>
      </c>
      <c r="M85" s="117" t="b">
        <v>0</v>
      </c>
      <c r="N85" s="117" t="b">
        <v>0</v>
      </c>
      <c r="W85" s="117"/>
      <c r="X85" s="117"/>
      <c r="Z85" s="117" t="b">
        <v>0</v>
      </c>
      <c r="AF85" s="117" t="b">
        <v>0</v>
      </c>
      <c r="AG85" s="117" t="b">
        <v>0</v>
      </c>
      <c r="AH85" s="117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117"/>
      <c r="H86" s="117" t="b">
        <v>0</v>
      </c>
      <c r="I86" s="117" t="b">
        <v>0</v>
      </c>
      <c r="J86" s="117"/>
      <c r="K86" s="117"/>
      <c r="L86" s="117" t="b">
        <v>0</v>
      </c>
      <c r="M86" s="117" t="b">
        <v>0</v>
      </c>
      <c r="N86" s="117" t="b">
        <v>0</v>
      </c>
      <c r="W86" s="117"/>
      <c r="X86" s="117"/>
      <c r="Z86" s="117" t="b">
        <v>0</v>
      </c>
      <c r="AF86" s="117" t="b">
        <v>0</v>
      </c>
      <c r="AG86" s="117" t="b">
        <v>0</v>
      </c>
      <c r="AH86" s="117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117"/>
      <c r="H87" s="117" t="b">
        <v>0</v>
      </c>
      <c r="I87" s="117" t="b">
        <v>0</v>
      </c>
      <c r="J87" s="117"/>
      <c r="K87" s="117"/>
      <c r="L87" s="117" t="b">
        <v>0</v>
      </c>
      <c r="M87" s="117" t="b">
        <v>0</v>
      </c>
      <c r="N87" s="117" t="b">
        <v>0</v>
      </c>
      <c r="W87" s="117"/>
      <c r="X87" s="117"/>
      <c r="Z87" s="117" t="b">
        <v>0</v>
      </c>
      <c r="AF87" s="117" t="b">
        <v>0</v>
      </c>
      <c r="AG87" s="117" t="b">
        <v>0</v>
      </c>
      <c r="AH87" s="117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117"/>
      <c r="H88" s="117" t="b">
        <v>0</v>
      </c>
      <c r="I88" s="117" t="b">
        <v>0</v>
      </c>
      <c r="J88" s="117"/>
      <c r="K88" s="117"/>
      <c r="L88" s="117" t="b">
        <v>0</v>
      </c>
      <c r="M88" s="117" t="b">
        <v>0</v>
      </c>
      <c r="N88" s="117" t="b">
        <v>0</v>
      </c>
      <c r="W88" s="117"/>
      <c r="X88" s="117"/>
      <c r="Z88" s="117" t="b">
        <v>0</v>
      </c>
      <c r="AF88" s="117" t="b">
        <v>0</v>
      </c>
      <c r="AG88" s="117" t="b">
        <v>0</v>
      </c>
      <c r="AH88" s="117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117"/>
      <c r="H89" s="117" t="b">
        <v>0</v>
      </c>
      <c r="I89" s="117" t="b">
        <v>0</v>
      </c>
      <c r="J89" s="117"/>
      <c r="K89" s="117"/>
      <c r="L89" s="117" t="b">
        <v>0</v>
      </c>
      <c r="M89" s="117" t="b">
        <v>0</v>
      </c>
      <c r="N89" s="117" t="b">
        <v>0</v>
      </c>
      <c r="W89" s="117"/>
      <c r="X89" s="117"/>
      <c r="Z89" s="117" t="b">
        <v>0</v>
      </c>
      <c r="AF89" s="117" t="b">
        <v>0</v>
      </c>
      <c r="AG89" s="117" t="b">
        <v>0</v>
      </c>
      <c r="AH89" s="117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117"/>
      <c r="H90" s="117" t="b">
        <v>0</v>
      </c>
      <c r="I90" s="117" t="b">
        <v>0</v>
      </c>
      <c r="J90" s="117"/>
      <c r="K90" s="117"/>
      <c r="L90" s="117" t="b">
        <v>0</v>
      </c>
      <c r="M90" s="117" t="b">
        <v>0</v>
      </c>
      <c r="N90" s="117" t="b">
        <v>0</v>
      </c>
      <c r="W90" s="117"/>
      <c r="X90" s="117"/>
      <c r="Z90" s="117" t="b">
        <v>0</v>
      </c>
      <c r="AF90" s="117" t="b">
        <v>0</v>
      </c>
      <c r="AG90" s="117" t="b">
        <v>0</v>
      </c>
      <c r="AH90" s="117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117"/>
      <c r="H91" s="117" t="b">
        <v>0</v>
      </c>
      <c r="I91" s="117" t="b">
        <v>0</v>
      </c>
      <c r="J91" s="117"/>
      <c r="K91" s="117"/>
      <c r="L91" s="117" t="b">
        <v>0</v>
      </c>
      <c r="M91" s="117" t="b">
        <v>0</v>
      </c>
      <c r="N91" s="117" t="b">
        <v>0</v>
      </c>
      <c r="W91" s="117"/>
      <c r="X91" s="117"/>
      <c r="Z91" s="117" t="b">
        <v>0</v>
      </c>
      <c r="AF91" s="117" t="b">
        <v>0</v>
      </c>
      <c r="AG91" s="117" t="b">
        <v>0</v>
      </c>
      <c r="AH91" s="117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117"/>
      <c r="H92" s="117" t="b">
        <v>0</v>
      </c>
      <c r="I92" s="117" t="b">
        <v>0</v>
      </c>
      <c r="J92" s="117"/>
      <c r="K92" s="117"/>
      <c r="L92" s="117" t="b">
        <v>0</v>
      </c>
      <c r="M92" s="117" t="b">
        <v>0</v>
      </c>
      <c r="N92" s="117" t="b">
        <v>0</v>
      </c>
      <c r="W92" s="117"/>
      <c r="X92" s="117"/>
      <c r="Z92" s="117" t="b">
        <v>0</v>
      </c>
      <c r="AF92" s="117" t="b">
        <v>0</v>
      </c>
      <c r="AG92" s="117" t="b">
        <v>0</v>
      </c>
      <c r="AH92" s="117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117"/>
      <c r="H93" s="117" t="b">
        <v>0</v>
      </c>
      <c r="I93" s="117" t="b">
        <v>0</v>
      </c>
      <c r="J93" s="117"/>
      <c r="K93" s="117"/>
      <c r="L93" s="117" t="b">
        <v>0</v>
      </c>
      <c r="M93" s="117" t="b">
        <v>0</v>
      </c>
      <c r="N93" s="117" t="b">
        <v>0</v>
      </c>
      <c r="W93" s="117"/>
      <c r="X93" s="117"/>
      <c r="Z93" s="117" t="b">
        <v>0</v>
      </c>
      <c r="AF93" s="117" t="b">
        <v>0</v>
      </c>
      <c r="AG93" s="117" t="b">
        <v>0</v>
      </c>
      <c r="AH93" s="117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117"/>
      <c r="H94" s="117" t="b">
        <v>0</v>
      </c>
      <c r="I94" s="117" t="b">
        <v>0</v>
      </c>
      <c r="J94" s="117"/>
      <c r="K94" s="117"/>
      <c r="L94" s="117" t="b">
        <v>0</v>
      </c>
      <c r="M94" s="117" t="b">
        <v>0</v>
      </c>
      <c r="N94" s="117" t="b">
        <v>0</v>
      </c>
      <c r="W94" s="117"/>
      <c r="X94" s="117"/>
      <c r="Z94" s="117" t="b">
        <v>0</v>
      </c>
      <c r="AF94" s="117" t="b">
        <v>0</v>
      </c>
      <c r="AG94" s="117" t="b">
        <v>0</v>
      </c>
      <c r="AH94" s="117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117"/>
      <c r="H95" s="117" t="b">
        <v>0</v>
      </c>
      <c r="I95" s="117" t="b">
        <v>0</v>
      </c>
      <c r="J95" s="117"/>
      <c r="K95" s="117"/>
      <c r="L95" s="117" t="b">
        <v>0</v>
      </c>
      <c r="M95" s="117" t="b">
        <v>0</v>
      </c>
      <c r="N95" s="117" t="b">
        <v>0</v>
      </c>
      <c r="W95" s="117"/>
      <c r="X95" s="117"/>
      <c r="Z95" s="117" t="b">
        <v>0</v>
      </c>
      <c r="AF95" s="117" t="b">
        <v>0</v>
      </c>
      <c r="AG95" s="117" t="b">
        <v>0</v>
      </c>
      <c r="AH95" s="117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117"/>
      <c r="H96" s="117" t="b">
        <v>0</v>
      </c>
      <c r="I96" s="117" t="b">
        <v>0</v>
      </c>
      <c r="J96" s="117"/>
      <c r="K96" s="117"/>
      <c r="L96" s="117" t="b">
        <v>0</v>
      </c>
      <c r="M96" s="117" t="b">
        <v>0</v>
      </c>
      <c r="N96" s="117" t="b">
        <v>0</v>
      </c>
      <c r="W96" s="117"/>
      <c r="X96" s="117"/>
      <c r="Z96" s="117" t="b">
        <v>0</v>
      </c>
      <c r="AF96" s="117" t="b">
        <v>0</v>
      </c>
      <c r="AG96" s="117" t="b">
        <v>0</v>
      </c>
      <c r="AH96" s="117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117"/>
      <c r="H97" s="117" t="b">
        <v>0</v>
      </c>
      <c r="I97" s="117" t="b">
        <v>0</v>
      </c>
      <c r="J97" s="117"/>
      <c r="K97" s="117"/>
      <c r="L97" s="117" t="b">
        <v>0</v>
      </c>
      <c r="M97" s="117" t="b">
        <v>0</v>
      </c>
      <c r="N97" s="117" t="b">
        <v>0</v>
      </c>
      <c r="W97" s="117"/>
      <c r="X97" s="117"/>
      <c r="Z97" s="117" t="b">
        <v>0</v>
      </c>
      <c r="AF97" s="117" t="b">
        <v>0</v>
      </c>
      <c r="AG97" s="117" t="b">
        <v>0</v>
      </c>
      <c r="AH97" s="117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117"/>
      <c r="H98" s="117" t="b">
        <v>0</v>
      </c>
      <c r="I98" s="117" t="b">
        <v>0</v>
      </c>
      <c r="J98" s="117"/>
      <c r="K98" s="117"/>
      <c r="L98" s="117" t="b">
        <v>0</v>
      </c>
      <c r="M98" s="117" t="b">
        <v>0</v>
      </c>
      <c r="N98" s="117" t="b">
        <v>0</v>
      </c>
      <c r="W98" s="117"/>
      <c r="X98" s="117"/>
      <c r="Z98" s="117" t="b">
        <v>0</v>
      </c>
      <c r="AF98" s="117" t="b">
        <v>0</v>
      </c>
      <c r="AG98" s="117" t="b">
        <v>0</v>
      </c>
      <c r="AH98" s="117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117"/>
      <c r="H99" s="117" t="b">
        <v>0</v>
      </c>
      <c r="I99" s="117" t="b">
        <v>0</v>
      </c>
      <c r="J99" s="117"/>
      <c r="K99" s="117"/>
      <c r="L99" s="117" t="b">
        <v>0</v>
      </c>
      <c r="M99" s="117" t="b">
        <v>0</v>
      </c>
      <c r="N99" s="117" t="b">
        <v>0</v>
      </c>
      <c r="W99" s="117"/>
      <c r="X99" s="117"/>
      <c r="Z99" s="117" t="b">
        <v>0</v>
      </c>
      <c r="AF99" s="117" t="b">
        <v>0</v>
      </c>
      <c r="AG99" s="117" t="b">
        <v>0</v>
      </c>
      <c r="AH99" s="117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117"/>
      <c r="H100" s="117" t="b">
        <v>0</v>
      </c>
      <c r="I100" s="117" t="b">
        <v>0</v>
      </c>
      <c r="J100" s="117"/>
      <c r="K100" s="117"/>
      <c r="L100" s="117" t="b">
        <v>0</v>
      </c>
      <c r="M100" s="117" t="b">
        <v>0</v>
      </c>
      <c r="N100" s="117" t="b">
        <v>0</v>
      </c>
      <c r="W100" s="117"/>
      <c r="X100" s="117"/>
      <c r="Z100" s="117" t="b">
        <v>0</v>
      </c>
      <c r="AF100" s="117" t="b">
        <v>0</v>
      </c>
      <c r="AG100" s="117" t="b">
        <v>0</v>
      </c>
      <c r="AH100" s="117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117"/>
      <c r="H101" s="117" t="b">
        <v>0</v>
      </c>
      <c r="I101" s="117" t="b">
        <v>0</v>
      </c>
      <c r="J101" s="117"/>
      <c r="K101" s="117"/>
      <c r="L101" s="117" t="b">
        <v>0</v>
      </c>
      <c r="M101" s="117" t="b">
        <v>0</v>
      </c>
      <c r="N101" s="117" t="b">
        <v>0</v>
      </c>
      <c r="W101" s="117"/>
      <c r="X101" s="117"/>
      <c r="Z101" s="117" t="b">
        <v>0</v>
      </c>
      <c r="AF101" s="117" t="b">
        <v>0</v>
      </c>
      <c r="AG101" s="117" t="b">
        <v>0</v>
      </c>
      <c r="AH101" s="117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117"/>
      <c r="H102" s="117" t="b">
        <v>0</v>
      </c>
      <c r="I102" s="117" t="b">
        <v>0</v>
      </c>
      <c r="J102" s="117"/>
      <c r="K102" s="117"/>
      <c r="L102" s="117" t="b">
        <v>0</v>
      </c>
      <c r="M102" s="117" t="b">
        <v>0</v>
      </c>
      <c r="N102" s="117" t="b">
        <v>0</v>
      </c>
      <c r="W102" s="117"/>
      <c r="X102" s="117"/>
      <c r="Z102" s="117" t="b">
        <v>0</v>
      </c>
      <c r="AF102" s="117" t="b">
        <v>0</v>
      </c>
      <c r="AG102" s="117" t="b">
        <v>0</v>
      </c>
      <c r="AH102" s="117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117"/>
      <c r="H103" s="117" t="b">
        <v>0</v>
      </c>
      <c r="I103" s="117" t="b">
        <v>0</v>
      </c>
      <c r="J103" s="117"/>
      <c r="K103" s="117"/>
      <c r="L103" s="117" t="b">
        <v>0</v>
      </c>
      <c r="M103" s="117" t="b">
        <v>0</v>
      </c>
      <c r="N103" s="117" t="b">
        <v>0</v>
      </c>
      <c r="W103" s="117"/>
      <c r="X103" s="117"/>
      <c r="Z103" s="117" t="b">
        <v>0</v>
      </c>
      <c r="AF103" s="117" t="b">
        <v>0</v>
      </c>
      <c r="AG103" s="117" t="b">
        <v>0</v>
      </c>
      <c r="AH103" s="117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117"/>
      <c r="H104" s="117" t="b">
        <v>0</v>
      </c>
      <c r="I104" s="117" t="b">
        <v>0</v>
      </c>
      <c r="J104" s="117"/>
      <c r="K104" s="117"/>
      <c r="L104" s="117" t="b">
        <v>0</v>
      </c>
      <c r="M104" s="117" t="b">
        <v>0</v>
      </c>
      <c r="N104" s="117" t="b">
        <v>0</v>
      </c>
      <c r="W104" s="117"/>
      <c r="X104" s="117"/>
      <c r="Z104" s="117" t="b">
        <v>0</v>
      </c>
      <c r="AF104" s="117" t="b">
        <v>0</v>
      </c>
      <c r="AG104" s="117" t="b">
        <v>0</v>
      </c>
      <c r="AH104" s="117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117"/>
      <c r="H105" s="117" t="b">
        <v>0</v>
      </c>
      <c r="I105" s="117" t="b">
        <v>0</v>
      </c>
      <c r="J105" s="117"/>
      <c r="K105" s="117"/>
      <c r="L105" s="117" t="b">
        <v>0</v>
      </c>
      <c r="M105" s="117" t="b">
        <v>0</v>
      </c>
      <c r="N105" s="117" t="b">
        <v>0</v>
      </c>
      <c r="W105" s="117"/>
      <c r="X105" s="117"/>
      <c r="Z105" s="117" t="b">
        <v>0</v>
      </c>
      <c r="AF105" s="117" t="b">
        <v>0</v>
      </c>
      <c r="AG105" s="117" t="b">
        <v>0</v>
      </c>
      <c r="AH105" s="117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117"/>
      <c r="H106" s="117" t="b">
        <v>0</v>
      </c>
      <c r="I106" s="117" t="b">
        <v>0</v>
      </c>
      <c r="J106" s="117"/>
      <c r="K106" s="117"/>
      <c r="L106" s="117" t="b">
        <v>0</v>
      </c>
      <c r="M106" s="117" t="b">
        <v>0</v>
      </c>
      <c r="N106" s="117" t="b">
        <v>0</v>
      </c>
      <c r="W106" s="117"/>
      <c r="X106" s="117"/>
      <c r="Z106" s="117" t="b">
        <v>0</v>
      </c>
      <c r="AF106" s="117" t="b">
        <v>0</v>
      </c>
      <c r="AG106" s="117" t="b">
        <v>0</v>
      </c>
      <c r="AH106" s="117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117"/>
      <c r="H107" s="117" t="b">
        <v>0</v>
      </c>
      <c r="I107" s="117" t="b">
        <v>0</v>
      </c>
      <c r="J107" s="117"/>
      <c r="K107" s="117"/>
      <c r="L107" s="117" t="b">
        <v>0</v>
      </c>
      <c r="M107" s="117" t="b">
        <v>0</v>
      </c>
      <c r="N107" s="117" t="b">
        <v>0</v>
      </c>
      <c r="W107" s="117"/>
      <c r="X107" s="117"/>
      <c r="Z107" s="117" t="b">
        <v>0</v>
      </c>
      <c r="AF107" s="117" t="b">
        <v>0</v>
      </c>
      <c r="AG107" s="117" t="b">
        <v>0</v>
      </c>
      <c r="AH107" s="117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117"/>
      <c r="H108" s="117" t="b">
        <v>0</v>
      </c>
      <c r="I108" s="117" t="b">
        <v>0</v>
      </c>
      <c r="J108" s="117"/>
      <c r="K108" s="117"/>
      <c r="L108" s="117" t="b">
        <v>0</v>
      </c>
      <c r="M108" s="117" t="b">
        <v>0</v>
      </c>
      <c r="N108" s="117" t="b">
        <v>0</v>
      </c>
      <c r="W108" s="117"/>
      <c r="X108" s="117"/>
      <c r="Z108" s="117" t="b">
        <v>0</v>
      </c>
      <c r="AF108" s="117" t="b">
        <v>0</v>
      </c>
      <c r="AG108" s="117" t="b">
        <v>0</v>
      </c>
      <c r="AH108" s="117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117"/>
      <c r="H109" s="117" t="b">
        <v>0</v>
      </c>
      <c r="I109" s="117" t="b">
        <v>0</v>
      </c>
      <c r="J109" s="117"/>
      <c r="K109" s="117"/>
      <c r="L109" s="117" t="b">
        <v>0</v>
      </c>
      <c r="M109" s="117" t="b">
        <v>0</v>
      </c>
      <c r="N109" s="117" t="b">
        <v>0</v>
      </c>
      <c r="W109" s="117"/>
      <c r="X109" s="117"/>
      <c r="Z109" s="117" t="b">
        <v>0</v>
      </c>
      <c r="AF109" s="117" t="b">
        <v>0</v>
      </c>
      <c r="AG109" s="117" t="b">
        <v>0</v>
      </c>
      <c r="AH109" s="117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117"/>
      <c r="H110" s="117" t="b">
        <v>0</v>
      </c>
      <c r="I110" s="117" t="b">
        <v>0</v>
      </c>
      <c r="J110" s="117"/>
      <c r="K110" s="117"/>
      <c r="L110" s="117" t="b">
        <v>0</v>
      </c>
      <c r="M110" s="117" t="b">
        <v>0</v>
      </c>
      <c r="N110" s="117" t="b">
        <v>0</v>
      </c>
      <c r="W110" s="117"/>
      <c r="X110" s="117"/>
      <c r="Z110" s="117" t="b">
        <v>0</v>
      </c>
      <c r="AF110" s="117" t="b">
        <v>0</v>
      </c>
      <c r="AG110" s="117" t="b">
        <v>0</v>
      </c>
      <c r="AH110" s="117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117"/>
      <c r="H111" s="117" t="b">
        <v>0</v>
      </c>
      <c r="I111" s="117" t="b">
        <v>0</v>
      </c>
      <c r="J111" s="117"/>
      <c r="K111" s="117"/>
      <c r="L111" s="117" t="b">
        <v>0</v>
      </c>
      <c r="M111" s="117" t="b">
        <v>0</v>
      </c>
      <c r="N111" s="117" t="b">
        <v>0</v>
      </c>
      <c r="W111" s="117"/>
      <c r="X111" s="117"/>
      <c r="Z111" s="117" t="b">
        <v>0</v>
      </c>
      <c r="AF111" s="117" t="b">
        <v>0</v>
      </c>
      <c r="AG111" s="117" t="b">
        <v>0</v>
      </c>
      <c r="AH111" s="117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117"/>
      <c r="H112" s="117" t="b">
        <v>0</v>
      </c>
      <c r="I112" s="117" t="b">
        <v>0</v>
      </c>
      <c r="J112" s="117"/>
      <c r="K112" s="117"/>
      <c r="L112" s="117" t="b">
        <v>0</v>
      </c>
      <c r="M112" s="117" t="b">
        <v>0</v>
      </c>
      <c r="N112" s="117" t="b">
        <v>0</v>
      </c>
      <c r="W112" s="117"/>
      <c r="X112" s="117"/>
      <c r="Z112" s="117" t="b">
        <v>0</v>
      </c>
      <c r="AF112" s="117" t="b">
        <v>0</v>
      </c>
      <c r="AG112" s="117" t="b">
        <v>0</v>
      </c>
      <c r="AH112" s="117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117"/>
      <c r="H113" s="117" t="b">
        <v>0</v>
      </c>
      <c r="I113" s="117" t="b">
        <v>0</v>
      </c>
      <c r="J113" s="117"/>
      <c r="K113" s="117"/>
      <c r="L113" s="117" t="b">
        <v>0</v>
      </c>
      <c r="M113" s="117" t="b">
        <v>0</v>
      </c>
      <c r="N113" s="117" t="b">
        <v>0</v>
      </c>
      <c r="W113" s="117"/>
      <c r="X113" s="117"/>
      <c r="Z113" s="117" t="b">
        <v>0</v>
      </c>
      <c r="AF113" s="117" t="b">
        <v>0</v>
      </c>
      <c r="AG113" s="117" t="b">
        <v>0</v>
      </c>
      <c r="AH113" s="117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117"/>
      <c r="H114" s="117" t="b">
        <v>0</v>
      </c>
      <c r="I114" s="117" t="b">
        <v>0</v>
      </c>
      <c r="J114" s="117"/>
      <c r="K114" s="117"/>
      <c r="L114" s="117" t="b">
        <v>0</v>
      </c>
      <c r="M114" s="117" t="b">
        <v>0</v>
      </c>
      <c r="N114" s="117" t="b">
        <v>0</v>
      </c>
      <c r="W114" s="117"/>
      <c r="X114" s="117"/>
      <c r="Z114" s="117" t="b">
        <v>0</v>
      </c>
      <c r="AF114" s="117" t="b">
        <v>0</v>
      </c>
      <c r="AG114" s="117" t="b">
        <v>0</v>
      </c>
      <c r="AH114" s="117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117"/>
      <c r="H115" s="117" t="b">
        <v>0</v>
      </c>
      <c r="I115" s="117" t="b">
        <v>0</v>
      </c>
      <c r="J115" s="117"/>
      <c r="K115" s="117"/>
      <c r="L115" s="117" t="b">
        <v>0</v>
      </c>
      <c r="M115" s="117" t="b">
        <v>0</v>
      </c>
      <c r="N115" s="117" t="b">
        <v>0</v>
      </c>
      <c r="W115" s="117"/>
      <c r="X115" s="117"/>
      <c r="Z115" s="117" t="b">
        <v>0</v>
      </c>
      <c r="AF115" s="117" t="b">
        <v>0</v>
      </c>
      <c r="AG115" s="117" t="b">
        <v>0</v>
      </c>
      <c r="AH115" s="117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117"/>
      <c r="H116" s="117" t="b">
        <v>0</v>
      </c>
      <c r="I116" s="117" t="b">
        <v>0</v>
      </c>
      <c r="J116" s="117"/>
      <c r="K116" s="117"/>
      <c r="L116" s="117" t="b">
        <v>0</v>
      </c>
      <c r="M116" s="117" t="b">
        <v>0</v>
      </c>
      <c r="N116" s="117" t="b">
        <v>0</v>
      </c>
      <c r="W116" s="117"/>
      <c r="X116" s="117"/>
      <c r="Z116" s="117" t="b">
        <v>0</v>
      </c>
      <c r="AF116" s="117" t="b">
        <v>0</v>
      </c>
      <c r="AG116" s="117" t="b">
        <v>0</v>
      </c>
      <c r="AH116" s="117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117"/>
      <c r="H117" s="117" t="b">
        <v>0</v>
      </c>
      <c r="I117" s="117" t="b">
        <v>0</v>
      </c>
      <c r="J117" s="117"/>
      <c r="K117" s="117"/>
      <c r="L117" s="117" t="b">
        <v>0</v>
      </c>
      <c r="M117" s="117" t="b">
        <v>0</v>
      </c>
      <c r="N117" s="117" t="b">
        <v>0</v>
      </c>
      <c r="W117" s="117"/>
      <c r="X117" s="117"/>
      <c r="Z117" s="117" t="b">
        <v>0</v>
      </c>
      <c r="AF117" s="117" t="b">
        <v>0</v>
      </c>
      <c r="AG117" s="117" t="b">
        <v>0</v>
      </c>
      <c r="AH117" s="117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117"/>
      <c r="H118" s="117" t="b">
        <v>0</v>
      </c>
      <c r="I118" s="117" t="b">
        <v>0</v>
      </c>
      <c r="J118" s="117"/>
      <c r="K118" s="117"/>
      <c r="L118" s="117" t="b">
        <v>0</v>
      </c>
      <c r="M118" s="117" t="b">
        <v>0</v>
      </c>
      <c r="N118" s="117" t="b">
        <v>0</v>
      </c>
      <c r="W118" s="117"/>
      <c r="X118" s="117"/>
      <c r="Z118" s="117" t="b">
        <v>0</v>
      </c>
      <c r="AF118" s="117" t="b">
        <v>0</v>
      </c>
      <c r="AG118" s="117" t="b">
        <v>0</v>
      </c>
      <c r="AH118" s="117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117"/>
      <c r="H119" s="117" t="b">
        <v>0</v>
      </c>
      <c r="I119" s="117" t="b">
        <v>0</v>
      </c>
      <c r="J119" s="117"/>
      <c r="K119" s="117"/>
      <c r="L119" s="117" t="b">
        <v>0</v>
      </c>
      <c r="M119" s="117" t="b">
        <v>0</v>
      </c>
      <c r="N119" s="117" t="b">
        <v>0</v>
      </c>
      <c r="W119" s="117"/>
      <c r="X119" s="117"/>
      <c r="Z119" s="117" t="b">
        <v>0</v>
      </c>
      <c r="AF119" s="117" t="b">
        <v>0</v>
      </c>
      <c r="AG119" s="117" t="b">
        <v>0</v>
      </c>
      <c r="AH119" s="117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117"/>
      <c r="H120" s="117" t="b">
        <v>0</v>
      </c>
      <c r="I120" s="117" t="b">
        <v>0</v>
      </c>
      <c r="J120" s="117"/>
      <c r="K120" s="117"/>
      <c r="L120" s="117" t="b">
        <v>0</v>
      </c>
      <c r="M120" s="117" t="b">
        <v>0</v>
      </c>
      <c r="N120" s="117" t="b">
        <v>0</v>
      </c>
      <c r="W120" s="117"/>
      <c r="X120" s="117"/>
      <c r="Z120" s="117" t="b">
        <v>0</v>
      </c>
      <c r="AF120" s="117" t="b">
        <v>0</v>
      </c>
      <c r="AG120" s="117" t="b">
        <v>0</v>
      </c>
      <c r="AH120" s="117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117"/>
      <c r="H121" s="117" t="b">
        <v>0</v>
      </c>
      <c r="I121" s="117" t="b">
        <v>0</v>
      </c>
      <c r="J121" s="117"/>
      <c r="K121" s="117"/>
      <c r="L121" s="117" t="b">
        <v>0</v>
      </c>
      <c r="M121" s="117" t="b">
        <v>0</v>
      </c>
      <c r="N121" s="117" t="b">
        <v>0</v>
      </c>
      <c r="W121" s="117"/>
      <c r="X121" s="117"/>
      <c r="Z121" s="117" t="b">
        <v>0</v>
      </c>
      <c r="AF121" s="117" t="b">
        <v>0</v>
      </c>
      <c r="AG121" s="117" t="b">
        <v>0</v>
      </c>
      <c r="AH121" s="117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117"/>
      <c r="H122" s="117" t="b">
        <v>0</v>
      </c>
      <c r="I122" s="117" t="b">
        <v>0</v>
      </c>
      <c r="J122" s="117"/>
      <c r="K122" s="117"/>
      <c r="L122" s="117" t="b">
        <v>0</v>
      </c>
      <c r="M122" s="117" t="b">
        <v>0</v>
      </c>
      <c r="N122" s="117" t="b">
        <v>0</v>
      </c>
      <c r="W122" s="117"/>
      <c r="X122" s="117"/>
      <c r="Z122" s="117" t="b">
        <v>0</v>
      </c>
      <c r="AF122" s="117" t="b">
        <v>0</v>
      </c>
      <c r="AG122" s="117" t="b">
        <v>0</v>
      </c>
      <c r="AH122" s="117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117"/>
      <c r="H123" s="117" t="b">
        <v>0</v>
      </c>
      <c r="I123" s="117" t="b">
        <v>0</v>
      </c>
      <c r="J123" s="117"/>
      <c r="K123" s="117"/>
      <c r="L123" s="117" t="b">
        <v>0</v>
      </c>
      <c r="M123" s="117" t="b">
        <v>0</v>
      </c>
      <c r="N123" s="117" t="b">
        <v>0</v>
      </c>
      <c r="W123" s="117"/>
      <c r="X123" s="117"/>
      <c r="Z123" s="117" t="b">
        <v>0</v>
      </c>
      <c r="AF123" s="117" t="b">
        <v>0</v>
      </c>
      <c r="AG123" s="117" t="b">
        <v>0</v>
      </c>
      <c r="AH123" s="117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117"/>
      <c r="H124" s="117" t="b">
        <v>0</v>
      </c>
      <c r="I124" s="117" t="b">
        <v>0</v>
      </c>
      <c r="J124" s="117"/>
      <c r="K124" s="117"/>
      <c r="L124" s="117" t="b">
        <v>0</v>
      </c>
      <c r="M124" s="117" t="b">
        <v>0</v>
      </c>
      <c r="N124" s="117" t="b">
        <v>0</v>
      </c>
      <c r="W124" s="117"/>
      <c r="X124" s="117"/>
      <c r="Z124" s="117" t="b">
        <v>0</v>
      </c>
      <c r="AF124" s="117" t="b">
        <v>0</v>
      </c>
      <c r="AG124" s="117" t="b">
        <v>0</v>
      </c>
      <c r="AH124" s="117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117"/>
      <c r="H125" s="117" t="b">
        <v>0</v>
      </c>
      <c r="I125" s="117" t="b">
        <v>0</v>
      </c>
      <c r="J125" s="117"/>
      <c r="K125" s="117"/>
      <c r="L125" s="117" t="b">
        <v>0</v>
      </c>
      <c r="M125" s="117" t="b">
        <v>0</v>
      </c>
      <c r="N125" s="117" t="b">
        <v>0</v>
      </c>
      <c r="W125" s="117"/>
      <c r="X125" s="117"/>
      <c r="Z125" s="117" t="b">
        <v>0</v>
      </c>
      <c r="AF125" s="117" t="b">
        <v>0</v>
      </c>
      <c r="AG125" s="117" t="b">
        <v>0</v>
      </c>
      <c r="AH125" s="117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117"/>
      <c r="H126" s="117" t="b">
        <v>0</v>
      </c>
      <c r="I126" s="117" t="b">
        <v>0</v>
      </c>
      <c r="J126" s="117"/>
      <c r="K126" s="117"/>
      <c r="L126" s="117" t="b">
        <v>0</v>
      </c>
      <c r="M126" s="117" t="b">
        <v>0</v>
      </c>
      <c r="N126" s="117" t="b">
        <v>0</v>
      </c>
      <c r="W126" s="117"/>
      <c r="X126" s="117"/>
      <c r="Z126" s="117" t="b">
        <v>0</v>
      </c>
      <c r="AF126" s="117" t="b">
        <v>0</v>
      </c>
      <c r="AG126" s="117" t="b">
        <v>0</v>
      </c>
      <c r="AH126" s="117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117"/>
      <c r="H127" s="117" t="b">
        <v>0</v>
      </c>
      <c r="I127" s="117" t="b">
        <v>0</v>
      </c>
      <c r="J127" s="117"/>
      <c r="K127" s="117"/>
      <c r="L127" s="117" t="b">
        <v>0</v>
      </c>
      <c r="M127" s="117" t="b">
        <v>0</v>
      </c>
      <c r="N127" s="117" t="b">
        <v>0</v>
      </c>
      <c r="W127" s="117"/>
      <c r="X127" s="117"/>
      <c r="Z127" s="117" t="b">
        <v>0</v>
      </c>
      <c r="AF127" s="117" t="b">
        <v>0</v>
      </c>
      <c r="AG127" s="117" t="b">
        <v>0</v>
      </c>
      <c r="AH127" s="117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117"/>
      <c r="H128" s="117" t="b">
        <v>0</v>
      </c>
      <c r="I128" s="117" t="b">
        <v>0</v>
      </c>
      <c r="J128" s="117"/>
      <c r="K128" s="117"/>
      <c r="L128" s="117" t="b">
        <v>0</v>
      </c>
      <c r="M128" s="117" t="b">
        <v>0</v>
      </c>
      <c r="N128" s="117" t="b">
        <v>0</v>
      </c>
      <c r="W128" s="117"/>
      <c r="X128" s="117"/>
      <c r="Z128" s="117" t="b">
        <v>0</v>
      </c>
      <c r="AF128" s="117" t="b">
        <v>0</v>
      </c>
      <c r="AG128" s="117" t="b">
        <v>0</v>
      </c>
      <c r="AH128" s="117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117"/>
      <c r="H129" s="117" t="b">
        <v>0</v>
      </c>
      <c r="I129" s="117" t="b">
        <v>0</v>
      </c>
      <c r="J129" s="117"/>
      <c r="K129" s="117"/>
      <c r="L129" s="117" t="b">
        <v>0</v>
      </c>
      <c r="M129" s="117" t="b">
        <v>0</v>
      </c>
      <c r="N129" s="117" t="b">
        <v>0</v>
      </c>
      <c r="W129" s="117"/>
      <c r="X129" s="117"/>
      <c r="Z129" s="117" t="b">
        <v>0</v>
      </c>
      <c r="AF129" s="117" t="b">
        <v>0</v>
      </c>
      <c r="AG129" s="117" t="b">
        <v>0</v>
      </c>
      <c r="AH129" s="117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117"/>
      <c r="H130" s="117" t="b">
        <v>0</v>
      </c>
      <c r="I130" s="117" t="b">
        <v>0</v>
      </c>
      <c r="J130" s="117"/>
      <c r="K130" s="117"/>
      <c r="L130" s="117" t="b">
        <v>0</v>
      </c>
      <c r="M130" s="117" t="b">
        <v>0</v>
      </c>
      <c r="N130" s="117" t="b">
        <v>0</v>
      </c>
      <c r="W130" s="117"/>
      <c r="X130" s="117"/>
      <c r="Z130" s="117" t="b">
        <v>0</v>
      </c>
      <c r="AF130" s="117" t="b">
        <v>0</v>
      </c>
      <c r="AG130" s="117" t="b">
        <v>0</v>
      </c>
      <c r="AH130" s="117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117"/>
      <c r="H131" s="117" t="b">
        <v>0</v>
      </c>
      <c r="I131" s="117" t="b">
        <v>0</v>
      </c>
      <c r="J131" s="117"/>
      <c r="K131" s="117"/>
      <c r="L131" s="117" t="b">
        <v>0</v>
      </c>
      <c r="M131" s="117" t="b">
        <v>0</v>
      </c>
      <c r="N131" s="117" t="b">
        <v>0</v>
      </c>
      <c r="W131" s="117"/>
      <c r="X131" s="117"/>
      <c r="Z131" s="117" t="b">
        <v>0</v>
      </c>
      <c r="AF131" s="117" t="b">
        <v>0</v>
      </c>
      <c r="AG131" s="117" t="b">
        <v>0</v>
      </c>
      <c r="AH131" s="117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117"/>
      <c r="H132" s="117" t="b">
        <v>0</v>
      </c>
      <c r="I132" s="117" t="b">
        <v>0</v>
      </c>
      <c r="J132" s="117"/>
      <c r="K132" s="117"/>
      <c r="L132" s="117" t="b">
        <v>0</v>
      </c>
      <c r="M132" s="117" t="b">
        <v>0</v>
      </c>
      <c r="N132" s="117" t="b">
        <v>0</v>
      </c>
      <c r="W132" s="117"/>
      <c r="X132" s="117"/>
      <c r="Z132" s="117" t="b">
        <v>0</v>
      </c>
      <c r="AF132" s="117" t="b">
        <v>0</v>
      </c>
      <c r="AG132" s="117" t="b">
        <v>0</v>
      </c>
      <c r="AH132" s="117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117"/>
      <c r="H133" s="117" t="b">
        <v>0</v>
      </c>
      <c r="I133" s="117" t="b">
        <v>0</v>
      </c>
      <c r="J133" s="117"/>
      <c r="K133" s="117"/>
      <c r="L133" s="117" t="b">
        <v>0</v>
      </c>
      <c r="M133" s="117" t="b">
        <v>0</v>
      </c>
      <c r="N133" s="117" t="b">
        <v>0</v>
      </c>
      <c r="W133" s="117"/>
      <c r="X133" s="117"/>
      <c r="Z133" s="117" t="b">
        <v>0</v>
      </c>
      <c r="AF133" s="117" t="b">
        <v>0</v>
      </c>
      <c r="AG133" s="117" t="b">
        <v>0</v>
      </c>
      <c r="AH133" s="117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117"/>
      <c r="H134" s="117" t="b">
        <v>0</v>
      </c>
      <c r="I134" s="117" t="b">
        <v>0</v>
      </c>
      <c r="J134" s="117"/>
      <c r="K134" s="117"/>
      <c r="L134" s="117" t="b">
        <v>0</v>
      </c>
      <c r="M134" s="117" t="b">
        <v>0</v>
      </c>
      <c r="N134" s="117" t="b">
        <v>0</v>
      </c>
      <c r="W134" s="117"/>
      <c r="X134" s="117"/>
      <c r="Z134" s="117" t="b">
        <v>0</v>
      </c>
      <c r="AF134" s="117" t="b">
        <v>0</v>
      </c>
      <c r="AG134" s="117" t="b">
        <v>0</v>
      </c>
      <c r="AH134" s="117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117"/>
      <c r="H135" s="117" t="b">
        <v>0</v>
      </c>
      <c r="I135" s="117" t="b">
        <v>0</v>
      </c>
      <c r="J135" s="117"/>
      <c r="K135" s="117"/>
      <c r="L135" s="117" t="b">
        <v>0</v>
      </c>
      <c r="M135" s="117" t="b">
        <v>0</v>
      </c>
      <c r="N135" s="117" t="b">
        <v>0</v>
      </c>
      <c r="W135" s="117"/>
      <c r="X135" s="117"/>
      <c r="Z135" s="117" t="b">
        <v>0</v>
      </c>
      <c r="AF135" s="117" t="b">
        <v>0</v>
      </c>
      <c r="AG135" s="117" t="b">
        <v>0</v>
      </c>
      <c r="AH135" s="117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117"/>
      <c r="H136" s="117" t="b">
        <v>0</v>
      </c>
      <c r="I136" s="117" t="b">
        <v>0</v>
      </c>
      <c r="J136" s="117"/>
      <c r="K136" s="117"/>
      <c r="L136" s="117" t="b">
        <v>0</v>
      </c>
      <c r="M136" s="117" t="b">
        <v>0</v>
      </c>
      <c r="N136" s="117" t="b">
        <v>0</v>
      </c>
      <c r="W136" s="117"/>
      <c r="X136" s="117"/>
      <c r="Z136" s="117" t="b">
        <v>0</v>
      </c>
      <c r="AF136" s="117" t="b">
        <v>0</v>
      </c>
      <c r="AG136" s="117" t="b">
        <v>0</v>
      </c>
      <c r="AH136" s="117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117"/>
      <c r="H137" s="117" t="b">
        <v>0</v>
      </c>
      <c r="I137" s="117" t="b">
        <v>0</v>
      </c>
      <c r="J137" s="117"/>
      <c r="K137" s="117"/>
      <c r="L137" s="117" t="b">
        <v>0</v>
      </c>
      <c r="M137" s="117" t="b">
        <v>0</v>
      </c>
      <c r="N137" s="117" t="b">
        <v>0</v>
      </c>
      <c r="W137" s="117"/>
      <c r="X137" s="117"/>
      <c r="Z137" s="117" t="b">
        <v>0</v>
      </c>
      <c r="AF137" s="117" t="b">
        <v>0</v>
      </c>
      <c r="AG137" s="117" t="b">
        <v>0</v>
      </c>
      <c r="AH137" s="117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117"/>
      <c r="H138" s="117" t="b">
        <v>0</v>
      </c>
      <c r="I138" s="117" t="b">
        <v>0</v>
      </c>
      <c r="J138" s="117"/>
      <c r="K138" s="117"/>
      <c r="L138" s="117" t="b">
        <v>0</v>
      </c>
      <c r="M138" s="117" t="b">
        <v>0</v>
      </c>
      <c r="N138" s="117" t="b">
        <v>0</v>
      </c>
      <c r="W138" s="117"/>
      <c r="X138" s="117"/>
      <c r="Z138" s="117" t="b">
        <v>0</v>
      </c>
      <c r="AF138" s="117" t="b">
        <v>0</v>
      </c>
      <c r="AG138" s="117" t="b">
        <v>0</v>
      </c>
      <c r="AH138" s="117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117"/>
      <c r="H139" s="117" t="b">
        <v>0</v>
      </c>
      <c r="I139" s="117" t="b">
        <v>0</v>
      </c>
      <c r="J139" s="117"/>
      <c r="K139" s="117"/>
      <c r="L139" s="117" t="b">
        <v>0</v>
      </c>
      <c r="M139" s="117" t="b">
        <v>0</v>
      </c>
      <c r="N139" s="117" t="b">
        <v>0</v>
      </c>
      <c r="W139" s="117"/>
      <c r="X139" s="117"/>
      <c r="Z139" s="117" t="b">
        <v>0</v>
      </c>
      <c r="AF139" s="117" t="b">
        <v>0</v>
      </c>
      <c r="AG139" s="117" t="b">
        <v>0</v>
      </c>
      <c r="AH139" s="117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117"/>
      <c r="H140" s="117" t="b">
        <v>0</v>
      </c>
      <c r="I140" s="117" t="b">
        <v>0</v>
      </c>
      <c r="J140" s="117"/>
      <c r="K140" s="117"/>
      <c r="L140" s="117" t="b">
        <v>0</v>
      </c>
      <c r="M140" s="117" t="b">
        <v>0</v>
      </c>
      <c r="N140" s="117" t="b">
        <v>0</v>
      </c>
      <c r="W140" s="117"/>
      <c r="X140" s="117"/>
      <c r="Z140" s="117" t="b">
        <v>0</v>
      </c>
      <c r="AF140" s="117" t="b">
        <v>0</v>
      </c>
      <c r="AG140" s="117" t="b">
        <v>0</v>
      </c>
      <c r="AH140" s="117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117"/>
      <c r="H141" s="117" t="b">
        <v>0</v>
      </c>
      <c r="I141" s="117" t="b">
        <v>0</v>
      </c>
      <c r="J141" s="117"/>
      <c r="K141" s="117"/>
      <c r="L141" s="117" t="b">
        <v>0</v>
      </c>
      <c r="M141" s="117" t="b">
        <v>0</v>
      </c>
      <c r="N141" s="117" t="b">
        <v>0</v>
      </c>
      <c r="W141" s="117"/>
      <c r="X141" s="117"/>
      <c r="Z141" s="117" t="b">
        <v>0</v>
      </c>
      <c r="AF141" s="117" t="b">
        <v>0</v>
      </c>
      <c r="AG141" s="117" t="b">
        <v>0</v>
      </c>
      <c r="AH141" s="117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117"/>
      <c r="H142" s="117" t="b">
        <v>0</v>
      </c>
      <c r="I142" s="117" t="b">
        <v>0</v>
      </c>
      <c r="J142" s="117"/>
      <c r="K142" s="117"/>
      <c r="L142" s="117" t="b">
        <v>0</v>
      </c>
      <c r="M142" s="117" t="b">
        <v>0</v>
      </c>
      <c r="N142" s="117" t="b">
        <v>0</v>
      </c>
      <c r="W142" s="117"/>
      <c r="X142" s="117"/>
      <c r="Z142" s="117" t="b">
        <v>0</v>
      </c>
      <c r="AF142" s="117" t="b">
        <v>0</v>
      </c>
      <c r="AG142" s="117" t="b">
        <v>0</v>
      </c>
      <c r="AH142" s="117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117"/>
      <c r="H143" s="117" t="b">
        <v>0</v>
      </c>
      <c r="I143" s="117" t="b">
        <v>0</v>
      </c>
      <c r="J143" s="117"/>
      <c r="K143" s="117"/>
      <c r="L143" s="117" t="b">
        <v>0</v>
      </c>
      <c r="M143" s="117" t="b">
        <v>0</v>
      </c>
      <c r="N143" s="117" t="b">
        <v>0</v>
      </c>
      <c r="W143" s="117"/>
      <c r="X143" s="117"/>
      <c r="Z143" s="117" t="b">
        <v>0</v>
      </c>
      <c r="AF143" s="117" t="b">
        <v>0</v>
      </c>
      <c r="AG143" s="117" t="b">
        <v>0</v>
      </c>
      <c r="AH143" s="117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117"/>
      <c r="H144" s="117" t="b">
        <v>0</v>
      </c>
      <c r="I144" s="117" t="b">
        <v>0</v>
      </c>
      <c r="J144" s="117"/>
      <c r="K144" s="117"/>
      <c r="L144" s="117" t="b">
        <v>0</v>
      </c>
      <c r="M144" s="117" t="b">
        <v>0</v>
      </c>
      <c r="N144" s="117" t="b">
        <v>0</v>
      </c>
      <c r="W144" s="117"/>
      <c r="X144" s="117"/>
      <c r="Z144" s="117" t="b">
        <v>0</v>
      </c>
      <c r="AF144" s="117" t="b">
        <v>0</v>
      </c>
      <c r="AG144" s="117" t="b">
        <v>0</v>
      </c>
      <c r="AH144" s="117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117"/>
      <c r="H145" s="117" t="b">
        <v>0</v>
      </c>
      <c r="I145" s="117" t="b">
        <v>0</v>
      </c>
      <c r="J145" s="117"/>
      <c r="K145" s="117"/>
      <c r="L145" s="117" t="b">
        <v>0</v>
      </c>
      <c r="M145" s="117" t="b">
        <v>0</v>
      </c>
      <c r="N145" s="117" t="b">
        <v>0</v>
      </c>
      <c r="W145" s="117"/>
      <c r="X145" s="117"/>
      <c r="Z145" s="117" t="b">
        <v>0</v>
      </c>
      <c r="AF145" s="117" t="b">
        <v>0</v>
      </c>
      <c r="AG145" s="117" t="b">
        <v>0</v>
      </c>
      <c r="AH145" s="117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117"/>
      <c r="H146" s="117" t="b">
        <v>0</v>
      </c>
      <c r="I146" s="117" t="b">
        <v>0</v>
      </c>
      <c r="J146" s="117"/>
      <c r="K146" s="117"/>
      <c r="L146" s="117" t="b">
        <v>0</v>
      </c>
      <c r="M146" s="117" t="b">
        <v>0</v>
      </c>
      <c r="N146" s="117" t="b">
        <v>0</v>
      </c>
      <c r="W146" s="117"/>
      <c r="X146" s="117"/>
      <c r="Z146" s="117" t="b">
        <v>0</v>
      </c>
      <c r="AF146" s="117" t="b">
        <v>0</v>
      </c>
      <c r="AG146" s="117" t="b">
        <v>0</v>
      </c>
      <c r="AH146" s="117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117"/>
      <c r="H147" s="117" t="b">
        <v>0</v>
      </c>
      <c r="I147" s="117" t="b">
        <v>0</v>
      </c>
      <c r="J147" s="117"/>
      <c r="K147" s="117"/>
      <c r="L147" s="117" t="b">
        <v>0</v>
      </c>
      <c r="M147" s="117" t="b">
        <v>0</v>
      </c>
      <c r="N147" s="117" t="b">
        <v>0</v>
      </c>
      <c r="W147" s="117"/>
      <c r="X147" s="117"/>
      <c r="Z147" s="117" t="b">
        <v>0</v>
      </c>
      <c r="AF147" s="117" t="b">
        <v>0</v>
      </c>
      <c r="AG147" s="117" t="b">
        <v>0</v>
      </c>
      <c r="AH147" s="117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117"/>
      <c r="H148" s="117" t="b">
        <v>0</v>
      </c>
      <c r="I148" s="117" t="b">
        <v>0</v>
      </c>
      <c r="J148" s="117"/>
      <c r="K148" s="117"/>
      <c r="L148" s="117" t="b">
        <v>0</v>
      </c>
      <c r="M148" s="117" t="b">
        <v>0</v>
      </c>
      <c r="N148" s="117" t="b">
        <v>0</v>
      </c>
      <c r="W148" s="117"/>
      <c r="X148" s="117"/>
      <c r="Z148" s="117" t="b">
        <v>0</v>
      </c>
      <c r="AF148" s="117" t="b">
        <v>0</v>
      </c>
      <c r="AG148" s="117" t="b">
        <v>0</v>
      </c>
      <c r="AH148" s="117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117"/>
      <c r="H149" s="117" t="b">
        <v>0</v>
      </c>
      <c r="I149" s="117" t="b">
        <v>0</v>
      </c>
      <c r="J149" s="117"/>
      <c r="K149" s="117"/>
      <c r="L149" s="117" t="b">
        <v>0</v>
      </c>
      <c r="M149" s="117" t="b">
        <v>0</v>
      </c>
      <c r="N149" s="117" t="b">
        <v>0</v>
      </c>
      <c r="W149" s="117"/>
      <c r="X149" s="117"/>
      <c r="Z149" s="117" t="b">
        <v>0</v>
      </c>
      <c r="AF149" s="117" t="b">
        <v>0</v>
      </c>
      <c r="AG149" s="117" t="b">
        <v>0</v>
      </c>
      <c r="AH149" s="117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117"/>
      <c r="H150" s="117" t="b">
        <v>0</v>
      </c>
      <c r="I150" s="117" t="b">
        <v>0</v>
      </c>
      <c r="J150" s="117"/>
      <c r="K150" s="117"/>
      <c r="L150" s="117" t="b">
        <v>0</v>
      </c>
      <c r="M150" s="117" t="b">
        <v>0</v>
      </c>
      <c r="N150" s="117" t="b">
        <v>0</v>
      </c>
      <c r="W150" s="117"/>
      <c r="X150" s="117"/>
      <c r="Z150" s="117" t="b">
        <v>0</v>
      </c>
      <c r="AF150" s="117" t="b">
        <v>0</v>
      </c>
      <c r="AG150" s="117" t="b">
        <v>0</v>
      </c>
      <c r="AH150" s="117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117"/>
      <c r="H151" s="117" t="b">
        <v>0</v>
      </c>
      <c r="I151" s="117" t="b">
        <v>0</v>
      </c>
      <c r="J151" s="117"/>
      <c r="K151" s="117"/>
      <c r="L151" s="117" t="b">
        <v>0</v>
      </c>
      <c r="M151" s="117" t="b">
        <v>0</v>
      </c>
      <c r="N151" s="117" t="b">
        <v>0</v>
      </c>
      <c r="W151" s="117"/>
      <c r="X151" s="117"/>
      <c r="Z151" s="117" t="b">
        <v>0</v>
      </c>
      <c r="AF151" s="117" t="b">
        <v>0</v>
      </c>
      <c r="AG151" s="117" t="b">
        <v>0</v>
      </c>
      <c r="AH151" s="117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117"/>
      <c r="H152" s="117" t="b">
        <v>0</v>
      </c>
      <c r="I152" s="117" t="b">
        <v>0</v>
      </c>
      <c r="J152" s="117"/>
      <c r="K152" s="117"/>
      <c r="L152" s="117" t="b">
        <v>0</v>
      </c>
      <c r="M152" s="117" t="b">
        <v>0</v>
      </c>
      <c r="N152" s="117" t="b">
        <v>0</v>
      </c>
      <c r="W152" s="117"/>
      <c r="X152" s="117"/>
      <c r="Z152" s="117" t="b">
        <v>0</v>
      </c>
      <c r="AF152" s="117" t="b">
        <v>0</v>
      </c>
      <c r="AG152" s="117" t="b">
        <v>0</v>
      </c>
      <c r="AH152" s="117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117"/>
      <c r="H153" s="117" t="b">
        <v>0</v>
      </c>
      <c r="I153" s="117" t="b">
        <v>0</v>
      </c>
      <c r="J153" s="117"/>
      <c r="K153" s="117"/>
      <c r="L153" s="117" t="b">
        <v>0</v>
      </c>
      <c r="M153" s="117" t="b">
        <v>0</v>
      </c>
      <c r="N153" s="117" t="b">
        <v>0</v>
      </c>
      <c r="W153" s="117"/>
      <c r="X153" s="117"/>
      <c r="Z153" s="117" t="b">
        <v>0</v>
      </c>
      <c r="AF153" s="117" t="b">
        <v>0</v>
      </c>
      <c r="AG153" s="117" t="b">
        <v>0</v>
      </c>
      <c r="AH153" s="117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117"/>
      <c r="H154" s="117" t="b">
        <v>0</v>
      </c>
      <c r="I154" s="117" t="b">
        <v>0</v>
      </c>
      <c r="J154" s="117"/>
      <c r="K154" s="117"/>
      <c r="L154" s="117" t="b">
        <v>0</v>
      </c>
      <c r="M154" s="117" t="b">
        <v>0</v>
      </c>
      <c r="N154" s="117" t="b">
        <v>0</v>
      </c>
      <c r="W154" s="117"/>
      <c r="X154" s="117"/>
      <c r="Z154" s="117" t="b">
        <v>0</v>
      </c>
      <c r="AF154" s="117" t="b">
        <v>0</v>
      </c>
      <c r="AG154" s="117" t="b">
        <v>0</v>
      </c>
      <c r="AH154" s="117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117"/>
      <c r="H155" s="117" t="b">
        <v>0</v>
      </c>
      <c r="I155" s="117" t="b">
        <v>0</v>
      </c>
      <c r="J155" s="117"/>
      <c r="K155" s="117"/>
      <c r="L155" s="117" t="b">
        <v>0</v>
      </c>
      <c r="M155" s="117" t="b">
        <v>0</v>
      </c>
      <c r="N155" s="117" t="b">
        <v>0</v>
      </c>
      <c r="W155" s="117"/>
      <c r="X155" s="117"/>
      <c r="Z155" s="117" t="b">
        <v>0</v>
      </c>
      <c r="AF155" s="117" t="b">
        <v>0</v>
      </c>
      <c r="AG155" s="117" t="b">
        <v>0</v>
      </c>
      <c r="AH155" s="117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117"/>
      <c r="H156" s="117" t="b">
        <v>0</v>
      </c>
      <c r="I156" s="117" t="b">
        <v>0</v>
      </c>
      <c r="J156" s="117"/>
      <c r="K156" s="117"/>
      <c r="L156" s="117" t="b">
        <v>0</v>
      </c>
      <c r="M156" s="117" t="b">
        <v>0</v>
      </c>
      <c r="N156" s="117" t="b">
        <v>0</v>
      </c>
      <c r="W156" s="117"/>
      <c r="X156" s="117"/>
      <c r="Z156" s="117" t="b">
        <v>0</v>
      </c>
      <c r="AF156" s="117" t="b">
        <v>0</v>
      </c>
      <c r="AG156" s="117" t="b">
        <v>0</v>
      </c>
      <c r="AH156" s="117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117"/>
      <c r="H157" s="117" t="b">
        <v>0</v>
      </c>
      <c r="I157" s="117" t="b">
        <v>0</v>
      </c>
      <c r="J157" s="117"/>
      <c r="K157" s="117"/>
      <c r="L157" s="117" t="b">
        <v>0</v>
      </c>
      <c r="M157" s="117" t="b">
        <v>0</v>
      </c>
      <c r="N157" s="117" t="b">
        <v>0</v>
      </c>
      <c r="W157" s="117"/>
      <c r="X157" s="117"/>
      <c r="Z157" s="117" t="b">
        <v>0</v>
      </c>
      <c r="AF157" s="117" t="b">
        <v>0</v>
      </c>
      <c r="AG157" s="117" t="b">
        <v>0</v>
      </c>
      <c r="AH157" s="117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117"/>
      <c r="H158" s="117" t="b">
        <v>0</v>
      </c>
      <c r="I158" s="117" t="b">
        <v>0</v>
      </c>
      <c r="J158" s="117"/>
      <c r="K158" s="117"/>
      <c r="L158" s="117" t="b">
        <v>0</v>
      </c>
      <c r="M158" s="117" t="b">
        <v>0</v>
      </c>
      <c r="N158" s="117" t="b">
        <v>0</v>
      </c>
      <c r="W158" s="117"/>
      <c r="X158" s="117"/>
      <c r="Z158" s="117" t="b">
        <v>0</v>
      </c>
      <c r="AF158" s="117" t="b">
        <v>0</v>
      </c>
      <c r="AG158" s="117" t="b">
        <v>0</v>
      </c>
      <c r="AH158" s="117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117"/>
      <c r="H159" s="117" t="b">
        <v>0</v>
      </c>
      <c r="I159" s="117" t="b">
        <v>0</v>
      </c>
      <c r="J159" s="117"/>
      <c r="K159" s="117"/>
      <c r="L159" s="117" t="b">
        <v>0</v>
      </c>
      <c r="M159" s="117" t="b">
        <v>0</v>
      </c>
      <c r="N159" s="117" t="b">
        <v>0</v>
      </c>
      <c r="W159" s="117"/>
      <c r="X159" s="117"/>
      <c r="Z159" s="117" t="b">
        <v>0</v>
      </c>
      <c r="AF159" s="117" t="b">
        <v>0</v>
      </c>
      <c r="AG159" s="117" t="b">
        <v>0</v>
      </c>
      <c r="AH159" s="117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117"/>
      <c r="H160" s="117" t="b">
        <v>0</v>
      </c>
      <c r="I160" s="117" t="b">
        <v>0</v>
      </c>
      <c r="J160" s="117"/>
      <c r="K160" s="117"/>
      <c r="L160" s="117" t="b">
        <v>0</v>
      </c>
      <c r="M160" s="117" t="b">
        <v>0</v>
      </c>
      <c r="N160" s="117" t="b">
        <v>0</v>
      </c>
      <c r="W160" s="117"/>
      <c r="X160" s="117"/>
      <c r="Z160" s="117" t="b">
        <v>0</v>
      </c>
      <c r="AF160" s="117" t="b">
        <v>0</v>
      </c>
      <c r="AG160" s="117" t="b">
        <v>0</v>
      </c>
      <c r="AH160" s="117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117"/>
      <c r="H161" s="117" t="b">
        <v>0</v>
      </c>
      <c r="I161" s="117" t="b">
        <v>0</v>
      </c>
      <c r="J161" s="117"/>
      <c r="K161" s="117"/>
      <c r="L161" s="117" t="b">
        <v>0</v>
      </c>
      <c r="M161" s="117" t="b">
        <v>0</v>
      </c>
      <c r="N161" s="117" t="b">
        <v>0</v>
      </c>
      <c r="W161" s="117"/>
      <c r="X161" s="117"/>
      <c r="Z161" s="117" t="b">
        <v>0</v>
      </c>
      <c r="AF161" s="117" t="b">
        <v>0</v>
      </c>
      <c r="AG161" s="117" t="b">
        <v>0</v>
      </c>
      <c r="AH161" s="117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117"/>
      <c r="H162" s="117" t="b">
        <v>0</v>
      </c>
      <c r="I162" s="117" t="b">
        <v>0</v>
      </c>
      <c r="J162" s="117"/>
      <c r="K162" s="117"/>
      <c r="L162" s="117" t="b">
        <v>0</v>
      </c>
      <c r="M162" s="117" t="b">
        <v>0</v>
      </c>
      <c r="N162" s="117" t="b">
        <v>0</v>
      </c>
      <c r="W162" s="117"/>
      <c r="X162" s="117"/>
      <c r="Z162" s="117" t="b">
        <v>0</v>
      </c>
      <c r="AF162" s="117" t="b">
        <v>0</v>
      </c>
      <c r="AG162" s="117" t="b">
        <v>0</v>
      </c>
      <c r="AH162" s="117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117"/>
      <c r="H163" s="117" t="b">
        <v>0</v>
      </c>
      <c r="I163" s="117" t="b">
        <v>0</v>
      </c>
      <c r="J163" s="117"/>
      <c r="K163" s="117"/>
      <c r="L163" s="117" t="b">
        <v>0</v>
      </c>
      <c r="M163" s="117" t="b">
        <v>0</v>
      </c>
      <c r="N163" s="117" t="b">
        <v>0</v>
      </c>
      <c r="W163" s="117"/>
      <c r="X163" s="117"/>
      <c r="Z163" s="117" t="b">
        <v>0</v>
      </c>
      <c r="AF163" s="117" t="b">
        <v>0</v>
      </c>
      <c r="AG163" s="117" t="b">
        <v>0</v>
      </c>
      <c r="AH163" s="117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117"/>
      <c r="H164" s="117" t="b">
        <v>0</v>
      </c>
      <c r="I164" s="117" t="b">
        <v>0</v>
      </c>
      <c r="J164" s="117"/>
      <c r="K164" s="117"/>
      <c r="L164" s="117" t="b">
        <v>0</v>
      </c>
      <c r="M164" s="117" t="b">
        <v>0</v>
      </c>
      <c r="N164" s="117" t="b">
        <v>0</v>
      </c>
      <c r="W164" s="117"/>
      <c r="X164" s="117"/>
      <c r="Z164" s="117" t="b">
        <v>0</v>
      </c>
      <c r="AF164" s="117" t="b">
        <v>0</v>
      </c>
      <c r="AG164" s="117" t="b">
        <v>0</v>
      </c>
      <c r="AH164" s="117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117"/>
      <c r="H165" s="117" t="b">
        <v>0</v>
      </c>
      <c r="I165" s="117" t="b">
        <v>0</v>
      </c>
      <c r="J165" s="117"/>
      <c r="K165" s="117"/>
      <c r="L165" s="117" t="b">
        <v>0</v>
      </c>
      <c r="M165" s="117" t="b">
        <v>0</v>
      </c>
      <c r="N165" s="117" t="b">
        <v>0</v>
      </c>
      <c r="W165" s="117"/>
      <c r="X165" s="117"/>
      <c r="Z165" s="117" t="b">
        <v>0</v>
      </c>
      <c r="AF165" s="117" t="b">
        <v>0</v>
      </c>
      <c r="AG165" s="117" t="b">
        <v>0</v>
      </c>
      <c r="AH165" s="117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117"/>
      <c r="H166" s="117" t="b">
        <v>0</v>
      </c>
      <c r="I166" s="117" t="b">
        <v>0</v>
      </c>
      <c r="J166" s="117"/>
      <c r="K166" s="117"/>
      <c r="L166" s="117" t="b">
        <v>0</v>
      </c>
      <c r="M166" s="117" t="b">
        <v>0</v>
      </c>
      <c r="N166" s="117" t="b">
        <v>0</v>
      </c>
      <c r="W166" s="117"/>
      <c r="X166" s="117"/>
      <c r="Z166" s="117" t="b">
        <v>0</v>
      </c>
      <c r="AF166" s="117" t="b">
        <v>0</v>
      </c>
      <c r="AG166" s="117" t="b">
        <v>0</v>
      </c>
      <c r="AH166" s="117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117"/>
      <c r="H167" s="117" t="b">
        <v>0</v>
      </c>
      <c r="I167" s="117" t="b">
        <v>0</v>
      </c>
      <c r="J167" s="117"/>
      <c r="K167" s="117"/>
      <c r="L167" s="117" t="b">
        <v>0</v>
      </c>
      <c r="M167" s="117" t="b">
        <v>0</v>
      </c>
      <c r="N167" s="117" t="b">
        <v>0</v>
      </c>
      <c r="W167" s="117"/>
      <c r="X167" s="117"/>
      <c r="Z167" s="117" t="b">
        <v>0</v>
      </c>
      <c r="AF167" s="117" t="b">
        <v>0</v>
      </c>
      <c r="AG167" s="117" t="b">
        <v>0</v>
      </c>
      <c r="AH167" s="117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117"/>
      <c r="H168" s="117" t="b">
        <v>0</v>
      </c>
      <c r="I168" s="117" t="b">
        <v>0</v>
      </c>
      <c r="J168" s="117"/>
      <c r="K168" s="117"/>
      <c r="L168" s="117" t="b">
        <v>0</v>
      </c>
      <c r="M168" s="117" t="b">
        <v>0</v>
      </c>
      <c r="N168" s="117" t="b">
        <v>0</v>
      </c>
      <c r="W168" s="117"/>
      <c r="X168" s="117"/>
      <c r="Z168" s="117" t="b">
        <v>0</v>
      </c>
      <c r="AF168" s="117" t="b">
        <v>0</v>
      </c>
      <c r="AG168" s="117" t="b">
        <v>0</v>
      </c>
      <c r="AH168" s="117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117"/>
      <c r="H169" s="117" t="b">
        <v>0</v>
      </c>
      <c r="I169" s="117" t="b">
        <v>0</v>
      </c>
      <c r="J169" s="117"/>
      <c r="K169" s="117"/>
      <c r="L169" s="117" t="b">
        <v>0</v>
      </c>
      <c r="M169" s="117" t="b">
        <v>0</v>
      </c>
      <c r="N169" s="117" t="b">
        <v>0</v>
      </c>
      <c r="W169" s="117"/>
      <c r="X169" s="117"/>
      <c r="Z169" s="117" t="b">
        <v>0</v>
      </c>
      <c r="AF169" s="117" t="b">
        <v>0</v>
      </c>
      <c r="AG169" s="117" t="b">
        <v>0</v>
      </c>
      <c r="AH169" s="117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117"/>
      <c r="H170" s="117" t="b">
        <v>0</v>
      </c>
      <c r="I170" s="117" t="b">
        <v>0</v>
      </c>
      <c r="J170" s="117"/>
      <c r="K170" s="117"/>
      <c r="L170" s="117" t="b">
        <v>0</v>
      </c>
      <c r="M170" s="117" t="b">
        <v>0</v>
      </c>
      <c r="N170" s="117" t="b">
        <v>0</v>
      </c>
      <c r="W170" s="117"/>
      <c r="X170" s="117"/>
      <c r="Z170" s="117" t="b">
        <v>0</v>
      </c>
      <c r="AF170" s="117" t="b">
        <v>0</v>
      </c>
      <c r="AG170" s="117" t="b">
        <v>0</v>
      </c>
      <c r="AH170" s="117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117"/>
      <c r="H171" s="117" t="b">
        <v>0</v>
      </c>
      <c r="I171" s="117" t="b">
        <v>0</v>
      </c>
      <c r="J171" s="117"/>
      <c r="K171" s="117"/>
      <c r="L171" s="117" t="b">
        <v>0</v>
      </c>
      <c r="M171" s="117" t="b">
        <v>0</v>
      </c>
      <c r="N171" s="117" t="b">
        <v>0</v>
      </c>
      <c r="W171" s="117"/>
      <c r="X171" s="117"/>
      <c r="Z171" s="117" t="b">
        <v>0</v>
      </c>
      <c r="AF171" s="117" t="b">
        <v>0</v>
      </c>
      <c r="AG171" s="117" t="b">
        <v>0</v>
      </c>
      <c r="AH171" s="117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117"/>
      <c r="H172" s="117" t="b">
        <v>0</v>
      </c>
      <c r="I172" s="117" t="b">
        <v>0</v>
      </c>
      <c r="J172" s="117"/>
      <c r="K172" s="117"/>
      <c r="L172" s="117" t="b">
        <v>0</v>
      </c>
      <c r="M172" s="117" t="b">
        <v>0</v>
      </c>
      <c r="N172" s="117" t="b">
        <v>0</v>
      </c>
      <c r="W172" s="117"/>
      <c r="X172" s="117"/>
      <c r="Z172" s="117" t="b">
        <v>0</v>
      </c>
      <c r="AF172" s="117" t="b">
        <v>0</v>
      </c>
      <c r="AG172" s="117" t="b">
        <v>0</v>
      </c>
      <c r="AH172" s="117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117"/>
      <c r="H173" s="117" t="b">
        <v>0</v>
      </c>
      <c r="I173" s="117" t="b">
        <v>0</v>
      </c>
      <c r="J173" s="117"/>
      <c r="K173" s="117"/>
      <c r="L173" s="117" t="b">
        <v>0</v>
      </c>
      <c r="M173" s="117" t="b">
        <v>0</v>
      </c>
      <c r="N173" s="117" t="b">
        <v>0</v>
      </c>
      <c r="W173" s="117"/>
      <c r="X173" s="117"/>
      <c r="Z173" s="117" t="b">
        <v>0</v>
      </c>
      <c r="AF173" s="117" t="b">
        <v>0</v>
      </c>
      <c r="AG173" s="117" t="b">
        <v>0</v>
      </c>
      <c r="AH173" s="117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117"/>
      <c r="H174" s="117" t="b">
        <v>0</v>
      </c>
      <c r="I174" s="117" t="b">
        <v>0</v>
      </c>
      <c r="J174" s="117"/>
      <c r="K174" s="117"/>
      <c r="L174" s="117" t="b">
        <v>0</v>
      </c>
      <c r="M174" s="117" t="b">
        <v>0</v>
      </c>
      <c r="N174" s="117" t="b">
        <v>0</v>
      </c>
      <c r="W174" s="117"/>
      <c r="X174" s="117"/>
      <c r="Z174" s="117" t="b">
        <v>0</v>
      </c>
      <c r="AF174" s="117" t="b">
        <v>0</v>
      </c>
      <c r="AG174" s="117" t="b">
        <v>0</v>
      </c>
      <c r="AH174" s="117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117"/>
      <c r="H175" s="117" t="b">
        <v>0</v>
      </c>
      <c r="I175" s="117" t="b">
        <v>0</v>
      </c>
      <c r="J175" s="117"/>
      <c r="K175" s="117"/>
      <c r="L175" s="117" t="b">
        <v>0</v>
      </c>
      <c r="M175" s="117" t="b">
        <v>0</v>
      </c>
      <c r="N175" s="117" t="b">
        <v>0</v>
      </c>
      <c r="W175" s="117"/>
      <c r="X175" s="117"/>
      <c r="Z175" s="117" t="b">
        <v>0</v>
      </c>
      <c r="AF175" s="117" t="b">
        <v>0</v>
      </c>
      <c r="AG175" s="117" t="b">
        <v>0</v>
      </c>
      <c r="AH175" s="117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117"/>
      <c r="H176" s="117" t="b">
        <v>0</v>
      </c>
      <c r="I176" s="117" t="b">
        <v>0</v>
      </c>
      <c r="J176" s="117"/>
      <c r="K176" s="117"/>
      <c r="L176" s="117" t="b">
        <v>0</v>
      </c>
      <c r="M176" s="117" t="b">
        <v>0</v>
      </c>
      <c r="N176" s="117" t="b">
        <v>0</v>
      </c>
      <c r="W176" s="117"/>
      <c r="X176" s="117"/>
      <c r="Z176" s="117" t="b">
        <v>0</v>
      </c>
      <c r="AF176" s="117" t="b">
        <v>0</v>
      </c>
      <c r="AG176" s="117" t="b">
        <v>0</v>
      </c>
      <c r="AH176" s="117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117"/>
      <c r="H177" s="117" t="b">
        <v>0</v>
      </c>
      <c r="I177" s="117" t="b">
        <v>0</v>
      </c>
      <c r="J177" s="117"/>
      <c r="K177" s="117"/>
      <c r="L177" s="117" t="b">
        <v>0</v>
      </c>
      <c r="M177" s="117" t="b">
        <v>0</v>
      </c>
      <c r="N177" s="117" t="b">
        <v>0</v>
      </c>
      <c r="W177" s="117"/>
      <c r="X177" s="117"/>
      <c r="Z177" s="117" t="b">
        <v>0</v>
      </c>
      <c r="AF177" s="117" t="b">
        <v>0</v>
      </c>
      <c r="AG177" s="117" t="b">
        <v>0</v>
      </c>
      <c r="AH177" s="117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117"/>
      <c r="H178" s="117" t="b">
        <v>0</v>
      </c>
      <c r="I178" s="117" t="b">
        <v>0</v>
      </c>
      <c r="J178" s="117"/>
      <c r="K178" s="117"/>
      <c r="L178" s="117" t="b">
        <v>0</v>
      </c>
      <c r="M178" s="117" t="b">
        <v>0</v>
      </c>
      <c r="N178" s="117" t="b">
        <v>0</v>
      </c>
      <c r="W178" s="117"/>
      <c r="X178" s="117"/>
      <c r="Z178" s="117" t="b">
        <v>0</v>
      </c>
      <c r="AF178" s="117" t="b">
        <v>0</v>
      </c>
      <c r="AG178" s="117" t="b">
        <v>0</v>
      </c>
      <c r="AH178" s="117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117"/>
      <c r="H179" s="117" t="b">
        <v>0</v>
      </c>
      <c r="I179" s="117" t="b">
        <v>0</v>
      </c>
      <c r="J179" s="117"/>
      <c r="K179" s="117"/>
      <c r="L179" s="117" t="b">
        <v>0</v>
      </c>
      <c r="M179" s="117" t="b">
        <v>0</v>
      </c>
      <c r="N179" s="117" t="b">
        <v>0</v>
      </c>
      <c r="W179" s="117"/>
      <c r="X179" s="117"/>
      <c r="Z179" s="117" t="b">
        <v>0</v>
      </c>
      <c r="AF179" s="117" t="b">
        <v>0</v>
      </c>
      <c r="AG179" s="117" t="b">
        <v>0</v>
      </c>
      <c r="AH179" s="117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117"/>
      <c r="H180" s="117" t="b">
        <v>0</v>
      </c>
      <c r="I180" s="117" t="b">
        <v>0</v>
      </c>
      <c r="J180" s="117"/>
      <c r="K180" s="117"/>
      <c r="L180" s="117" t="b">
        <v>0</v>
      </c>
      <c r="M180" s="117" t="b">
        <v>0</v>
      </c>
      <c r="N180" s="117" t="b">
        <v>0</v>
      </c>
      <c r="W180" s="117"/>
      <c r="X180" s="117"/>
      <c r="Z180" s="117" t="b">
        <v>0</v>
      </c>
      <c r="AF180" s="117" t="b">
        <v>0</v>
      </c>
      <c r="AG180" s="117" t="b">
        <v>0</v>
      </c>
      <c r="AH180" s="117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117"/>
      <c r="H181" s="117" t="b">
        <v>0</v>
      </c>
      <c r="I181" s="117" t="b">
        <v>0</v>
      </c>
      <c r="J181" s="117"/>
      <c r="K181" s="117"/>
      <c r="L181" s="117" t="b">
        <v>0</v>
      </c>
      <c r="M181" s="117" t="b">
        <v>0</v>
      </c>
      <c r="N181" s="117" t="b">
        <v>0</v>
      </c>
      <c r="W181" s="117"/>
      <c r="X181" s="117"/>
      <c r="Z181" s="117" t="b">
        <v>0</v>
      </c>
      <c r="AF181" s="117" t="b">
        <v>0</v>
      </c>
      <c r="AG181" s="117" t="b">
        <v>0</v>
      </c>
      <c r="AH181" s="117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117"/>
      <c r="H182" s="117" t="b">
        <v>0</v>
      </c>
      <c r="I182" s="117" t="b">
        <v>0</v>
      </c>
      <c r="J182" s="117"/>
      <c r="K182" s="117"/>
      <c r="L182" s="117" t="b">
        <v>0</v>
      </c>
      <c r="M182" s="117" t="b">
        <v>0</v>
      </c>
      <c r="N182" s="117" t="b">
        <v>0</v>
      </c>
      <c r="W182" s="117"/>
      <c r="X182" s="117"/>
      <c r="Z182" s="117" t="b">
        <v>0</v>
      </c>
      <c r="AF182" s="117" t="b">
        <v>0</v>
      </c>
      <c r="AG182" s="117" t="b">
        <v>0</v>
      </c>
      <c r="AH182" s="117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117"/>
      <c r="H183" s="117" t="b">
        <v>0</v>
      </c>
      <c r="I183" s="117" t="b">
        <v>0</v>
      </c>
      <c r="J183" s="117"/>
      <c r="K183" s="117"/>
      <c r="L183" s="117" t="b">
        <v>0</v>
      </c>
      <c r="M183" s="117" t="b">
        <v>0</v>
      </c>
      <c r="N183" s="117" t="b">
        <v>0</v>
      </c>
      <c r="W183" s="117"/>
      <c r="X183" s="117"/>
      <c r="Z183" s="117" t="b">
        <v>0</v>
      </c>
      <c r="AF183" s="117" t="b">
        <v>0</v>
      </c>
      <c r="AG183" s="117" t="b">
        <v>0</v>
      </c>
      <c r="AH183" s="117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117"/>
      <c r="H184" s="117" t="b">
        <v>0</v>
      </c>
      <c r="I184" s="117" t="b">
        <v>0</v>
      </c>
      <c r="J184" s="117"/>
      <c r="K184" s="117"/>
      <c r="L184" s="117" t="b">
        <v>0</v>
      </c>
      <c r="M184" s="117" t="b">
        <v>0</v>
      </c>
      <c r="N184" s="117" t="b">
        <v>0</v>
      </c>
      <c r="W184" s="117"/>
      <c r="X184" s="117"/>
      <c r="Z184" s="117" t="b">
        <v>0</v>
      </c>
      <c r="AF184" s="117" t="b">
        <v>0</v>
      </c>
      <c r="AG184" s="117" t="b">
        <v>0</v>
      </c>
      <c r="AH184" s="117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117"/>
      <c r="H185" s="117" t="b">
        <v>0</v>
      </c>
      <c r="I185" s="117" t="b">
        <v>0</v>
      </c>
      <c r="J185" s="117"/>
      <c r="K185" s="117"/>
      <c r="L185" s="117" t="b">
        <v>0</v>
      </c>
      <c r="M185" s="117" t="b">
        <v>0</v>
      </c>
      <c r="N185" s="117" t="b">
        <v>0</v>
      </c>
      <c r="W185" s="117"/>
      <c r="X185" s="117"/>
      <c r="Z185" s="117" t="b">
        <v>0</v>
      </c>
      <c r="AF185" s="117" t="b">
        <v>0</v>
      </c>
      <c r="AG185" s="117" t="b">
        <v>0</v>
      </c>
      <c r="AH185" s="117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117"/>
      <c r="H186" s="117" t="b">
        <v>0</v>
      </c>
      <c r="I186" s="117" t="b">
        <v>0</v>
      </c>
      <c r="J186" s="117"/>
      <c r="K186" s="117"/>
      <c r="L186" s="117" t="b">
        <v>0</v>
      </c>
      <c r="M186" s="117" t="b">
        <v>0</v>
      </c>
      <c r="N186" s="117" t="b">
        <v>0</v>
      </c>
      <c r="W186" s="117"/>
      <c r="X186" s="117"/>
      <c r="Z186" s="117" t="b">
        <v>0</v>
      </c>
      <c r="AF186" s="117" t="b">
        <v>0</v>
      </c>
      <c r="AG186" s="117" t="b">
        <v>0</v>
      </c>
      <c r="AH186" s="117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117"/>
      <c r="H187" s="117" t="b">
        <v>0</v>
      </c>
      <c r="I187" s="117" t="b">
        <v>0</v>
      </c>
      <c r="J187" s="117"/>
      <c r="K187" s="117"/>
      <c r="L187" s="117" t="b">
        <v>0</v>
      </c>
      <c r="M187" s="117" t="b">
        <v>0</v>
      </c>
      <c r="N187" s="117" t="b">
        <v>0</v>
      </c>
      <c r="W187" s="117"/>
      <c r="X187" s="117"/>
      <c r="Z187" s="117" t="b">
        <v>0</v>
      </c>
      <c r="AF187" s="117" t="b">
        <v>0</v>
      </c>
      <c r="AG187" s="117" t="b">
        <v>0</v>
      </c>
      <c r="AH187" s="117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117"/>
      <c r="H188" s="117" t="b">
        <v>0</v>
      </c>
      <c r="I188" s="117" t="b">
        <v>0</v>
      </c>
      <c r="J188" s="117"/>
      <c r="K188" s="117"/>
      <c r="L188" s="117" t="b">
        <v>0</v>
      </c>
      <c r="M188" s="117" t="b">
        <v>0</v>
      </c>
      <c r="N188" s="117" t="b">
        <v>0</v>
      </c>
      <c r="W188" s="117"/>
      <c r="X188" s="117"/>
      <c r="Z188" s="117" t="b">
        <v>0</v>
      </c>
      <c r="AF188" s="117" t="b">
        <v>0</v>
      </c>
      <c r="AG188" s="117" t="b">
        <v>0</v>
      </c>
      <c r="AH188" s="117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117"/>
      <c r="H189" s="117" t="b">
        <v>0</v>
      </c>
      <c r="I189" s="117" t="b">
        <v>0</v>
      </c>
      <c r="J189" s="117"/>
      <c r="K189" s="117"/>
      <c r="L189" s="117" t="b">
        <v>0</v>
      </c>
      <c r="M189" s="117" t="b">
        <v>0</v>
      </c>
      <c r="N189" s="117" t="b">
        <v>0</v>
      </c>
      <c r="W189" s="117"/>
      <c r="X189" s="117"/>
      <c r="Z189" s="117" t="b">
        <v>0</v>
      </c>
      <c r="AF189" s="117" t="b">
        <v>0</v>
      </c>
      <c r="AG189" s="117" t="b">
        <v>0</v>
      </c>
      <c r="AH189" s="117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117"/>
      <c r="H190" s="117" t="b">
        <v>0</v>
      </c>
      <c r="I190" s="117" t="b">
        <v>0</v>
      </c>
      <c r="J190" s="117"/>
      <c r="K190" s="117"/>
      <c r="L190" s="117" t="b">
        <v>0</v>
      </c>
      <c r="M190" s="117" t="b">
        <v>0</v>
      </c>
      <c r="N190" s="117" t="b">
        <v>0</v>
      </c>
      <c r="W190" s="117"/>
      <c r="X190" s="117"/>
      <c r="Z190" s="117" t="b">
        <v>0</v>
      </c>
      <c r="AF190" s="117" t="b">
        <v>0</v>
      </c>
      <c r="AG190" s="117" t="b">
        <v>0</v>
      </c>
      <c r="AH190" s="117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117"/>
      <c r="H191" s="117" t="b">
        <v>0</v>
      </c>
      <c r="I191" s="117" t="b">
        <v>0</v>
      </c>
      <c r="J191" s="117"/>
      <c r="K191" s="117"/>
      <c r="L191" s="117" t="b">
        <v>0</v>
      </c>
      <c r="M191" s="117" t="b">
        <v>0</v>
      </c>
      <c r="N191" s="117" t="b">
        <v>0</v>
      </c>
      <c r="W191" s="117"/>
      <c r="X191" s="117"/>
      <c r="Z191" s="117" t="b">
        <v>0</v>
      </c>
      <c r="AF191" s="117" t="b">
        <v>0</v>
      </c>
      <c r="AG191" s="117" t="b">
        <v>0</v>
      </c>
      <c r="AH191" s="117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117"/>
      <c r="H192" s="117" t="b">
        <v>0</v>
      </c>
      <c r="I192" s="117" t="b">
        <v>0</v>
      </c>
      <c r="J192" s="117"/>
      <c r="K192" s="117"/>
      <c r="L192" s="117" t="b">
        <v>0</v>
      </c>
      <c r="M192" s="117" t="b">
        <v>0</v>
      </c>
      <c r="N192" s="117" t="b">
        <v>0</v>
      </c>
      <c r="W192" s="117"/>
      <c r="X192" s="117"/>
      <c r="Z192" s="117" t="b">
        <v>0</v>
      </c>
      <c r="AF192" s="117" t="b">
        <v>0</v>
      </c>
      <c r="AG192" s="117" t="b">
        <v>0</v>
      </c>
      <c r="AH192" s="117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117"/>
      <c r="H193" s="117" t="b">
        <v>0</v>
      </c>
      <c r="I193" s="117" t="b">
        <v>0</v>
      </c>
      <c r="J193" s="117"/>
      <c r="K193" s="117"/>
      <c r="L193" s="117" t="b">
        <v>0</v>
      </c>
      <c r="M193" s="117" t="b">
        <v>0</v>
      </c>
      <c r="N193" s="117" t="b">
        <v>0</v>
      </c>
      <c r="W193" s="117"/>
      <c r="X193" s="117"/>
      <c r="Z193" s="117" t="b">
        <v>0</v>
      </c>
      <c r="AF193" s="117" t="b">
        <v>0</v>
      </c>
      <c r="AG193" s="117" t="b">
        <v>0</v>
      </c>
      <c r="AH193" s="117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117"/>
      <c r="H194" s="117" t="b">
        <v>0</v>
      </c>
      <c r="I194" s="117" t="b">
        <v>0</v>
      </c>
      <c r="J194" s="117"/>
      <c r="K194" s="117"/>
      <c r="L194" s="117" t="b">
        <v>0</v>
      </c>
      <c r="M194" s="117" t="b">
        <v>0</v>
      </c>
      <c r="N194" s="117" t="b">
        <v>0</v>
      </c>
      <c r="W194" s="117"/>
      <c r="X194" s="117"/>
      <c r="Z194" s="117" t="b">
        <v>0</v>
      </c>
      <c r="AF194" s="117" t="b">
        <v>0</v>
      </c>
      <c r="AG194" s="117" t="b">
        <v>0</v>
      </c>
      <c r="AH194" s="117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117"/>
      <c r="H195" s="117" t="b">
        <v>0</v>
      </c>
      <c r="I195" s="117" t="b">
        <v>0</v>
      </c>
      <c r="J195" s="117"/>
      <c r="K195" s="117"/>
      <c r="L195" s="117" t="b">
        <v>0</v>
      </c>
      <c r="M195" s="117" t="b">
        <v>0</v>
      </c>
      <c r="N195" s="117" t="b">
        <v>0</v>
      </c>
      <c r="W195" s="117"/>
      <c r="X195" s="117"/>
      <c r="Z195" s="117" t="b">
        <v>0</v>
      </c>
      <c r="AF195" s="117" t="b">
        <v>0</v>
      </c>
      <c r="AG195" s="117" t="b">
        <v>0</v>
      </c>
      <c r="AH195" s="117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117"/>
      <c r="H196" s="117" t="b">
        <v>0</v>
      </c>
      <c r="I196" s="117" t="b">
        <v>0</v>
      </c>
      <c r="J196" s="117"/>
      <c r="K196" s="117"/>
      <c r="L196" s="117" t="b">
        <v>0</v>
      </c>
      <c r="M196" s="117" t="b">
        <v>0</v>
      </c>
      <c r="N196" s="117" t="b">
        <v>0</v>
      </c>
      <c r="W196" s="117"/>
      <c r="X196" s="117"/>
      <c r="Z196" s="117" t="b">
        <v>0</v>
      </c>
      <c r="AF196" s="117" t="b">
        <v>0</v>
      </c>
      <c r="AG196" s="117" t="b">
        <v>0</v>
      </c>
      <c r="AH196" s="117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117"/>
      <c r="H197" s="117" t="b">
        <v>0</v>
      </c>
      <c r="I197" s="117" t="b">
        <v>0</v>
      </c>
      <c r="J197" s="117"/>
      <c r="K197" s="117"/>
      <c r="L197" s="117" t="b">
        <v>0</v>
      </c>
      <c r="M197" s="117" t="b">
        <v>0</v>
      </c>
      <c r="N197" s="117" t="b">
        <v>0</v>
      </c>
      <c r="W197" s="117"/>
      <c r="X197" s="117"/>
      <c r="Z197" s="117" t="b">
        <v>0</v>
      </c>
      <c r="AF197" s="117" t="b">
        <v>0</v>
      </c>
      <c r="AG197" s="117" t="b">
        <v>0</v>
      </c>
      <c r="AH197" s="117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117"/>
      <c r="H198" s="117" t="b">
        <v>0</v>
      </c>
      <c r="I198" s="117" t="b">
        <v>0</v>
      </c>
      <c r="J198" s="117"/>
      <c r="K198" s="117"/>
      <c r="L198" s="117" t="b">
        <v>0</v>
      </c>
      <c r="M198" s="117" t="b">
        <v>0</v>
      </c>
      <c r="N198" s="117" t="b">
        <v>0</v>
      </c>
      <c r="W198" s="117"/>
      <c r="X198" s="117"/>
      <c r="Z198" s="117" t="b">
        <v>0</v>
      </c>
      <c r="AF198" s="117" t="b">
        <v>0</v>
      </c>
      <c r="AG198" s="117" t="b">
        <v>0</v>
      </c>
      <c r="AH198" s="117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117"/>
      <c r="H199" s="117" t="b">
        <v>0</v>
      </c>
      <c r="I199" s="117" t="b">
        <v>0</v>
      </c>
      <c r="J199" s="117"/>
      <c r="K199" s="117"/>
      <c r="L199" s="117" t="b">
        <v>0</v>
      </c>
      <c r="M199" s="117" t="b">
        <v>0</v>
      </c>
      <c r="N199" s="117" t="b">
        <v>0</v>
      </c>
      <c r="W199" s="117"/>
      <c r="X199" s="117"/>
      <c r="Z199" s="117" t="b">
        <v>0</v>
      </c>
      <c r="AF199" s="117" t="b">
        <v>0</v>
      </c>
      <c r="AG199" s="117" t="b">
        <v>0</v>
      </c>
      <c r="AH199" s="117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117"/>
      <c r="H200" s="117" t="b">
        <v>0</v>
      </c>
      <c r="I200" s="117" t="b">
        <v>0</v>
      </c>
      <c r="J200" s="117"/>
      <c r="K200" s="117"/>
      <c r="L200" s="117" t="b">
        <v>0</v>
      </c>
      <c r="M200" s="117" t="b">
        <v>0</v>
      </c>
      <c r="N200" s="117" t="b">
        <v>0</v>
      </c>
      <c r="W200" s="117"/>
      <c r="X200" s="117"/>
      <c r="Z200" s="117" t="b">
        <v>0</v>
      </c>
      <c r="AF200" s="117" t="b">
        <v>0</v>
      </c>
      <c r="AG200" s="117" t="b">
        <v>0</v>
      </c>
      <c r="AH200" s="117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117"/>
      <c r="H201" s="117" t="b">
        <v>0</v>
      </c>
      <c r="I201" s="117" t="b">
        <v>0</v>
      </c>
      <c r="J201" s="117"/>
      <c r="K201" s="117"/>
      <c r="L201" s="117" t="b">
        <v>0</v>
      </c>
      <c r="M201" s="117" t="b">
        <v>0</v>
      </c>
      <c r="N201" s="117" t="b">
        <v>0</v>
      </c>
      <c r="W201" s="117"/>
      <c r="X201" s="117"/>
      <c r="Z201" s="117" t="b">
        <v>0</v>
      </c>
      <c r="AF201" s="117" t="b">
        <v>0</v>
      </c>
      <c r="AG201" s="117" t="b">
        <v>0</v>
      </c>
      <c r="AH201" s="117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117"/>
      <c r="H202" s="117" t="b">
        <v>0</v>
      </c>
      <c r="I202" s="117" t="b">
        <v>0</v>
      </c>
      <c r="J202" s="117"/>
      <c r="K202" s="117"/>
      <c r="L202" s="117" t="b">
        <v>0</v>
      </c>
      <c r="M202" s="117" t="b">
        <v>0</v>
      </c>
      <c r="N202" s="117" t="b">
        <v>0</v>
      </c>
      <c r="W202" s="117"/>
      <c r="X202" s="117"/>
      <c r="Z202" s="117" t="b">
        <v>0</v>
      </c>
      <c r="AF202" s="117" t="b">
        <v>0</v>
      </c>
      <c r="AG202" s="117" t="b">
        <v>0</v>
      </c>
      <c r="AH202" s="117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117"/>
      <c r="H203" s="117" t="b">
        <v>0</v>
      </c>
      <c r="I203" s="117" t="b">
        <v>0</v>
      </c>
      <c r="J203" s="117"/>
      <c r="K203" s="117"/>
      <c r="L203" s="117" t="b">
        <v>0</v>
      </c>
      <c r="M203" s="117" t="b">
        <v>0</v>
      </c>
      <c r="N203" s="117" t="b">
        <v>0</v>
      </c>
      <c r="W203" s="117"/>
      <c r="X203" s="117"/>
      <c r="Z203" s="117" t="b">
        <v>0</v>
      </c>
      <c r="AF203" s="117" t="b">
        <v>0</v>
      </c>
      <c r="AG203" s="117" t="b">
        <v>0</v>
      </c>
      <c r="AH203" s="117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117"/>
      <c r="H204" s="117" t="b">
        <v>0</v>
      </c>
      <c r="I204" s="117" t="b">
        <v>0</v>
      </c>
      <c r="J204" s="117"/>
      <c r="K204" s="117"/>
      <c r="L204" s="117" t="b">
        <v>0</v>
      </c>
      <c r="M204" s="117" t="b">
        <v>0</v>
      </c>
      <c r="N204" s="117" t="b">
        <v>0</v>
      </c>
      <c r="W204" s="117"/>
      <c r="X204" s="117"/>
      <c r="Z204" s="117" t="b">
        <v>0</v>
      </c>
      <c r="AF204" s="117" t="b">
        <v>0</v>
      </c>
      <c r="AG204" s="117" t="b">
        <v>0</v>
      </c>
      <c r="AH204" s="117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117"/>
      <c r="H205" s="117" t="b">
        <v>0</v>
      </c>
      <c r="I205" s="117" t="b">
        <v>0</v>
      </c>
      <c r="J205" s="117"/>
      <c r="K205" s="117"/>
      <c r="L205" s="117" t="b">
        <v>0</v>
      </c>
      <c r="M205" s="117" t="b">
        <v>0</v>
      </c>
      <c r="N205" s="117" t="b">
        <v>0</v>
      </c>
      <c r="W205" s="117"/>
      <c r="X205" s="117"/>
      <c r="Z205" s="117" t="b">
        <v>0</v>
      </c>
      <c r="AF205" s="117" t="b">
        <v>0</v>
      </c>
      <c r="AG205" s="117" t="b">
        <v>0</v>
      </c>
      <c r="AH205" s="117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117"/>
      <c r="H206" s="117" t="b">
        <v>0</v>
      </c>
      <c r="I206" s="117" t="b">
        <v>0</v>
      </c>
      <c r="J206" s="117"/>
      <c r="K206" s="117"/>
      <c r="L206" s="117" t="b">
        <v>0</v>
      </c>
      <c r="M206" s="117" t="b">
        <v>0</v>
      </c>
      <c r="N206" s="117" t="b">
        <v>0</v>
      </c>
      <c r="W206" s="117"/>
      <c r="X206" s="117"/>
      <c r="Z206" s="117" t="b">
        <v>0</v>
      </c>
      <c r="AF206" s="117" t="b">
        <v>0</v>
      </c>
      <c r="AG206" s="117" t="b">
        <v>0</v>
      </c>
      <c r="AH206" s="117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117"/>
      <c r="H207" s="117" t="b">
        <v>0</v>
      </c>
      <c r="I207" s="117" t="b">
        <v>0</v>
      </c>
      <c r="J207" s="117"/>
      <c r="K207" s="117"/>
      <c r="L207" s="117" t="b">
        <v>0</v>
      </c>
      <c r="M207" s="117" t="b">
        <v>0</v>
      </c>
      <c r="N207" s="117" t="b">
        <v>0</v>
      </c>
      <c r="W207" s="117"/>
      <c r="X207" s="117"/>
      <c r="Z207" s="117" t="b">
        <v>0</v>
      </c>
      <c r="AF207" s="117" t="b">
        <v>0</v>
      </c>
      <c r="AG207" s="117" t="b">
        <v>0</v>
      </c>
      <c r="AH207" s="117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117"/>
      <c r="H208" s="117" t="b">
        <v>0</v>
      </c>
      <c r="I208" s="117" t="b">
        <v>0</v>
      </c>
      <c r="J208" s="117"/>
      <c r="K208" s="117"/>
      <c r="L208" s="117" t="b">
        <v>0</v>
      </c>
      <c r="M208" s="117" t="b">
        <v>0</v>
      </c>
      <c r="N208" s="117" t="b">
        <v>0</v>
      </c>
      <c r="W208" s="117"/>
      <c r="X208" s="117"/>
      <c r="Z208" s="117" t="b">
        <v>0</v>
      </c>
      <c r="AF208" s="117" t="b">
        <v>0</v>
      </c>
      <c r="AG208" s="117" t="b">
        <v>0</v>
      </c>
      <c r="AH208" s="117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117"/>
      <c r="H209" s="117" t="b">
        <v>0</v>
      </c>
      <c r="I209" s="117" t="b">
        <v>0</v>
      </c>
      <c r="J209" s="117"/>
      <c r="K209" s="117"/>
      <c r="L209" s="117" t="b">
        <v>0</v>
      </c>
      <c r="M209" s="117" t="b">
        <v>0</v>
      </c>
      <c r="N209" s="117" t="b">
        <v>0</v>
      </c>
      <c r="W209" s="117"/>
      <c r="X209" s="117"/>
      <c r="Z209" s="117" t="b">
        <v>0</v>
      </c>
      <c r="AF209" s="117" t="b">
        <v>0</v>
      </c>
      <c r="AG209" s="117" t="b">
        <v>0</v>
      </c>
      <c r="AH209" s="117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117"/>
      <c r="H210" s="117" t="b">
        <v>0</v>
      </c>
      <c r="I210" s="117" t="b">
        <v>0</v>
      </c>
      <c r="J210" s="117"/>
      <c r="K210" s="117"/>
      <c r="L210" s="117" t="b">
        <v>0</v>
      </c>
      <c r="M210" s="117" t="b">
        <v>0</v>
      </c>
      <c r="N210" s="117" t="b">
        <v>0</v>
      </c>
      <c r="W210" s="117"/>
      <c r="X210" s="117"/>
      <c r="Z210" s="117" t="b">
        <v>0</v>
      </c>
      <c r="AF210" s="117" t="b">
        <v>0</v>
      </c>
      <c r="AG210" s="117" t="b">
        <v>0</v>
      </c>
      <c r="AH210" s="117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117"/>
      <c r="H211" s="117" t="b">
        <v>0</v>
      </c>
      <c r="I211" s="117" t="b">
        <v>0</v>
      </c>
      <c r="J211" s="117"/>
      <c r="K211" s="117"/>
      <c r="L211" s="117" t="b">
        <v>0</v>
      </c>
      <c r="M211" s="117" t="b">
        <v>0</v>
      </c>
      <c r="N211" s="117" t="b">
        <v>0</v>
      </c>
      <c r="W211" s="117"/>
      <c r="X211" s="117"/>
      <c r="Z211" s="117" t="b">
        <v>0</v>
      </c>
      <c r="AF211" s="117" t="b">
        <v>0</v>
      </c>
      <c r="AG211" s="117" t="b">
        <v>0</v>
      </c>
      <c r="AH211" s="117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117"/>
      <c r="H212" s="117" t="b">
        <v>0</v>
      </c>
      <c r="I212" s="117" t="b">
        <v>0</v>
      </c>
      <c r="J212" s="117"/>
      <c r="K212" s="117"/>
      <c r="L212" s="117" t="b">
        <v>0</v>
      </c>
      <c r="M212" s="117" t="b">
        <v>0</v>
      </c>
      <c r="N212" s="117" t="b">
        <v>0</v>
      </c>
      <c r="W212" s="117"/>
      <c r="X212" s="117"/>
      <c r="Z212" s="117" t="b">
        <v>0</v>
      </c>
      <c r="AF212" s="117" t="b">
        <v>0</v>
      </c>
      <c r="AG212" s="117" t="b">
        <v>0</v>
      </c>
      <c r="AH212" s="117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117"/>
      <c r="H213" s="117" t="b">
        <v>0</v>
      </c>
      <c r="I213" s="117" t="b">
        <v>0</v>
      </c>
      <c r="J213" s="117"/>
      <c r="K213" s="117"/>
      <c r="L213" s="117" t="b">
        <v>0</v>
      </c>
      <c r="M213" s="117" t="b">
        <v>0</v>
      </c>
      <c r="N213" s="117" t="b">
        <v>0</v>
      </c>
      <c r="W213" s="117"/>
      <c r="X213" s="117"/>
      <c r="Z213" s="117" t="b">
        <v>0</v>
      </c>
      <c r="AF213" s="117" t="b">
        <v>0</v>
      </c>
      <c r="AG213" s="117" t="b">
        <v>0</v>
      </c>
      <c r="AH213" s="117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117"/>
      <c r="H214" s="117" t="b">
        <v>0</v>
      </c>
      <c r="I214" s="117" t="b">
        <v>0</v>
      </c>
      <c r="J214" s="117"/>
      <c r="K214" s="117"/>
      <c r="L214" s="117" t="b">
        <v>0</v>
      </c>
      <c r="M214" s="117" t="b">
        <v>0</v>
      </c>
      <c r="N214" s="117" t="b">
        <v>0</v>
      </c>
      <c r="W214" s="117"/>
      <c r="X214" s="117"/>
      <c r="Z214" s="117" t="b">
        <v>0</v>
      </c>
      <c r="AF214" s="117" t="b">
        <v>0</v>
      </c>
      <c r="AG214" s="117" t="b">
        <v>0</v>
      </c>
      <c r="AH214" s="117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117"/>
      <c r="H215" s="117" t="b">
        <v>0</v>
      </c>
      <c r="I215" s="117" t="b">
        <v>0</v>
      </c>
      <c r="J215" s="117"/>
      <c r="K215" s="117"/>
      <c r="L215" s="117" t="b">
        <v>0</v>
      </c>
      <c r="M215" s="117" t="b">
        <v>0</v>
      </c>
      <c r="N215" s="117" t="b">
        <v>0</v>
      </c>
      <c r="W215" s="117"/>
      <c r="X215" s="117"/>
      <c r="Z215" s="117" t="b">
        <v>0</v>
      </c>
      <c r="AF215" s="117" t="b">
        <v>0</v>
      </c>
      <c r="AG215" s="117" t="b">
        <v>0</v>
      </c>
      <c r="AH215" s="117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117"/>
      <c r="H216" s="117" t="b">
        <v>0</v>
      </c>
      <c r="I216" s="117" t="b">
        <v>0</v>
      </c>
      <c r="J216" s="117"/>
      <c r="K216" s="117"/>
      <c r="L216" s="117" t="b">
        <v>0</v>
      </c>
      <c r="M216" s="117" t="b">
        <v>0</v>
      </c>
      <c r="N216" s="117" t="b">
        <v>0</v>
      </c>
      <c r="W216" s="117"/>
      <c r="X216" s="117"/>
      <c r="Z216" s="117" t="b">
        <v>0</v>
      </c>
      <c r="AF216" s="117" t="b">
        <v>0</v>
      </c>
      <c r="AG216" s="117" t="b">
        <v>0</v>
      </c>
      <c r="AH216" s="117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117"/>
      <c r="H217" s="117" t="b">
        <v>0</v>
      </c>
      <c r="I217" s="117" t="b">
        <v>0</v>
      </c>
      <c r="J217" s="117"/>
      <c r="K217" s="117"/>
      <c r="L217" s="117" t="b">
        <v>0</v>
      </c>
      <c r="M217" s="117" t="b">
        <v>0</v>
      </c>
      <c r="N217" s="117" t="b">
        <v>0</v>
      </c>
      <c r="W217" s="117"/>
      <c r="X217" s="117"/>
      <c r="Z217" s="117" t="b">
        <v>0</v>
      </c>
      <c r="AF217" s="117" t="b">
        <v>0</v>
      </c>
      <c r="AG217" s="117" t="b">
        <v>0</v>
      </c>
      <c r="AH217" s="117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117"/>
      <c r="H218" s="117" t="b">
        <v>0</v>
      </c>
      <c r="I218" s="117" t="b">
        <v>0</v>
      </c>
      <c r="J218" s="117"/>
      <c r="K218" s="117"/>
      <c r="L218" s="117" t="b">
        <v>0</v>
      </c>
      <c r="M218" s="117" t="b">
        <v>0</v>
      </c>
      <c r="N218" s="117" t="b">
        <v>0</v>
      </c>
      <c r="W218" s="117"/>
      <c r="X218" s="117"/>
      <c r="Z218" s="117" t="b">
        <v>0</v>
      </c>
      <c r="AF218" s="117" t="b">
        <v>0</v>
      </c>
      <c r="AG218" s="117" t="b">
        <v>0</v>
      </c>
      <c r="AH218" s="117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117"/>
      <c r="H219" s="117" t="b">
        <v>0</v>
      </c>
      <c r="I219" s="117" t="b">
        <v>0</v>
      </c>
      <c r="J219" s="117"/>
      <c r="K219" s="117"/>
      <c r="L219" s="117" t="b">
        <v>0</v>
      </c>
      <c r="M219" s="117" t="b">
        <v>0</v>
      </c>
      <c r="N219" s="117" t="b">
        <v>0</v>
      </c>
      <c r="W219" s="117"/>
      <c r="X219" s="117"/>
      <c r="Z219" s="117" t="b">
        <v>0</v>
      </c>
      <c r="AF219" s="117" t="b">
        <v>0</v>
      </c>
      <c r="AG219" s="117" t="b">
        <v>0</v>
      </c>
      <c r="AH219" s="117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117"/>
      <c r="H220" s="117" t="b">
        <v>0</v>
      </c>
      <c r="I220" s="117" t="b">
        <v>0</v>
      </c>
      <c r="J220" s="117"/>
      <c r="K220" s="117"/>
      <c r="L220" s="117" t="b">
        <v>0</v>
      </c>
      <c r="M220" s="117" t="b">
        <v>0</v>
      </c>
      <c r="N220" s="117" t="b">
        <v>0</v>
      </c>
      <c r="W220" s="117"/>
      <c r="X220" s="117"/>
      <c r="Z220" s="117" t="b">
        <v>0</v>
      </c>
      <c r="AF220" s="117" t="b">
        <v>0</v>
      </c>
      <c r="AG220" s="117" t="b">
        <v>0</v>
      </c>
      <c r="AH220" s="117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117"/>
      <c r="H221" s="117" t="b">
        <v>0</v>
      </c>
      <c r="I221" s="117" t="b">
        <v>0</v>
      </c>
      <c r="J221" s="117"/>
      <c r="K221" s="117"/>
      <c r="L221" s="117" t="b">
        <v>0</v>
      </c>
      <c r="M221" s="117" t="b">
        <v>0</v>
      </c>
      <c r="N221" s="117" t="b">
        <v>0</v>
      </c>
      <c r="W221" s="117"/>
      <c r="X221" s="117"/>
      <c r="Z221" s="117" t="b">
        <v>0</v>
      </c>
      <c r="AF221" s="117" t="b">
        <v>0</v>
      </c>
      <c r="AG221" s="117" t="b">
        <v>0</v>
      </c>
      <c r="AH221" s="117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117"/>
      <c r="H222" s="117" t="b">
        <v>0</v>
      </c>
      <c r="I222" s="117" t="b">
        <v>0</v>
      </c>
      <c r="J222" s="117"/>
      <c r="K222" s="117"/>
      <c r="L222" s="117" t="b">
        <v>0</v>
      </c>
      <c r="M222" s="117" t="b">
        <v>0</v>
      </c>
      <c r="N222" s="117" t="b">
        <v>0</v>
      </c>
      <c r="W222" s="117"/>
      <c r="X222" s="117"/>
      <c r="Z222" s="117" t="b">
        <v>0</v>
      </c>
      <c r="AF222" s="117" t="b">
        <v>0</v>
      </c>
      <c r="AG222" s="117" t="b">
        <v>0</v>
      </c>
      <c r="AH222" s="117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117"/>
      <c r="H223" s="117" t="b">
        <v>0</v>
      </c>
      <c r="I223" s="117" t="b">
        <v>0</v>
      </c>
      <c r="J223" s="117"/>
      <c r="K223" s="117"/>
      <c r="L223" s="117" t="b">
        <v>0</v>
      </c>
      <c r="M223" s="117" t="b">
        <v>0</v>
      </c>
      <c r="N223" s="117" t="b">
        <v>0</v>
      </c>
      <c r="W223" s="117"/>
      <c r="X223" s="117"/>
      <c r="Z223" s="117" t="b">
        <v>0</v>
      </c>
      <c r="AF223" s="117" t="b">
        <v>0</v>
      </c>
      <c r="AG223" s="117" t="b">
        <v>0</v>
      </c>
      <c r="AH223" s="117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117"/>
      <c r="H224" s="117" t="b">
        <v>0</v>
      </c>
      <c r="I224" s="117" t="b">
        <v>0</v>
      </c>
      <c r="J224" s="117"/>
      <c r="K224" s="117"/>
      <c r="L224" s="117" t="b">
        <v>0</v>
      </c>
      <c r="M224" s="117" t="b">
        <v>0</v>
      </c>
      <c r="N224" s="117" t="b">
        <v>0</v>
      </c>
      <c r="W224" s="117"/>
      <c r="X224" s="117"/>
      <c r="Z224" s="117" t="b">
        <v>0</v>
      </c>
      <c r="AF224" s="117" t="b">
        <v>0</v>
      </c>
      <c r="AG224" s="117" t="b">
        <v>0</v>
      </c>
      <c r="AH224" s="117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117"/>
      <c r="H225" s="117" t="b">
        <v>0</v>
      </c>
      <c r="I225" s="117" t="b">
        <v>0</v>
      </c>
      <c r="J225" s="117"/>
      <c r="K225" s="117"/>
      <c r="L225" s="117" t="b">
        <v>0</v>
      </c>
      <c r="M225" s="117" t="b">
        <v>0</v>
      </c>
      <c r="N225" s="117" t="b">
        <v>0</v>
      </c>
      <c r="W225" s="117"/>
      <c r="X225" s="117"/>
      <c r="Z225" s="117" t="b">
        <v>0</v>
      </c>
      <c r="AF225" s="117" t="b">
        <v>0</v>
      </c>
      <c r="AG225" s="117" t="b">
        <v>0</v>
      </c>
      <c r="AH225" s="117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117"/>
      <c r="H226" s="117" t="b">
        <v>0</v>
      </c>
      <c r="I226" s="117" t="b">
        <v>0</v>
      </c>
      <c r="J226" s="117"/>
      <c r="K226" s="117"/>
      <c r="L226" s="117" t="b">
        <v>0</v>
      </c>
      <c r="M226" s="117" t="b">
        <v>0</v>
      </c>
      <c r="N226" s="117" t="b">
        <v>0</v>
      </c>
      <c r="W226" s="117"/>
      <c r="X226" s="117"/>
      <c r="Z226" s="117" t="b">
        <v>0</v>
      </c>
      <c r="AF226" s="117" t="b">
        <v>0</v>
      </c>
      <c r="AG226" s="117" t="b">
        <v>0</v>
      </c>
      <c r="AH226" s="117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117"/>
      <c r="H227" s="117" t="b">
        <v>0</v>
      </c>
      <c r="I227" s="117" t="b">
        <v>0</v>
      </c>
      <c r="J227" s="117"/>
      <c r="K227" s="117"/>
      <c r="L227" s="117" t="b">
        <v>0</v>
      </c>
      <c r="M227" s="117" t="b">
        <v>0</v>
      </c>
      <c r="N227" s="117" t="b">
        <v>0</v>
      </c>
      <c r="W227" s="117"/>
      <c r="X227" s="117"/>
      <c r="Z227" s="117" t="b">
        <v>0</v>
      </c>
      <c r="AF227" s="117" t="b">
        <v>0</v>
      </c>
      <c r="AG227" s="117" t="b">
        <v>0</v>
      </c>
      <c r="AH227" s="117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117"/>
      <c r="H228" s="117" t="b">
        <v>0</v>
      </c>
      <c r="I228" s="117" t="b">
        <v>0</v>
      </c>
      <c r="J228" s="117"/>
      <c r="K228" s="117"/>
      <c r="L228" s="117" t="b">
        <v>0</v>
      </c>
      <c r="M228" s="117" t="b">
        <v>0</v>
      </c>
      <c r="N228" s="117" t="b">
        <v>0</v>
      </c>
      <c r="W228" s="117"/>
      <c r="X228" s="117"/>
      <c r="Z228" s="117" t="b">
        <v>0</v>
      </c>
      <c r="AF228" s="117" t="b">
        <v>0</v>
      </c>
      <c r="AG228" s="117" t="b">
        <v>0</v>
      </c>
      <c r="AH228" s="117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117"/>
      <c r="H229" s="117" t="b">
        <v>0</v>
      </c>
      <c r="I229" s="117" t="b">
        <v>0</v>
      </c>
      <c r="J229" s="117"/>
      <c r="K229" s="117"/>
      <c r="L229" s="117" t="b">
        <v>0</v>
      </c>
      <c r="M229" s="117" t="b">
        <v>0</v>
      </c>
      <c r="N229" s="117" t="b">
        <v>0</v>
      </c>
      <c r="W229" s="117"/>
      <c r="X229" s="117"/>
      <c r="Z229" s="117" t="b">
        <v>0</v>
      </c>
      <c r="AF229" s="117" t="b">
        <v>0</v>
      </c>
      <c r="AG229" s="117" t="b">
        <v>0</v>
      </c>
      <c r="AH229" s="117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117"/>
      <c r="H230" s="117" t="b">
        <v>0</v>
      </c>
      <c r="I230" s="117" t="b">
        <v>0</v>
      </c>
      <c r="J230" s="117"/>
      <c r="K230" s="117"/>
      <c r="L230" s="117" t="b">
        <v>0</v>
      </c>
      <c r="M230" s="117" t="b">
        <v>0</v>
      </c>
      <c r="N230" s="117" t="b">
        <v>0</v>
      </c>
      <c r="W230" s="117"/>
      <c r="X230" s="117"/>
      <c r="Z230" s="117" t="b">
        <v>0</v>
      </c>
      <c r="AF230" s="117" t="b">
        <v>0</v>
      </c>
      <c r="AG230" s="117" t="b">
        <v>0</v>
      </c>
      <c r="AH230" s="117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117"/>
      <c r="H231" s="117" t="b">
        <v>0</v>
      </c>
      <c r="I231" s="117" t="b">
        <v>0</v>
      </c>
      <c r="J231" s="117"/>
      <c r="K231" s="117"/>
      <c r="L231" s="117" t="b">
        <v>0</v>
      </c>
      <c r="M231" s="117" t="b">
        <v>0</v>
      </c>
      <c r="N231" s="117" t="b">
        <v>0</v>
      </c>
      <c r="W231" s="117"/>
      <c r="X231" s="117"/>
      <c r="Z231" s="117" t="b">
        <v>0</v>
      </c>
      <c r="AF231" s="117" t="b">
        <v>0</v>
      </c>
      <c r="AG231" s="117" t="b">
        <v>0</v>
      </c>
      <c r="AH231" s="117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117"/>
      <c r="H232" s="117" t="b">
        <v>0</v>
      </c>
      <c r="I232" s="117" t="b">
        <v>0</v>
      </c>
      <c r="J232" s="117"/>
      <c r="K232" s="117"/>
      <c r="L232" s="117" t="b">
        <v>0</v>
      </c>
      <c r="M232" s="117" t="b">
        <v>0</v>
      </c>
      <c r="N232" s="117" t="b">
        <v>0</v>
      </c>
      <c r="W232" s="117"/>
      <c r="X232" s="117"/>
      <c r="Z232" s="117" t="b">
        <v>0</v>
      </c>
      <c r="AF232" s="117" t="b">
        <v>0</v>
      </c>
      <c r="AG232" s="117" t="b">
        <v>0</v>
      </c>
      <c r="AH232" s="117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117"/>
      <c r="H233" s="117" t="b">
        <v>0</v>
      </c>
      <c r="I233" s="117" t="b">
        <v>0</v>
      </c>
      <c r="J233" s="117"/>
      <c r="K233" s="117"/>
      <c r="L233" s="117" t="b">
        <v>0</v>
      </c>
      <c r="M233" s="117" t="b">
        <v>0</v>
      </c>
      <c r="N233" s="117" t="b">
        <v>0</v>
      </c>
      <c r="W233" s="117"/>
      <c r="X233" s="117"/>
      <c r="Z233" s="117" t="b">
        <v>0</v>
      </c>
      <c r="AF233" s="117" t="b">
        <v>0</v>
      </c>
      <c r="AG233" s="117" t="b">
        <v>0</v>
      </c>
      <c r="AH233" s="117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117"/>
      <c r="H234" s="117" t="b">
        <v>0</v>
      </c>
      <c r="I234" s="117" t="b">
        <v>0</v>
      </c>
      <c r="J234" s="117"/>
      <c r="K234" s="117"/>
      <c r="L234" s="117" t="b">
        <v>0</v>
      </c>
      <c r="M234" s="117" t="b">
        <v>0</v>
      </c>
      <c r="N234" s="117" t="b">
        <v>0</v>
      </c>
      <c r="W234" s="117"/>
      <c r="X234" s="117"/>
      <c r="Z234" s="117" t="b">
        <v>0</v>
      </c>
      <c r="AF234" s="117" t="b">
        <v>0</v>
      </c>
      <c r="AG234" s="117" t="b">
        <v>0</v>
      </c>
      <c r="AH234" s="117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117"/>
      <c r="H235" s="117" t="b">
        <v>0</v>
      </c>
      <c r="I235" s="117" t="b">
        <v>0</v>
      </c>
      <c r="J235" s="117"/>
      <c r="K235" s="117"/>
      <c r="L235" s="117" t="b">
        <v>0</v>
      </c>
      <c r="M235" s="117" t="b">
        <v>0</v>
      </c>
      <c r="N235" s="117" t="b">
        <v>0</v>
      </c>
      <c r="W235" s="117"/>
      <c r="X235" s="117"/>
      <c r="Z235" s="117" t="b">
        <v>0</v>
      </c>
      <c r="AF235" s="117" t="b">
        <v>0</v>
      </c>
      <c r="AG235" s="117" t="b">
        <v>0</v>
      </c>
      <c r="AH235" s="117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117"/>
      <c r="H236" s="117" t="b">
        <v>0</v>
      </c>
      <c r="I236" s="117" t="b">
        <v>0</v>
      </c>
      <c r="J236" s="117"/>
      <c r="K236" s="117"/>
      <c r="L236" s="117" t="b">
        <v>0</v>
      </c>
      <c r="M236" s="117" t="b">
        <v>0</v>
      </c>
      <c r="N236" s="117" t="b">
        <v>0</v>
      </c>
      <c r="W236" s="117"/>
      <c r="X236" s="117"/>
      <c r="Z236" s="117" t="b">
        <v>0</v>
      </c>
      <c r="AF236" s="117" t="b">
        <v>0</v>
      </c>
      <c r="AG236" s="117" t="b">
        <v>0</v>
      </c>
      <c r="AH236" s="117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117"/>
      <c r="H237" s="117" t="b">
        <v>0</v>
      </c>
      <c r="I237" s="117" t="b">
        <v>0</v>
      </c>
      <c r="J237" s="117"/>
      <c r="K237" s="117"/>
      <c r="L237" s="117" t="b">
        <v>0</v>
      </c>
      <c r="M237" s="117" t="b">
        <v>0</v>
      </c>
      <c r="N237" s="117" t="b">
        <v>0</v>
      </c>
      <c r="W237" s="117"/>
      <c r="X237" s="117"/>
      <c r="Z237" s="117" t="b">
        <v>0</v>
      </c>
      <c r="AF237" s="117" t="b">
        <v>0</v>
      </c>
      <c r="AG237" s="117" t="b">
        <v>0</v>
      </c>
      <c r="AH237" s="117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117"/>
      <c r="H238" s="117" t="b">
        <v>0</v>
      </c>
      <c r="I238" s="117" t="b">
        <v>0</v>
      </c>
      <c r="J238" s="117"/>
      <c r="K238" s="117"/>
      <c r="L238" s="117" t="b">
        <v>0</v>
      </c>
      <c r="M238" s="117" t="b">
        <v>0</v>
      </c>
      <c r="N238" s="117" t="b">
        <v>0</v>
      </c>
      <c r="W238" s="117"/>
      <c r="X238" s="117"/>
      <c r="Z238" s="117" t="b">
        <v>0</v>
      </c>
      <c r="AF238" s="117" t="b">
        <v>0</v>
      </c>
      <c r="AG238" s="117" t="b">
        <v>0</v>
      </c>
      <c r="AH238" s="117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117"/>
      <c r="H239" s="117" t="b">
        <v>0</v>
      </c>
      <c r="I239" s="117" t="b">
        <v>0</v>
      </c>
      <c r="J239" s="117"/>
      <c r="K239" s="117"/>
      <c r="L239" s="117" t="b">
        <v>0</v>
      </c>
      <c r="M239" s="117" t="b">
        <v>0</v>
      </c>
      <c r="N239" s="117" t="b">
        <v>0</v>
      </c>
      <c r="W239" s="117"/>
      <c r="X239" s="117"/>
      <c r="Z239" s="117" t="b">
        <v>0</v>
      </c>
      <c r="AF239" s="117" t="b">
        <v>0</v>
      </c>
      <c r="AG239" s="117" t="b">
        <v>0</v>
      </c>
      <c r="AH239" s="117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117"/>
      <c r="H240" s="117" t="b">
        <v>0</v>
      </c>
      <c r="I240" s="117" t="b">
        <v>0</v>
      </c>
      <c r="J240" s="117"/>
      <c r="K240" s="117"/>
      <c r="L240" s="117" t="b">
        <v>0</v>
      </c>
      <c r="M240" s="117" t="b">
        <v>0</v>
      </c>
      <c r="N240" s="117" t="b">
        <v>0</v>
      </c>
      <c r="W240" s="117"/>
      <c r="X240" s="117"/>
      <c r="Z240" s="117" t="b">
        <v>0</v>
      </c>
      <c r="AF240" s="117" t="b">
        <v>0</v>
      </c>
      <c r="AG240" s="117" t="b">
        <v>0</v>
      </c>
      <c r="AH240" s="117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117"/>
      <c r="H241" s="117" t="b">
        <v>0</v>
      </c>
      <c r="I241" s="117" t="b">
        <v>0</v>
      </c>
      <c r="J241" s="117"/>
      <c r="K241" s="117"/>
      <c r="L241" s="117" t="b">
        <v>0</v>
      </c>
      <c r="M241" s="117" t="b">
        <v>0</v>
      </c>
      <c r="N241" s="117" t="b">
        <v>0</v>
      </c>
      <c r="W241" s="117"/>
      <c r="X241" s="117"/>
      <c r="Z241" s="117" t="b">
        <v>0</v>
      </c>
      <c r="AF241" s="117" t="b">
        <v>0</v>
      </c>
      <c r="AG241" s="117" t="b">
        <v>0</v>
      </c>
      <c r="AH241" s="117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117"/>
      <c r="H242" s="117" t="b">
        <v>0</v>
      </c>
      <c r="I242" s="117" t="b">
        <v>0</v>
      </c>
      <c r="J242" s="117"/>
      <c r="K242" s="117"/>
      <c r="L242" s="117" t="b">
        <v>0</v>
      </c>
      <c r="M242" s="117" t="b">
        <v>0</v>
      </c>
      <c r="N242" s="117" t="b">
        <v>0</v>
      </c>
      <c r="W242" s="117"/>
      <c r="X242" s="117"/>
      <c r="Z242" s="117" t="b">
        <v>0</v>
      </c>
      <c r="AF242" s="117" t="b">
        <v>0</v>
      </c>
      <c r="AG242" s="117" t="b">
        <v>0</v>
      </c>
      <c r="AH242" s="117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117"/>
      <c r="H243" s="117" t="b">
        <v>0</v>
      </c>
      <c r="I243" s="117" t="b">
        <v>0</v>
      </c>
      <c r="J243" s="117"/>
      <c r="K243" s="117"/>
      <c r="L243" s="117" t="b">
        <v>0</v>
      </c>
      <c r="M243" s="117" t="b">
        <v>0</v>
      </c>
      <c r="N243" s="117" t="b">
        <v>0</v>
      </c>
      <c r="W243" s="117"/>
      <c r="X243" s="117"/>
      <c r="Z243" s="117" t="b">
        <v>0</v>
      </c>
      <c r="AF243" s="117" t="b">
        <v>0</v>
      </c>
      <c r="AG243" s="117" t="b">
        <v>0</v>
      </c>
      <c r="AH243" s="117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117"/>
      <c r="H244" s="117" t="b">
        <v>0</v>
      </c>
      <c r="I244" s="117" t="b">
        <v>0</v>
      </c>
      <c r="J244" s="117"/>
      <c r="K244" s="117"/>
      <c r="L244" s="117" t="b">
        <v>0</v>
      </c>
      <c r="M244" s="117" t="b">
        <v>0</v>
      </c>
      <c r="N244" s="117" t="b">
        <v>0</v>
      </c>
      <c r="W244" s="117"/>
      <c r="X244" s="117"/>
      <c r="Z244" s="117" t="b">
        <v>0</v>
      </c>
      <c r="AF244" s="117" t="b">
        <v>0</v>
      </c>
      <c r="AG244" s="117" t="b">
        <v>0</v>
      </c>
      <c r="AH244" s="117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117"/>
      <c r="H245" s="117" t="b">
        <v>0</v>
      </c>
      <c r="I245" s="117" t="b">
        <v>0</v>
      </c>
      <c r="J245" s="117"/>
      <c r="K245" s="117"/>
      <c r="L245" s="117" t="b">
        <v>0</v>
      </c>
      <c r="M245" s="117" t="b">
        <v>0</v>
      </c>
      <c r="N245" s="117" t="b">
        <v>0</v>
      </c>
      <c r="W245" s="117"/>
      <c r="X245" s="117"/>
      <c r="Z245" s="117" t="b">
        <v>0</v>
      </c>
      <c r="AF245" s="117" t="b">
        <v>0</v>
      </c>
      <c r="AG245" s="117" t="b">
        <v>0</v>
      </c>
      <c r="AH245" s="117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117"/>
      <c r="H246" s="117" t="b">
        <v>0</v>
      </c>
      <c r="I246" s="117" t="b">
        <v>0</v>
      </c>
      <c r="J246" s="117"/>
      <c r="K246" s="117"/>
      <c r="L246" s="117" t="b">
        <v>0</v>
      </c>
      <c r="M246" s="117" t="b">
        <v>0</v>
      </c>
      <c r="N246" s="117" t="b">
        <v>0</v>
      </c>
      <c r="W246" s="117"/>
      <c r="X246" s="117"/>
      <c r="Z246" s="117" t="b">
        <v>0</v>
      </c>
      <c r="AF246" s="117" t="b">
        <v>0</v>
      </c>
      <c r="AG246" s="117" t="b">
        <v>0</v>
      </c>
      <c r="AH246" s="117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117"/>
      <c r="H247" s="117" t="b">
        <v>0</v>
      </c>
      <c r="I247" s="117" t="b">
        <v>0</v>
      </c>
      <c r="J247" s="117"/>
      <c r="K247" s="117"/>
      <c r="L247" s="117" t="b">
        <v>0</v>
      </c>
      <c r="M247" s="117" t="b">
        <v>0</v>
      </c>
      <c r="N247" s="117" t="b">
        <v>0</v>
      </c>
      <c r="W247" s="117"/>
      <c r="X247" s="117"/>
      <c r="Z247" s="117" t="b">
        <v>0</v>
      </c>
      <c r="AF247" s="117" t="b">
        <v>0</v>
      </c>
      <c r="AG247" s="117" t="b">
        <v>0</v>
      </c>
      <c r="AH247" s="117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117"/>
      <c r="H248" s="117" t="b">
        <v>0</v>
      </c>
      <c r="I248" s="117" t="b">
        <v>0</v>
      </c>
      <c r="J248" s="117"/>
      <c r="K248" s="117"/>
      <c r="L248" s="117" t="b">
        <v>0</v>
      </c>
      <c r="M248" s="117" t="b">
        <v>0</v>
      </c>
      <c r="N248" s="117" t="b">
        <v>0</v>
      </c>
      <c r="W248" s="117"/>
      <c r="X248" s="117"/>
      <c r="Z248" s="117" t="b">
        <v>0</v>
      </c>
      <c r="AF248" s="117" t="b">
        <v>0</v>
      </c>
      <c r="AG248" s="117" t="b">
        <v>0</v>
      </c>
      <c r="AH248" s="117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117"/>
      <c r="H249" s="117" t="b">
        <v>0</v>
      </c>
      <c r="I249" s="117" t="b">
        <v>0</v>
      </c>
      <c r="J249" s="117"/>
      <c r="K249" s="117"/>
      <c r="L249" s="117" t="b">
        <v>0</v>
      </c>
      <c r="M249" s="117" t="b">
        <v>0</v>
      </c>
      <c r="N249" s="117" t="b">
        <v>0</v>
      </c>
      <c r="W249" s="117"/>
      <c r="X249" s="117"/>
      <c r="Z249" s="117" t="b">
        <v>0</v>
      </c>
      <c r="AF249" s="117" t="b">
        <v>0</v>
      </c>
      <c r="AG249" s="117" t="b">
        <v>0</v>
      </c>
      <c r="AH249" s="117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117"/>
      <c r="H250" s="117" t="b">
        <v>0</v>
      </c>
      <c r="I250" s="117" t="b">
        <v>0</v>
      </c>
      <c r="J250" s="117"/>
      <c r="K250" s="117"/>
      <c r="L250" s="117" t="b">
        <v>0</v>
      </c>
      <c r="M250" s="117" t="b">
        <v>0</v>
      </c>
      <c r="N250" s="117" t="b">
        <v>0</v>
      </c>
      <c r="W250" s="117"/>
      <c r="X250" s="117"/>
      <c r="Z250" s="117" t="b">
        <v>0</v>
      </c>
      <c r="AF250" s="117" t="b">
        <v>0</v>
      </c>
      <c r="AG250" s="117" t="b">
        <v>0</v>
      </c>
      <c r="AH250" s="117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117"/>
      <c r="H251" s="117" t="b">
        <v>0</v>
      </c>
      <c r="I251" s="117" t="b">
        <v>0</v>
      </c>
      <c r="J251" s="117"/>
      <c r="K251" s="117"/>
      <c r="L251" s="117" t="b">
        <v>0</v>
      </c>
      <c r="M251" s="117" t="b">
        <v>0</v>
      </c>
      <c r="N251" s="117" t="b">
        <v>0</v>
      </c>
      <c r="W251" s="117"/>
      <c r="X251" s="117"/>
      <c r="Z251" s="117" t="b">
        <v>0</v>
      </c>
      <c r="AF251" s="117" t="b">
        <v>0</v>
      </c>
      <c r="AG251" s="117" t="b">
        <v>0</v>
      </c>
      <c r="AH251" s="117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117"/>
      <c r="H252" s="117" t="b">
        <v>0</v>
      </c>
      <c r="I252" s="117" t="b">
        <v>0</v>
      </c>
      <c r="J252" s="117"/>
      <c r="K252" s="117"/>
      <c r="L252" s="117" t="b">
        <v>0</v>
      </c>
      <c r="M252" s="117" t="b">
        <v>0</v>
      </c>
      <c r="N252" s="117" t="b">
        <v>0</v>
      </c>
      <c r="W252" s="117"/>
      <c r="X252" s="117"/>
      <c r="Z252" s="117" t="b">
        <v>0</v>
      </c>
      <c r="AF252" s="117" t="b">
        <v>0</v>
      </c>
      <c r="AG252" s="117" t="b">
        <v>0</v>
      </c>
      <c r="AH252" s="117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117"/>
      <c r="H253" s="117" t="b">
        <v>0</v>
      </c>
      <c r="I253" s="117" t="b">
        <v>0</v>
      </c>
      <c r="J253" s="117"/>
      <c r="K253" s="117"/>
      <c r="L253" s="117" t="b">
        <v>0</v>
      </c>
      <c r="M253" s="117" t="b">
        <v>0</v>
      </c>
      <c r="N253" s="117" t="b">
        <v>0</v>
      </c>
      <c r="W253" s="117"/>
      <c r="X253" s="117"/>
      <c r="Z253" s="117" t="b">
        <v>0</v>
      </c>
      <c r="AF253" s="117" t="b">
        <v>0</v>
      </c>
      <c r="AG253" s="117" t="b">
        <v>0</v>
      </c>
      <c r="AH253" s="117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117"/>
      <c r="H254" s="117" t="b">
        <v>0</v>
      </c>
      <c r="I254" s="117" t="b">
        <v>0</v>
      </c>
      <c r="J254" s="117"/>
      <c r="K254" s="117"/>
      <c r="L254" s="117" t="b">
        <v>0</v>
      </c>
      <c r="M254" s="117" t="b">
        <v>0</v>
      </c>
      <c r="N254" s="117" t="b">
        <v>0</v>
      </c>
      <c r="W254" s="117"/>
      <c r="X254" s="117"/>
      <c r="Z254" s="117" t="b">
        <v>0</v>
      </c>
      <c r="AF254" s="117" t="b">
        <v>0</v>
      </c>
      <c r="AG254" s="117" t="b">
        <v>0</v>
      </c>
      <c r="AH254" s="117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117"/>
      <c r="H255" s="117" t="b">
        <v>0</v>
      </c>
      <c r="I255" s="117" t="b">
        <v>0</v>
      </c>
      <c r="J255" s="117"/>
      <c r="K255" s="117"/>
      <c r="L255" s="117" t="b">
        <v>0</v>
      </c>
      <c r="M255" s="117" t="b">
        <v>0</v>
      </c>
      <c r="N255" s="117" t="b">
        <v>0</v>
      </c>
      <c r="W255" s="117"/>
      <c r="X255" s="117"/>
      <c r="Z255" s="117" t="b">
        <v>0</v>
      </c>
      <c r="AF255" s="117" t="b">
        <v>0</v>
      </c>
      <c r="AG255" s="117" t="b">
        <v>0</v>
      </c>
      <c r="AH255" s="117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117"/>
      <c r="H256" s="117" t="b">
        <v>0</v>
      </c>
      <c r="I256" s="117" t="b">
        <v>0</v>
      </c>
      <c r="J256" s="117"/>
      <c r="K256" s="117"/>
      <c r="L256" s="117" t="b">
        <v>0</v>
      </c>
      <c r="M256" s="117" t="b">
        <v>0</v>
      </c>
      <c r="N256" s="117" t="b">
        <v>0</v>
      </c>
      <c r="W256" s="117"/>
      <c r="X256" s="117"/>
      <c r="Z256" s="117" t="b">
        <v>0</v>
      </c>
      <c r="AF256" s="117" t="b">
        <v>0</v>
      </c>
      <c r="AG256" s="117" t="b">
        <v>0</v>
      </c>
      <c r="AH256" s="117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117"/>
      <c r="H257" s="117" t="b">
        <v>0</v>
      </c>
      <c r="I257" s="117" t="b">
        <v>0</v>
      </c>
      <c r="J257" s="117"/>
      <c r="K257" s="117"/>
      <c r="L257" s="117" t="b">
        <v>0</v>
      </c>
      <c r="M257" s="117" t="b">
        <v>0</v>
      </c>
      <c r="N257" s="117" t="b">
        <v>0</v>
      </c>
      <c r="W257" s="117"/>
      <c r="X257" s="117"/>
      <c r="Z257" s="117" t="b">
        <v>0</v>
      </c>
      <c r="AF257" s="117" t="b">
        <v>0</v>
      </c>
      <c r="AG257" s="117" t="b">
        <v>0</v>
      </c>
      <c r="AH257" s="117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117"/>
      <c r="H258" s="117" t="b">
        <v>0</v>
      </c>
      <c r="I258" s="117" t="b">
        <v>0</v>
      </c>
      <c r="J258" s="117"/>
      <c r="K258" s="117"/>
      <c r="L258" s="117" t="b">
        <v>0</v>
      </c>
      <c r="M258" s="117" t="b">
        <v>0</v>
      </c>
      <c r="N258" s="117" t="b">
        <v>0</v>
      </c>
      <c r="W258" s="117"/>
      <c r="X258" s="117"/>
      <c r="Z258" s="117" t="b">
        <v>0</v>
      </c>
      <c r="AF258" s="117" t="b">
        <v>0</v>
      </c>
      <c r="AG258" s="117" t="b">
        <v>0</v>
      </c>
      <c r="AH258" s="117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117"/>
      <c r="H259" s="117" t="b">
        <v>0</v>
      </c>
      <c r="I259" s="117" t="b">
        <v>0</v>
      </c>
      <c r="J259" s="117"/>
      <c r="K259" s="117"/>
      <c r="L259" s="117" t="b">
        <v>0</v>
      </c>
      <c r="M259" s="117" t="b">
        <v>0</v>
      </c>
      <c r="N259" s="117" t="b">
        <v>0</v>
      </c>
      <c r="W259" s="117"/>
      <c r="X259" s="117"/>
      <c r="Z259" s="117" t="b">
        <v>0</v>
      </c>
      <c r="AF259" s="117" t="b">
        <v>0</v>
      </c>
      <c r="AG259" s="117" t="b">
        <v>0</v>
      </c>
      <c r="AH259" s="117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117"/>
      <c r="H260" s="117" t="b">
        <v>0</v>
      </c>
      <c r="I260" s="117" t="b">
        <v>0</v>
      </c>
      <c r="J260" s="117"/>
      <c r="K260" s="117"/>
      <c r="L260" s="117" t="b">
        <v>0</v>
      </c>
      <c r="M260" s="117" t="b">
        <v>0</v>
      </c>
      <c r="N260" s="117" t="b">
        <v>0</v>
      </c>
      <c r="W260" s="117"/>
      <c r="X260" s="117"/>
      <c r="Z260" s="117" t="b">
        <v>0</v>
      </c>
      <c r="AF260" s="117" t="b">
        <v>0</v>
      </c>
      <c r="AG260" s="117" t="b">
        <v>0</v>
      </c>
      <c r="AH260" s="117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117"/>
      <c r="H261" s="117" t="b">
        <v>0</v>
      </c>
      <c r="I261" s="117" t="b">
        <v>0</v>
      </c>
      <c r="J261" s="117"/>
      <c r="K261" s="117"/>
      <c r="L261" s="117" t="b">
        <v>0</v>
      </c>
      <c r="M261" s="117" t="b">
        <v>0</v>
      </c>
      <c r="N261" s="117" t="b">
        <v>0</v>
      </c>
      <c r="W261" s="117"/>
      <c r="X261" s="117"/>
      <c r="Z261" s="117" t="b">
        <v>0</v>
      </c>
      <c r="AF261" s="117" t="b">
        <v>0</v>
      </c>
      <c r="AG261" s="117" t="b">
        <v>0</v>
      </c>
      <c r="AH261" s="117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117"/>
      <c r="H262" s="117" t="b">
        <v>0</v>
      </c>
      <c r="I262" s="117" t="b">
        <v>0</v>
      </c>
      <c r="J262" s="117"/>
      <c r="K262" s="117"/>
      <c r="L262" s="117" t="b">
        <v>0</v>
      </c>
      <c r="M262" s="117" t="b">
        <v>0</v>
      </c>
      <c r="N262" s="117" t="b">
        <v>0</v>
      </c>
      <c r="W262" s="117"/>
      <c r="X262" s="117"/>
      <c r="Z262" s="117" t="b">
        <v>0</v>
      </c>
      <c r="AF262" s="117" t="b">
        <v>0</v>
      </c>
      <c r="AG262" s="117" t="b">
        <v>0</v>
      </c>
      <c r="AH262" s="117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117"/>
      <c r="H263" s="117" t="b">
        <v>0</v>
      </c>
      <c r="I263" s="117" t="b">
        <v>0</v>
      </c>
      <c r="J263" s="117"/>
      <c r="K263" s="117"/>
      <c r="L263" s="117" t="b">
        <v>0</v>
      </c>
      <c r="M263" s="117" t="b">
        <v>0</v>
      </c>
      <c r="N263" s="117" t="b">
        <v>0</v>
      </c>
      <c r="W263" s="117"/>
      <c r="X263" s="117"/>
      <c r="Z263" s="117" t="b">
        <v>0</v>
      </c>
      <c r="AF263" s="117" t="b">
        <v>0</v>
      </c>
      <c r="AG263" s="117" t="b">
        <v>0</v>
      </c>
      <c r="AH263" s="117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117"/>
      <c r="H264" s="117" t="b">
        <v>0</v>
      </c>
      <c r="I264" s="117" t="b">
        <v>0</v>
      </c>
      <c r="J264" s="117"/>
      <c r="K264" s="117"/>
      <c r="L264" s="117" t="b">
        <v>0</v>
      </c>
      <c r="M264" s="117" t="b">
        <v>0</v>
      </c>
      <c r="N264" s="117" t="b">
        <v>0</v>
      </c>
      <c r="W264" s="117"/>
      <c r="X264" s="117"/>
      <c r="Z264" s="117" t="b">
        <v>0</v>
      </c>
      <c r="AF264" s="117" t="b">
        <v>0</v>
      </c>
      <c r="AG264" s="117" t="b">
        <v>0</v>
      </c>
      <c r="AH264" s="117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117"/>
      <c r="H265" s="117" t="b">
        <v>0</v>
      </c>
      <c r="I265" s="117" t="b">
        <v>0</v>
      </c>
      <c r="J265" s="117"/>
      <c r="K265" s="117"/>
      <c r="L265" s="117" t="b">
        <v>0</v>
      </c>
      <c r="M265" s="117" t="b">
        <v>0</v>
      </c>
      <c r="N265" s="117" t="b">
        <v>0</v>
      </c>
      <c r="W265" s="117"/>
      <c r="X265" s="117"/>
      <c r="Z265" s="117" t="b">
        <v>0</v>
      </c>
      <c r="AF265" s="117" t="b">
        <v>0</v>
      </c>
      <c r="AG265" s="117" t="b">
        <v>0</v>
      </c>
      <c r="AH265" s="117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117"/>
      <c r="H266" s="117" t="b">
        <v>0</v>
      </c>
      <c r="I266" s="117" t="b">
        <v>0</v>
      </c>
      <c r="J266" s="117"/>
      <c r="K266" s="117"/>
      <c r="L266" s="117" t="b">
        <v>0</v>
      </c>
      <c r="M266" s="117" t="b">
        <v>0</v>
      </c>
      <c r="N266" s="117" t="b">
        <v>0</v>
      </c>
      <c r="W266" s="117"/>
      <c r="X266" s="117"/>
      <c r="Z266" s="117" t="b">
        <v>0</v>
      </c>
      <c r="AF266" s="117" t="b">
        <v>0</v>
      </c>
      <c r="AG266" s="117" t="b">
        <v>0</v>
      </c>
      <c r="AH266" s="117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117"/>
      <c r="H267" s="117" t="b">
        <v>0</v>
      </c>
      <c r="I267" s="117" t="b">
        <v>0</v>
      </c>
      <c r="J267" s="117"/>
      <c r="K267" s="117"/>
      <c r="L267" s="117" t="b">
        <v>0</v>
      </c>
      <c r="M267" s="117" t="b">
        <v>0</v>
      </c>
      <c r="N267" s="117" t="b">
        <v>0</v>
      </c>
      <c r="W267" s="117"/>
      <c r="X267" s="117"/>
      <c r="Z267" s="117" t="b">
        <v>0</v>
      </c>
      <c r="AF267" s="117" t="b">
        <v>0</v>
      </c>
      <c r="AG267" s="117" t="b">
        <v>0</v>
      </c>
      <c r="AH267" s="117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117"/>
      <c r="H268" s="117" t="b">
        <v>0</v>
      </c>
      <c r="I268" s="117" t="b">
        <v>0</v>
      </c>
      <c r="J268" s="117"/>
      <c r="K268" s="117"/>
      <c r="L268" s="117" t="b">
        <v>0</v>
      </c>
      <c r="M268" s="117" t="b">
        <v>0</v>
      </c>
      <c r="N268" s="117" t="b">
        <v>0</v>
      </c>
      <c r="W268" s="117"/>
      <c r="X268" s="117"/>
      <c r="Z268" s="117" t="b">
        <v>0</v>
      </c>
      <c r="AF268" s="117" t="b">
        <v>0</v>
      </c>
      <c r="AG268" s="117" t="b">
        <v>0</v>
      </c>
      <c r="AH268" s="117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117"/>
      <c r="H269" s="117" t="b">
        <v>0</v>
      </c>
      <c r="I269" s="117" t="b">
        <v>0</v>
      </c>
      <c r="J269" s="117"/>
      <c r="K269" s="117"/>
      <c r="L269" s="117" t="b">
        <v>0</v>
      </c>
      <c r="M269" s="117" t="b">
        <v>0</v>
      </c>
      <c r="N269" s="117" t="b">
        <v>0</v>
      </c>
      <c r="W269" s="117"/>
      <c r="X269" s="117"/>
      <c r="Z269" s="117" t="b">
        <v>0</v>
      </c>
      <c r="AF269" s="117" t="b">
        <v>0</v>
      </c>
      <c r="AG269" s="117" t="b">
        <v>0</v>
      </c>
      <c r="AH269" s="117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117"/>
      <c r="H270" s="117" t="b">
        <v>0</v>
      </c>
      <c r="I270" s="117" t="b">
        <v>0</v>
      </c>
      <c r="J270" s="117"/>
      <c r="K270" s="117"/>
      <c r="L270" s="117" t="b">
        <v>0</v>
      </c>
      <c r="M270" s="117" t="b">
        <v>0</v>
      </c>
      <c r="N270" s="117" t="b">
        <v>0</v>
      </c>
      <c r="W270" s="117"/>
      <c r="X270" s="117"/>
      <c r="Z270" s="117" t="b">
        <v>0</v>
      </c>
      <c r="AF270" s="117" t="b">
        <v>0</v>
      </c>
      <c r="AG270" s="117" t="b">
        <v>0</v>
      </c>
      <c r="AH270" s="117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117"/>
      <c r="H271" s="117" t="b">
        <v>0</v>
      </c>
      <c r="I271" s="117" t="b">
        <v>0</v>
      </c>
      <c r="J271" s="117"/>
      <c r="K271" s="117"/>
      <c r="L271" s="117" t="b">
        <v>0</v>
      </c>
      <c r="M271" s="117" t="b">
        <v>0</v>
      </c>
      <c r="N271" s="117" t="b">
        <v>0</v>
      </c>
      <c r="W271" s="117"/>
      <c r="X271" s="117"/>
      <c r="Z271" s="117" t="b">
        <v>0</v>
      </c>
      <c r="AF271" s="117" t="b">
        <v>0</v>
      </c>
      <c r="AG271" s="117" t="b">
        <v>0</v>
      </c>
      <c r="AH271" s="117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117"/>
      <c r="H272" s="117" t="b">
        <v>0</v>
      </c>
      <c r="I272" s="117" t="b">
        <v>0</v>
      </c>
      <c r="J272" s="117"/>
      <c r="K272" s="117"/>
      <c r="L272" s="117" t="b">
        <v>0</v>
      </c>
      <c r="M272" s="117" t="b">
        <v>0</v>
      </c>
      <c r="N272" s="117" t="b">
        <v>0</v>
      </c>
      <c r="W272" s="117"/>
      <c r="X272" s="117"/>
      <c r="Z272" s="117" t="b">
        <v>0</v>
      </c>
      <c r="AF272" s="117" t="b">
        <v>0</v>
      </c>
      <c r="AG272" s="117" t="b">
        <v>0</v>
      </c>
      <c r="AH272" s="117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117"/>
      <c r="H273" s="117" t="b">
        <v>0</v>
      </c>
      <c r="I273" s="117" t="b">
        <v>0</v>
      </c>
      <c r="J273" s="117"/>
      <c r="K273" s="117"/>
      <c r="L273" s="117" t="b">
        <v>0</v>
      </c>
      <c r="M273" s="117" t="b">
        <v>0</v>
      </c>
      <c r="N273" s="117" t="b">
        <v>0</v>
      </c>
      <c r="W273" s="117"/>
      <c r="X273" s="117"/>
      <c r="Z273" s="117" t="b">
        <v>0</v>
      </c>
      <c r="AF273" s="117" t="b">
        <v>0</v>
      </c>
      <c r="AG273" s="117" t="b">
        <v>0</v>
      </c>
      <c r="AH273" s="117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117"/>
      <c r="H274" s="117" t="b">
        <v>0</v>
      </c>
      <c r="I274" s="117" t="b">
        <v>0</v>
      </c>
      <c r="J274" s="117"/>
      <c r="K274" s="117"/>
      <c r="L274" s="117" t="b">
        <v>0</v>
      </c>
      <c r="M274" s="117" t="b">
        <v>0</v>
      </c>
      <c r="N274" s="117" t="b">
        <v>0</v>
      </c>
      <c r="W274" s="117"/>
      <c r="X274" s="117"/>
      <c r="Z274" s="117" t="b">
        <v>0</v>
      </c>
      <c r="AF274" s="117" t="b">
        <v>0</v>
      </c>
      <c r="AG274" s="117" t="b">
        <v>0</v>
      </c>
      <c r="AH274" s="117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117"/>
      <c r="H275" s="117" t="b">
        <v>0</v>
      </c>
      <c r="I275" s="117" t="b">
        <v>0</v>
      </c>
      <c r="J275" s="117"/>
      <c r="K275" s="117"/>
      <c r="L275" s="117" t="b">
        <v>0</v>
      </c>
      <c r="M275" s="117" t="b">
        <v>0</v>
      </c>
      <c r="N275" s="117" t="b">
        <v>0</v>
      </c>
      <c r="W275" s="117"/>
      <c r="X275" s="117"/>
      <c r="Z275" s="117" t="b">
        <v>0</v>
      </c>
      <c r="AF275" s="117" t="b">
        <v>0</v>
      </c>
      <c r="AG275" s="117" t="b">
        <v>0</v>
      </c>
      <c r="AH275" s="117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117"/>
      <c r="H276" s="117" t="b">
        <v>0</v>
      </c>
      <c r="I276" s="117" t="b">
        <v>0</v>
      </c>
      <c r="J276" s="117"/>
      <c r="K276" s="117"/>
      <c r="L276" s="117" t="b">
        <v>0</v>
      </c>
      <c r="M276" s="117" t="b">
        <v>0</v>
      </c>
      <c r="N276" s="117" t="b">
        <v>0</v>
      </c>
      <c r="W276" s="117"/>
      <c r="X276" s="117"/>
      <c r="Z276" s="117" t="b">
        <v>0</v>
      </c>
      <c r="AF276" s="117" t="b">
        <v>0</v>
      </c>
      <c r="AG276" s="117" t="b">
        <v>0</v>
      </c>
      <c r="AH276" s="117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117"/>
      <c r="H277" s="117" t="b">
        <v>0</v>
      </c>
      <c r="I277" s="117" t="b">
        <v>0</v>
      </c>
      <c r="J277" s="117"/>
      <c r="K277" s="117"/>
      <c r="L277" s="117" t="b">
        <v>0</v>
      </c>
      <c r="M277" s="117" t="b">
        <v>0</v>
      </c>
      <c r="N277" s="117" t="b">
        <v>0</v>
      </c>
      <c r="W277" s="117"/>
      <c r="X277" s="117"/>
      <c r="Z277" s="117" t="b">
        <v>0</v>
      </c>
      <c r="AF277" s="117" t="b">
        <v>0</v>
      </c>
      <c r="AG277" s="117" t="b">
        <v>0</v>
      </c>
      <c r="AH277" s="117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117"/>
      <c r="H278" s="117" t="b">
        <v>0</v>
      </c>
      <c r="I278" s="117" t="b">
        <v>0</v>
      </c>
      <c r="J278" s="117"/>
      <c r="K278" s="117"/>
      <c r="L278" s="117" t="b">
        <v>0</v>
      </c>
      <c r="M278" s="117" t="b">
        <v>0</v>
      </c>
      <c r="N278" s="117" t="b">
        <v>0</v>
      </c>
      <c r="W278" s="117"/>
      <c r="X278" s="117"/>
      <c r="Z278" s="117" t="b">
        <v>0</v>
      </c>
      <c r="AF278" s="117" t="b">
        <v>0</v>
      </c>
      <c r="AG278" s="117" t="b">
        <v>0</v>
      </c>
      <c r="AH278" s="117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117"/>
      <c r="H279" s="117" t="b">
        <v>0</v>
      </c>
      <c r="I279" s="117" t="b">
        <v>0</v>
      </c>
      <c r="J279" s="117"/>
      <c r="K279" s="117"/>
      <c r="L279" s="117" t="b">
        <v>0</v>
      </c>
      <c r="M279" s="117" t="b">
        <v>0</v>
      </c>
      <c r="N279" s="117" t="b">
        <v>0</v>
      </c>
      <c r="W279" s="117"/>
      <c r="X279" s="117"/>
      <c r="Z279" s="117" t="b">
        <v>0</v>
      </c>
      <c r="AF279" s="117" t="b">
        <v>0</v>
      </c>
      <c r="AG279" s="117" t="b">
        <v>0</v>
      </c>
      <c r="AH279" s="117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117"/>
      <c r="H280" s="117" t="b">
        <v>0</v>
      </c>
      <c r="I280" s="117" t="b">
        <v>0</v>
      </c>
      <c r="J280" s="117"/>
      <c r="K280" s="117"/>
      <c r="L280" s="117" t="b">
        <v>0</v>
      </c>
      <c r="M280" s="117" t="b">
        <v>0</v>
      </c>
      <c r="N280" s="117" t="b">
        <v>0</v>
      </c>
      <c r="W280" s="117"/>
      <c r="X280" s="117"/>
      <c r="Z280" s="117" t="b">
        <v>0</v>
      </c>
      <c r="AF280" s="117" t="b">
        <v>0</v>
      </c>
      <c r="AG280" s="117" t="b">
        <v>0</v>
      </c>
      <c r="AH280" s="117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117"/>
      <c r="H281" s="117" t="b">
        <v>0</v>
      </c>
      <c r="I281" s="117" t="b">
        <v>0</v>
      </c>
      <c r="J281" s="117"/>
      <c r="K281" s="117"/>
      <c r="L281" s="117" t="b">
        <v>0</v>
      </c>
      <c r="M281" s="117" t="b">
        <v>0</v>
      </c>
      <c r="N281" s="117" t="b">
        <v>0</v>
      </c>
      <c r="W281" s="117"/>
      <c r="X281" s="117"/>
      <c r="Z281" s="117" t="b">
        <v>0</v>
      </c>
      <c r="AF281" s="117" t="b">
        <v>0</v>
      </c>
      <c r="AG281" s="117" t="b">
        <v>0</v>
      </c>
      <c r="AH281" s="117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117"/>
      <c r="H282" s="117" t="b">
        <v>0</v>
      </c>
      <c r="I282" s="117" t="b">
        <v>0</v>
      </c>
      <c r="J282" s="117"/>
      <c r="K282" s="117"/>
      <c r="L282" s="117" t="b">
        <v>0</v>
      </c>
      <c r="M282" s="117" t="b">
        <v>0</v>
      </c>
      <c r="N282" s="117" t="b">
        <v>0</v>
      </c>
      <c r="W282" s="117"/>
      <c r="X282" s="117"/>
      <c r="Z282" s="117" t="b">
        <v>0</v>
      </c>
      <c r="AF282" s="117" t="b">
        <v>0</v>
      </c>
      <c r="AG282" s="117" t="b">
        <v>0</v>
      </c>
      <c r="AH282" s="117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117"/>
      <c r="H283" s="117" t="b">
        <v>0</v>
      </c>
      <c r="I283" s="117" t="b">
        <v>0</v>
      </c>
      <c r="J283" s="117"/>
      <c r="K283" s="117"/>
      <c r="L283" s="117" t="b">
        <v>0</v>
      </c>
      <c r="M283" s="117" t="b">
        <v>0</v>
      </c>
      <c r="N283" s="117" t="b">
        <v>0</v>
      </c>
      <c r="W283" s="117"/>
      <c r="X283" s="117"/>
      <c r="Z283" s="117" t="b">
        <v>0</v>
      </c>
      <c r="AF283" s="117" t="b">
        <v>0</v>
      </c>
      <c r="AG283" s="117" t="b">
        <v>0</v>
      </c>
      <c r="AH283" s="117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117"/>
      <c r="H284" s="117" t="b">
        <v>0</v>
      </c>
      <c r="I284" s="117" t="b">
        <v>0</v>
      </c>
      <c r="J284" s="117"/>
      <c r="K284" s="117"/>
      <c r="L284" s="117" t="b">
        <v>0</v>
      </c>
      <c r="M284" s="117" t="b">
        <v>0</v>
      </c>
      <c r="N284" s="117" t="b">
        <v>0</v>
      </c>
      <c r="W284" s="117"/>
      <c r="X284" s="117"/>
      <c r="Z284" s="117" t="b">
        <v>0</v>
      </c>
      <c r="AF284" s="117" t="b">
        <v>0</v>
      </c>
      <c r="AG284" s="117" t="b">
        <v>0</v>
      </c>
      <c r="AH284" s="117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117"/>
      <c r="H285" s="117" t="b">
        <v>0</v>
      </c>
      <c r="I285" s="117" t="b">
        <v>0</v>
      </c>
      <c r="J285" s="117"/>
      <c r="K285" s="117"/>
      <c r="L285" s="117" t="b">
        <v>0</v>
      </c>
      <c r="M285" s="117" t="b">
        <v>0</v>
      </c>
      <c r="N285" s="117" t="b">
        <v>0</v>
      </c>
      <c r="W285" s="117"/>
      <c r="X285" s="117"/>
      <c r="Z285" s="117" t="b">
        <v>0</v>
      </c>
      <c r="AF285" s="117" t="b">
        <v>0</v>
      </c>
      <c r="AG285" s="117" t="b">
        <v>0</v>
      </c>
      <c r="AH285" s="117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117"/>
      <c r="H286" s="117" t="b">
        <v>0</v>
      </c>
      <c r="I286" s="117" t="b">
        <v>0</v>
      </c>
      <c r="J286" s="117"/>
      <c r="K286" s="117"/>
      <c r="L286" s="117" t="b">
        <v>0</v>
      </c>
      <c r="M286" s="117" t="b">
        <v>0</v>
      </c>
      <c r="N286" s="117" t="b">
        <v>0</v>
      </c>
      <c r="W286" s="117"/>
      <c r="X286" s="117"/>
      <c r="Z286" s="117" t="b">
        <v>0</v>
      </c>
      <c r="AF286" s="117" t="b">
        <v>0</v>
      </c>
      <c r="AG286" s="117" t="b">
        <v>0</v>
      </c>
      <c r="AH286" s="117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117"/>
      <c r="H287" s="117" t="b">
        <v>0</v>
      </c>
      <c r="I287" s="117" t="b">
        <v>0</v>
      </c>
      <c r="J287" s="117"/>
      <c r="K287" s="117"/>
      <c r="L287" s="117" t="b">
        <v>0</v>
      </c>
      <c r="M287" s="117" t="b">
        <v>0</v>
      </c>
      <c r="N287" s="117" t="b">
        <v>0</v>
      </c>
      <c r="W287" s="117"/>
      <c r="X287" s="117"/>
      <c r="Z287" s="117" t="b">
        <v>0</v>
      </c>
      <c r="AF287" s="117" t="b">
        <v>0</v>
      </c>
      <c r="AG287" s="117" t="b">
        <v>0</v>
      </c>
      <c r="AH287" s="117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117"/>
      <c r="H288" s="117" t="b">
        <v>0</v>
      </c>
      <c r="I288" s="117" t="b">
        <v>0</v>
      </c>
      <c r="J288" s="117"/>
      <c r="K288" s="117"/>
      <c r="L288" s="117" t="b">
        <v>0</v>
      </c>
      <c r="M288" s="117" t="b">
        <v>0</v>
      </c>
      <c r="N288" s="117" t="b">
        <v>0</v>
      </c>
      <c r="W288" s="117"/>
      <c r="X288" s="117"/>
      <c r="Z288" s="117" t="b">
        <v>0</v>
      </c>
      <c r="AF288" s="117" t="b">
        <v>0</v>
      </c>
      <c r="AG288" s="117" t="b">
        <v>0</v>
      </c>
      <c r="AH288" s="117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117"/>
      <c r="H289" s="117" t="b">
        <v>0</v>
      </c>
      <c r="I289" s="117" t="b">
        <v>0</v>
      </c>
      <c r="J289" s="117"/>
      <c r="K289" s="117"/>
      <c r="L289" s="117" t="b">
        <v>0</v>
      </c>
      <c r="M289" s="117" t="b">
        <v>0</v>
      </c>
      <c r="N289" s="117" t="b">
        <v>0</v>
      </c>
      <c r="W289" s="117"/>
      <c r="X289" s="117"/>
      <c r="Z289" s="117" t="b">
        <v>0</v>
      </c>
      <c r="AF289" s="117" t="b">
        <v>0</v>
      </c>
      <c r="AG289" s="117" t="b">
        <v>0</v>
      </c>
      <c r="AH289" s="117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117"/>
      <c r="H290" s="117" t="b">
        <v>0</v>
      </c>
      <c r="I290" s="117" t="b">
        <v>0</v>
      </c>
      <c r="J290" s="117"/>
      <c r="K290" s="117"/>
      <c r="L290" s="117" t="b">
        <v>0</v>
      </c>
      <c r="M290" s="117" t="b">
        <v>0</v>
      </c>
      <c r="N290" s="117" t="b">
        <v>0</v>
      </c>
      <c r="W290" s="117"/>
      <c r="X290" s="117"/>
      <c r="Z290" s="117" t="b">
        <v>0</v>
      </c>
      <c r="AF290" s="117" t="b">
        <v>0</v>
      </c>
      <c r="AG290" s="117" t="b">
        <v>0</v>
      </c>
      <c r="AH290" s="117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117"/>
      <c r="H291" s="117" t="b">
        <v>0</v>
      </c>
      <c r="I291" s="117" t="b">
        <v>0</v>
      </c>
      <c r="J291" s="117"/>
      <c r="K291" s="117"/>
      <c r="L291" s="117" t="b">
        <v>0</v>
      </c>
      <c r="M291" s="117" t="b">
        <v>0</v>
      </c>
      <c r="N291" s="117" t="b">
        <v>0</v>
      </c>
      <c r="W291" s="117"/>
      <c r="X291" s="117"/>
      <c r="Z291" s="117" t="b">
        <v>0</v>
      </c>
      <c r="AF291" s="117" t="b">
        <v>0</v>
      </c>
      <c r="AG291" s="117" t="b">
        <v>0</v>
      </c>
      <c r="AH291" s="117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117"/>
      <c r="H292" s="117" t="b">
        <v>0</v>
      </c>
      <c r="I292" s="117" t="b">
        <v>0</v>
      </c>
      <c r="J292" s="117"/>
      <c r="K292" s="117"/>
      <c r="L292" s="117" t="b">
        <v>0</v>
      </c>
      <c r="M292" s="117" t="b">
        <v>0</v>
      </c>
      <c r="N292" s="117" t="b">
        <v>0</v>
      </c>
      <c r="W292" s="117"/>
      <c r="X292" s="117"/>
      <c r="Z292" s="117" t="b">
        <v>0</v>
      </c>
      <c r="AF292" s="117" t="b">
        <v>0</v>
      </c>
      <c r="AG292" s="117" t="b">
        <v>0</v>
      </c>
      <c r="AH292" s="117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117"/>
      <c r="H293" s="117" t="b">
        <v>0</v>
      </c>
      <c r="I293" s="117" t="b">
        <v>0</v>
      </c>
      <c r="J293" s="117"/>
      <c r="K293" s="117"/>
      <c r="L293" s="117" t="b">
        <v>0</v>
      </c>
      <c r="M293" s="117" t="b">
        <v>0</v>
      </c>
      <c r="N293" s="117" t="b">
        <v>0</v>
      </c>
      <c r="W293" s="117"/>
      <c r="X293" s="117"/>
      <c r="Z293" s="117" t="b">
        <v>0</v>
      </c>
      <c r="AF293" s="117" t="b">
        <v>0</v>
      </c>
      <c r="AG293" s="117" t="b">
        <v>0</v>
      </c>
      <c r="AH293" s="117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117"/>
      <c r="H294" s="117" t="b">
        <v>0</v>
      </c>
      <c r="I294" s="117" t="b">
        <v>0</v>
      </c>
      <c r="J294" s="117"/>
      <c r="K294" s="117"/>
      <c r="L294" s="117" t="b">
        <v>0</v>
      </c>
      <c r="M294" s="117" t="b">
        <v>0</v>
      </c>
      <c r="N294" s="117" t="b">
        <v>0</v>
      </c>
      <c r="W294" s="117"/>
      <c r="X294" s="117"/>
      <c r="Z294" s="117" t="b">
        <v>0</v>
      </c>
      <c r="AF294" s="117" t="b">
        <v>0</v>
      </c>
      <c r="AG294" s="117" t="b">
        <v>0</v>
      </c>
      <c r="AH294" s="117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117"/>
      <c r="H295" s="117" t="b">
        <v>0</v>
      </c>
      <c r="I295" s="117" t="b">
        <v>0</v>
      </c>
      <c r="J295" s="117"/>
      <c r="K295" s="117"/>
      <c r="L295" s="117" t="b">
        <v>0</v>
      </c>
      <c r="M295" s="117" t="b">
        <v>0</v>
      </c>
      <c r="N295" s="117" t="b">
        <v>0</v>
      </c>
      <c r="W295" s="117"/>
      <c r="X295" s="117"/>
      <c r="Z295" s="117" t="b">
        <v>0</v>
      </c>
      <c r="AF295" s="117" t="b">
        <v>0</v>
      </c>
      <c r="AG295" s="117" t="b">
        <v>0</v>
      </c>
      <c r="AH295" s="117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117"/>
      <c r="H296" s="117" t="b">
        <v>0</v>
      </c>
      <c r="I296" s="117" t="b">
        <v>0</v>
      </c>
      <c r="J296" s="117"/>
      <c r="K296" s="117"/>
      <c r="L296" s="117" t="b">
        <v>0</v>
      </c>
      <c r="M296" s="117" t="b">
        <v>0</v>
      </c>
      <c r="N296" s="117" t="b">
        <v>0</v>
      </c>
      <c r="W296" s="117"/>
      <c r="X296" s="117"/>
      <c r="Z296" s="117" t="b">
        <v>0</v>
      </c>
      <c r="AF296" s="117" t="b">
        <v>0</v>
      </c>
      <c r="AG296" s="117" t="b">
        <v>0</v>
      </c>
      <c r="AH296" s="117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117"/>
      <c r="H297" s="117" t="b">
        <v>0</v>
      </c>
      <c r="I297" s="117" t="b">
        <v>0</v>
      </c>
      <c r="J297" s="117"/>
      <c r="K297" s="117"/>
      <c r="L297" s="117" t="b">
        <v>0</v>
      </c>
      <c r="M297" s="117" t="b">
        <v>0</v>
      </c>
      <c r="N297" s="117" t="b">
        <v>0</v>
      </c>
      <c r="W297" s="117"/>
      <c r="X297" s="117"/>
      <c r="Z297" s="117" t="b">
        <v>0</v>
      </c>
      <c r="AF297" s="117" t="b">
        <v>0</v>
      </c>
      <c r="AG297" s="117" t="b">
        <v>0</v>
      </c>
      <c r="AH297" s="117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117"/>
      <c r="H298" s="117" t="b">
        <v>0</v>
      </c>
      <c r="I298" s="117" t="b">
        <v>0</v>
      </c>
      <c r="J298" s="117"/>
      <c r="K298" s="117"/>
      <c r="L298" s="117" t="b">
        <v>0</v>
      </c>
      <c r="M298" s="117" t="b">
        <v>0</v>
      </c>
      <c r="N298" s="117" t="b">
        <v>0</v>
      </c>
      <c r="W298" s="117"/>
      <c r="X298" s="117"/>
      <c r="Z298" s="117" t="b">
        <v>0</v>
      </c>
      <c r="AF298" s="117" t="b">
        <v>0</v>
      </c>
      <c r="AG298" s="117" t="b">
        <v>0</v>
      </c>
      <c r="AH298" s="117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117"/>
      <c r="H299" s="117" t="b">
        <v>0</v>
      </c>
      <c r="I299" s="117" t="b">
        <v>0</v>
      </c>
      <c r="J299" s="117"/>
      <c r="K299" s="117"/>
      <c r="L299" s="117" t="b">
        <v>0</v>
      </c>
      <c r="M299" s="117" t="b">
        <v>0</v>
      </c>
      <c r="N299" s="117" t="b">
        <v>0</v>
      </c>
      <c r="W299" s="117"/>
      <c r="X299" s="117"/>
      <c r="Z299" s="117" t="b">
        <v>0</v>
      </c>
      <c r="AF299" s="117" t="b">
        <v>0</v>
      </c>
      <c r="AG299" s="117" t="b">
        <v>0</v>
      </c>
      <c r="AH299" s="117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117"/>
      <c r="H300" s="117" t="b">
        <v>0</v>
      </c>
      <c r="I300" s="117" t="b">
        <v>0</v>
      </c>
      <c r="J300" s="117"/>
      <c r="K300" s="117"/>
      <c r="L300" s="117" t="b">
        <v>0</v>
      </c>
      <c r="M300" s="117" t="b">
        <v>0</v>
      </c>
      <c r="N300" s="117" t="b">
        <v>0</v>
      </c>
      <c r="W300" s="117"/>
      <c r="X300" s="117"/>
      <c r="Z300" s="117" t="b">
        <v>0</v>
      </c>
      <c r="AF300" s="117" t="b">
        <v>0</v>
      </c>
      <c r="AG300" s="117" t="b">
        <v>0</v>
      </c>
      <c r="AH300" s="117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117"/>
      <c r="H301" s="117" t="b">
        <v>0</v>
      </c>
      <c r="I301" s="117" t="b">
        <v>0</v>
      </c>
      <c r="J301" s="117"/>
      <c r="K301" s="117"/>
      <c r="L301" s="117" t="b">
        <v>0</v>
      </c>
      <c r="M301" s="117" t="b">
        <v>0</v>
      </c>
      <c r="N301" s="117" t="b">
        <v>0</v>
      </c>
      <c r="W301" s="117"/>
      <c r="X301" s="117"/>
      <c r="Z301" s="117" t="b">
        <v>0</v>
      </c>
      <c r="AF301" s="117" t="b">
        <v>0</v>
      </c>
      <c r="AG301" s="117" t="b">
        <v>0</v>
      </c>
      <c r="AH301" s="117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117"/>
      <c r="H302" s="117" t="b">
        <v>0</v>
      </c>
      <c r="I302" s="117" t="b">
        <v>0</v>
      </c>
      <c r="J302" s="117"/>
      <c r="K302" s="117"/>
      <c r="L302" s="117" t="b">
        <v>0</v>
      </c>
      <c r="M302" s="117" t="b">
        <v>0</v>
      </c>
      <c r="N302" s="117" t="b">
        <v>0</v>
      </c>
      <c r="W302" s="117"/>
      <c r="X302" s="117"/>
      <c r="Z302" s="117" t="b">
        <v>0</v>
      </c>
      <c r="AF302" s="117" t="b">
        <v>0</v>
      </c>
      <c r="AG302" s="117" t="b">
        <v>0</v>
      </c>
      <c r="AH302" s="117"/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117"/>
      <c r="H303" s="117" t="b">
        <v>0</v>
      </c>
      <c r="I303" s="117" t="b">
        <v>0</v>
      </c>
      <c r="J303" s="117"/>
      <c r="K303" s="117"/>
      <c r="L303" s="117" t="b">
        <v>0</v>
      </c>
      <c r="M303" s="117" t="b">
        <v>0</v>
      </c>
      <c r="N303" s="117" t="b">
        <v>0</v>
      </c>
      <c r="W303" s="117"/>
      <c r="X303" s="117"/>
      <c r="Z303" s="117" t="b">
        <v>0</v>
      </c>
      <c r="AF303" s="117" t="b">
        <v>0</v>
      </c>
      <c r="AG303" s="117" t="b">
        <v>0</v>
      </c>
      <c r="AH303" s="117"/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117"/>
      <c r="H304" s="117" t="b">
        <v>0</v>
      </c>
      <c r="I304" s="117" t="b">
        <v>0</v>
      </c>
      <c r="J304" s="117"/>
      <c r="K304" s="117"/>
      <c r="L304" s="117" t="b">
        <v>0</v>
      </c>
      <c r="M304" s="117" t="b">
        <v>0</v>
      </c>
      <c r="N304" s="117" t="b">
        <v>0</v>
      </c>
      <c r="W304" s="117"/>
      <c r="X304" s="117"/>
      <c r="Z304" s="117" t="b">
        <v>0</v>
      </c>
      <c r="AF304" s="117" t="b">
        <v>0</v>
      </c>
      <c r="AG304" s="117" t="b">
        <v>0</v>
      </c>
      <c r="AH304" s="117"/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117"/>
      <c r="H305" s="117" t="b">
        <v>0</v>
      </c>
      <c r="I305" s="117" t="b">
        <v>0</v>
      </c>
      <c r="J305" s="117"/>
      <c r="K305" s="117"/>
      <c r="L305" s="117" t="b">
        <v>0</v>
      </c>
      <c r="M305" s="117" t="b">
        <v>0</v>
      </c>
      <c r="N305" s="117" t="b">
        <v>0</v>
      </c>
      <c r="W305" s="117"/>
      <c r="X305" s="117"/>
      <c r="Z305" s="117" t="b">
        <v>0</v>
      </c>
      <c r="AF305" s="117" t="b">
        <v>0</v>
      </c>
      <c r="AG305" s="117" t="b">
        <v>0</v>
      </c>
      <c r="AH305" s="117"/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117"/>
      <c r="H306" s="117" t="b">
        <v>0</v>
      </c>
      <c r="I306" s="117" t="b">
        <v>0</v>
      </c>
      <c r="J306" s="117"/>
      <c r="K306" s="117"/>
      <c r="L306" s="117" t="b">
        <v>0</v>
      </c>
      <c r="M306" s="117" t="b">
        <v>0</v>
      </c>
      <c r="N306" s="117" t="b">
        <v>0</v>
      </c>
      <c r="W306" s="117"/>
      <c r="X306" s="117"/>
      <c r="Z306" s="117" t="b">
        <v>0</v>
      </c>
      <c r="AF306" s="117" t="b">
        <v>0</v>
      </c>
      <c r="AG306" s="117" t="b">
        <v>0</v>
      </c>
      <c r="AH306" s="117"/>
    </row>
  </sheetData>
  <dataValidations>
    <dataValidation type="list" allowBlank="1" showErrorMessage="1" sqref="W2:X306">
      <formula1>"SHOCK,NON SHOCK"</formula1>
    </dataValidation>
    <dataValidation type="list" allowBlank="1" showErrorMessage="1" sqref="K2:K306">
      <formula1>"AMBULATORY,PS,WARD,SUB,RADIOLOGY,OR,DELIVERY ROOM,ICU,OTHER"</formula1>
    </dataValidation>
    <dataValidation type="list" allowBlank="1" showErrorMessage="1" sqref="J2:J306">
      <formula1>"HOME,PUBBLIC PLACE,AMBULATORY MEDICAL CARE,AMBULANCE,SPORT,OTHER"</formula1>
    </dataValidation>
    <dataValidation type="list" allowBlank="1" showErrorMessage="1" sqref="G2:G306">
      <formula1>"OHCA,IHCA"</formula1>
    </dataValidation>
    <dataValidation type="list" allowBlank="1" showErrorMessage="1" sqref="A2:A283">
      <formula1>ANAGRAFICA!$B$2:$B$506</formula1>
    </dataValidation>
    <dataValidation type="list" allowBlank="1" showErrorMessage="1" sqref="AH2:AH306">
      <formula1>"GOMMA,ELI"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7" max="7" width="28.0"/>
    <col customWidth="1" min="8" max="8" width="20.13"/>
    <col customWidth="1" min="9" max="9" width="9.38"/>
    <col customWidth="1" min="11" max="11" width="8.88"/>
    <col customWidth="1" min="12" max="12" width="15.38"/>
    <col customWidth="1" min="13" max="13" width="23.75"/>
    <col customWidth="1" min="14" max="14" width="17.75"/>
    <col customWidth="1" min="15" max="15" width="16.63"/>
    <col customWidth="1" min="16" max="16" width="17.5"/>
    <col customWidth="1" min="17" max="17" width="23.63"/>
    <col customWidth="1" min="18" max="18" width="14.38"/>
  </cols>
  <sheetData>
    <row r="1">
      <c r="A1" s="259" t="s">
        <v>1</v>
      </c>
      <c r="B1" s="260" t="s">
        <v>2</v>
      </c>
      <c r="C1" s="261" t="s">
        <v>3</v>
      </c>
      <c r="D1" s="261" t="s">
        <v>4</v>
      </c>
      <c r="E1" s="261" t="s">
        <v>385</v>
      </c>
      <c r="F1" s="259" t="s">
        <v>6</v>
      </c>
      <c r="G1" s="259" t="s">
        <v>1511</v>
      </c>
      <c r="H1" s="259" t="s">
        <v>1512</v>
      </c>
      <c r="I1" s="261" t="s">
        <v>1513</v>
      </c>
      <c r="J1" s="259" t="s">
        <v>1514</v>
      </c>
      <c r="K1" s="259" t="s">
        <v>1515</v>
      </c>
      <c r="L1" s="259" t="s">
        <v>1516</v>
      </c>
      <c r="M1" s="259" t="s">
        <v>1517</v>
      </c>
      <c r="N1" s="259" t="s">
        <v>1518</v>
      </c>
      <c r="O1" s="259" t="s">
        <v>1519</v>
      </c>
      <c r="P1" s="259" t="s">
        <v>1520</v>
      </c>
      <c r="Q1" s="259" t="s">
        <v>1521</v>
      </c>
      <c r="R1" s="262" t="s">
        <v>1522</v>
      </c>
      <c r="S1" s="261" t="s">
        <v>868</v>
      </c>
      <c r="T1" s="261" t="s">
        <v>869</v>
      </c>
      <c r="U1" s="261" t="s">
        <v>870</v>
      </c>
      <c r="V1" s="261" t="s">
        <v>871</v>
      </c>
      <c r="W1" s="261" t="s">
        <v>872</v>
      </c>
      <c r="X1" s="261" t="s">
        <v>873</v>
      </c>
      <c r="Y1" s="261" t="s">
        <v>874</v>
      </c>
      <c r="Z1" s="261" t="s">
        <v>875</v>
      </c>
      <c r="AA1" s="261" t="s">
        <v>876</v>
      </c>
      <c r="AB1" s="262" t="s">
        <v>1523</v>
      </c>
      <c r="AC1" s="263"/>
      <c r="AD1" s="263"/>
      <c r="AE1" s="263"/>
      <c r="AF1" s="263"/>
    </row>
    <row r="2">
      <c r="A2" s="57">
        <v>2.123023299E9</v>
      </c>
      <c r="B2" s="109" t="str">
        <f>VLOOKUP($A2,ANAGRAFICA!$B$1:$G$306,2,FALSE)</f>
        <v>BEATRICE</v>
      </c>
      <c r="C2" s="109" t="str">
        <f>VLOOKUP($A2,ANAGRAFICA!$B$1:$G$306,3,FALSE)</f>
        <v>GERARDINA</v>
      </c>
      <c r="D2" s="109" t="str">
        <f>VLOOKUP($A2,ANAGRAFICA!$B$1:$G$306,4,FALSE)</f>
        <v/>
      </c>
      <c r="E2" s="109">
        <f>VLOOKUP($A2,ANAGRAFICA!$B$1:$G$306,5,FALSE)</f>
        <v>3272024098</v>
      </c>
      <c r="F2" s="109">
        <f>VLOOKUP($A2,ANAGRAFICA!$B$1:$G$306,6,FALSE)</f>
        <v>2024</v>
      </c>
      <c r="G2" s="57" t="s">
        <v>1386</v>
      </c>
      <c r="H2" s="57" t="s">
        <v>1388</v>
      </c>
      <c r="I2" s="57">
        <v>16.0</v>
      </c>
      <c r="J2" s="94"/>
      <c r="K2" s="94"/>
      <c r="L2" s="94"/>
      <c r="M2" s="57" t="s">
        <v>1280</v>
      </c>
      <c r="N2" s="57" t="s">
        <v>1524</v>
      </c>
      <c r="O2" s="94" t="b">
        <v>0</v>
      </c>
      <c r="P2" s="94" t="b">
        <v>0</v>
      </c>
      <c r="Q2" s="110">
        <v>45293.0</v>
      </c>
      <c r="R2" s="57" t="s">
        <v>264</v>
      </c>
      <c r="S2" s="57">
        <v>7.66</v>
      </c>
      <c r="T2" s="57">
        <v>254.0</v>
      </c>
      <c r="U2" s="57">
        <v>20.0</v>
      </c>
      <c r="V2" s="57">
        <v>22.0</v>
      </c>
      <c r="W2" s="57">
        <v>19.0</v>
      </c>
      <c r="X2" s="57">
        <v>1.9</v>
      </c>
      <c r="Y2" s="57">
        <v>6.4</v>
      </c>
      <c r="Z2" s="57">
        <v>19.0</v>
      </c>
      <c r="AA2" s="57">
        <v>98.0</v>
      </c>
      <c r="AB2" s="94" t="b">
        <v>0</v>
      </c>
      <c r="AC2" s="94"/>
      <c r="AD2" s="94"/>
      <c r="AE2" s="94"/>
      <c r="AF2" s="94"/>
    </row>
    <row r="3">
      <c r="A3" s="57">
        <v>2.124000149E9</v>
      </c>
      <c r="B3" s="109" t="str">
        <f>VLOOKUP($A3,ANAGRAFICA!$B$1:$G$306,2,FALSE)</f>
        <v>MOTTA</v>
      </c>
      <c r="C3" s="109" t="str">
        <f>VLOOKUP($A3,ANAGRAFICA!$B$1:$G$306,3,FALSE)</f>
        <v>FABIO</v>
      </c>
      <c r="D3" s="109" t="str">
        <f>VLOOKUP($A3,ANAGRAFICA!$B$1:$G$306,4,FALSE)</f>
        <v/>
      </c>
      <c r="E3" s="109">
        <f>VLOOKUP($A3,ANAGRAFICA!$B$1:$G$306,5,FALSE)</f>
        <v>3272024051</v>
      </c>
      <c r="F3" s="109">
        <f>VLOOKUP($A3,ANAGRAFICA!$B$1:$G$306,6,FALSE)</f>
        <v>2024</v>
      </c>
      <c r="G3" s="57"/>
      <c r="H3" s="57" t="s">
        <v>1396</v>
      </c>
      <c r="I3" s="57">
        <v>30.0</v>
      </c>
      <c r="J3" s="94"/>
      <c r="K3" s="94"/>
      <c r="L3" s="94"/>
      <c r="M3" s="57" t="s">
        <v>1406</v>
      </c>
      <c r="N3" s="57" t="s">
        <v>423</v>
      </c>
      <c r="O3" s="94" t="b">
        <v>0</v>
      </c>
      <c r="P3" s="94" t="b">
        <v>0</v>
      </c>
      <c r="Q3" s="110">
        <v>45296.0</v>
      </c>
      <c r="R3" s="57" t="s">
        <v>1525</v>
      </c>
      <c r="S3" s="57">
        <v>7.37</v>
      </c>
      <c r="T3" s="57">
        <v>391.0</v>
      </c>
      <c r="U3" s="57">
        <v>25.0</v>
      </c>
      <c r="V3" s="57">
        <v>14.3</v>
      </c>
      <c r="W3" s="57">
        <v>6.76</v>
      </c>
      <c r="X3" s="57">
        <v>-8.9</v>
      </c>
      <c r="Y3" s="57">
        <v>13.8</v>
      </c>
      <c r="Z3" s="57">
        <v>41.0</v>
      </c>
      <c r="AA3" s="57">
        <v>98.0</v>
      </c>
      <c r="AB3" s="94" t="b">
        <v>0</v>
      </c>
      <c r="AC3" s="94"/>
      <c r="AD3" s="94"/>
      <c r="AE3" s="94"/>
      <c r="AF3" s="94"/>
    </row>
    <row r="4">
      <c r="A4" s="57">
        <v>2.124000328E9</v>
      </c>
      <c r="B4" s="109" t="str">
        <f>VLOOKUP($A4,ANAGRAFICA!$B$1:$G$306,2,FALSE)</f>
        <v>LAVANGA</v>
      </c>
      <c r="C4" s="109" t="str">
        <f>VLOOKUP($A4,ANAGRAFICA!$B$1:$G$306,3,FALSE)</f>
        <v>DONATO</v>
      </c>
      <c r="D4" s="109" t="str">
        <f>VLOOKUP($A4,ANAGRAFICA!$B$1:$G$306,4,FALSE)</f>
        <v/>
      </c>
      <c r="E4" s="109">
        <f>VLOOKUP($A4,ANAGRAFICA!$B$1:$G$306,5,FALSE)</f>
        <v>3272024053</v>
      </c>
      <c r="F4" s="109">
        <f>VLOOKUP($A4,ANAGRAFICA!$B$1:$G$306,6,FALSE)</f>
        <v>2024</v>
      </c>
      <c r="G4" s="94"/>
      <c r="H4" s="57" t="s">
        <v>1396</v>
      </c>
      <c r="I4" s="57">
        <v>34.0</v>
      </c>
      <c r="J4" s="94"/>
      <c r="K4" s="94"/>
      <c r="L4" s="94"/>
      <c r="M4" s="57" t="s">
        <v>1406</v>
      </c>
      <c r="N4" s="57" t="s">
        <v>424</v>
      </c>
      <c r="O4" s="94" t="b">
        <v>0</v>
      </c>
      <c r="P4" s="94" t="b">
        <v>0</v>
      </c>
      <c r="Q4" s="110">
        <v>45298.0</v>
      </c>
      <c r="R4" s="57" t="s">
        <v>430</v>
      </c>
      <c r="S4" s="57">
        <v>6.84</v>
      </c>
      <c r="T4" s="57">
        <v>265.0</v>
      </c>
      <c r="U4" s="57">
        <v>36.4</v>
      </c>
      <c r="V4" s="57">
        <v>10.6</v>
      </c>
      <c r="W4" s="57">
        <v>10.3</v>
      </c>
      <c r="X4" s="57">
        <v>-18.5</v>
      </c>
      <c r="Y4" s="57">
        <v>14.4</v>
      </c>
      <c r="Z4" s="57">
        <v>42.0</v>
      </c>
      <c r="AA4" s="57">
        <v>98.9</v>
      </c>
      <c r="AB4" s="94" t="b">
        <v>0</v>
      </c>
      <c r="AC4" s="94"/>
      <c r="AD4" s="94"/>
      <c r="AE4" s="94"/>
      <c r="AF4" s="94"/>
    </row>
    <row r="5">
      <c r="A5" s="57">
        <v>2.124001121E9</v>
      </c>
      <c r="B5" s="109" t="str">
        <f>VLOOKUP($A5,ANAGRAFICA!$B$1:$G$306,2,FALSE)</f>
        <v>TIEGHI</v>
      </c>
      <c r="C5" s="109" t="str">
        <f>VLOOKUP($A5,ANAGRAFICA!$B$1:$G$306,3,FALSE)</f>
        <v>MASSIMO</v>
      </c>
      <c r="D5" s="109" t="str">
        <f>VLOOKUP($A5,ANAGRAFICA!$B$1:$G$306,4,FALSE)</f>
        <v/>
      </c>
      <c r="E5" s="109">
        <f>VLOOKUP($A5,ANAGRAFICA!$B$1:$G$306,5,FALSE)</f>
        <v>3272024054</v>
      </c>
      <c r="F5" s="109">
        <f>VLOOKUP($A5,ANAGRAFICA!$B$1:$G$306,6,FALSE)</f>
        <v>2024</v>
      </c>
      <c r="G5" s="57" t="s">
        <v>733</v>
      </c>
      <c r="H5" s="57" t="s">
        <v>1388</v>
      </c>
      <c r="I5" s="94"/>
      <c r="J5" s="94"/>
      <c r="K5" s="94"/>
      <c r="L5" s="94"/>
      <c r="M5" s="57" t="s">
        <v>1285</v>
      </c>
      <c r="N5" s="57" t="s">
        <v>454</v>
      </c>
      <c r="O5" s="94" t="b">
        <v>0</v>
      </c>
      <c r="P5" s="94" t="b">
        <v>0</v>
      </c>
      <c r="Q5" s="110">
        <v>45309.0</v>
      </c>
      <c r="R5" s="57" t="s">
        <v>820</v>
      </c>
      <c r="S5" s="57">
        <v>7.12</v>
      </c>
      <c r="T5" s="57">
        <v>444.0</v>
      </c>
      <c r="U5" s="57">
        <v>40.0</v>
      </c>
      <c r="V5" s="57">
        <v>13.0</v>
      </c>
      <c r="W5" s="57">
        <v>9.7</v>
      </c>
      <c r="X5" s="57">
        <v>-15.5</v>
      </c>
      <c r="Y5" s="57">
        <v>10.1</v>
      </c>
      <c r="Z5" s="57">
        <v>30.0</v>
      </c>
      <c r="AA5" s="57">
        <v>96.8</v>
      </c>
      <c r="AB5" s="94" t="b">
        <v>0</v>
      </c>
      <c r="AC5" s="94"/>
      <c r="AD5" s="94"/>
      <c r="AE5" s="94"/>
      <c r="AF5" s="94"/>
    </row>
    <row r="6">
      <c r="A6" s="57">
        <v>2.124202869E9</v>
      </c>
      <c r="B6" s="109" t="str">
        <f>VLOOKUP($A6,ANAGRAFICA!$B$1:$G$306,2,FALSE)</f>
        <v>VALSECCHI</v>
      </c>
      <c r="C6" s="109" t="str">
        <f>VLOOKUP($A6,ANAGRAFICA!$B$1:$G$306,3,FALSE)</f>
        <v>ANDREA</v>
      </c>
      <c r="D6" s="109" t="str">
        <f>VLOOKUP($A6,ANAGRAFICA!$B$1:$G$306,4,FALSE)</f>
        <v/>
      </c>
      <c r="E6" s="109">
        <f>VLOOKUP($A6,ANAGRAFICA!$B$1:$G$306,5,FALSE)</f>
        <v>3272024056</v>
      </c>
      <c r="F6" s="109">
        <f>VLOOKUP($A6,ANAGRAFICA!$B$1:$G$306,6,FALSE)</f>
        <v>2024</v>
      </c>
      <c r="G6" s="57" t="s">
        <v>458</v>
      </c>
      <c r="H6" s="57" t="s">
        <v>1396</v>
      </c>
      <c r="I6" s="94"/>
      <c r="J6" s="94"/>
      <c r="K6" s="94"/>
      <c r="L6" s="94"/>
      <c r="M6" s="57" t="s">
        <v>1285</v>
      </c>
      <c r="N6" s="57" t="s">
        <v>458</v>
      </c>
      <c r="O6" s="57" t="b">
        <v>1</v>
      </c>
      <c r="P6" s="57" t="b">
        <v>1</v>
      </c>
      <c r="Q6" s="110">
        <v>45336.0</v>
      </c>
      <c r="R6" s="57" t="s">
        <v>39</v>
      </c>
      <c r="S6" s="57">
        <v>7.29</v>
      </c>
      <c r="T6" s="57">
        <v>109.0</v>
      </c>
      <c r="U6" s="57">
        <v>42.0</v>
      </c>
      <c r="V6" s="57">
        <v>20.4</v>
      </c>
      <c r="W6" s="57">
        <v>7.9</v>
      </c>
      <c r="X6" s="57">
        <v>-6.4</v>
      </c>
      <c r="Y6" s="57">
        <v>7.8</v>
      </c>
      <c r="Z6" s="57">
        <v>23.0</v>
      </c>
      <c r="AA6" s="57">
        <v>97.6</v>
      </c>
      <c r="AB6" s="94" t="b">
        <v>0</v>
      </c>
      <c r="AC6" s="94"/>
      <c r="AD6" s="94"/>
      <c r="AE6" s="94"/>
      <c r="AF6" s="94"/>
    </row>
    <row r="7">
      <c r="A7" s="57">
        <v>2.12401869E9</v>
      </c>
      <c r="B7" s="109" t="str">
        <f>VLOOKUP($A7,ANAGRAFICA!$B$1:$G$306,2,FALSE)</f>
        <v>AVENIDO</v>
      </c>
      <c r="C7" s="109" t="str">
        <f>VLOOKUP($A7,ANAGRAFICA!$B$1:$G$306,3,FALSE)</f>
        <v>DELFIN</v>
      </c>
      <c r="D7" s="109" t="str">
        <f>VLOOKUP($A7,ANAGRAFICA!$B$1:$G$306,4,FALSE)</f>
        <v>758-16</v>
      </c>
      <c r="E7" s="109">
        <f>VLOOKUP($A7,ANAGRAFICA!$B$1:$G$306,5,FALSE)</f>
        <v>3272024082</v>
      </c>
      <c r="F7" s="109">
        <f>VLOOKUP($A7,ANAGRAFICA!$B$1:$G$306,6,FALSE)</f>
        <v>2024</v>
      </c>
      <c r="G7" s="57" t="s">
        <v>49</v>
      </c>
      <c r="H7" s="57" t="s">
        <v>1396</v>
      </c>
      <c r="I7" s="57">
        <v>30.0</v>
      </c>
      <c r="J7" s="94"/>
      <c r="K7" s="94"/>
      <c r="L7" s="94"/>
      <c r="M7" s="57" t="s">
        <v>1406</v>
      </c>
      <c r="N7" s="57" t="s">
        <v>398</v>
      </c>
      <c r="O7" s="94" t="b">
        <v>0</v>
      </c>
      <c r="P7" s="94" t="b">
        <v>0</v>
      </c>
      <c r="Q7" s="112">
        <v>45585.0</v>
      </c>
      <c r="R7" s="57" t="s">
        <v>414</v>
      </c>
      <c r="S7" s="57" t="s">
        <v>899</v>
      </c>
      <c r="T7" s="57">
        <v>182.0</v>
      </c>
      <c r="U7" s="57">
        <v>63.0</v>
      </c>
      <c r="V7" s="57">
        <v>15.0</v>
      </c>
      <c r="W7" s="57">
        <v>10.9</v>
      </c>
      <c r="X7" s="57" t="s">
        <v>1526</v>
      </c>
      <c r="Y7" s="57">
        <v>13.6</v>
      </c>
      <c r="Z7" s="57">
        <v>41.0</v>
      </c>
      <c r="AA7" s="57">
        <v>97.6</v>
      </c>
      <c r="AB7" s="94" t="b">
        <v>0</v>
      </c>
      <c r="AC7" s="94"/>
      <c r="AD7" s="94"/>
      <c r="AE7" s="94"/>
      <c r="AF7" s="94"/>
    </row>
    <row r="8">
      <c r="A8" s="57">
        <v>2.124018637E9</v>
      </c>
      <c r="B8" s="109" t="str">
        <f>VLOOKUP($A8,ANAGRAFICA!$B$1:$G$306,2,FALSE)</f>
        <v>CARIBONI</v>
      </c>
      <c r="C8" s="109" t="str">
        <f>VLOOKUP($A8,ANAGRAFICA!$B$1:$G$306,3,FALSE)</f>
        <v>LORENZA</v>
      </c>
      <c r="D8" s="109" t="str">
        <f>VLOOKUP($A8,ANAGRAFICA!$B$1:$G$306,4,FALSE)</f>
        <v>758-15</v>
      </c>
      <c r="E8" s="109">
        <f>VLOOKUP($A8,ANAGRAFICA!$B$1:$G$306,5,FALSE)</f>
        <v>3272024081</v>
      </c>
      <c r="F8" s="109">
        <f>VLOOKUP($A8,ANAGRAFICA!$B$1:$G$306,6,FALSE)</f>
        <v>2024</v>
      </c>
      <c r="G8" s="57" t="s">
        <v>1527</v>
      </c>
      <c r="H8" s="57" t="s">
        <v>943</v>
      </c>
      <c r="I8" s="57">
        <v>32.0</v>
      </c>
      <c r="J8" s="94"/>
      <c r="K8" s="94"/>
      <c r="L8" s="94"/>
      <c r="M8" s="57" t="s">
        <v>1406</v>
      </c>
      <c r="N8" s="57" t="s">
        <v>404</v>
      </c>
      <c r="O8" s="57" t="b">
        <v>1</v>
      </c>
      <c r="P8" s="57" t="b">
        <v>1</v>
      </c>
      <c r="Q8" s="112">
        <v>45584.0</v>
      </c>
      <c r="R8" s="57" t="s">
        <v>1528</v>
      </c>
      <c r="S8" s="57">
        <v>7.53</v>
      </c>
      <c r="T8" s="57">
        <v>396.0</v>
      </c>
      <c r="U8" s="57">
        <v>17.0</v>
      </c>
      <c r="V8" s="57">
        <v>19.9</v>
      </c>
      <c r="W8" s="57">
        <v>13.6</v>
      </c>
      <c r="X8" s="57">
        <v>-6.5</v>
      </c>
      <c r="Y8" s="57">
        <v>10.7</v>
      </c>
      <c r="Z8" s="57">
        <v>32.0</v>
      </c>
      <c r="AA8" s="57">
        <v>98.3</v>
      </c>
      <c r="AB8" s="94" t="b">
        <v>0</v>
      </c>
      <c r="AC8" s="94"/>
      <c r="AD8" s="94"/>
      <c r="AE8" s="94"/>
      <c r="AF8" s="94"/>
    </row>
    <row r="9">
      <c r="A9" s="57">
        <v>2.124014334E9</v>
      </c>
      <c r="B9" s="109" t="str">
        <f>VLOOKUP($A9,ANAGRAFICA!$B$1:$G$306,2,FALSE)</f>
        <v>PONTIGGIA</v>
      </c>
      <c r="C9" s="109" t="str">
        <f>VLOOKUP($A9,ANAGRAFICA!$B$1:$G$306,3,FALSE)</f>
        <v>FLAVIO</v>
      </c>
      <c r="D9" s="109" t="str">
        <f>VLOOKUP($A9,ANAGRAFICA!$B$1:$G$306,4,FALSE)</f>
        <v>758-9</v>
      </c>
      <c r="E9" s="109">
        <f>VLOOKUP($A9,ANAGRAFICA!$B$1:$G$306,5,FALSE)</f>
        <v>3272024075</v>
      </c>
      <c r="F9" s="109">
        <f>VLOOKUP($A9,ANAGRAFICA!$B$1:$G$306,6,FALSE)</f>
        <v>2024</v>
      </c>
      <c r="G9" s="57" t="s">
        <v>1529</v>
      </c>
      <c r="H9" s="57" t="s">
        <v>1388</v>
      </c>
      <c r="I9" s="57">
        <v>40.0</v>
      </c>
      <c r="J9" s="94"/>
      <c r="K9" s="94"/>
      <c r="L9" s="94"/>
      <c r="M9" s="57" t="s">
        <v>1406</v>
      </c>
      <c r="N9" s="57" t="s">
        <v>437</v>
      </c>
      <c r="O9" s="94" t="b">
        <v>0</v>
      </c>
      <c r="P9" s="94" t="b">
        <v>0</v>
      </c>
      <c r="Q9" s="110">
        <v>45512.0</v>
      </c>
      <c r="R9" s="57" t="s">
        <v>909</v>
      </c>
      <c r="S9" s="57" t="s">
        <v>899</v>
      </c>
      <c r="T9" s="57" t="s">
        <v>910</v>
      </c>
      <c r="U9" s="57" t="s">
        <v>911</v>
      </c>
      <c r="V9" s="57">
        <v>9.0</v>
      </c>
      <c r="W9" s="57">
        <v>9.5</v>
      </c>
      <c r="X9" s="57">
        <v>-17.0</v>
      </c>
      <c r="Y9" s="57">
        <v>13.8</v>
      </c>
      <c r="Z9" s="57">
        <v>41.0</v>
      </c>
      <c r="AA9" s="57">
        <v>29.5</v>
      </c>
      <c r="AB9" s="57" t="b">
        <v>1</v>
      </c>
      <c r="AC9" s="94"/>
      <c r="AD9" s="94"/>
      <c r="AE9" s="94"/>
      <c r="AF9" s="94"/>
    </row>
    <row r="10">
      <c r="A10" s="57">
        <v>2.124012915E9</v>
      </c>
      <c r="B10" s="109" t="str">
        <f>VLOOKUP($A10,ANAGRAFICA!$B$1:$G$306,2,FALSE)</f>
        <v>GARGIONI</v>
      </c>
      <c r="C10" s="109" t="str">
        <f>VLOOKUP($A10,ANAGRAFICA!$B$1:$G$306,3,FALSE)</f>
        <v>GIULIO</v>
      </c>
      <c r="D10" s="109" t="str">
        <f>VLOOKUP($A10,ANAGRAFICA!$B$1:$G$306,4,FALSE)</f>
        <v>758-6</v>
      </c>
      <c r="E10" s="109">
        <f>VLOOKUP($A10,ANAGRAFICA!$B$1:$G$306,5,FALSE)</f>
        <v>3272024072</v>
      </c>
      <c r="F10" s="109">
        <f>VLOOKUP($A10,ANAGRAFICA!$B$1:$G$306,6,FALSE)</f>
        <v>2024</v>
      </c>
      <c r="G10" s="57" t="s">
        <v>1530</v>
      </c>
      <c r="H10" s="57" t="s">
        <v>1396</v>
      </c>
      <c r="I10" s="57">
        <v>18.0</v>
      </c>
      <c r="J10" s="94"/>
      <c r="K10" s="94"/>
      <c r="L10" s="94"/>
      <c r="M10" s="57" t="s">
        <v>1406</v>
      </c>
      <c r="N10" s="57" t="s">
        <v>422</v>
      </c>
      <c r="O10" s="94" t="b">
        <v>0</v>
      </c>
      <c r="P10" s="57" t="b">
        <v>0</v>
      </c>
      <c r="Q10" s="110">
        <v>45485.0</v>
      </c>
      <c r="R10" s="57" t="s">
        <v>917</v>
      </c>
      <c r="S10" s="57" t="s">
        <v>899</v>
      </c>
      <c r="T10" s="57">
        <v>52.0</v>
      </c>
      <c r="U10" s="57">
        <v>55.0</v>
      </c>
      <c r="V10" s="57" t="s">
        <v>918</v>
      </c>
      <c r="W10" s="57" t="s">
        <v>919</v>
      </c>
      <c r="X10" s="57" t="s">
        <v>920</v>
      </c>
      <c r="Y10" s="57" t="s">
        <v>921</v>
      </c>
      <c r="Z10" s="57">
        <v>53.0</v>
      </c>
      <c r="AA10" s="57" t="s">
        <v>922</v>
      </c>
      <c r="AB10" s="94" t="b">
        <v>0</v>
      </c>
      <c r="AC10" s="94"/>
      <c r="AD10" s="94"/>
      <c r="AE10" s="94"/>
      <c r="AF10" s="94"/>
    </row>
    <row r="11">
      <c r="A11" s="57">
        <v>2.124012963E9</v>
      </c>
      <c r="B11" s="109" t="str">
        <f>VLOOKUP($A11,ANAGRAFICA!$B$1:$G$306,2,FALSE)</f>
        <v>TARENZI</v>
      </c>
      <c r="C11" s="109" t="str">
        <f>VLOOKUP($A11,ANAGRAFICA!$B$1:$G$306,3,FALSE)</f>
        <v>GIACOMO</v>
      </c>
      <c r="D11" s="109" t="str">
        <f>VLOOKUP($A11,ANAGRAFICA!$B$1:$G$306,4,FALSE)</f>
        <v>758-7</v>
      </c>
      <c r="E11" s="109">
        <f>VLOOKUP($A11,ANAGRAFICA!$B$1:$G$306,5,FALSE)</f>
        <v>3272024073</v>
      </c>
      <c r="F11" s="109">
        <f>VLOOKUP($A11,ANAGRAFICA!$B$1:$G$306,6,FALSE)</f>
        <v>2024</v>
      </c>
      <c r="G11" s="57" t="s">
        <v>516</v>
      </c>
      <c r="H11" s="57" t="s">
        <v>1396</v>
      </c>
      <c r="I11" s="57" t="s">
        <v>516</v>
      </c>
      <c r="J11" s="57" t="s">
        <v>516</v>
      </c>
      <c r="K11" s="57" t="s">
        <v>516</v>
      </c>
      <c r="L11" s="57"/>
      <c r="M11" s="57" t="s">
        <v>1406</v>
      </c>
      <c r="N11" s="57" t="s">
        <v>451</v>
      </c>
      <c r="O11" s="94" t="b">
        <v>0</v>
      </c>
      <c r="P11" s="94" t="b">
        <v>0</v>
      </c>
      <c r="Q11" s="110">
        <v>45487.0</v>
      </c>
      <c r="R11" s="57" t="s">
        <v>898</v>
      </c>
      <c r="S11" s="11" t="s">
        <v>899</v>
      </c>
      <c r="T11" s="11">
        <v>75.0</v>
      </c>
      <c r="U11" s="11">
        <v>104.0</v>
      </c>
      <c r="V11" s="11">
        <v>11.2</v>
      </c>
      <c r="W11" s="11">
        <v>8.9</v>
      </c>
      <c r="X11" s="11">
        <v>-14.9</v>
      </c>
      <c r="Y11" s="11">
        <v>12.4</v>
      </c>
      <c r="Z11" s="11">
        <v>42.0</v>
      </c>
      <c r="AA11" s="11">
        <v>85.3</v>
      </c>
      <c r="AB11" s="94" t="b">
        <v>0</v>
      </c>
      <c r="AC11" s="94"/>
      <c r="AD11" s="94"/>
      <c r="AE11" s="94"/>
      <c r="AF11" s="94"/>
    </row>
    <row r="12">
      <c r="A12" s="57">
        <v>2.124208629E9</v>
      </c>
      <c r="B12" s="109" t="str">
        <f>VLOOKUP($A12,ANAGRAFICA!$B$1:$G$306,2,FALSE)</f>
        <v>D'ANDREA</v>
      </c>
      <c r="C12" s="109" t="str">
        <f>VLOOKUP($A12,ANAGRAFICA!$B$1:$G$306,3,FALSE)</f>
        <v>FERNANDO ANTONIO</v>
      </c>
      <c r="D12" s="109" t="str">
        <f>VLOOKUP($A12,ANAGRAFICA!$B$1:$G$306,4,FALSE)</f>
        <v>758-5</v>
      </c>
      <c r="E12" s="109">
        <f>VLOOKUP($A12,ANAGRAFICA!$B$1:$G$306,5,FALSE)</f>
        <v>3272024071</v>
      </c>
      <c r="F12" s="109">
        <f>VLOOKUP($A12,ANAGRAFICA!$B$1:$G$306,6,FALSE)</f>
        <v>2024</v>
      </c>
      <c r="G12" s="57" t="s">
        <v>1531</v>
      </c>
      <c r="H12" s="57" t="s">
        <v>1388</v>
      </c>
      <c r="I12" s="57">
        <v>40.0</v>
      </c>
      <c r="J12" s="57" t="s">
        <v>516</v>
      </c>
      <c r="K12" s="57" t="s">
        <v>516</v>
      </c>
      <c r="L12" s="94"/>
      <c r="M12" s="57" t="s">
        <v>1406</v>
      </c>
      <c r="N12" s="57" t="s">
        <v>412</v>
      </c>
      <c r="O12" s="94" t="b">
        <v>0</v>
      </c>
      <c r="P12" s="94" t="b">
        <v>0</v>
      </c>
      <c r="Q12" s="110">
        <v>45470.0</v>
      </c>
      <c r="R12" s="57" t="s">
        <v>1532</v>
      </c>
      <c r="S12" s="114">
        <v>0.3076388888888889</v>
      </c>
      <c r="T12" s="57">
        <v>29.0</v>
      </c>
      <c r="U12" s="57">
        <v>90.0</v>
      </c>
      <c r="V12" s="57">
        <v>15.0</v>
      </c>
      <c r="W12" s="57" t="s">
        <v>1036</v>
      </c>
      <c r="X12" s="57">
        <v>-21.0</v>
      </c>
      <c r="Y12" s="57" t="s">
        <v>1533</v>
      </c>
      <c r="Z12" s="57">
        <v>46.0</v>
      </c>
      <c r="AA12" s="57" t="s">
        <v>1534</v>
      </c>
      <c r="AB12" s="57" t="b">
        <v>1</v>
      </c>
      <c r="AC12" s="94"/>
      <c r="AD12" s="94"/>
      <c r="AE12" s="94"/>
      <c r="AF12" s="94"/>
    </row>
    <row r="13">
      <c r="A13" s="57">
        <v>2.1240107E9</v>
      </c>
      <c r="B13" s="109" t="str">
        <f>VLOOKUP($A13,ANAGRAFICA!$B$1:$G$306,2,FALSE)</f>
        <v>ORNAGHI</v>
      </c>
      <c r="C13" s="109" t="str">
        <f>VLOOKUP($A13,ANAGRAFICA!$B$1:$G$306,3,FALSE)</f>
        <v>LORENZO</v>
      </c>
      <c r="D13" s="109" t="str">
        <f>VLOOKUP($A13,ANAGRAFICA!$B$1:$G$306,4,FALSE)</f>
        <v>758-2</v>
      </c>
      <c r="E13" s="109">
        <f>VLOOKUP($A13,ANAGRAFICA!$B$1:$G$306,5,FALSE)</f>
        <v>3272024068</v>
      </c>
      <c r="F13" s="109">
        <f>VLOOKUP($A13,ANAGRAFICA!$B$1:$G$306,6,FALSE)</f>
        <v>2024</v>
      </c>
      <c r="G13" s="94"/>
      <c r="H13" s="57" t="s">
        <v>1396</v>
      </c>
      <c r="I13" s="57">
        <v>22.0</v>
      </c>
      <c r="J13" s="57" t="s">
        <v>516</v>
      </c>
      <c r="K13" s="57" t="s">
        <v>516</v>
      </c>
      <c r="L13" s="94"/>
      <c r="M13" s="57" t="s">
        <v>1406</v>
      </c>
      <c r="N13" s="57" t="s">
        <v>433</v>
      </c>
      <c r="O13" s="94" t="b">
        <v>0</v>
      </c>
      <c r="P13" s="94" t="b">
        <v>0</v>
      </c>
      <c r="Q13" s="110">
        <v>45448.0</v>
      </c>
      <c r="R13" s="57" t="s">
        <v>1535</v>
      </c>
      <c r="S13" s="57">
        <v>7.34</v>
      </c>
      <c r="T13" s="57">
        <v>70.0</v>
      </c>
      <c r="U13" s="57">
        <v>35.0</v>
      </c>
      <c r="V13" s="57">
        <v>20.0</v>
      </c>
      <c r="W13" s="57">
        <v>11.0</v>
      </c>
      <c r="X13" s="57">
        <v>-6.9</v>
      </c>
      <c r="Y13" s="57">
        <v>12.0</v>
      </c>
      <c r="Z13" s="57">
        <v>36.0</v>
      </c>
      <c r="AA13" s="57">
        <v>91.4</v>
      </c>
      <c r="AB13" s="94" t="b">
        <v>0</v>
      </c>
      <c r="AC13" s="94"/>
      <c r="AD13" s="94"/>
      <c r="AE13" s="94"/>
      <c r="AF13" s="94"/>
    </row>
    <row r="14">
      <c r="A14" s="57">
        <v>2.124009735E9</v>
      </c>
      <c r="B14" s="109" t="str">
        <f>VLOOKUP($A14,ANAGRAFICA!$B$1:$G$306,2,FALSE)</f>
        <v>BOSSI</v>
      </c>
      <c r="C14" s="109" t="str">
        <f>VLOOKUP($A14,ANAGRAFICA!$B$1:$G$306,3,FALSE)</f>
        <v>LUDOVICO</v>
      </c>
      <c r="D14" s="109" t="str">
        <f>VLOOKUP($A14,ANAGRAFICA!$B$1:$G$306,4,FALSE)</f>
        <v>758-1</v>
      </c>
      <c r="E14" s="109">
        <f>VLOOKUP($A14,ANAGRAFICA!$B$1:$G$306,5,FALSE)</f>
        <v>3272024067</v>
      </c>
      <c r="F14" s="109">
        <f>VLOOKUP($A14,ANAGRAFICA!$B$1:$G$306,6,FALSE)</f>
        <v>2024</v>
      </c>
      <c r="G14" s="94"/>
      <c r="H14" s="57" t="s">
        <v>1388</v>
      </c>
      <c r="I14" s="57">
        <v>31.0</v>
      </c>
      <c r="J14" s="57" t="s">
        <v>516</v>
      </c>
      <c r="K14" s="57" t="s">
        <v>516</v>
      </c>
      <c r="L14" s="94"/>
      <c r="M14" s="57" t="s">
        <v>1406</v>
      </c>
      <c r="N14" s="57" t="s">
        <v>402</v>
      </c>
      <c r="O14" s="94" t="b">
        <v>0</v>
      </c>
      <c r="P14" s="94" t="b">
        <v>0</v>
      </c>
      <c r="Q14" s="110">
        <v>45434.0</v>
      </c>
      <c r="R14" s="57" t="s">
        <v>1458</v>
      </c>
      <c r="S14" s="57" t="s">
        <v>899</v>
      </c>
      <c r="T14" s="57">
        <v>458.0</v>
      </c>
      <c r="U14" s="57">
        <v>39.0</v>
      </c>
      <c r="V14" s="57">
        <v>9.4</v>
      </c>
      <c r="W14" s="57">
        <v>15.4</v>
      </c>
      <c r="X14" s="57">
        <v>-22.0</v>
      </c>
      <c r="Y14" s="57">
        <v>11.6</v>
      </c>
      <c r="Z14" s="57">
        <v>35.0</v>
      </c>
      <c r="AA14" s="57">
        <v>97.3</v>
      </c>
      <c r="AB14" s="94" t="b">
        <v>0</v>
      </c>
      <c r="AC14" s="94"/>
      <c r="AD14" s="94"/>
      <c r="AE14" s="94"/>
      <c r="AF14" s="94"/>
    </row>
    <row r="15">
      <c r="A15" s="57">
        <v>2.124011236E9</v>
      </c>
      <c r="B15" s="109" t="str">
        <f>VLOOKUP($A15,ANAGRAFICA!$B$1:$G$306,2,FALSE)</f>
        <v>BERETTA</v>
      </c>
      <c r="C15" s="109" t="str">
        <f>VLOOKUP($A15,ANAGRAFICA!$B$1:$G$306,3,FALSE)</f>
        <v>ENZO LUCIANO</v>
      </c>
      <c r="D15" s="109" t="str">
        <f>VLOOKUP($A15,ANAGRAFICA!$B$1:$G$306,4,FALSE)</f>
        <v>758-3</v>
      </c>
      <c r="E15" s="109">
        <f>VLOOKUP($A15,ANAGRAFICA!$B$1:$G$306,5,FALSE)</f>
        <v>3272024069</v>
      </c>
      <c r="F15" s="109">
        <f>VLOOKUP($A15,ANAGRAFICA!$B$1:$G$306,6,FALSE)</f>
        <v>2024</v>
      </c>
      <c r="G15" s="57" t="s">
        <v>516</v>
      </c>
      <c r="H15" s="57" t="s">
        <v>1396</v>
      </c>
      <c r="I15" s="57">
        <v>13.0</v>
      </c>
      <c r="J15" s="57" t="s">
        <v>516</v>
      </c>
      <c r="K15" s="57" t="s">
        <v>516</v>
      </c>
      <c r="L15" s="94"/>
      <c r="M15" s="57" t="s">
        <v>1293</v>
      </c>
      <c r="N15" s="57" t="s">
        <v>401</v>
      </c>
      <c r="O15" s="57" t="b">
        <v>1</v>
      </c>
      <c r="P15" s="94" t="b">
        <v>0</v>
      </c>
      <c r="Q15" s="110">
        <v>45461.0</v>
      </c>
      <c r="R15" s="57" t="s">
        <v>639</v>
      </c>
      <c r="S15" s="57">
        <v>7.27</v>
      </c>
      <c r="T15" s="57">
        <v>132.0</v>
      </c>
      <c r="U15" s="57">
        <v>29.0</v>
      </c>
      <c r="V15" s="57">
        <v>15.4</v>
      </c>
      <c r="W15" s="57">
        <v>12.3</v>
      </c>
      <c r="X15" s="57">
        <v>-13.6</v>
      </c>
      <c r="Y15" s="57">
        <v>9.86</v>
      </c>
      <c r="Z15" s="57">
        <v>37.0</v>
      </c>
      <c r="AA15" s="57">
        <v>98.6</v>
      </c>
      <c r="AB15" s="94" t="b">
        <v>0</v>
      </c>
      <c r="AC15" s="94"/>
      <c r="AD15" s="94"/>
      <c r="AE15" s="94"/>
      <c r="AF15" s="94"/>
    </row>
    <row r="16">
      <c r="A16" s="57">
        <v>2.124206072E9</v>
      </c>
      <c r="B16" s="109" t="str">
        <f>VLOOKUP($A16,ANAGRAFICA!$B$1:$G$306,2,FALSE)</f>
        <v>CONSONNI</v>
      </c>
      <c r="C16" s="109" t="str">
        <f>VLOOKUP($A16,ANAGRAFICA!$B$1:$G$306,3,FALSE)</f>
        <v>GIULIO</v>
      </c>
      <c r="D16" s="109" t="str">
        <f>VLOOKUP($A16,ANAGRAFICA!$B$1:$G$306,4,FALSE)</f>
        <v/>
      </c>
      <c r="E16" s="109">
        <f>VLOOKUP($A16,ANAGRAFICA!$B$1:$G$306,5,FALSE)</f>
        <v>3272024064</v>
      </c>
      <c r="F16" s="109">
        <f>VLOOKUP($A16,ANAGRAFICA!$B$1:$G$306,6,FALSE)</f>
        <v>2024</v>
      </c>
      <c r="G16" s="57" t="s">
        <v>407</v>
      </c>
      <c r="H16" s="94"/>
      <c r="I16" s="94"/>
      <c r="J16" s="94"/>
      <c r="K16" s="94"/>
      <c r="L16" s="94"/>
      <c r="M16" s="57" t="s">
        <v>1282</v>
      </c>
      <c r="N16" s="57" t="s">
        <v>407</v>
      </c>
      <c r="O16" s="94" t="b">
        <v>0</v>
      </c>
      <c r="P16" s="94" t="b">
        <v>0</v>
      </c>
      <c r="Q16" s="110">
        <v>45409.0</v>
      </c>
      <c r="R16" s="57" t="s">
        <v>332</v>
      </c>
      <c r="S16" s="57">
        <v>7.18</v>
      </c>
      <c r="T16" s="57">
        <v>205.0</v>
      </c>
      <c r="U16" s="57">
        <v>50.0</v>
      </c>
      <c r="V16" s="57">
        <v>18.7</v>
      </c>
      <c r="W16" s="57">
        <v>13.3</v>
      </c>
      <c r="X16" s="57">
        <v>-9.2</v>
      </c>
      <c r="Y16" s="57">
        <v>8.5</v>
      </c>
      <c r="Z16" s="57">
        <v>26.0</v>
      </c>
      <c r="AA16" s="57">
        <v>98.3</v>
      </c>
      <c r="AB16" s="94" t="b">
        <v>0</v>
      </c>
      <c r="AC16" s="94"/>
      <c r="AD16" s="94"/>
      <c r="AE16" s="94"/>
      <c r="AF16" s="94"/>
    </row>
    <row r="17">
      <c r="A17" s="57">
        <v>2.124007138E9</v>
      </c>
      <c r="B17" s="109" t="str">
        <f>VLOOKUP($A17,ANAGRAFICA!$B$1:$G$306,2,FALSE)</f>
        <v>TARTARELLI</v>
      </c>
      <c r="C17" s="109" t="str">
        <f>VLOOKUP($A17,ANAGRAFICA!$B$1:$G$306,3,FALSE)</f>
        <v>GIUSEPPE</v>
      </c>
      <c r="D17" s="109" t="str">
        <f>VLOOKUP($A17,ANAGRAFICA!$B$1:$G$306,4,FALSE)</f>
        <v/>
      </c>
      <c r="E17" s="109">
        <f>VLOOKUP($A17,ANAGRAFICA!$B$1:$G$306,5,FALSE)</f>
        <v>3272024063</v>
      </c>
      <c r="F17" s="109">
        <f>VLOOKUP($A17,ANAGRAFICA!$B$1:$G$306,6,FALSE)</f>
        <v>2024</v>
      </c>
      <c r="G17" s="57" t="s">
        <v>452</v>
      </c>
      <c r="H17" s="57" t="s">
        <v>1396</v>
      </c>
      <c r="I17" s="57">
        <v>25.0</v>
      </c>
      <c r="J17" s="94"/>
      <c r="K17" s="94"/>
      <c r="L17" s="94"/>
      <c r="M17" s="57" t="s">
        <v>1406</v>
      </c>
      <c r="N17" s="57" t="s">
        <v>452</v>
      </c>
      <c r="O17" s="94" t="b">
        <v>0</v>
      </c>
      <c r="P17" s="94" t="b">
        <v>0</v>
      </c>
      <c r="Q17" s="110">
        <v>45395.0</v>
      </c>
      <c r="R17" s="57" t="s">
        <v>809</v>
      </c>
      <c r="S17" s="57">
        <v>7.19</v>
      </c>
      <c r="T17" s="57">
        <v>184.0</v>
      </c>
      <c r="U17" s="57">
        <v>40.0</v>
      </c>
      <c r="V17" s="57">
        <v>15.3</v>
      </c>
      <c r="W17" s="57">
        <v>11.6</v>
      </c>
      <c r="X17" s="57">
        <v>-12.9</v>
      </c>
      <c r="Y17" s="57">
        <v>12.6</v>
      </c>
      <c r="Z17" s="57">
        <v>38.0</v>
      </c>
      <c r="AA17" s="57">
        <v>97.6</v>
      </c>
      <c r="AB17" s="94" t="b">
        <v>0</v>
      </c>
      <c r="AC17" s="94"/>
      <c r="AD17" s="94"/>
      <c r="AE17" s="94"/>
      <c r="AF17" s="94"/>
    </row>
    <row r="18">
      <c r="A18" s="57">
        <v>2.12400578E9</v>
      </c>
      <c r="B18" s="109" t="str">
        <f>VLOOKUP($A18,ANAGRAFICA!$B$1:$G$306,2,FALSE)</f>
        <v>SAINCIUC</v>
      </c>
      <c r="C18" s="109" t="str">
        <f>VLOOKUP($A18,ANAGRAFICA!$B$1:$G$306,3,FALSE)</f>
        <v>AUREL</v>
      </c>
      <c r="D18" s="109" t="str">
        <f>VLOOKUP($A18,ANAGRAFICA!$B$1:$G$306,4,FALSE)</f>
        <v/>
      </c>
      <c r="E18" s="109">
        <f>VLOOKUP($A18,ANAGRAFICA!$B$1:$G$306,5,FALSE)</f>
        <v>3272024061</v>
      </c>
      <c r="F18" s="109">
        <f>VLOOKUP($A18,ANAGRAFICA!$B$1:$G$306,6,FALSE)</f>
        <v>2024</v>
      </c>
      <c r="G18" s="57" t="s">
        <v>442</v>
      </c>
      <c r="H18" s="57" t="s">
        <v>1388</v>
      </c>
      <c r="I18" s="57">
        <v>27.0</v>
      </c>
      <c r="J18" s="94"/>
      <c r="K18" s="94"/>
      <c r="L18" s="94"/>
      <c r="M18" s="57" t="s">
        <v>1406</v>
      </c>
      <c r="N18" s="57" t="s">
        <v>442</v>
      </c>
      <c r="O18" s="94" t="b">
        <v>0</v>
      </c>
      <c r="P18" s="94" t="b">
        <v>0</v>
      </c>
      <c r="Q18" s="110">
        <v>45376.0</v>
      </c>
      <c r="R18" s="57" t="s">
        <v>1536</v>
      </c>
      <c r="S18" s="57" t="s">
        <v>899</v>
      </c>
      <c r="T18" s="57">
        <v>45.0</v>
      </c>
      <c r="U18" s="57">
        <v>54.0</v>
      </c>
      <c r="V18" s="57">
        <v>9.6</v>
      </c>
      <c r="W18" s="57">
        <v>13.2</v>
      </c>
      <c r="X18" s="57">
        <v>-23.9</v>
      </c>
      <c r="Y18" s="57">
        <v>14.0</v>
      </c>
      <c r="Z18" s="57">
        <v>42.0</v>
      </c>
      <c r="AA18" s="57">
        <v>51.5</v>
      </c>
      <c r="AB18" s="57" t="b">
        <v>1</v>
      </c>
      <c r="AC18" s="94"/>
      <c r="AD18" s="94"/>
      <c r="AE18" s="94"/>
      <c r="AF18" s="94"/>
    </row>
    <row r="19">
      <c r="A19" s="57">
        <v>2.124004761E9</v>
      </c>
      <c r="B19" s="109" t="str">
        <f>VLOOKUP($A19,ANAGRAFICA!$B$1:$G$306,2,FALSE)</f>
        <v>TRAMPOLIN</v>
      </c>
      <c r="C19" s="109" t="str">
        <f>VLOOKUP($A19,ANAGRAFICA!$B$1:$G$306,3,FALSE)</f>
        <v>FABIO</v>
      </c>
      <c r="D19" s="109" t="str">
        <f>VLOOKUP($A19,ANAGRAFICA!$B$1:$G$306,4,FALSE)</f>
        <v/>
      </c>
      <c r="E19" s="109">
        <f>VLOOKUP($A19,ANAGRAFICA!$B$1:$G$306,5,FALSE)</f>
        <v>3272024060</v>
      </c>
      <c r="F19" s="109">
        <f>VLOOKUP($A19,ANAGRAFICA!$B$1:$G$306,6,FALSE)</f>
        <v>2024</v>
      </c>
      <c r="G19" s="57" t="s">
        <v>79</v>
      </c>
      <c r="H19" s="57" t="s">
        <v>1472</v>
      </c>
      <c r="I19" s="57">
        <v>26.0</v>
      </c>
      <c r="J19" s="57" t="s">
        <v>516</v>
      </c>
      <c r="K19" s="57" t="s">
        <v>516</v>
      </c>
      <c r="L19" s="94"/>
      <c r="M19" s="57" t="s">
        <v>1406</v>
      </c>
      <c r="N19" s="57" t="s">
        <v>455</v>
      </c>
      <c r="O19" s="94" t="b">
        <v>0</v>
      </c>
      <c r="P19" s="94" t="b">
        <v>0</v>
      </c>
      <c r="Q19" s="110">
        <v>45361.0</v>
      </c>
      <c r="R19" s="57" t="s">
        <v>516</v>
      </c>
      <c r="S19" s="57">
        <v>6.9</v>
      </c>
      <c r="T19" s="57" t="s">
        <v>516</v>
      </c>
      <c r="U19" s="57" t="s">
        <v>516</v>
      </c>
      <c r="V19" s="57" t="s">
        <v>516</v>
      </c>
      <c r="W19" s="57">
        <v>10.0</v>
      </c>
      <c r="X19" s="57" t="s">
        <v>516</v>
      </c>
      <c r="Y19" s="57" t="s">
        <v>516</v>
      </c>
      <c r="Z19" s="57" t="s">
        <v>1537</v>
      </c>
      <c r="AA19" s="57" t="s">
        <v>516</v>
      </c>
      <c r="AB19" s="94" t="b">
        <v>0</v>
      </c>
      <c r="AC19" s="94"/>
      <c r="AD19" s="94"/>
      <c r="AE19" s="94"/>
      <c r="AF19" s="94"/>
    </row>
    <row r="20">
      <c r="A20" s="57">
        <v>2.124003924E9</v>
      </c>
      <c r="B20" s="109" t="str">
        <f>VLOOKUP($A20,ANAGRAFICA!$B$1:$G$306,2,FALSE)</f>
        <v>MUHAMMAD</v>
      </c>
      <c r="C20" s="109" t="str">
        <f>VLOOKUP($A20,ANAGRAFICA!$B$1:$G$306,3,FALSE)</f>
        <v>SHARIF</v>
      </c>
      <c r="D20" s="109" t="str">
        <f>VLOOKUP($A20,ANAGRAFICA!$B$1:$G$306,4,FALSE)</f>
        <v/>
      </c>
      <c r="E20" s="109">
        <f>VLOOKUP($A20,ANAGRAFICA!$B$1:$G$306,5,FALSE)</f>
        <v>3272024059</v>
      </c>
      <c r="F20" s="109">
        <f>VLOOKUP($A20,ANAGRAFICA!$B$1:$G$306,6,FALSE)</f>
        <v>2024</v>
      </c>
      <c r="G20" s="57" t="s">
        <v>75</v>
      </c>
      <c r="H20" s="57" t="s">
        <v>1388</v>
      </c>
      <c r="I20" s="57">
        <v>50.0</v>
      </c>
      <c r="J20" s="57" t="s">
        <v>516</v>
      </c>
      <c r="K20" s="57" t="s">
        <v>516</v>
      </c>
      <c r="L20" s="94"/>
      <c r="M20" s="57" t="s">
        <v>1406</v>
      </c>
      <c r="N20" s="57" t="s">
        <v>1538</v>
      </c>
      <c r="O20" s="94" t="b">
        <v>0</v>
      </c>
      <c r="P20" s="94" t="b">
        <v>0</v>
      </c>
      <c r="Q20" s="110">
        <v>45349.0</v>
      </c>
      <c r="R20" s="57" t="s">
        <v>842</v>
      </c>
      <c r="S20" s="57">
        <v>6.97</v>
      </c>
      <c r="T20" s="57" t="s">
        <v>1539</v>
      </c>
      <c r="U20" s="57">
        <v>226.0</v>
      </c>
      <c r="V20" s="57">
        <v>12.9</v>
      </c>
      <c r="W20" s="57">
        <v>17.0</v>
      </c>
      <c r="X20" s="57">
        <v>-18.9</v>
      </c>
      <c r="Y20" s="57">
        <v>7.4</v>
      </c>
      <c r="Z20" s="57">
        <v>22.0</v>
      </c>
      <c r="AA20" s="57">
        <v>98.6</v>
      </c>
      <c r="AB20" s="94" t="b">
        <v>0</v>
      </c>
      <c r="AC20" s="94"/>
      <c r="AD20" s="94"/>
      <c r="AE20" s="94"/>
      <c r="AF20" s="94"/>
    </row>
    <row r="21">
      <c r="A21" s="57">
        <v>2.124015827E9</v>
      </c>
      <c r="B21" s="109" t="str">
        <f>VLOOKUP($A21,ANAGRAFICA!$B$1:$G$306,2,FALSE)</f>
        <v>SCHIAVON</v>
      </c>
      <c r="C21" s="109" t="str">
        <f>VLOOKUP($A21,ANAGRAFICA!$B$1:$G$306,3,FALSE)</f>
        <v>ELIO PAOLO</v>
      </c>
      <c r="D21" s="109" t="str">
        <f>VLOOKUP($A21,ANAGRAFICA!$B$1:$G$306,4,FALSE)</f>
        <v>758-11</v>
      </c>
      <c r="E21" s="109">
        <f>VLOOKUP($A21,ANAGRAFICA!$B$1:$G$306,5,FALSE)</f>
        <v>3272024077</v>
      </c>
      <c r="F21" s="109">
        <f>VLOOKUP($A21,ANAGRAFICA!$B$1:$G$306,6,FALSE)</f>
        <v>2024</v>
      </c>
      <c r="G21" s="57" t="s">
        <v>445</v>
      </c>
      <c r="H21" s="57" t="s">
        <v>1388</v>
      </c>
      <c r="I21" s="94"/>
      <c r="J21" s="94"/>
      <c r="K21" s="94"/>
      <c r="L21" s="94"/>
      <c r="M21" s="57" t="s">
        <v>1406</v>
      </c>
      <c r="N21" s="57" t="s">
        <v>445</v>
      </c>
      <c r="O21" s="94" t="b">
        <v>0</v>
      </c>
      <c r="P21" s="94" t="b">
        <v>0</v>
      </c>
      <c r="Q21" s="110">
        <v>45543.0</v>
      </c>
      <c r="R21" s="57" t="s">
        <v>1540</v>
      </c>
      <c r="S21" s="57">
        <v>7.39</v>
      </c>
      <c r="T21" s="57">
        <v>178.0</v>
      </c>
      <c r="U21" s="57">
        <v>45.0</v>
      </c>
      <c r="V21" s="57">
        <v>27.2</v>
      </c>
      <c r="W21" s="57">
        <v>3.9</v>
      </c>
      <c r="X21" s="57">
        <v>2.2</v>
      </c>
      <c r="Y21" s="57">
        <v>13.7</v>
      </c>
      <c r="Z21" s="57">
        <v>41.0</v>
      </c>
      <c r="AA21" s="57">
        <v>95.8</v>
      </c>
      <c r="AB21" s="94" t="b">
        <v>0</v>
      </c>
      <c r="AC21" s="94"/>
      <c r="AD21" s="94"/>
      <c r="AE21" s="94"/>
      <c r="AF21" s="94"/>
    </row>
    <row r="22">
      <c r="A22" s="57">
        <v>2.124206072E9</v>
      </c>
      <c r="B22" s="109" t="str">
        <f>VLOOKUP($A22,ANAGRAFICA!$B$1:$G$306,2,FALSE)</f>
        <v>CONSONNI</v>
      </c>
      <c r="C22" s="109" t="str">
        <f>VLOOKUP($A22,ANAGRAFICA!$B$1:$G$306,3,FALSE)</f>
        <v>GIULIO</v>
      </c>
      <c r="D22" s="109" t="str">
        <f>VLOOKUP($A22,ANAGRAFICA!$B$1:$G$306,4,FALSE)</f>
        <v/>
      </c>
      <c r="E22" s="109">
        <f>VLOOKUP($A22,ANAGRAFICA!$B$1:$G$306,5,FALSE)</f>
        <v>3272024064</v>
      </c>
      <c r="F22" s="109">
        <f>VLOOKUP($A22,ANAGRAFICA!$B$1:$G$306,6,FALSE)</f>
        <v>2024</v>
      </c>
      <c r="G22" s="57" t="s">
        <v>396</v>
      </c>
      <c r="H22" s="94"/>
      <c r="I22" s="94"/>
      <c r="J22" s="94"/>
      <c r="K22" s="94"/>
      <c r="L22" s="94"/>
      <c r="M22" s="57" t="s">
        <v>1280</v>
      </c>
      <c r="N22" s="57" t="s">
        <v>396</v>
      </c>
      <c r="O22" s="94" t="b">
        <v>0</v>
      </c>
      <c r="P22" s="94" t="b">
        <v>0</v>
      </c>
      <c r="Q22" s="110">
        <v>45416.0</v>
      </c>
      <c r="R22" s="57" t="s">
        <v>1541</v>
      </c>
      <c r="S22" s="57">
        <v>7.4</v>
      </c>
      <c r="T22" s="57">
        <v>229.0</v>
      </c>
      <c r="U22" s="57">
        <v>30.0</v>
      </c>
      <c r="V22" s="57">
        <v>20.7</v>
      </c>
      <c r="W22" s="57">
        <v>4.5</v>
      </c>
      <c r="X22" s="57">
        <v>-6.2</v>
      </c>
      <c r="Y22" s="57">
        <v>8.8</v>
      </c>
      <c r="Z22" s="57">
        <v>26.0</v>
      </c>
      <c r="AA22" s="57" t="s">
        <v>1542</v>
      </c>
      <c r="AB22" s="94" t="b">
        <v>0</v>
      </c>
      <c r="AC22" s="94"/>
      <c r="AD22" s="94"/>
      <c r="AE22" s="94"/>
      <c r="AF22" s="94"/>
    </row>
    <row r="23">
      <c r="A23" s="57">
        <v>2.124023603E9</v>
      </c>
      <c r="B23" s="109" t="str">
        <f>VLOOKUP($A23,ANAGRAFICA!$B$1:$G$306,2,FALSE)</f>
        <v>MAZZARDIS </v>
      </c>
      <c r="C23" s="109" t="str">
        <f>VLOOKUP($A23,ANAGRAFICA!$B$1:$G$306,3,FALSE)</f>
        <v>DAVIDE</v>
      </c>
      <c r="D23" s="109" t="str">
        <f>VLOOKUP($A23,ANAGRAFICA!$B$1:$G$306,4,FALSE)</f>
        <v>758-19</v>
      </c>
      <c r="E23" s="109">
        <f>VLOOKUP($A23,ANAGRAFICA!$B$1:$G$306,5,FALSE)</f>
        <v>3272024085</v>
      </c>
      <c r="F23" s="109">
        <f>VLOOKUP($A23,ANAGRAFICA!$B$1:$G$306,6,FALSE)</f>
        <v>2024</v>
      </c>
      <c r="G23" s="57" t="s">
        <v>516</v>
      </c>
      <c r="H23" s="57" t="s">
        <v>1396</v>
      </c>
      <c r="I23" s="57">
        <v>40.0</v>
      </c>
      <c r="J23" s="57" t="s">
        <v>516</v>
      </c>
      <c r="K23" s="57" t="s">
        <v>516</v>
      </c>
      <c r="L23" s="57"/>
      <c r="M23" s="57" t="s">
        <v>1406</v>
      </c>
      <c r="N23" s="57" t="s">
        <v>428</v>
      </c>
      <c r="O23" s="94" t="b">
        <v>0</v>
      </c>
      <c r="P23" s="94" t="b">
        <v>0</v>
      </c>
      <c r="Q23" s="112">
        <v>45622.0</v>
      </c>
      <c r="R23" s="57" t="s">
        <v>938</v>
      </c>
      <c r="S23" s="57" t="s">
        <v>939</v>
      </c>
      <c r="T23" s="57">
        <v>58.0</v>
      </c>
      <c r="U23" s="57">
        <v>107.0</v>
      </c>
      <c r="V23" s="57" t="s">
        <v>940</v>
      </c>
      <c r="W23" s="57" t="s">
        <v>941</v>
      </c>
      <c r="X23" s="57" t="s">
        <v>940</v>
      </c>
      <c r="Y23" s="57">
        <v>16.0</v>
      </c>
      <c r="Z23" s="57">
        <v>48.0</v>
      </c>
      <c r="AA23" s="57">
        <v>60.0</v>
      </c>
      <c r="AB23" s="94" t="b">
        <v>0</v>
      </c>
      <c r="AC23" s="94"/>
      <c r="AD23" s="94"/>
      <c r="AE23" s="94"/>
      <c r="AF23" s="94"/>
    </row>
    <row r="24">
      <c r="A24" s="57">
        <v>2.124023603E9</v>
      </c>
      <c r="B24" s="109" t="str">
        <f>VLOOKUP($A24,ANAGRAFICA!$B$1:$G$306,2,FALSE)</f>
        <v>MAZZARDIS </v>
      </c>
      <c r="C24" s="109" t="str">
        <f>VLOOKUP($A24,ANAGRAFICA!$B$1:$G$306,3,FALSE)</f>
        <v>DAVIDE</v>
      </c>
      <c r="D24" s="109" t="str">
        <f>VLOOKUP($A24,ANAGRAFICA!$B$1:$G$306,4,FALSE)</f>
        <v>758-19</v>
      </c>
      <c r="E24" s="109">
        <f>VLOOKUP($A24,ANAGRAFICA!$B$1:$G$306,5,FALSE)</f>
        <v>3272024085</v>
      </c>
      <c r="F24" s="109">
        <f>VLOOKUP($A24,ANAGRAFICA!$B$1:$G$306,6,FALSE)</f>
        <v>2024</v>
      </c>
      <c r="G24" s="94"/>
      <c r="H24" s="94"/>
      <c r="I24" s="94"/>
      <c r="J24" s="94"/>
      <c r="K24" s="94"/>
      <c r="L24" s="94"/>
      <c r="M24" s="57" t="s">
        <v>1280</v>
      </c>
      <c r="N24" s="57" t="s">
        <v>1543</v>
      </c>
      <c r="O24" s="94" t="b">
        <v>0</v>
      </c>
      <c r="P24" s="94" t="b">
        <v>0</v>
      </c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 t="b">
        <v>0</v>
      </c>
      <c r="AC24" s="94"/>
      <c r="AD24" s="94"/>
      <c r="AE24" s="94"/>
      <c r="AF24" s="94"/>
    </row>
    <row r="25">
      <c r="A25" s="57">
        <v>2.124025195E9</v>
      </c>
      <c r="B25" s="109" t="str">
        <f>VLOOKUP($A25,ANAGRAFICA!$B$1:$G$306,2,FALSE)</f>
        <v>FAZIO</v>
      </c>
      <c r="C25" s="109" t="str">
        <f>VLOOKUP($A25,ANAGRAFICA!$B$1:$G$306,3,FALSE)</f>
        <v>FRANCESCO ANTONIO</v>
      </c>
      <c r="D25" s="109" t="str">
        <f>VLOOKUP($A25,ANAGRAFICA!$B$1:$G$306,4,FALSE)</f>
        <v>758-21</v>
      </c>
      <c r="E25" s="109">
        <f>VLOOKUP($A25,ANAGRAFICA!$B$1:$G$306,5,FALSE)</f>
        <v>3272024087</v>
      </c>
      <c r="F25" s="109">
        <f>VLOOKUP($A25,ANAGRAFICA!$B$1:$G$306,6,FALSE)</f>
        <v>2024</v>
      </c>
      <c r="G25" s="57" t="s">
        <v>516</v>
      </c>
      <c r="H25" s="57" t="s">
        <v>1388</v>
      </c>
      <c r="I25" s="57">
        <v>29.0</v>
      </c>
      <c r="J25" s="57" t="s">
        <v>516</v>
      </c>
      <c r="K25" s="57" t="s">
        <v>516</v>
      </c>
      <c r="L25" s="94"/>
      <c r="M25" s="57" t="s">
        <v>1406</v>
      </c>
      <c r="N25" s="57" t="s">
        <v>415</v>
      </c>
      <c r="O25" s="57" t="b">
        <v>1</v>
      </c>
      <c r="P25" s="94" t="b">
        <v>0</v>
      </c>
      <c r="Q25" s="110">
        <v>45631.0</v>
      </c>
      <c r="R25" s="57" t="s">
        <v>945</v>
      </c>
      <c r="S25" s="57">
        <v>7.02</v>
      </c>
      <c r="T25" s="57">
        <v>55.0</v>
      </c>
      <c r="U25" s="57">
        <v>56.0</v>
      </c>
      <c r="V25" s="57">
        <v>14.0</v>
      </c>
      <c r="W25" s="57">
        <v>10.0</v>
      </c>
      <c r="X25" s="57">
        <v>-17.0</v>
      </c>
      <c r="Y25" s="57">
        <v>16.9</v>
      </c>
      <c r="Z25" s="57">
        <v>51.0</v>
      </c>
      <c r="AA25" s="57">
        <v>74.0</v>
      </c>
      <c r="AB25" s="57" t="b">
        <v>1</v>
      </c>
      <c r="AC25" s="94"/>
      <c r="AD25" s="94"/>
      <c r="AE25" s="94"/>
      <c r="AF25" s="94"/>
    </row>
    <row r="26">
      <c r="A26" s="57">
        <v>2.125000348E9</v>
      </c>
      <c r="B26" s="109" t="str">
        <f>VLOOKUP($A26,ANAGRAFICA!$B$1:$G$306,2,FALSE)</f>
        <v>SLAVKOVA</v>
      </c>
      <c r="C26" s="109" t="str">
        <f>VLOOKUP($A26,ANAGRAFICA!$B$1:$G$306,3,FALSE)</f>
        <v>EVELINA PLAMENOVA</v>
      </c>
      <c r="D26" s="109" t="str">
        <f>VLOOKUP($A26,ANAGRAFICA!$B$1:$G$306,4,FALSE)</f>
        <v/>
      </c>
      <c r="E26" s="109">
        <f>VLOOKUP($A26,ANAGRAFICA!$B$1:$G$306,5,FALSE)</f>
        <v>3272025051</v>
      </c>
      <c r="F26" s="109">
        <f>VLOOKUP($A26,ANAGRAFICA!$B$1:$G$306,6,FALSE)</f>
        <v>2025</v>
      </c>
      <c r="G26" s="57" t="s">
        <v>413</v>
      </c>
      <c r="H26" s="57" t="s">
        <v>1396</v>
      </c>
      <c r="I26" s="57">
        <v>27.0</v>
      </c>
      <c r="J26" s="57" t="s">
        <v>516</v>
      </c>
      <c r="K26" s="57" t="s">
        <v>516</v>
      </c>
      <c r="L26" s="94"/>
      <c r="M26" s="57" t="s">
        <v>1280</v>
      </c>
      <c r="N26" s="57" t="s">
        <v>447</v>
      </c>
      <c r="O26" s="94" t="b">
        <v>0</v>
      </c>
      <c r="P26" s="94" t="b">
        <v>0</v>
      </c>
      <c r="Q26" s="110">
        <v>45662.0</v>
      </c>
      <c r="R26" s="57" t="s">
        <v>639</v>
      </c>
      <c r="S26" s="57">
        <v>7.2</v>
      </c>
      <c r="T26" s="57">
        <v>119.0</v>
      </c>
      <c r="U26" s="57">
        <v>32.0</v>
      </c>
      <c r="V26" s="57">
        <v>14.0</v>
      </c>
      <c r="W26" s="57">
        <v>12.5</v>
      </c>
      <c r="X26" s="57">
        <v>-15.0</v>
      </c>
      <c r="Y26" s="57">
        <v>7.9</v>
      </c>
      <c r="Z26" s="57">
        <v>24.0</v>
      </c>
      <c r="AA26" s="57">
        <v>97.7</v>
      </c>
      <c r="AB26" s="94" t="b">
        <v>0</v>
      </c>
      <c r="AC26" s="94"/>
      <c r="AD26" s="94"/>
      <c r="AE26" s="94"/>
      <c r="AF26" s="94"/>
    </row>
    <row r="27">
      <c r="A27" s="57">
        <v>2.124025878E9</v>
      </c>
      <c r="B27" s="109" t="str">
        <f>VLOOKUP($A27,ANAGRAFICA!$B$1:$G$306,2,FALSE)</f>
        <v>PEDRONI </v>
      </c>
      <c r="C27" s="109" t="str">
        <f>VLOOKUP($A27,ANAGRAFICA!$B$1:$G$306,3,FALSE)</f>
        <v>PIERANGELO</v>
      </c>
      <c r="D27" s="109" t="str">
        <f>VLOOKUP($A27,ANAGRAFICA!$B$1:$G$306,4,FALSE)</f>
        <v>758-22</v>
      </c>
      <c r="E27" s="109">
        <f>VLOOKUP($A27,ANAGRAFICA!$B$1:$G$306,5,FALSE)</f>
        <v>3272024088</v>
      </c>
      <c r="F27" s="109">
        <f>VLOOKUP($A27,ANAGRAFICA!$B$1:$G$306,6,FALSE)</f>
        <v>2024</v>
      </c>
      <c r="G27" s="57" t="s">
        <v>441</v>
      </c>
      <c r="H27" s="57" t="s">
        <v>1396</v>
      </c>
      <c r="I27" s="57">
        <v>10.0</v>
      </c>
      <c r="J27" s="57" t="s">
        <v>516</v>
      </c>
      <c r="K27" s="57" t="s">
        <v>516</v>
      </c>
      <c r="L27" s="94"/>
      <c r="M27" s="57" t="s">
        <v>1285</v>
      </c>
      <c r="N27" s="57" t="s">
        <v>318</v>
      </c>
      <c r="O27" s="94" t="b">
        <v>0</v>
      </c>
      <c r="P27" s="94" t="b">
        <v>0</v>
      </c>
      <c r="Q27" s="112">
        <v>45636.0</v>
      </c>
      <c r="R27" s="57" t="s">
        <v>639</v>
      </c>
      <c r="S27" s="57">
        <v>7.2</v>
      </c>
      <c r="T27" s="57">
        <v>360.0</v>
      </c>
      <c r="U27" s="57">
        <v>27.0</v>
      </c>
      <c r="V27" s="57">
        <v>12.5</v>
      </c>
      <c r="W27" s="57">
        <v>8.3</v>
      </c>
      <c r="X27" s="57">
        <v>-17.4</v>
      </c>
      <c r="Y27" s="57">
        <v>14.3</v>
      </c>
      <c r="Z27" s="57">
        <v>43.0</v>
      </c>
      <c r="AA27" s="57">
        <v>99.0</v>
      </c>
      <c r="AB27" s="94" t="b">
        <v>0</v>
      </c>
      <c r="AC27" s="94"/>
      <c r="AD27" s="94"/>
      <c r="AE27" s="94"/>
      <c r="AF27" s="94"/>
    </row>
    <row r="28">
      <c r="A28" s="57">
        <v>2.125004454E9</v>
      </c>
      <c r="B28" s="109" t="str">
        <f>VLOOKUP($A28,ANAGRAFICA!$B$1:$G$306,2,FALSE)</f>
        <v>ANTIGNANO</v>
      </c>
      <c r="C28" s="109" t="str">
        <f>VLOOKUP($A28,ANAGRAFICA!$B$1:$G$306,3,FALSE)</f>
        <v>MAURO</v>
      </c>
      <c r="D28" s="109" t="str">
        <f>VLOOKUP($A28,ANAGRAFICA!$B$1:$G$306,4,FALSE)</f>
        <v>758-23</v>
      </c>
      <c r="E28" s="109">
        <f>VLOOKUP($A28,ANAGRAFICA!$B$1:$G$306,5,FALSE)</f>
        <v>3272025052</v>
      </c>
      <c r="F28" s="109">
        <f>VLOOKUP($A28,ANAGRAFICA!$B$1:$G$306,6,FALSE)</f>
        <v>2025</v>
      </c>
      <c r="G28" s="57" t="s">
        <v>1463</v>
      </c>
      <c r="H28" s="57" t="s">
        <v>1388</v>
      </c>
      <c r="I28" s="57">
        <v>35.0</v>
      </c>
      <c r="J28" s="57" t="s">
        <v>516</v>
      </c>
      <c r="K28" s="57" t="s">
        <v>516</v>
      </c>
      <c r="L28" s="57" t="s">
        <v>516</v>
      </c>
      <c r="M28" s="57" t="s">
        <v>1406</v>
      </c>
      <c r="N28" s="57" t="s">
        <v>396</v>
      </c>
      <c r="O28" s="94" t="b">
        <v>0</v>
      </c>
      <c r="P28" s="94" t="b">
        <v>0</v>
      </c>
      <c r="Q28" s="110">
        <v>45688.0</v>
      </c>
      <c r="R28" s="57" t="s">
        <v>1544</v>
      </c>
      <c r="S28" s="57" t="s">
        <v>952</v>
      </c>
      <c r="T28" s="57">
        <v>481.0</v>
      </c>
      <c r="U28" s="57">
        <v>91.0</v>
      </c>
      <c r="V28" s="57" t="s">
        <v>1545</v>
      </c>
      <c r="W28" s="57" t="s">
        <v>941</v>
      </c>
      <c r="X28" s="57" t="s">
        <v>1545</v>
      </c>
      <c r="Y28" s="57">
        <v>10.1</v>
      </c>
      <c r="Z28" s="57">
        <v>30.0</v>
      </c>
      <c r="AA28" s="57">
        <v>95.3</v>
      </c>
      <c r="AB28" s="94" t="b">
        <v>0</v>
      </c>
      <c r="AC28" s="94"/>
      <c r="AD28" s="94"/>
      <c r="AE28" s="94"/>
      <c r="AF28" s="94"/>
    </row>
    <row r="29">
      <c r="A29" s="57">
        <v>2.125004867E9</v>
      </c>
      <c r="B29" s="109" t="str">
        <f>VLOOKUP($A29,ANAGRAFICA!$B$1:$G$306,2,FALSE)</f>
        <v>MARCONI</v>
      </c>
      <c r="C29" s="109" t="str">
        <f>VLOOKUP($A29,ANAGRAFICA!$B$1:$G$306,3,FALSE)</f>
        <v>PIETRO VITTORIO</v>
      </c>
      <c r="D29" s="109" t="str">
        <f>VLOOKUP($A29,ANAGRAFICA!$B$1:$G$306,4,FALSE)</f>
        <v/>
      </c>
      <c r="E29" s="154" t="s">
        <v>691</v>
      </c>
      <c r="F29" s="109">
        <f>VLOOKUP($A29,ANAGRAFICA!$B$1:$G$306,6,FALSE)</f>
        <v>2025</v>
      </c>
      <c r="G29" s="57" t="s">
        <v>213</v>
      </c>
      <c r="H29" s="57" t="s">
        <v>1388</v>
      </c>
      <c r="I29" s="57">
        <v>27.0</v>
      </c>
      <c r="J29" s="57" t="s">
        <v>516</v>
      </c>
      <c r="K29" s="57" t="s">
        <v>516</v>
      </c>
      <c r="L29" s="57" t="s">
        <v>516</v>
      </c>
      <c r="M29" s="57" t="s">
        <v>1406</v>
      </c>
      <c r="N29" s="57" t="s">
        <v>423</v>
      </c>
      <c r="O29" s="94" t="b">
        <v>0</v>
      </c>
      <c r="P29" s="94" t="b">
        <v>0</v>
      </c>
      <c r="Q29" s="110">
        <v>45691.0</v>
      </c>
      <c r="R29" s="57" t="s">
        <v>45</v>
      </c>
      <c r="S29" s="57">
        <v>7.26</v>
      </c>
      <c r="T29" s="57">
        <v>87.0</v>
      </c>
      <c r="U29" s="57">
        <v>37.0</v>
      </c>
      <c r="V29" s="57">
        <v>17.4</v>
      </c>
      <c r="W29" s="57">
        <v>9.2</v>
      </c>
      <c r="X29" s="57">
        <v>-10.5</v>
      </c>
      <c r="Y29" s="57">
        <v>112.0</v>
      </c>
      <c r="Z29" s="57">
        <v>34.0</v>
      </c>
      <c r="AA29" s="57">
        <v>96.8</v>
      </c>
      <c r="AB29" s="94" t="b">
        <v>0</v>
      </c>
      <c r="AC29" s="94"/>
      <c r="AD29" s="94"/>
      <c r="AE29" s="94"/>
      <c r="AF29" s="94"/>
    </row>
    <row r="30">
      <c r="A30" s="57">
        <v>2.025010247E9</v>
      </c>
      <c r="B30" s="109" t="str">
        <f>VLOOKUP($A30,ANAGRAFICA!$B$1:$G$306,2,FALSE)</f>
        <v>TREMOLADA</v>
      </c>
      <c r="C30" s="109" t="str">
        <f>VLOOKUP($A30,ANAGRAFICA!$B$1:$G$306,3,FALSE)</f>
        <v>MARCO</v>
      </c>
      <c r="D30" s="109" t="str">
        <f>VLOOKUP($A30,ANAGRAFICA!$B$1:$G$306,4,FALSE)</f>
        <v>758-25</v>
      </c>
      <c r="E30" s="109">
        <f>VLOOKUP($A30,ANAGRAFICA!$B$1:$G$306,5,FALSE)</f>
        <v>3272025054</v>
      </c>
      <c r="F30" s="109">
        <f>VLOOKUP($A30,ANAGRAFICA!$B$1:$G$306,6,FALSE)</f>
        <v>2025</v>
      </c>
      <c r="G30" s="57" t="s">
        <v>1401</v>
      </c>
      <c r="H30" s="57" t="s">
        <v>1396</v>
      </c>
      <c r="I30" s="57">
        <v>14.0</v>
      </c>
      <c r="J30" s="57" t="s">
        <v>516</v>
      </c>
      <c r="K30" s="57" t="s">
        <v>516</v>
      </c>
      <c r="L30" s="57" t="s">
        <v>516</v>
      </c>
      <c r="M30" s="57" t="s">
        <v>1285</v>
      </c>
      <c r="N30" s="57" t="s">
        <v>1317</v>
      </c>
      <c r="O30" s="57" t="b">
        <v>0</v>
      </c>
      <c r="P30" s="94" t="b">
        <v>0</v>
      </c>
      <c r="Q30" s="110">
        <v>45720.0</v>
      </c>
      <c r="R30" s="57" t="s">
        <v>655</v>
      </c>
      <c r="S30" s="57">
        <v>7.08</v>
      </c>
      <c r="T30" s="57">
        <v>550.0</v>
      </c>
      <c r="U30" s="57">
        <v>42.0</v>
      </c>
      <c r="V30" s="57">
        <v>11.6</v>
      </c>
      <c r="W30" s="57">
        <v>9.9</v>
      </c>
      <c r="X30" s="57">
        <v>-17.1</v>
      </c>
      <c r="Y30" s="57" t="s">
        <v>1546</v>
      </c>
      <c r="Z30" s="57" t="s">
        <v>1546</v>
      </c>
      <c r="AA30" s="57">
        <v>98.1</v>
      </c>
      <c r="AB30" s="94" t="b">
        <v>0</v>
      </c>
      <c r="AC30" s="94"/>
      <c r="AD30" s="94"/>
      <c r="AE30" s="94"/>
      <c r="AF30" s="94"/>
    </row>
    <row r="31">
      <c r="A31" s="57">
        <v>2.025010247E9</v>
      </c>
      <c r="B31" s="109" t="str">
        <f>VLOOKUP($A31,ANAGRAFICA!$B$1:$G$306,2,FALSE)</f>
        <v>TREMOLADA</v>
      </c>
      <c r="C31" s="109" t="str">
        <f>VLOOKUP($A31,ANAGRAFICA!$B$1:$G$306,3,FALSE)</f>
        <v>MARCO</v>
      </c>
      <c r="D31" s="109" t="str">
        <f>VLOOKUP($A31,ANAGRAFICA!$B$1:$G$306,4,FALSE)</f>
        <v>758-25</v>
      </c>
      <c r="E31" s="109">
        <f>VLOOKUP($A31,ANAGRAFICA!$B$1:$G$306,5,FALSE)</f>
        <v>3272025054</v>
      </c>
      <c r="F31" s="109">
        <f>VLOOKUP($A31,ANAGRAFICA!$B$1:$G$306,6,FALSE)</f>
        <v>2025</v>
      </c>
      <c r="G31" s="57" t="s">
        <v>446</v>
      </c>
      <c r="H31" s="57" t="s">
        <v>943</v>
      </c>
      <c r="I31" s="57">
        <v>39.0</v>
      </c>
      <c r="J31" s="57">
        <v>65.0</v>
      </c>
      <c r="K31" s="94"/>
      <c r="L31" s="94"/>
      <c r="M31" s="57" t="s">
        <v>1280</v>
      </c>
      <c r="N31" s="57" t="s">
        <v>216</v>
      </c>
      <c r="O31" s="94" t="b">
        <v>0</v>
      </c>
      <c r="P31" s="94" t="b">
        <v>0</v>
      </c>
      <c r="Q31" s="110">
        <v>45732.0</v>
      </c>
      <c r="R31" s="57" t="s">
        <v>1547</v>
      </c>
      <c r="S31" s="57">
        <v>7.4</v>
      </c>
      <c r="T31" s="57">
        <v>238.0</v>
      </c>
      <c r="U31" s="57">
        <v>42.0</v>
      </c>
      <c r="V31" s="57">
        <v>26.0</v>
      </c>
      <c r="W31" s="57">
        <v>1.6</v>
      </c>
      <c r="X31" s="57">
        <v>1.2</v>
      </c>
      <c r="Y31" s="57">
        <v>8.6</v>
      </c>
      <c r="Z31" s="57">
        <v>25.8</v>
      </c>
      <c r="AA31" s="57">
        <v>97.0</v>
      </c>
      <c r="AB31" s="94" t="b">
        <v>0</v>
      </c>
      <c r="AC31" s="94"/>
      <c r="AD31" s="94"/>
      <c r="AE31" s="94"/>
      <c r="AF31" s="94"/>
    </row>
    <row r="32">
      <c r="A32" s="57">
        <v>2.125020858E9</v>
      </c>
      <c r="B32" s="109" t="str">
        <f>VLOOKUP($A32,ANAGRAFICA!$B$1:$G$306,2,FALSE)</f>
        <v>FALVO</v>
      </c>
      <c r="C32" s="109" t="str">
        <f>VLOOKUP($A32,ANAGRAFICA!$B$1:$G$306,3,FALSE)</f>
        <v>FRANCESCO</v>
      </c>
      <c r="D32" s="109" t="str">
        <f>VLOOKUP($A32,ANAGRAFICA!$B$1:$G$306,4,FALSE)</f>
        <v/>
      </c>
      <c r="E32" s="109">
        <f>VLOOKUP($A32,ANAGRAFICA!$B$1:$G$306,5,FALSE)</f>
        <v>3272025055</v>
      </c>
      <c r="F32" s="109">
        <f>VLOOKUP($A32,ANAGRAFICA!$B$1:$G$306,6,FALSE)</f>
        <v>2025</v>
      </c>
      <c r="G32" s="57" t="s">
        <v>224</v>
      </c>
      <c r="H32" s="57" t="s">
        <v>1472</v>
      </c>
      <c r="I32" s="57">
        <v>15.0</v>
      </c>
      <c r="J32" s="57" t="s">
        <v>516</v>
      </c>
      <c r="K32" s="57" t="s">
        <v>516</v>
      </c>
      <c r="L32" s="57" t="s">
        <v>516</v>
      </c>
      <c r="M32" s="57" t="s">
        <v>1406</v>
      </c>
      <c r="N32" s="57" t="s">
        <v>460</v>
      </c>
      <c r="O32" s="94" t="b">
        <v>0</v>
      </c>
      <c r="P32" s="94" t="b">
        <v>0</v>
      </c>
      <c r="Q32" s="110">
        <v>45787.0</v>
      </c>
      <c r="R32" s="57" t="s">
        <v>1548</v>
      </c>
      <c r="S32" s="57" t="s">
        <v>899</v>
      </c>
      <c r="T32" s="57">
        <v>80.0</v>
      </c>
      <c r="U32" s="57">
        <v>81.0</v>
      </c>
      <c r="V32" s="57" t="s">
        <v>1549</v>
      </c>
      <c r="W32" s="57">
        <v>15.5</v>
      </c>
      <c r="X32" s="57" t="s">
        <v>1549</v>
      </c>
      <c r="Y32" s="57">
        <v>11.2</v>
      </c>
      <c r="Z32" s="57">
        <v>34.0</v>
      </c>
      <c r="AA32" s="57">
        <v>85.0</v>
      </c>
      <c r="AB32" s="94" t="b">
        <v>0</v>
      </c>
      <c r="AC32" s="94"/>
      <c r="AD32" s="94"/>
      <c r="AE32" s="94"/>
      <c r="AF32" s="94"/>
    </row>
    <row r="33">
      <c r="A33" s="57">
        <v>2.125023093E9</v>
      </c>
      <c r="B33" s="109" t="str">
        <f>VLOOKUP($A33,ANAGRAFICA!$B$1:$G$306,2,FALSE)</f>
        <v>GHEZZI</v>
      </c>
      <c r="C33" s="109" t="str">
        <f>VLOOKUP($A33,ANAGRAFICA!$B$1:$G$306,3,FALSE)</f>
        <v>FABIO</v>
      </c>
      <c r="D33" s="109" t="str">
        <f>VLOOKUP($A33,ANAGRAFICA!$B$1:$G$306,4,FALSE)</f>
        <v>758-28</v>
      </c>
      <c r="E33" s="109">
        <f>VLOOKUP($A33,ANAGRAFICA!$B$1:$G$306,5,FALSE)</f>
        <v>3272025056</v>
      </c>
      <c r="F33" s="109">
        <f>VLOOKUP($A33,ANAGRAFICA!$B$1:$G$306,6,FALSE)</f>
        <v>2025</v>
      </c>
      <c r="G33" s="57" t="s">
        <v>1478</v>
      </c>
      <c r="H33" s="57" t="s">
        <v>1472</v>
      </c>
      <c r="I33" s="57">
        <v>18.0</v>
      </c>
      <c r="J33" s="57" t="s">
        <v>516</v>
      </c>
      <c r="K33" s="57" t="s">
        <v>516</v>
      </c>
      <c r="L33" s="57" t="s">
        <v>516</v>
      </c>
      <c r="M33" s="57" t="s">
        <v>1406</v>
      </c>
      <c r="N33" s="57" t="s">
        <v>462</v>
      </c>
      <c r="O33" s="94" t="b">
        <v>0</v>
      </c>
      <c r="P33" s="94" t="b">
        <v>0</v>
      </c>
      <c r="Q33" s="110">
        <v>45800.0</v>
      </c>
      <c r="R33" s="57" t="s">
        <v>951</v>
      </c>
      <c r="S33" s="57" t="s">
        <v>952</v>
      </c>
      <c r="T33" s="57">
        <v>45.0</v>
      </c>
      <c r="U33" s="57">
        <v>74.0</v>
      </c>
      <c r="V33" s="57" t="s">
        <v>516</v>
      </c>
      <c r="W33" s="57">
        <v>14.9</v>
      </c>
      <c r="X33" s="57" t="s">
        <v>516</v>
      </c>
      <c r="Y33" s="57">
        <v>13.8</v>
      </c>
      <c r="Z33" s="57" t="s">
        <v>516</v>
      </c>
      <c r="AA33" s="57">
        <v>50.5</v>
      </c>
      <c r="AB33" s="94" t="b">
        <v>0</v>
      </c>
      <c r="AC33" s="94"/>
      <c r="AD33" s="94"/>
      <c r="AE33" s="94"/>
      <c r="AF33" s="94"/>
    </row>
    <row r="34">
      <c r="A34" s="57">
        <v>2.125025861E9</v>
      </c>
      <c r="B34" s="154" t="s">
        <v>238</v>
      </c>
      <c r="C34" s="154" t="s">
        <v>239</v>
      </c>
      <c r="D34" s="109"/>
      <c r="E34" s="154" t="s">
        <v>1550</v>
      </c>
      <c r="F34" s="154" t="s">
        <v>741</v>
      </c>
      <c r="G34" s="57" t="s">
        <v>116</v>
      </c>
      <c r="H34" s="57" t="s">
        <v>1551</v>
      </c>
      <c r="I34" s="57">
        <v>62.0</v>
      </c>
      <c r="J34" s="57">
        <v>90.0</v>
      </c>
      <c r="K34" s="57" t="s">
        <v>516</v>
      </c>
      <c r="L34" s="57" t="s">
        <v>516</v>
      </c>
      <c r="M34" s="57" t="s">
        <v>1406</v>
      </c>
      <c r="N34" s="57" t="s">
        <v>116</v>
      </c>
      <c r="O34" s="57" t="b">
        <v>1</v>
      </c>
      <c r="P34" s="57" t="b">
        <v>1</v>
      </c>
      <c r="Q34" s="110">
        <v>45818.0</v>
      </c>
      <c r="R34" s="57" t="s">
        <v>1552</v>
      </c>
      <c r="S34" s="57">
        <v>7.12</v>
      </c>
      <c r="T34" s="57">
        <v>170.0</v>
      </c>
      <c r="U34" s="57">
        <v>61.0</v>
      </c>
      <c r="V34" s="57">
        <v>19.8</v>
      </c>
      <c r="W34" s="57">
        <v>4.8</v>
      </c>
      <c r="X34" s="57">
        <v>-9.5</v>
      </c>
      <c r="Y34" s="57">
        <v>15.7</v>
      </c>
      <c r="Z34" s="57">
        <v>47.0</v>
      </c>
      <c r="AA34" s="57">
        <v>93.7</v>
      </c>
      <c r="AB34" s="94" t="b">
        <v>0</v>
      </c>
      <c r="AC34" s="94"/>
      <c r="AD34" s="94"/>
      <c r="AE34" s="94"/>
      <c r="AF34" s="94"/>
    </row>
    <row r="35">
      <c r="A35" s="57">
        <v>2.125026559E9</v>
      </c>
      <c r="B35" s="109" t="str">
        <f>VLOOKUP($A35,ANAGRAFICA!$B$1:$G$306,2,FALSE)</f>
        <v>VEDUTI</v>
      </c>
      <c r="C35" s="109" t="str">
        <f>VLOOKUP($A35,ANAGRAFICA!$B$1:$G$306,3,FALSE)</f>
        <v>LORENZO</v>
      </c>
      <c r="D35" s="109" t="str">
        <f>VLOOKUP($A35,ANAGRAFICA!$B$1:$G$306,4,FALSE)</f>
        <v>758-32</v>
      </c>
      <c r="E35" s="109">
        <f>VLOOKUP($A35,ANAGRAFICA!$B$1:$G$306,5,FALSE)</f>
        <v>3272025059</v>
      </c>
      <c r="F35" s="109">
        <f>VLOOKUP($A35,ANAGRAFICA!$B$1:$G$306,6,FALSE)</f>
        <v>2025</v>
      </c>
      <c r="G35" s="57" t="s">
        <v>470</v>
      </c>
      <c r="H35" s="57" t="s">
        <v>1472</v>
      </c>
      <c r="I35" s="57">
        <v>108.0</v>
      </c>
      <c r="J35" s="57" t="s">
        <v>516</v>
      </c>
      <c r="K35" s="57" t="s">
        <v>516</v>
      </c>
      <c r="L35" s="57" t="s">
        <v>516</v>
      </c>
      <c r="M35" s="57" t="s">
        <v>1406</v>
      </c>
      <c r="N35" s="57" t="s">
        <v>470</v>
      </c>
      <c r="O35" s="94" t="b">
        <v>0</v>
      </c>
      <c r="P35" s="94" t="b">
        <v>0</v>
      </c>
      <c r="Q35" s="110">
        <v>45824.0</v>
      </c>
      <c r="R35" s="57" t="s">
        <v>1415</v>
      </c>
      <c r="S35" s="57" t="s">
        <v>899</v>
      </c>
      <c r="T35" s="57">
        <v>380.0</v>
      </c>
      <c r="U35" s="57">
        <v>51.0</v>
      </c>
      <c r="V35" s="57">
        <v>10.5</v>
      </c>
      <c r="W35" s="57" t="s">
        <v>941</v>
      </c>
      <c r="X35" s="57">
        <v>-22.1</v>
      </c>
      <c r="Y35" s="57">
        <v>13.2</v>
      </c>
      <c r="Z35" s="57">
        <v>40.0</v>
      </c>
      <c r="AA35" s="57">
        <v>98.1</v>
      </c>
      <c r="AB35" s="94" t="b">
        <v>0</v>
      </c>
      <c r="AC35" s="94"/>
      <c r="AD35" s="94"/>
      <c r="AE35" s="94"/>
      <c r="AF35" s="94"/>
    </row>
    <row r="36">
      <c r="A36" s="57">
        <v>2.125027331E9</v>
      </c>
      <c r="B36" s="109" t="str">
        <f>VLOOKUP($A36,ANAGRAFICA!$B$1:$G$306,2,FALSE)</f>
        <v>QUARIN</v>
      </c>
      <c r="C36" s="109" t="str">
        <f>VLOOKUP($A36,ANAGRAFICA!$B$1:$G$306,3,FALSE)</f>
        <v>FRANCO</v>
      </c>
      <c r="D36" s="109" t="str">
        <f>VLOOKUP($A36,ANAGRAFICA!$B$1:$G$306,4,FALSE)</f>
        <v>758-34</v>
      </c>
      <c r="E36" s="109" t="str">
        <f>VLOOKUP($A36,ANAGRAFICA!$B$1:$G$306,5,FALSE)</f>
        <v/>
      </c>
      <c r="F36" s="109">
        <f>VLOOKUP($A36,ANAGRAFICA!$B$1:$G$306,6,FALSE)</f>
        <v>2025</v>
      </c>
      <c r="G36" s="94"/>
      <c r="H36" s="57" t="s">
        <v>1553</v>
      </c>
      <c r="I36" s="57">
        <v>30.0</v>
      </c>
      <c r="J36" s="57" t="s">
        <v>516</v>
      </c>
      <c r="K36" s="57" t="s">
        <v>516</v>
      </c>
      <c r="L36" s="57" t="s">
        <v>516</v>
      </c>
      <c r="M36" s="57" t="s">
        <v>1406</v>
      </c>
      <c r="N36" s="57" t="s">
        <v>475</v>
      </c>
      <c r="O36" s="94" t="b">
        <v>0</v>
      </c>
      <c r="P36" s="94" t="b">
        <v>0</v>
      </c>
      <c r="Q36" s="110">
        <v>45828.0</v>
      </c>
      <c r="R36" s="57" t="s">
        <v>1554</v>
      </c>
      <c r="S36" s="57">
        <v>7.13</v>
      </c>
      <c r="T36" s="57">
        <v>71.0</v>
      </c>
      <c r="U36" s="57">
        <v>40.0</v>
      </c>
      <c r="V36" s="57">
        <v>12.8</v>
      </c>
      <c r="W36" s="57">
        <v>12.0</v>
      </c>
      <c r="X36" s="57">
        <v>-15.9</v>
      </c>
      <c r="Y36" s="57">
        <v>15.1</v>
      </c>
      <c r="Z36" s="57">
        <v>45.0</v>
      </c>
      <c r="AA36" s="57">
        <v>91.3</v>
      </c>
      <c r="AB36" s="94" t="b">
        <v>0</v>
      </c>
      <c r="AC36" s="94"/>
      <c r="AD36" s="94"/>
      <c r="AE36" s="94"/>
      <c r="AF36" s="94"/>
    </row>
    <row r="37">
      <c r="A37" s="57">
        <v>2.125029623E9</v>
      </c>
      <c r="B37" s="109" t="str">
        <f>VLOOKUP($A37,ANAGRAFICA!$B$1:$G$306,2,FALSE)</f>
        <v>IANDIORIO</v>
      </c>
      <c r="C37" s="109" t="str">
        <f>VLOOKUP($A37,ANAGRAFICA!$B$1:$G$306,3,FALSE)</f>
        <v>ALDO NATALINO</v>
      </c>
      <c r="D37" s="109" t="str">
        <f>VLOOKUP($A37,ANAGRAFICA!$B$1:$G$306,4,FALSE)</f>
        <v>758-36</v>
      </c>
      <c r="E37" s="109">
        <f>VLOOKUP($A37,ANAGRAFICA!$B$1:$G$306,5,FALSE)</f>
        <v>3272025062</v>
      </c>
      <c r="F37" s="109">
        <f>VLOOKUP($A37,ANAGRAFICA!$B$1:$G$306,6,FALSE)</f>
        <v>2025</v>
      </c>
      <c r="G37" s="3" t="s">
        <v>270</v>
      </c>
      <c r="H37" s="57" t="s">
        <v>943</v>
      </c>
      <c r="I37" s="94"/>
      <c r="J37" s="94"/>
      <c r="K37" s="94"/>
      <c r="L37" s="94"/>
      <c r="M37" s="57" t="s">
        <v>1285</v>
      </c>
      <c r="N37" s="94"/>
      <c r="O37" s="94" t="b">
        <v>0</v>
      </c>
      <c r="P37" s="94" t="b">
        <v>0</v>
      </c>
      <c r="Q37" s="124">
        <v>45845.0</v>
      </c>
      <c r="R37" s="94"/>
      <c r="S37" s="57">
        <v>7.41</v>
      </c>
      <c r="T37" s="57">
        <v>172.0</v>
      </c>
      <c r="U37" s="57">
        <v>44.0</v>
      </c>
      <c r="V37" s="57">
        <v>27.2</v>
      </c>
      <c r="W37" s="57">
        <v>4.5</v>
      </c>
      <c r="X37" s="57">
        <v>3.1</v>
      </c>
      <c r="Y37" s="57">
        <v>8.3</v>
      </c>
      <c r="Z37" s="94"/>
      <c r="AA37" s="94"/>
      <c r="AB37" s="94" t="b">
        <v>0</v>
      </c>
      <c r="AC37" s="94"/>
      <c r="AD37" s="94"/>
      <c r="AE37" s="94"/>
      <c r="AF37" s="94"/>
    </row>
    <row r="38">
      <c r="A38" s="57">
        <v>2.125026384E9</v>
      </c>
      <c r="B38" s="109" t="str">
        <f>VLOOKUP($A38,ANAGRAFICA!$B$1:$G$306,2,FALSE)</f>
        <v>PRINCIPATO</v>
      </c>
      <c r="C38" s="109" t="str">
        <f>VLOOKUP($A38,ANAGRAFICA!$B$1:$G$306,3,FALSE)</f>
        <v>FRANCO ANGELO</v>
      </c>
      <c r="D38" s="109" t="str">
        <f>VLOOKUP($A38,ANAGRAFICA!$B$1:$G$306,4,FALSE)</f>
        <v>758-35</v>
      </c>
      <c r="E38" s="109">
        <f>VLOOKUP($A38,ANAGRAFICA!$B$1:$G$306,5,FALSE)</f>
        <v>3272025061</v>
      </c>
      <c r="F38" s="109">
        <f>VLOOKUP($A38,ANAGRAFICA!$B$1:$G$306,6,FALSE)</f>
        <v>2025</v>
      </c>
      <c r="G38" s="57" t="s">
        <v>639</v>
      </c>
      <c r="H38" s="57" t="s">
        <v>1396</v>
      </c>
      <c r="I38" s="57" t="s">
        <v>516</v>
      </c>
      <c r="J38" s="57" t="s">
        <v>516</v>
      </c>
      <c r="K38" s="57" t="s">
        <v>516</v>
      </c>
      <c r="L38" s="57" t="s">
        <v>516</v>
      </c>
      <c r="M38" s="57" t="s">
        <v>1293</v>
      </c>
      <c r="N38" s="57" t="s">
        <v>639</v>
      </c>
      <c r="O38" s="57" t="b">
        <v>1</v>
      </c>
      <c r="P38" s="57" t="b">
        <v>1</v>
      </c>
      <c r="Q38" s="110">
        <v>45832.0</v>
      </c>
      <c r="R38" s="57" t="s">
        <v>292</v>
      </c>
      <c r="S38" s="57">
        <v>7.37</v>
      </c>
      <c r="T38" s="94"/>
      <c r="U38" s="57">
        <v>16.0</v>
      </c>
      <c r="V38" s="57">
        <v>14.0</v>
      </c>
      <c r="W38" s="57">
        <v>11.6</v>
      </c>
      <c r="X38" s="57">
        <v>-16.0</v>
      </c>
      <c r="Y38" s="94"/>
      <c r="Z38" s="94"/>
      <c r="AA38" s="94"/>
      <c r="AB38" s="94" t="b">
        <v>0</v>
      </c>
      <c r="AC38" s="94"/>
      <c r="AD38" s="94"/>
      <c r="AE38" s="94"/>
      <c r="AF38" s="94"/>
    </row>
    <row r="39">
      <c r="A39" s="57">
        <v>2.125032902E9</v>
      </c>
      <c r="B39" s="109" t="str">
        <f>VLOOKUP($A39,ANAGRAFICA!$B$1:$G$306,2,FALSE)</f>
        <v>BRAIDA</v>
      </c>
      <c r="C39" s="109" t="str">
        <f>VLOOKUP($A39,ANAGRAFICA!$B$1:$G$306,3,FALSE)</f>
        <v>ILARIO</v>
      </c>
      <c r="D39" s="109" t="str">
        <f>VLOOKUP($A39,ANAGRAFICA!$B$1:$G$306,4,FALSE)</f>
        <v>758-37</v>
      </c>
      <c r="E39" s="109">
        <f>VLOOKUP($A39,ANAGRAFICA!$B$1:$G$306,5,FALSE)</f>
        <v>3272025063</v>
      </c>
      <c r="F39" s="109">
        <f>VLOOKUP($A39,ANAGRAFICA!$B$1:$G$306,6,FALSE)</f>
        <v>2025</v>
      </c>
      <c r="G39" s="57" t="s">
        <v>480</v>
      </c>
      <c r="H39" s="57" t="s">
        <v>1553</v>
      </c>
      <c r="I39" s="57" t="s">
        <v>516</v>
      </c>
      <c r="J39" s="57" t="s">
        <v>516</v>
      </c>
      <c r="K39" s="57" t="s">
        <v>516</v>
      </c>
      <c r="L39" s="57" t="s">
        <v>516</v>
      </c>
      <c r="M39" s="57" t="s">
        <v>1406</v>
      </c>
      <c r="N39" s="57" t="s">
        <v>1555</v>
      </c>
      <c r="O39" s="94" t="b">
        <v>0</v>
      </c>
      <c r="P39" s="94" t="b">
        <v>0</v>
      </c>
      <c r="Q39" s="110">
        <v>45870.0</v>
      </c>
      <c r="R39" s="57" t="s">
        <v>1556</v>
      </c>
      <c r="S39" s="57" t="s">
        <v>899</v>
      </c>
      <c r="T39" s="57">
        <v>154.0</v>
      </c>
      <c r="U39" s="57">
        <v>48.0</v>
      </c>
      <c r="V39" s="57">
        <v>5.0</v>
      </c>
      <c r="W39" s="57" t="s">
        <v>941</v>
      </c>
      <c r="X39" s="57">
        <v>-26.0</v>
      </c>
      <c r="Y39" s="57">
        <v>10.5</v>
      </c>
      <c r="Z39" s="57">
        <v>32.0</v>
      </c>
      <c r="AA39" s="57">
        <v>97.8</v>
      </c>
      <c r="AB39" s="94" t="b">
        <v>0</v>
      </c>
      <c r="AC39" s="94"/>
      <c r="AD39" s="94"/>
      <c r="AE39" s="94"/>
      <c r="AF39" s="94"/>
    </row>
    <row r="40">
      <c r="A40" s="57">
        <v>2.125026869E9</v>
      </c>
      <c r="B40" s="109" t="str">
        <f>VLOOKUP($A40,ANAGRAFICA!$B$1:$G$306,2,FALSE)</f>
        <v>NACCARI</v>
      </c>
      <c r="C40" s="109" t="str">
        <f>VLOOKUP($A40,ANAGRAFICA!$B$1:$G$306,3,FALSE)</f>
        <v>ROBERTO</v>
      </c>
      <c r="D40" s="109" t="str">
        <f>VLOOKUP($A40,ANAGRAFICA!$B$1:$G$306,4,FALSE)</f>
        <v>758-33</v>
      </c>
      <c r="E40" s="109">
        <f>VLOOKUP($A40,ANAGRAFICA!$B$1:$G$306,5,FALSE)</f>
        <v>3272025060</v>
      </c>
      <c r="F40" s="109">
        <f>VLOOKUP($A40,ANAGRAFICA!$B$1:$G$306,6,FALSE)</f>
        <v>2025</v>
      </c>
      <c r="G40" s="57"/>
      <c r="H40" s="57" t="s">
        <v>1396</v>
      </c>
      <c r="I40" s="57" t="s">
        <v>516</v>
      </c>
      <c r="J40" s="57" t="s">
        <v>516</v>
      </c>
      <c r="K40" s="57" t="s">
        <v>516</v>
      </c>
      <c r="L40" s="57" t="s">
        <v>516</v>
      </c>
      <c r="M40" s="57" t="s">
        <v>1285</v>
      </c>
      <c r="N40" s="57" t="s">
        <v>479</v>
      </c>
      <c r="O40" s="57" t="b">
        <v>1</v>
      </c>
      <c r="P40" s="57" t="b">
        <v>0</v>
      </c>
      <c r="Q40" s="110">
        <v>45825.0</v>
      </c>
      <c r="R40" s="57" t="s">
        <v>50</v>
      </c>
      <c r="S40" s="57" t="s">
        <v>1557</v>
      </c>
      <c r="T40" s="57">
        <v>154.0</v>
      </c>
      <c r="U40" s="57">
        <v>53.0</v>
      </c>
      <c r="V40" s="57" t="s">
        <v>516</v>
      </c>
      <c r="W40" s="57">
        <v>0.8</v>
      </c>
      <c r="X40" s="57">
        <v>1.4</v>
      </c>
      <c r="Y40" s="57">
        <v>14.6</v>
      </c>
      <c r="Z40" s="57" t="s">
        <v>516</v>
      </c>
      <c r="AA40" s="57">
        <v>98.2</v>
      </c>
      <c r="AB40" s="94" t="b">
        <v>0</v>
      </c>
      <c r="AC40" s="94"/>
      <c r="AD40" s="94"/>
      <c r="AE40" s="94"/>
      <c r="AF40" s="94"/>
    </row>
    <row r="41">
      <c r="A41" s="57">
        <v>2.125037955E9</v>
      </c>
      <c r="B41" s="109" t="str">
        <f>VLOOKUP($A41,ANAGRAFICA!$B$1:$G$306,2,FALSE)</f>
        <v>MANNINO</v>
      </c>
      <c r="C41" s="109" t="str">
        <f>VLOOKUP($A41,ANAGRAFICA!$B$1:$G$306,3,FALSE)</f>
        <v>ANDREA</v>
      </c>
      <c r="D41" s="109" t="str">
        <f>VLOOKUP($A41,ANAGRAFICA!$B$1:$G$306,4,FALSE)</f>
        <v>758-39</v>
      </c>
      <c r="E41" s="109">
        <f>VLOOKUP($A41,ANAGRAFICA!$B$1:$G$306,5,FALSE)</f>
        <v>3272025066</v>
      </c>
      <c r="F41" s="109">
        <f>VLOOKUP($A41,ANAGRAFICA!$B$1:$G$306,6,FALSE)</f>
        <v>2025</v>
      </c>
      <c r="G41" s="57" t="s">
        <v>486</v>
      </c>
      <c r="H41" s="57" t="s">
        <v>1388</v>
      </c>
      <c r="I41" s="57">
        <v>31.0</v>
      </c>
      <c r="J41" s="57" t="s">
        <v>516</v>
      </c>
      <c r="K41" s="57" t="s">
        <v>516</v>
      </c>
      <c r="L41" s="57" t="s">
        <v>516</v>
      </c>
      <c r="M41" s="57" t="s">
        <v>1406</v>
      </c>
      <c r="N41" s="57" t="s">
        <v>486</v>
      </c>
      <c r="O41" s="94" t="b">
        <v>0</v>
      </c>
      <c r="P41" s="94" t="b">
        <v>0</v>
      </c>
      <c r="Q41" s="110">
        <v>45913.0</v>
      </c>
      <c r="R41" s="57" t="s">
        <v>732</v>
      </c>
      <c r="S41" s="114">
        <v>0.29444444444444445</v>
      </c>
      <c r="T41" s="57">
        <v>495.0</v>
      </c>
      <c r="U41" s="57">
        <v>51.0</v>
      </c>
      <c r="V41" s="57">
        <v>13.8</v>
      </c>
      <c r="W41" s="57">
        <v>13.4</v>
      </c>
      <c r="X41" s="57">
        <v>-16.8</v>
      </c>
      <c r="Y41" s="57">
        <v>14.7</v>
      </c>
      <c r="Z41" s="57">
        <v>44.0</v>
      </c>
      <c r="AA41" s="57" t="s">
        <v>1558</v>
      </c>
      <c r="AB41" s="94" t="b">
        <v>0</v>
      </c>
      <c r="AC41" s="94"/>
      <c r="AD41" s="94"/>
      <c r="AE41" s="94"/>
      <c r="AF41" s="94"/>
    </row>
    <row r="42">
      <c r="A42" s="57">
        <v>2.125040106E9</v>
      </c>
      <c r="B42" s="109" t="str">
        <f>VLOOKUP($A42,ANAGRAFICA!$B$1:$G$306,2,FALSE)</f>
        <v>COLNAGHI</v>
      </c>
      <c r="C42" s="109" t="str">
        <f>VLOOKUP($A42,ANAGRAFICA!$B$1:$G$306,3,FALSE)</f>
        <v>EUGENIO PIERO</v>
      </c>
      <c r="D42" s="109" t="str">
        <f>VLOOKUP($A42,ANAGRAFICA!$B$1:$G$306,4,FALSE)</f>
        <v>758-41</v>
      </c>
      <c r="E42" s="109">
        <f>VLOOKUP($A42,ANAGRAFICA!$B$1:$G$306,5,FALSE)</f>
        <v>3272025068</v>
      </c>
      <c r="F42" s="109">
        <f>VLOOKUP($A42,ANAGRAFICA!$B$1:$G$306,6,FALSE)</f>
        <v>2025</v>
      </c>
      <c r="G42" s="94"/>
      <c r="H42" s="57" t="s">
        <v>1388</v>
      </c>
      <c r="I42" s="57" t="s">
        <v>516</v>
      </c>
      <c r="J42" s="57" t="s">
        <v>516</v>
      </c>
      <c r="K42" s="57" t="s">
        <v>516</v>
      </c>
      <c r="L42" s="94"/>
      <c r="M42" s="57" t="s">
        <v>1315</v>
      </c>
      <c r="N42" s="94"/>
      <c r="O42" s="94" t="b">
        <v>0</v>
      </c>
      <c r="P42" s="94" t="b">
        <v>0</v>
      </c>
      <c r="Q42" s="110">
        <v>6705396.0</v>
      </c>
      <c r="R42" s="57" t="s">
        <v>292</v>
      </c>
      <c r="S42" s="57">
        <v>7.46</v>
      </c>
      <c r="T42" s="57">
        <v>127.0</v>
      </c>
      <c r="U42" s="57">
        <v>30.0</v>
      </c>
      <c r="V42" s="57">
        <v>21.3</v>
      </c>
      <c r="W42" s="57">
        <v>9.0</v>
      </c>
      <c r="X42" s="57">
        <v>-2.5</v>
      </c>
      <c r="Y42" s="57">
        <v>10.1</v>
      </c>
      <c r="Z42" s="57">
        <v>30.0</v>
      </c>
      <c r="AA42" s="57">
        <v>97.6</v>
      </c>
      <c r="AB42" s="94" t="b">
        <v>0</v>
      </c>
      <c r="AC42" s="94"/>
      <c r="AD42" s="94"/>
      <c r="AE42" s="94"/>
      <c r="AF42" s="94"/>
    </row>
    <row r="43">
      <c r="A43" s="57">
        <v>2.125040052E9</v>
      </c>
      <c r="B43" s="109" t="str">
        <f>VLOOKUP($A43,ANAGRAFICA!$B$1:$G$306,2,FALSE)</f>
        <v>TODESCATO</v>
      </c>
      <c r="C43" s="109" t="str">
        <f>VLOOKUP($A43,ANAGRAFICA!$B$1:$G$306,3,FALSE)</f>
        <v>GIANLUCA</v>
      </c>
      <c r="D43" s="109" t="str">
        <f>VLOOKUP($A43,ANAGRAFICA!$B$1:$G$306,4,FALSE)</f>
        <v>758-40</v>
      </c>
      <c r="E43" s="109">
        <f>VLOOKUP($A43,ANAGRAFICA!$B$1:$G$306,5,FALSE)</f>
        <v>3272025067</v>
      </c>
      <c r="F43" s="109">
        <f>VLOOKUP($A43,ANAGRAFICA!$B$1:$G$306,6,FALSE)</f>
        <v>2025</v>
      </c>
      <c r="G43" s="57" t="s">
        <v>1559</v>
      </c>
      <c r="H43" s="57" t="s">
        <v>943</v>
      </c>
      <c r="I43" s="57" t="s">
        <v>516</v>
      </c>
      <c r="J43" s="57">
        <v>30.0</v>
      </c>
      <c r="K43" s="57" t="s">
        <v>516</v>
      </c>
      <c r="L43" s="94"/>
      <c r="M43" s="57" t="s">
        <v>1282</v>
      </c>
      <c r="N43" s="57" t="s">
        <v>487</v>
      </c>
      <c r="O43" s="94" t="b">
        <v>0</v>
      </c>
      <c r="P43" s="94" t="b">
        <v>0</v>
      </c>
      <c r="Q43" s="110">
        <v>45926.0</v>
      </c>
      <c r="R43" s="57" t="s">
        <v>538</v>
      </c>
      <c r="S43" s="57">
        <v>7.39</v>
      </c>
      <c r="T43" s="57">
        <v>174.0</v>
      </c>
      <c r="U43" s="57">
        <v>24.0</v>
      </c>
      <c r="V43" s="57">
        <v>18.3</v>
      </c>
      <c r="W43" s="57">
        <v>4.3</v>
      </c>
      <c r="X43" s="57">
        <v>-8.5</v>
      </c>
      <c r="Y43" s="57">
        <v>14.0</v>
      </c>
      <c r="Z43" s="57">
        <v>42.0</v>
      </c>
      <c r="AA43" s="57">
        <v>96.3</v>
      </c>
      <c r="AB43" s="94" t="b">
        <v>0</v>
      </c>
      <c r="AC43" s="94"/>
      <c r="AD43" s="94"/>
      <c r="AE43" s="94"/>
      <c r="AF43" s="94"/>
    </row>
    <row r="44">
      <c r="A44" s="57">
        <v>2.125040835E9</v>
      </c>
      <c r="B44" s="109" t="str">
        <f>VLOOKUP($A44,ANAGRAFICA!$B$1:$G$306,2,FALSE)</f>
        <v>PESACANE</v>
      </c>
      <c r="C44" s="109" t="str">
        <f>VLOOKUP($A44,ANAGRAFICA!$B$1:$G$306,3,FALSE)</f>
        <v>MATTEO VALERIO</v>
      </c>
      <c r="D44" s="109" t="str">
        <f>VLOOKUP($A44,ANAGRAFICA!$B$1:$G$306,4,FALSE)</f>
        <v>758-42</v>
      </c>
      <c r="E44" s="109">
        <f>VLOOKUP($A44,ANAGRAFICA!$B$1:$G$306,5,FALSE)</f>
        <v>3272025069</v>
      </c>
      <c r="F44" s="109">
        <f>VLOOKUP($A44,ANAGRAFICA!$B$1:$G$306,6,FALSE)</f>
        <v>2025</v>
      </c>
      <c r="G44" s="57" t="s">
        <v>216</v>
      </c>
      <c r="H44" s="57" t="s">
        <v>1396</v>
      </c>
      <c r="I44" s="57">
        <v>33.0</v>
      </c>
      <c r="J44" s="57" t="s">
        <v>516</v>
      </c>
      <c r="K44" s="57" t="s">
        <v>516</v>
      </c>
      <c r="L44" s="57" t="s">
        <v>516</v>
      </c>
      <c r="M44" s="57" t="s">
        <v>1406</v>
      </c>
      <c r="N44" s="57" t="s">
        <v>490</v>
      </c>
      <c r="O44" s="57" t="b">
        <v>1</v>
      </c>
      <c r="P44" s="94" t="b">
        <v>0</v>
      </c>
      <c r="Q44" s="110">
        <v>45931.0</v>
      </c>
      <c r="R44" s="57" t="s">
        <v>1560</v>
      </c>
      <c r="S44" s="57">
        <v>6.68</v>
      </c>
      <c r="T44" s="57">
        <v>59.0</v>
      </c>
      <c r="U44" s="57">
        <v>63.0</v>
      </c>
      <c r="V44" s="94"/>
      <c r="W44" s="57">
        <v>9.8</v>
      </c>
      <c r="X44" s="57">
        <v>-16.0</v>
      </c>
      <c r="Y44" s="57">
        <v>13.8</v>
      </c>
      <c r="Z44" s="94"/>
      <c r="AA44" s="94"/>
      <c r="AB44" s="94" t="b">
        <v>0</v>
      </c>
      <c r="AC44" s="94"/>
      <c r="AD44" s="94"/>
      <c r="AE44" s="94"/>
      <c r="AF44" s="94"/>
    </row>
    <row r="45">
      <c r="A45" s="57">
        <v>2.125042368E9</v>
      </c>
      <c r="B45" s="109" t="str">
        <f>VLOOKUP($A45,ANAGRAFICA!$B$1:$G$306,2,FALSE)</f>
        <v>MARKOVIC</v>
      </c>
      <c r="C45" s="109" t="str">
        <f>VLOOKUP($A45,ANAGRAFICA!$B$1:$G$306,3,FALSE)</f>
        <v>BRANKO</v>
      </c>
      <c r="D45" s="109" t="str">
        <f>VLOOKUP($A45,ANAGRAFICA!$B$1:$G$306,4,FALSE)</f>
        <v>758-43</v>
      </c>
      <c r="E45" s="109">
        <f>VLOOKUP($A45,ANAGRAFICA!$B$1:$G$306,5,FALSE)</f>
        <v>3272025070</v>
      </c>
      <c r="F45" s="109">
        <f>VLOOKUP($A45,ANAGRAFICA!$B$1:$G$306,6,FALSE)</f>
        <v>2025</v>
      </c>
      <c r="G45" s="57" t="s">
        <v>967</v>
      </c>
      <c r="H45" s="57" t="s">
        <v>1388</v>
      </c>
      <c r="I45" s="57">
        <v>25.0</v>
      </c>
      <c r="J45" s="57" t="s">
        <v>516</v>
      </c>
      <c r="K45" s="57" t="s">
        <v>516</v>
      </c>
      <c r="L45" s="57" t="s">
        <v>516</v>
      </c>
      <c r="M45" s="57" t="s">
        <v>1406</v>
      </c>
      <c r="N45" s="57" t="s">
        <v>493</v>
      </c>
      <c r="O45" s="57" t="b">
        <v>1</v>
      </c>
      <c r="P45" s="94" t="b">
        <v>0</v>
      </c>
      <c r="Q45" s="112">
        <v>45941.0</v>
      </c>
      <c r="R45" s="57" t="s">
        <v>1561</v>
      </c>
      <c r="S45" s="57">
        <v>7.14</v>
      </c>
      <c r="T45" s="57">
        <v>54.0</v>
      </c>
      <c r="U45" s="57">
        <v>96.0</v>
      </c>
      <c r="V45" s="57">
        <v>18.4</v>
      </c>
      <c r="W45" s="57">
        <v>8.1</v>
      </c>
      <c r="X45" s="57">
        <v>-10.7</v>
      </c>
      <c r="Y45" s="57">
        <v>12.3</v>
      </c>
      <c r="Z45" s="57">
        <v>37.0</v>
      </c>
      <c r="AA45" s="57">
        <v>98.0</v>
      </c>
      <c r="AB45" s="94" t="b">
        <v>0</v>
      </c>
      <c r="AC45" s="94"/>
      <c r="AD45" s="94"/>
      <c r="AE45" s="94"/>
      <c r="AF45" s="94"/>
    </row>
    <row r="46">
      <c r="A46" s="57">
        <v>2.125046195E9</v>
      </c>
      <c r="B46" s="109" t="str">
        <f>VLOOKUP($A46,ANAGRAFICA!$B$1:$G$306,2,FALSE)</f>
        <v>CASILLO</v>
      </c>
      <c r="C46" s="109" t="str">
        <f>VLOOKUP($A46,ANAGRAFICA!$B$1:$G$306,3,FALSE)</f>
        <v>SALVATORE</v>
      </c>
      <c r="D46" s="109" t="str">
        <f>VLOOKUP($A46,ANAGRAFICA!$B$1:$G$306,4,FALSE)</f>
        <v>758-44</v>
      </c>
      <c r="E46" s="109">
        <f>VLOOKUP($A46,ANAGRAFICA!$B$1:$G$306,5,FALSE)</f>
        <v>3272025071</v>
      </c>
      <c r="F46" s="109">
        <f>VLOOKUP($A46,ANAGRAFICA!$B$1:$G$306,6,FALSE)</f>
        <v>2025</v>
      </c>
      <c r="G46" s="57" t="s">
        <v>964</v>
      </c>
      <c r="H46" s="57" t="s">
        <v>1553</v>
      </c>
      <c r="I46" s="57">
        <v>16.0</v>
      </c>
      <c r="J46" s="57" t="s">
        <v>516</v>
      </c>
      <c r="K46" s="57" t="s">
        <v>516</v>
      </c>
      <c r="L46" s="57" t="s">
        <v>516</v>
      </c>
      <c r="M46" s="57" t="s">
        <v>1406</v>
      </c>
      <c r="N46" s="57" t="s">
        <v>494</v>
      </c>
      <c r="O46" s="94" t="b">
        <v>0</v>
      </c>
      <c r="P46" s="94" t="b">
        <v>0</v>
      </c>
      <c r="Q46" s="110">
        <v>45964.0</v>
      </c>
      <c r="R46" s="57" t="s">
        <v>923</v>
      </c>
      <c r="S46" s="57">
        <v>6.8</v>
      </c>
      <c r="T46" s="57">
        <v>10.0</v>
      </c>
      <c r="U46" s="57">
        <v>106.0</v>
      </c>
      <c r="V46" s="57" t="s">
        <v>1562</v>
      </c>
      <c r="W46" s="57">
        <v>7.2</v>
      </c>
      <c r="X46" s="57">
        <v>-14.6</v>
      </c>
      <c r="Y46" s="57">
        <v>14.6</v>
      </c>
      <c r="Z46" s="57">
        <v>44.0</v>
      </c>
      <c r="AA46" s="57">
        <v>20.0</v>
      </c>
      <c r="AB46" s="57" t="b">
        <v>1</v>
      </c>
      <c r="AC46" s="94"/>
      <c r="AD46" s="94"/>
      <c r="AE46" s="94"/>
      <c r="AF46" s="94"/>
    </row>
    <row r="47">
      <c r="A47" s="57">
        <v>2.1250527E9</v>
      </c>
      <c r="B47" s="109" t="str">
        <f>VLOOKUP($A47,ANAGRAFICA!$B$1:$G$306,2,FALSE)</f>
        <v>GADDA</v>
      </c>
      <c r="C47" s="109" t="str">
        <f>VLOOKUP($A47,ANAGRAFICA!$B$1:$G$306,3,FALSE)</f>
        <v>LILIANA</v>
      </c>
      <c r="D47" s="109" t="str">
        <f>VLOOKUP($A47,ANAGRAFICA!$B$1:$G$306,4,FALSE)</f>
        <v>758-46</v>
      </c>
      <c r="E47" s="109">
        <f>VLOOKUP($A47,ANAGRAFICA!$B$1:$G$306,5,FALSE)</f>
        <v>3272025073</v>
      </c>
      <c r="F47" s="109">
        <f>VLOOKUP($A47,ANAGRAFICA!$B$1:$G$306,6,FALSE)</f>
        <v>2025</v>
      </c>
      <c r="G47" s="57"/>
      <c r="H47" s="57" t="s">
        <v>1396</v>
      </c>
      <c r="I47" s="57">
        <v>17.0</v>
      </c>
      <c r="J47" s="57" t="s">
        <v>516</v>
      </c>
      <c r="K47" s="57" t="s">
        <v>516</v>
      </c>
      <c r="L47" s="57" t="s">
        <v>516</v>
      </c>
      <c r="M47" s="57" t="s">
        <v>1406</v>
      </c>
      <c r="N47" s="57" t="s">
        <v>496</v>
      </c>
      <c r="O47" s="57" t="b">
        <v>1</v>
      </c>
      <c r="P47" s="94" t="b">
        <v>0</v>
      </c>
      <c r="Q47" s="112">
        <v>46006.0</v>
      </c>
      <c r="R47" s="57" t="s">
        <v>64</v>
      </c>
      <c r="S47" s="57">
        <v>7.28</v>
      </c>
      <c r="T47" s="57">
        <v>224.0</v>
      </c>
      <c r="U47" s="57">
        <v>42.0</v>
      </c>
      <c r="V47" s="57">
        <v>19.7</v>
      </c>
      <c r="W47" s="57">
        <v>2.9</v>
      </c>
      <c r="X47" s="57">
        <v>-7.0</v>
      </c>
      <c r="Y47" s="57">
        <v>12.2</v>
      </c>
      <c r="Z47" s="57">
        <v>37.0</v>
      </c>
      <c r="AA47" s="57">
        <v>99.7</v>
      </c>
      <c r="AB47" s="94" t="b">
        <v>0</v>
      </c>
      <c r="AC47" s="94"/>
      <c r="AD47" s="94"/>
      <c r="AE47" s="94"/>
      <c r="AF47" s="94"/>
    </row>
    <row r="48">
      <c r="A48" s="57">
        <v>2.126002771E9</v>
      </c>
      <c r="B48" s="109" t="str">
        <f>VLOOKUP($A48,ANAGRAFICA!$B$1:$G$306,2,FALSE)</f>
        <v>LONGOBARDI</v>
      </c>
      <c r="C48" s="109" t="str">
        <f>VLOOKUP($A48,ANAGRAFICA!$B$1:$G$306,3,FALSE)</f>
        <v>FRANCESCO</v>
      </c>
      <c r="D48" s="109" t="str">
        <f>VLOOKUP($A48,ANAGRAFICA!$B$1:$G$306,4,FALSE)</f>
        <v>758-52</v>
      </c>
      <c r="E48" s="109" t="str">
        <f>VLOOKUP($A48,ANAGRAFICA!$B$1:$G$306,5,FALSE)</f>
        <v/>
      </c>
      <c r="F48" s="109">
        <f>VLOOKUP($A48,ANAGRAFICA!$B$1:$G$306,6,FALSE)</f>
        <v>2026</v>
      </c>
      <c r="G48" s="57" t="s">
        <v>1563</v>
      </c>
      <c r="H48" s="57" t="s">
        <v>1564</v>
      </c>
      <c r="I48" s="57" t="s">
        <v>905</v>
      </c>
      <c r="J48" s="57" t="s">
        <v>905</v>
      </c>
      <c r="K48" s="57" t="s">
        <v>905</v>
      </c>
      <c r="L48" s="57" t="s">
        <v>905</v>
      </c>
      <c r="M48" s="57" t="s">
        <v>1406</v>
      </c>
      <c r="N48" s="57" t="s">
        <v>503</v>
      </c>
      <c r="O48" s="57" t="b">
        <v>1</v>
      </c>
      <c r="P48" s="57" t="b">
        <v>1</v>
      </c>
      <c r="Q48" s="110">
        <v>46043.0</v>
      </c>
      <c r="R48" s="57" t="s">
        <v>971</v>
      </c>
      <c r="S48" s="57">
        <v>6.87</v>
      </c>
      <c r="T48" s="94"/>
      <c r="U48" s="57">
        <v>110.0</v>
      </c>
      <c r="V48" s="57">
        <v>22.0</v>
      </c>
      <c r="W48" s="57">
        <v>8.0</v>
      </c>
      <c r="X48" s="57" t="s">
        <v>970</v>
      </c>
      <c r="Y48" s="57" t="s">
        <v>1565</v>
      </c>
      <c r="Z48" s="94"/>
      <c r="AA48" s="57" t="s">
        <v>1566</v>
      </c>
      <c r="AB48" s="57" t="b">
        <v>1</v>
      </c>
      <c r="AC48" s="94"/>
      <c r="AD48" s="94"/>
      <c r="AE48" s="94"/>
      <c r="AF48" s="94"/>
    </row>
    <row r="49">
      <c r="A49" s="57">
        <v>2.126001104E9</v>
      </c>
      <c r="B49" s="109" t="str">
        <f>VLOOKUP($A49,ANAGRAFICA!$B$1:$G$306,2,FALSE)</f>
        <v>LOREGGIA</v>
      </c>
      <c r="C49" s="109" t="str">
        <f>VLOOKUP($A49,ANAGRAFICA!$B$1:$G$306,3,FALSE)</f>
        <v>GIAN MARCO</v>
      </c>
      <c r="D49" s="109" t="str">
        <f>VLOOKUP($A49,ANAGRAFICA!$B$1:$G$306,4,FALSE)</f>
        <v>758-51</v>
      </c>
      <c r="E49" s="109" t="str">
        <f>VLOOKUP($A49,ANAGRAFICA!$B$1:$G$306,5,FALSE)</f>
        <v/>
      </c>
      <c r="F49" s="109">
        <f>VLOOKUP($A49,ANAGRAFICA!$B$1:$G$306,6,FALSE)</f>
        <v>2026</v>
      </c>
      <c r="G49" s="94"/>
      <c r="H49" s="57" t="s">
        <v>1553</v>
      </c>
      <c r="I49" s="57">
        <v>30.0</v>
      </c>
      <c r="J49" s="57" t="s">
        <v>516</v>
      </c>
      <c r="K49" s="57" t="s">
        <v>516</v>
      </c>
      <c r="L49" s="57" t="s">
        <v>516</v>
      </c>
      <c r="M49" s="57" t="s">
        <v>1406</v>
      </c>
      <c r="N49" s="57" t="s">
        <v>1567</v>
      </c>
      <c r="O49" s="94" t="b">
        <v>0</v>
      </c>
      <c r="P49" s="94" t="b">
        <v>0</v>
      </c>
      <c r="Q49" s="110">
        <v>46033.0</v>
      </c>
      <c r="R49" s="57" t="s">
        <v>1568</v>
      </c>
      <c r="S49" s="57">
        <v>7.19</v>
      </c>
      <c r="T49" s="57">
        <v>132.0</v>
      </c>
      <c r="U49" s="57">
        <v>42.0</v>
      </c>
      <c r="V49" s="57">
        <v>15.7</v>
      </c>
      <c r="W49" s="57">
        <v>14.9</v>
      </c>
      <c r="X49" s="57">
        <v>-12.2</v>
      </c>
      <c r="Y49" s="57">
        <v>14.9</v>
      </c>
      <c r="Z49" s="57">
        <v>45.0</v>
      </c>
      <c r="AA49" s="94"/>
      <c r="AB49" s="94" t="b">
        <v>0</v>
      </c>
      <c r="AC49" s="94"/>
      <c r="AD49" s="94"/>
      <c r="AE49" s="94"/>
      <c r="AF49" s="94"/>
    </row>
    <row r="50">
      <c r="A50" s="94"/>
      <c r="B50" s="109" t="str">
        <f>VLOOKUP($A50,ANAGRAFICA!$B$1:$G$306,2,FALSE)</f>
        <v>#N/A</v>
      </c>
      <c r="C50" s="109" t="str">
        <f>VLOOKUP($A50,ANAGRAFICA!$B$1:$G$306,3,FALSE)</f>
        <v>#N/A</v>
      </c>
      <c r="D50" s="109" t="str">
        <f>VLOOKUP($A50,ANAGRAFICA!$B$1:$G$306,4,FALSE)</f>
        <v>#N/A</v>
      </c>
      <c r="E50" s="109" t="str">
        <f>VLOOKUP($A50,ANAGRAFICA!$B$1:$G$306,5,FALSE)</f>
        <v>#N/A</v>
      </c>
      <c r="F50" s="109" t="str">
        <f>VLOOKUP($A50,ANAGRAFICA!$B$1:$G$306,6,FALSE)</f>
        <v>#N/A</v>
      </c>
      <c r="G50" s="94"/>
      <c r="H50" s="94"/>
      <c r="I50" s="94"/>
      <c r="J50" s="94"/>
      <c r="K50" s="94"/>
      <c r="L50" s="94"/>
      <c r="M50" s="94"/>
      <c r="N50" s="94"/>
      <c r="O50" s="94" t="b">
        <v>0</v>
      </c>
      <c r="P50" s="94" t="b">
        <v>0</v>
      </c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 t="b">
        <v>0</v>
      </c>
      <c r="AC50" s="94"/>
      <c r="AD50" s="94"/>
      <c r="AE50" s="94"/>
      <c r="AF50" s="94"/>
    </row>
    <row r="51">
      <c r="A51" s="94"/>
      <c r="B51" s="109" t="str">
        <f>VLOOKUP($A51,ANAGRAFICA!$B$1:$G$306,2,FALSE)</f>
        <v>#N/A</v>
      </c>
      <c r="C51" s="109" t="str">
        <f>VLOOKUP($A51,ANAGRAFICA!$B$1:$G$306,3,FALSE)</f>
        <v>#N/A</v>
      </c>
      <c r="D51" s="109" t="str">
        <f>VLOOKUP($A51,ANAGRAFICA!$B$1:$G$306,4,FALSE)</f>
        <v>#N/A</v>
      </c>
      <c r="E51" s="109" t="str">
        <f>VLOOKUP($A51,ANAGRAFICA!$B$1:$G$306,5,FALSE)</f>
        <v>#N/A</v>
      </c>
      <c r="F51" s="109" t="str">
        <f>VLOOKUP($A51,ANAGRAFICA!$B$1:$G$306,6,FALSE)</f>
        <v>#N/A</v>
      </c>
      <c r="G51" s="94"/>
      <c r="H51" s="94"/>
      <c r="I51" s="94"/>
      <c r="J51" s="94"/>
      <c r="K51" s="94"/>
      <c r="L51" s="94"/>
      <c r="M51" s="94"/>
      <c r="N51" s="94"/>
      <c r="O51" s="94" t="b">
        <v>0</v>
      </c>
      <c r="P51" s="94" t="b">
        <v>0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 t="b">
        <v>0</v>
      </c>
      <c r="AC51" s="94"/>
      <c r="AD51" s="94"/>
      <c r="AE51" s="94"/>
      <c r="AF51" s="94"/>
    </row>
    <row r="52">
      <c r="A52" s="94"/>
      <c r="B52" s="109" t="str">
        <f>VLOOKUP($A52,ANAGRAFICA!$B$1:$G$306,2,FALSE)</f>
        <v>#N/A</v>
      </c>
      <c r="C52" s="109" t="str">
        <f>VLOOKUP($A52,ANAGRAFICA!$B$1:$G$306,3,FALSE)</f>
        <v>#N/A</v>
      </c>
      <c r="D52" s="109" t="str">
        <f>VLOOKUP($A52,ANAGRAFICA!$B$1:$G$306,4,FALSE)</f>
        <v>#N/A</v>
      </c>
      <c r="E52" s="109" t="str">
        <f>VLOOKUP($A52,ANAGRAFICA!$B$1:$G$306,5,FALSE)</f>
        <v>#N/A</v>
      </c>
      <c r="F52" s="109" t="str">
        <f>VLOOKUP($A52,ANAGRAFICA!$B$1:$G$306,6,FALSE)</f>
        <v>#N/A</v>
      </c>
      <c r="G52" s="94"/>
      <c r="H52" s="94"/>
      <c r="I52" s="94"/>
      <c r="J52" s="94"/>
      <c r="K52" s="94"/>
      <c r="L52" s="94"/>
      <c r="M52" s="94"/>
      <c r="N52" s="94"/>
      <c r="O52" s="94" t="b">
        <v>0</v>
      </c>
      <c r="P52" s="94" t="b">
        <v>0</v>
      </c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 t="b">
        <v>0</v>
      </c>
      <c r="AC52" s="94"/>
      <c r="AD52" s="94"/>
      <c r="AE52" s="94"/>
      <c r="AF52" s="94"/>
    </row>
    <row r="53">
      <c r="A53" s="94"/>
      <c r="B53" s="109" t="str">
        <f>VLOOKUP($A53,ANAGRAFICA!$B$1:$G$306,2,FALSE)</f>
        <v>#N/A</v>
      </c>
      <c r="C53" s="109" t="str">
        <f>VLOOKUP($A53,ANAGRAFICA!$B$1:$G$306,3,FALSE)</f>
        <v>#N/A</v>
      </c>
      <c r="D53" s="109" t="str">
        <f>VLOOKUP($A53,ANAGRAFICA!$B$1:$G$306,4,FALSE)</f>
        <v>#N/A</v>
      </c>
      <c r="E53" s="109" t="str">
        <f>VLOOKUP($A53,ANAGRAFICA!$B$1:$G$306,5,FALSE)</f>
        <v>#N/A</v>
      </c>
      <c r="F53" s="109" t="str">
        <f>VLOOKUP($A53,ANAGRAFICA!$B$1:$G$306,6,FALSE)</f>
        <v>#N/A</v>
      </c>
      <c r="G53" s="94"/>
      <c r="H53" s="94"/>
      <c r="I53" s="94"/>
      <c r="J53" s="94"/>
      <c r="K53" s="94"/>
      <c r="L53" s="94"/>
      <c r="M53" s="94"/>
      <c r="N53" s="94"/>
      <c r="O53" s="94" t="b">
        <v>0</v>
      </c>
      <c r="P53" s="94" t="b">
        <v>0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 t="b">
        <v>0</v>
      </c>
      <c r="AC53" s="94"/>
      <c r="AD53" s="94"/>
      <c r="AE53" s="94"/>
      <c r="AF53" s="94"/>
    </row>
    <row r="54">
      <c r="A54" s="94"/>
      <c r="B54" s="109" t="str">
        <f>VLOOKUP($A54,ANAGRAFICA!$B$1:$G$306,2,FALSE)</f>
        <v>#N/A</v>
      </c>
      <c r="C54" s="109" t="str">
        <f>VLOOKUP($A54,ANAGRAFICA!$B$1:$G$306,3,FALSE)</f>
        <v>#N/A</v>
      </c>
      <c r="D54" s="109" t="str">
        <f>VLOOKUP($A54,ANAGRAFICA!$B$1:$G$306,4,FALSE)</f>
        <v>#N/A</v>
      </c>
      <c r="E54" s="109" t="str">
        <f>VLOOKUP($A54,ANAGRAFICA!$B$1:$G$306,5,FALSE)</f>
        <v>#N/A</v>
      </c>
      <c r="F54" s="109" t="str">
        <f>VLOOKUP($A54,ANAGRAFICA!$B$1:$G$306,6,FALSE)</f>
        <v>#N/A</v>
      </c>
      <c r="G54" s="94"/>
      <c r="H54" s="94"/>
      <c r="I54" s="94"/>
      <c r="J54" s="94"/>
      <c r="K54" s="94"/>
      <c r="L54" s="94"/>
      <c r="M54" s="94"/>
      <c r="N54" s="94"/>
      <c r="O54" s="94" t="b">
        <v>0</v>
      </c>
      <c r="P54" s="94" t="b">
        <v>0</v>
      </c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 t="b">
        <v>0</v>
      </c>
      <c r="AC54" s="94"/>
      <c r="AD54" s="94"/>
      <c r="AE54" s="94"/>
      <c r="AF54" s="94"/>
    </row>
    <row r="55">
      <c r="A55" s="94"/>
      <c r="B55" s="109" t="str">
        <f>VLOOKUP($A55,ANAGRAFICA!$B$1:$G$306,2,FALSE)</f>
        <v>#N/A</v>
      </c>
      <c r="C55" s="109" t="str">
        <f>VLOOKUP($A55,ANAGRAFICA!$B$1:$G$306,3,FALSE)</f>
        <v>#N/A</v>
      </c>
      <c r="D55" s="109" t="str">
        <f>VLOOKUP($A55,ANAGRAFICA!$B$1:$G$306,4,FALSE)</f>
        <v>#N/A</v>
      </c>
      <c r="E55" s="109" t="str">
        <f>VLOOKUP($A55,ANAGRAFICA!$B$1:$G$306,5,FALSE)</f>
        <v>#N/A</v>
      </c>
      <c r="F55" s="109" t="str">
        <f>VLOOKUP($A55,ANAGRAFICA!$B$1:$G$306,6,FALSE)</f>
        <v>#N/A</v>
      </c>
      <c r="G55" s="94"/>
      <c r="H55" s="94"/>
      <c r="I55" s="94"/>
      <c r="J55" s="94"/>
      <c r="K55" s="94"/>
      <c r="L55" s="94"/>
      <c r="M55" s="94"/>
      <c r="N55" s="94"/>
      <c r="O55" s="94" t="b">
        <v>0</v>
      </c>
      <c r="P55" s="94" t="b">
        <v>0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 t="b">
        <v>0</v>
      </c>
      <c r="AC55" s="94"/>
      <c r="AD55" s="94"/>
      <c r="AE55" s="94"/>
      <c r="AF55" s="94"/>
    </row>
    <row r="56">
      <c r="A56" s="94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G56" s="94"/>
      <c r="H56" s="94"/>
      <c r="I56" s="94"/>
      <c r="J56" s="94"/>
      <c r="K56" s="94"/>
      <c r="L56" s="94"/>
      <c r="M56" s="94"/>
      <c r="N56" s="94"/>
      <c r="O56" s="94" t="b">
        <v>0</v>
      </c>
      <c r="P56" s="94" t="b">
        <v>0</v>
      </c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 t="b">
        <v>0</v>
      </c>
      <c r="AC56" s="94"/>
      <c r="AD56" s="94"/>
      <c r="AE56" s="94"/>
      <c r="AF56" s="94"/>
    </row>
    <row r="57">
      <c r="A57" s="94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G57" s="94"/>
      <c r="H57" s="94"/>
      <c r="I57" s="94"/>
      <c r="J57" s="94"/>
      <c r="K57" s="94"/>
      <c r="L57" s="94"/>
      <c r="M57" s="94"/>
      <c r="N57" s="94"/>
      <c r="O57" s="94" t="b">
        <v>0</v>
      </c>
      <c r="P57" s="94" t="b">
        <v>0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 t="b">
        <v>0</v>
      </c>
      <c r="AC57" s="94"/>
      <c r="AD57" s="94"/>
      <c r="AE57" s="94"/>
      <c r="AF57" s="94"/>
    </row>
    <row r="58">
      <c r="A58" s="94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G58" s="94"/>
      <c r="H58" s="94"/>
      <c r="I58" s="94"/>
      <c r="J58" s="94"/>
      <c r="K58" s="94"/>
      <c r="L58" s="94"/>
      <c r="M58" s="94"/>
      <c r="N58" s="94"/>
      <c r="O58" s="94" t="b">
        <v>0</v>
      </c>
      <c r="P58" s="94" t="b">
        <v>0</v>
      </c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 t="b">
        <v>0</v>
      </c>
      <c r="AC58" s="94"/>
      <c r="AD58" s="94"/>
      <c r="AE58" s="94"/>
      <c r="AF58" s="94"/>
    </row>
    <row r="59">
      <c r="A59" s="94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G59" s="94"/>
      <c r="H59" s="94"/>
      <c r="I59" s="94"/>
      <c r="J59" s="94"/>
      <c r="K59" s="94"/>
      <c r="L59" s="94"/>
      <c r="M59" s="94"/>
      <c r="N59" s="94"/>
      <c r="O59" s="94" t="b">
        <v>0</v>
      </c>
      <c r="P59" s="94" t="b">
        <v>0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 t="b">
        <v>0</v>
      </c>
      <c r="AC59" s="94"/>
      <c r="AD59" s="94"/>
      <c r="AE59" s="94"/>
      <c r="AF59" s="94"/>
    </row>
    <row r="60">
      <c r="A60" s="94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G60" s="94"/>
      <c r="H60" s="94"/>
      <c r="I60" s="94"/>
      <c r="J60" s="94"/>
      <c r="K60" s="94"/>
      <c r="L60" s="94"/>
      <c r="M60" s="94"/>
      <c r="N60" s="94"/>
      <c r="O60" s="94" t="b">
        <v>0</v>
      </c>
      <c r="P60" s="94" t="b">
        <v>0</v>
      </c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 t="b">
        <v>0</v>
      </c>
      <c r="AC60" s="94"/>
      <c r="AD60" s="94"/>
      <c r="AE60" s="94"/>
      <c r="AF60" s="94"/>
    </row>
    <row r="61">
      <c r="A61" s="94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G61" s="94"/>
      <c r="H61" s="94"/>
      <c r="I61" s="94"/>
      <c r="J61" s="94"/>
      <c r="K61" s="94"/>
      <c r="L61" s="94"/>
      <c r="M61" s="94"/>
      <c r="N61" s="94"/>
      <c r="O61" s="94" t="b">
        <v>0</v>
      </c>
      <c r="P61" s="94" t="b">
        <v>0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 t="b">
        <v>0</v>
      </c>
      <c r="AC61" s="94"/>
      <c r="AD61" s="94"/>
      <c r="AE61" s="94"/>
      <c r="AF61" s="94"/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G62" s="94"/>
      <c r="H62" s="94"/>
      <c r="I62" s="94"/>
      <c r="J62" s="94"/>
      <c r="K62" s="94"/>
      <c r="L62" s="94"/>
      <c r="M62" s="94"/>
      <c r="N62" s="94"/>
      <c r="O62" s="94" t="b">
        <v>0</v>
      </c>
      <c r="P62" s="94" t="b">
        <v>0</v>
      </c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 t="b">
        <v>0</v>
      </c>
      <c r="AC62" s="94"/>
      <c r="AD62" s="94"/>
      <c r="AE62" s="94"/>
      <c r="AF62" s="94"/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G63" s="94"/>
      <c r="H63" s="94"/>
      <c r="I63" s="94"/>
      <c r="J63" s="94"/>
      <c r="K63" s="94"/>
      <c r="L63" s="94"/>
      <c r="M63" s="94"/>
      <c r="N63" s="94"/>
      <c r="O63" s="94" t="b">
        <v>0</v>
      </c>
      <c r="P63" s="94" t="b">
        <v>0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 t="b">
        <v>0</v>
      </c>
      <c r="AC63" s="94"/>
      <c r="AD63" s="94"/>
      <c r="AE63" s="94"/>
      <c r="AF63" s="94"/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G64" s="94"/>
      <c r="H64" s="94"/>
      <c r="I64" s="94"/>
      <c r="J64" s="94"/>
      <c r="K64" s="94"/>
      <c r="L64" s="94"/>
      <c r="M64" s="94"/>
      <c r="N64" s="94"/>
      <c r="O64" s="94" t="b">
        <v>0</v>
      </c>
      <c r="P64" s="94" t="b">
        <v>0</v>
      </c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 t="b">
        <v>0</v>
      </c>
      <c r="AC64" s="94"/>
      <c r="AD64" s="94"/>
      <c r="AE64" s="94"/>
      <c r="AF64" s="94"/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G65" s="94"/>
      <c r="H65" s="94"/>
      <c r="I65" s="94"/>
      <c r="J65" s="94"/>
      <c r="K65" s="94"/>
      <c r="L65" s="94"/>
      <c r="M65" s="94"/>
      <c r="N65" s="94"/>
      <c r="O65" s="94" t="b">
        <v>0</v>
      </c>
      <c r="P65" s="94" t="b">
        <v>0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 t="b">
        <v>0</v>
      </c>
      <c r="AC65" s="94"/>
      <c r="AD65" s="94"/>
      <c r="AE65" s="94"/>
      <c r="AF65" s="94"/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G66" s="94"/>
      <c r="H66" s="94"/>
      <c r="I66" s="94"/>
      <c r="J66" s="94"/>
      <c r="K66" s="94"/>
      <c r="L66" s="94"/>
      <c r="M66" s="94"/>
      <c r="N66" s="94"/>
      <c r="O66" s="94" t="b">
        <v>0</v>
      </c>
      <c r="P66" s="94" t="b">
        <v>0</v>
      </c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 t="b">
        <v>0</v>
      </c>
      <c r="AC66" s="94"/>
      <c r="AD66" s="94"/>
      <c r="AE66" s="94"/>
      <c r="AF66" s="94"/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G67" s="94"/>
      <c r="H67" s="94"/>
      <c r="I67" s="94"/>
      <c r="J67" s="94"/>
      <c r="K67" s="94"/>
      <c r="L67" s="94"/>
      <c r="M67" s="94"/>
      <c r="N67" s="94"/>
      <c r="O67" s="94" t="b">
        <v>0</v>
      </c>
      <c r="P67" s="94" t="b">
        <v>0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 t="b">
        <v>0</v>
      </c>
      <c r="AC67" s="94"/>
      <c r="AD67" s="94"/>
      <c r="AE67" s="94"/>
      <c r="AF67" s="94"/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G68" s="94"/>
      <c r="H68" s="94"/>
      <c r="I68" s="94"/>
      <c r="J68" s="94"/>
      <c r="K68" s="94"/>
      <c r="L68" s="94"/>
      <c r="M68" s="94"/>
      <c r="N68" s="94"/>
      <c r="O68" s="94" t="b">
        <v>0</v>
      </c>
      <c r="P68" s="94" t="b">
        <v>0</v>
      </c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 t="b">
        <v>0</v>
      </c>
      <c r="AC68" s="94"/>
      <c r="AD68" s="94"/>
      <c r="AE68" s="94"/>
      <c r="AF68" s="94"/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G69" s="94"/>
      <c r="H69" s="94"/>
      <c r="I69" s="94"/>
      <c r="J69" s="94"/>
      <c r="K69" s="94"/>
      <c r="L69" s="94"/>
      <c r="M69" s="94"/>
      <c r="N69" s="94"/>
      <c r="O69" s="94" t="b">
        <v>0</v>
      </c>
      <c r="P69" s="94" t="b">
        <v>0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 t="b">
        <v>0</v>
      </c>
      <c r="AC69" s="94"/>
      <c r="AD69" s="94"/>
      <c r="AE69" s="94"/>
      <c r="AF69" s="94"/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G70" s="94"/>
      <c r="H70" s="94"/>
      <c r="I70" s="94"/>
      <c r="J70" s="94"/>
      <c r="K70" s="94"/>
      <c r="L70" s="94"/>
      <c r="M70" s="94"/>
      <c r="N70" s="94"/>
      <c r="O70" s="94" t="b">
        <v>0</v>
      </c>
      <c r="P70" s="94" t="b">
        <v>0</v>
      </c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 t="b">
        <v>0</v>
      </c>
      <c r="AC70" s="94"/>
      <c r="AD70" s="94"/>
      <c r="AE70" s="94"/>
      <c r="AF70" s="94"/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G71" s="94"/>
      <c r="H71" s="94"/>
      <c r="I71" s="94"/>
      <c r="J71" s="94"/>
      <c r="K71" s="94"/>
      <c r="L71" s="94"/>
      <c r="M71" s="94"/>
      <c r="N71" s="94"/>
      <c r="O71" s="94" t="b">
        <v>0</v>
      </c>
      <c r="P71" s="94" t="b">
        <v>0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 t="b">
        <v>0</v>
      </c>
      <c r="AC71" s="94"/>
      <c r="AD71" s="94"/>
      <c r="AE71" s="94"/>
      <c r="AF71" s="94"/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94"/>
      <c r="H72" s="94"/>
      <c r="I72" s="94"/>
      <c r="J72" s="94"/>
      <c r="K72" s="94"/>
      <c r="L72" s="94"/>
      <c r="M72" s="94"/>
      <c r="N72" s="94"/>
      <c r="O72" s="94" t="b">
        <v>0</v>
      </c>
      <c r="P72" s="94" t="b">
        <v>0</v>
      </c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 t="b">
        <v>0</v>
      </c>
      <c r="AC72" s="94"/>
      <c r="AD72" s="94"/>
      <c r="AE72" s="94"/>
      <c r="AF72" s="94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94"/>
      <c r="H73" s="94"/>
      <c r="I73" s="94"/>
      <c r="J73" s="94"/>
      <c r="K73" s="94"/>
      <c r="L73" s="94"/>
      <c r="M73" s="94"/>
      <c r="N73" s="94"/>
      <c r="O73" s="94" t="b">
        <v>0</v>
      </c>
      <c r="P73" s="94" t="b">
        <v>0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 t="b">
        <v>0</v>
      </c>
      <c r="AC73" s="94"/>
      <c r="AD73" s="94"/>
      <c r="AE73" s="94"/>
      <c r="AF73" s="94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94"/>
      <c r="H74" s="94"/>
      <c r="I74" s="94"/>
      <c r="J74" s="94"/>
      <c r="K74" s="94"/>
      <c r="L74" s="94"/>
      <c r="M74" s="94"/>
      <c r="N74" s="94"/>
      <c r="O74" s="94" t="b">
        <v>0</v>
      </c>
      <c r="P74" s="94" t="b">
        <v>0</v>
      </c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 t="b">
        <v>0</v>
      </c>
      <c r="AC74" s="94"/>
      <c r="AD74" s="94"/>
      <c r="AE74" s="94"/>
      <c r="AF74" s="94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94"/>
      <c r="H75" s="94"/>
      <c r="I75" s="94"/>
      <c r="J75" s="94"/>
      <c r="K75" s="94"/>
      <c r="L75" s="94"/>
      <c r="M75" s="94"/>
      <c r="N75" s="94"/>
      <c r="O75" s="94" t="b">
        <v>0</v>
      </c>
      <c r="P75" s="94" t="b">
        <v>0</v>
      </c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 t="b">
        <v>0</v>
      </c>
      <c r="AC75" s="94"/>
      <c r="AD75" s="94"/>
      <c r="AE75" s="94"/>
      <c r="AF75" s="94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94"/>
      <c r="H76" s="94"/>
      <c r="I76" s="94"/>
      <c r="J76" s="94"/>
      <c r="K76" s="94"/>
      <c r="L76" s="94"/>
      <c r="M76" s="94"/>
      <c r="N76" s="94"/>
      <c r="O76" s="94" t="b">
        <v>0</v>
      </c>
      <c r="P76" s="94" t="b">
        <v>0</v>
      </c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 t="b">
        <v>0</v>
      </c>
      <c r="AC76" s="94"/>
      <c r="AD76" s="94"/>
      <c r="AE76" s="94"/>
      <c r="AF76" s="94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94"/>
      <c r="H77" s="94"/>
      <c r="I77" s="94"/>
      <c r="J77" s="94"/>
      <c r="K77" s="94"/>
      <c r="L77" s="94"/>
      <c r="M77" s="94"/>
      <c r="N77" s="94"/>
      <c r="O77" s="94" t="b">
        <v>0</v>
      </c>
      <c r="P77" s="94" t="b">
        <v>0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 t="b">
        <v>0</v>
      </c>
      <c r="AC77" s="94"/>
      <c r="AD77" s="94"/>
      <c r="AE77" s="94"/>
      <c r="AF77" s="94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94"/>
      <c r="H78" s="94"/>
      <c r="I78" s="94"/>
      <c r="J78" s="94"/>
      <c r="K78" s="94"/>
      <c r="L78" s="94"/>
      <c r="M78" s="94"/>
      <c r="N78" s="94"/>
      <c r="O78" s="94" t="b">
        <v>0</v>
      </c>
      <c r="P78" s="94" t="b">
        <v>0</v>
      </c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 t="b">
        <v>0</v>
      </c>
      <c r="AC78" s="94"/>
      <c r="AD78" s="94"/>
      <c r="AE78" s="94"/>
      <c r="AF78" s="94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94"/>
      <c r="H79" s="94"/>
      <c r="I79" s="94"/>
      <c r="J79" s="94"/>
      <c r="K79" s="94"/>
      <c r="L79" s="94"/>
      <c r="M79" s="94"/>
      <c r="N79" s="94"/>
      <c r="O79" s="94" t="b">
        <v>0</v>
      </c>
      <c r="P79" s="94" t="b">
        <v>0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 t="b">
        <v>0</v>
      </c>
      <c r="AC79" s="94"/>
      <c r="AD79" s="94"/>
      <c r="AE79" s="94"/>
      <c r="AF79" s="94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94"/>
      <c r="H80" s="94"/>
      <c r="I80" s="94"/>
      <c r="J80" s="94"/>
      <c r="K80" s="94"/>
      <c r="L80" s="94"/>
      <c r="M80" s="94"/>
      <c r="N80" s="94"/>
      <c r="O80" s="94" t="b">
        <v>0</v>
      </c>
      <c r="P80" s="94" t="b">
        <v>0</v>
      </c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 t="b">
        <v>0</v>
      </c>
      <c r="AC80" s="94"/>
      <c r="AD80" s="94"/>
      <c r="AE80" s="94"/>
      <c r="AF80" s="94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94"/>
      <c r="H81" s="94"/>
      <c r="I81" s="94"/>
      <c r="J81" s="94"/>
      <c r="K81" s="94"/>
      <c r="L81" s="94"/>
      <c r="M81" s="94"/>
      <c r="N81" s="94"/>
      <c r="O81" s="94" t="b">
        <v>0</v>
      </c>
      <c r="P81" s="94" t="b">
        <v>0</v>
      </c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 t="b">
        <v>0</v>
      </c>
      <c r="AC81" s="94"/>
      <c r="AD81" s="94"/>
      <c r="AE81" s="94"/>
      <c r="AF81" s="94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94"/>
      <c r="H82" s="94"/>
      <c r="I82" s="94"/>
      <c r="J82" s="94"/>
      <c r="K82" s="94"/>
      <c r="L82" s="94"/>
      <c r="M82" s="94"/>
      <c r="N82" s="94"/>
      <c r="O82" s="94" t="b">
        <v>0</v>
      </c>
      <c r="P82" s="94" t="b">
        <v>0</v>
      </c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 t="b">
        <v>0</v>
      </c>
      <c r="AC82" s="94"/>
      <c r="AD82" s="94"/>
      <c r="AE82" s="94"/>
      <c r="AF82" s="94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94"/>
      <c r="H83" s="94"/>
      <c r="I83" s="94"/>
      <c r="J83" s="94"/>
      <c r="K83" s="94"/>
      <c r="L83" s="94"/>
      <c r="M83" s="94"/>
      <c r="N83" s="94"/>
      <c r="O83" s="94" t="b">
        <v>0</v>
      </c>
      <c r="P83" s="94" t="b">
        <v>0</v>
      </c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 t="b">
        <v>0</v>
      </c>
      <c r="AC83" s="94"/>
      <c r="AD83" s="94"/>
      <c r="AE83" s="94"/>
      <c r="AF83" s="94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94"/>
      <c r="H84" s="94"/>
      <c r="I84" s="94"/>
      <c r="J84" s="94"/>
      <c r="K84" s="94"/>
      <c r="L84" s="94"/>
      <c r="M84" s="94"/>
      <c r="N84" s="94"/>
      <c r="O84" s="94" t="b">
        <v>0</v>
      </c>
      <c r="P84" s="94" t="b">
        <v>0</v>
      </c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 t="b">
        <v>0</v>
      </c>
      <c r="AC84" s="94"/>
      <c r="AD84" s="94"/>
      <c r="AE84" s="94"/>
      <c r="AF84" s="94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94"/>
      <c r="H85" s="94"/>
      <c r="I85" s="94"/>
      <c r="J85" s="94"/>
      <c r="K85" s="94"/>
      <c r="L85" s="94"/>
      <c r="M85" s="94"/>
      <c r="N85" s="94"/>
      <c r="O85" s="94" t="b">
        <v>0</v>
      </c>
      <c r="P85" s="94" t="b">
        <v>0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 t="b">
        <v>0</v>
      </c>
      <c r="AC85" s="94"/>
      <c r="AD85" s="94"/>
      <c r="AE85" s="94"/>
      <c r="AF85" s="94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94"/>
      <c r="H86" s="94"/>
      <c r="I86" s="94"/>
      <c r="J86" s="94"/>
      <c r="K86" s="94"/>
      <c r="L86" s="94"/>
      <c r="M86" s="94"/>
      <c r="N86" s="94"/>
      <c r="O86" s="94" t="b">
        <v>0</v>
      </c>
      <c r="P86" s="94" t="b">
        <v>0</v>
      </c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 t="b">
        <v>0</v>
      </c>
      <c r="AC86" s="94"/>
      <c r="AD86" s="94"/>
      <c r="AE86" s="94"/>
      <c r="AF86" s="94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94"/>
      <c r="H87" s="94"/>
      <c r="I87" s="94"/>
      <c r="J87" s="94"/>
      <c r="K87" s="94"/>
      <c r="L87" s="94"/>
      <c r="M87" s="94"/>
      <c r="N87" s="94"/>
      <c r="O87" s="94" t="b">
        <v>0</v>
      </c>
      <c r="P87" s="94" t="b">
        <v>0</v>
      </c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 t="b">
        <v>0</v>
      </c>
      <c r="AC87" s="94"/>
      <c r="AD87" s="94"/>
      <c r="AE87" s="94"/>
      <c r="AF87" s="94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94"/>
      <c r="H88" s="94"/>
      <c r="I88" s="94"/>
      <c r="J88" s="94"/>
      <c r="K88" s="94"/>
      <c r="L88" s="94"/>
      <c r="M88" s="94"/>
      <c r="N88" s="94"/>
      <c r="O88" s="94" t="b">
        <v>0</v>
      </c>
      <c r="P88" s="94" t="b">
        <v>0</v>
      </c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 t="b">
        <v>0</v>
      </c>
      <c r="AC88" s="94"/>
      <c r="AD88" s="94"/>
      <c r="AE88" s="94"/>
      <c r="AF88" s="94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94"/>
      <c r="H89" s="94"/>
      <c r="I89" s="94"/>
      <c r="J89" s="94"/>
      <c r="K89" s="94"/>
      <c r="L89" s="94"/>
      <c r="M89" s="94"/>
      <c r="N89" s="94"/>
      <c r="O89" s="94" t="b">
        <v>0</v>
      </c>
      <c r="P89" s="94" t="b">
        <v>0</v>
      </c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 t="b">
        <v>0</v>
      </c>
      <c r="AC89" s="94"/>
      <c r="AD89" s="94"/>
      <c r="AE89" s="94"/>
      <c r="AF89" s="94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94"/>
      <c r="H90" s="94"/>
      <c r="I90" s="94"/>
      <c r="J90" s="94"/>
      <c r="K90" s="94"/>
      <c r="L90" s="94"/>
      <c r="M90" s="94"/>
      <c r="N90" s="94"/>
      <c r="O90" s="94" t="b">
        <v>0</v>
      </c>
      <c r="P90" s="94" t="b">
        <v>0</v>
      </c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 t="b">
        <v>0</v>
      </c>
      <c r="AC90" s="94"/>
      <c r="AD90" s="94"/>
      <c r="AE90" s="94"/>
      <c r="AF90" s="94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94"/>
      <c r="H91" s="94"/>
      <c r="I91" s="94"/>
      <c r="J91" s="94"/>
      <c r="K91" s="94"/>
      <c r="L91" s="94"/>
      <c r="M91" s="94"/>
      <c r="N91" s="94"/>
      <c r="O91" s="94" t="b">
        <v>0</v>
      </c>
      <c r="P91" s="94" t="b">
        <v>0</v>
      </c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 t="b">
        <v>0</v>
      </c>
      <c r="AC91" s="94"/>
      <c r="AD91" s="94"/>
      <c r="AE91" s="94"/>
      <c r="AF91" s="94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94"/>
      <c r="H92" s="94"/>
      <c r="I92" s="94"/>
      <c r="J92" s="94"/>
      <c r="K92" s="94"/>
      <c r="L92" s="94"/>
      <c r="M92" s="94"/>
      <c r="N92" s="94"/>
      <c r="O92" s="94" t="b">
        <v>0</v>
      </c>
      <c r="P92" s="94" t="b">
        <v>0</v>
      </c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 t="b">
        <v>0</v>
      </c>
      <c r="AC92" s="94"/>
      <c r="AD92" s="94"/>
      <c r="AE92" s="94"/>
      <c r="AF92" s="94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94"/>
      <c r="H93" s="94"/>
      <c r="I93" s="94"/>
      <c r="J93" s="94"/>
      <c r="K93" s="94"/>
      <c r="L93" s="94"/>
      <c r="M93" s="94"/>
      <c r="N93" s="94"/>
      <c r="O93" s="94" t="b">
        <v>0</v>
      </c>
      <c r="P93" s="94" t="b">
        <v>0</v>
      </c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 t="b">
        <v>0</v>
      </c>
      <c r="AC93" s="94"/>
      <c r="AD93" s="94"/>
      <c r="AE93" s="94"/>
      <c r="AF93" s="94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94"/>
      <c r="H94" s="94"/>
      <c r="I94" s="94"/>
      <c r="J94" s="94"/>
      <c r="K94" s="94"/>
      <c r="L94" s="94"/>
      <c r="M94" s="94"/>
      <c r="N94" s="94"/>
      <c r="O94" s="94" t="b">
        <v>0</v>
      </c>
      <c r="P94" s="94" t="b">
        <v>0</v>
      </c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 t="b">
        <v>0</v>
      </c>
      <c r="AC94" s="94"/>
      <c r="AD94" s="94"/>
      <c r="AE94" s="94"/>
      <c r="AF94" s="94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94"/>
      <c r="H95" s="94"/>
      <c r="I95" s="94"/>
      <c r="J95" s="94"/>
      <c r="K95" s="94"/>
      <c r="L95" s="94"/>
      <c r="M95" s="94"/>
      <c r="N95" s="94"/>
      <c r="O95" s="94" t="b">
        <v>0</v>
      </c>
      <c r="P95" s="94" t="b">
        <v>0</v>
      </c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 t="b">
        <v>0</v>
      </c>
      <c r="AC95" s="94"/>
      <c r="AD95" s="94"/>
      <c r="AE95" s="94"/>
      <c r="AF95" s="94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94"/>
      <c r="H96" s="94"/>
      <c r="I96" s="94"/>
      <c r="J96" s="94"/>
      <c r="K96" s="94"/>
      <c r="L96" s="94"/>
      <c r="M96" s="94"/>
      <c r="N96" s="94"/>
      <c r="O96" s="94" t="b">
        <v>0</v>
      </c>
      <c r="P96" s="94" t="b">
        <v>0</v>
      </c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 t="b">
        <v>0</v>
      </c>
      <c r="AC96" s="94"/>
      <c r="AD96" s="94"/>
      <c r="AE96" s="94"/>
      <c r="AF96" s="94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94"/>
      <c r="H97" s="94"/>
      <c r="I97" s="94"/>
      <c r="J97" s="94"/>
      <c r="K97" s="94"/>
      <c r="L97" s="94"/>
      <c r="M97" s="94"/>
      <c r="N97" s="94"/>
      <c r="O97" s="94" t="b">
        <v>0</v>
      </c>
      <c r="P97" s="94" t="b">
        <v>0</v>
      </c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 t="b">
        <v>0</v>
      </c>
      <c r="AC97" s="94"/>
      <c r="AD97" s="94"/>
      <c r="AE97" s="94"/>
      <c r="AF97" s="94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94"/>
      <c r="H98" s="94"/>
      <c r="I98" s="94"/>
      <c r="J98" s="94"/>
      <c r="K98" s="94"/>
      <c r="L98" s="94"/>
      <c r="M98" s="94"/>
      <c r="N98" s="94"/>
      <c r="O98" s="94" t="b">
        <v>0</v>
      </c>
      <c r="P98" s="94" t="b">
        <v>0</v>
      </c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 t="b">
        <v>0</v>
      </c>
      <c r="AC98" s="94"/>
      <c r="AD98" s="94"/>
      <c r="AE98" s="94"/>
      <c r="AF98" s="94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94"/>
      <c r="H99" s="94"/>
      <c r="I99" s="94"/>
      <c r="J99" s="94"/>
      <c r="K99" s="94"/>
      <c r="L99" s="94"/>
      <c r="M99" s="94"/>
      <c r="N99" s="94"/>
      <c r="O99" s="94" t="b">
        <v>0</v>
      </c>
      <c r="P99" s="94" t="b">
        <v>0</v>
      </c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 t="b">
        <v>0</v>
      </c>
      <c r="AC99" s="94"/>
      <c r="AD99" s="94"/>
      <c r="AE99" s="94"/>
      <c r="AF99" s="94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94"/>
      <c r="H100" s="94"/>
      <c r="I100" s="94"/>
      <c r="J100" s="94"/>
      <c r="K100" s="94"/>
      <c r="L100" s="94"/>
      <c r="M100" s="94"/>
      <c r="N100" s="94"/>
      <c r="O100" s="94" t="b">
        <v>0</v>
      </c>
      <c r="P100" s="94" t="b">
        <v>0</v>
      </c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 t="b">
        <v>0</v>
      </c>
      <c r="AC100" s="94"/>
      <c r="AD100" s="94"/>
      <c r="AE100" s="94"/>
      <c r="AF100" s="94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94"/>
      <c r="H101" s="94"/>
      <c r="I101" s="94"/>
      <c r="J101" s="94"/>
      <c r="K101" s="94"/>
      <c r="L101" s="94"/>
      <c r="M101" s="94"/>
      <c r="N101" s="94"/>
      <c r="O101" s="94" t="b">
        <v>0</v>
      </c>
      <c r="P101" s="94" t="b">
        <v>0</v>
      </c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 t="b">
        <v>0</v>
      </c>
      <c r="AC101" s="94"/>
      <c r="AD101" s="94"/>
      <c r="AE101" s="94"/>
      <c r="AF101" s="94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94"/>
      <c r="H102" s="94"/>
      <c r="I102" s="94"/>
      <c r="J102" s="94"/>
      <c r="K102" s="94"/>
      <c r="L102" s="94"/>
      <c r="M102" s="94"/>
      <c r="N102" s="94"/>
      <c r="O102" s="94" t="b">
        <v>0</v>
      </c>
      <c r="P102" s="94" t="b">
        <v>0</v>
      </c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 t="b">
        <v>0</v>
      </c>
      <c r="AC102" s="94"/>
      <c r="AD102" s="94"/>
      <c r="AE102" s="94"/>
      <c r="AF102" s="94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94"/>
      <c r="H103" s="94"/>
      <c r="I103" s="94"/>
      <c r="J103" s="94"/>
      <c r="K103" s="94"/>
      <c r="L103" s="94"/>
      <c r="M103" s="94"/>
      <c r="N103" s="94"/>
      <c r="O103" s="94" t="b">
        <v>0</v>
      </c>
      <c r="P103" s="94" t="b">
        <v>0</v>
      </c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 t="b">
        <v>0</v>
      </c>
      <c r="AC103" s="94"/>
      <c r="AD103" s="94"/>
      <c r="AE103" s="94"/>
      <c r="AF103" s="94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94"/>
      <c r="H104" s="94"/>
      <c r="I104" s="94"/>
      <c r="J104" s="94"/>
      <c r="K104" s="94"/>
      <c r="L104" s="94"/>
      <c r="M104" s="94"/>
      <c r="N104" s="94"/>
      <c r="O104" s="94" t="b">
        <v>0</v>
      </c>
      <c r="P104" s="94" t="b">
        <v>0</v>
      </c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 t="b">
        <v>0</v>
      </c>
      <c r="AC104" s="94"/>
      <c r="AD104" s="94"/>
      <c r="AE104" s="94"/>
      <c r="AF104" s="94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94"/>
      <c r="H105" s="94"/>
      <c r="I105" s="94"/>
      <c r="J105" s="94"/>
      <c r="K105" s="94"/>
      <c r="L105" s="94"/>
      <c r="M105" s="94"/>
      <c r="N105" s="94"/>
      <c r="O105" s="94" t="b">
        <v>0</v>
      </c>
      <c r="P105" s="94" t="b">
        <v>0</v>
      </c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 t="b">
        <v>0</v>
      </c>
      <c r="AC105" s="94"/>
      <c r="AD105" s="94"/>
      <c r="AE105" s="94"/>
      <c r="AF105" s="94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94"/>
      <c r="H106" s="94"/>
      <c r="I106" s="94"/>
      <c r="J106" s="94"/>
      <c r="K106" s="94"/>
      <c r="L106" s="94"/>
      <c r="M106" s="94"/>
      <c r="N106" s="94"/>
      <c r="O106" s="94" t="b">
        <v>0</v>
      </c>
      <c r="P106" s="94" t="b">
        <v>0</v>
      </c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 t="b">
        <v>0</v>
      </c>
      <c r="AC106" s="94"/>
      <c r="AD106" s="94"/>
      <c r="AE106" s="94"/>
      <c r="AF106" s="94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94"/>
      <c r="H107" s="94"/>
      <c r="I107" s="94"/>
      <c r="J107" s="94"/>
      <c r="K107" s="94"/>
      <c r="L107" s="94"/>
      <c r="M107" s="94"/>
      <c r="N107" s="94"/>
      <c r="O107" s="94" t="b">
        <v>0</v>
      </c>
      <c r="P107" s="94" t="b">
        <v>0</v>
      </c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 t="b">
        <v>0</v>
      </c>
      <c r="AC107" s="94"/>
      <c r="AD107" s="94"/>
      <c r="AE107" s="94"/>
      <c r="AF107" s="94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94"/>
      <c r="H108" s="94"/>
      <c r="I108" s="94"/>
      <c r="J108" s="94"/>
      <c r="K108" s="94"/>
      <c r="L108" s="94"/>
      <c r="M108" s="94"/>
      <c r="N108" s="94"/>
      <c r="O108" s="94" t="b">
        <v>0</v>
      </c>
      <c r="P108" s="94" t="b">
        <v>0</v>
      </c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 t="b">
        <v>0</v>
      </c>
      <c r="AC108" s="94"/>
      <c r="AD108" s="94"/>
      <c r="AE108" s="94"/>
      <c r="AF108" s="94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94"/>
      <c r="H109" s="94"/>
      <c r="I109" s="94"/>
      <c r="J109" s="94"/>
      <c r="K109" s="94"/>
      <c r="L109" s="94"/>
      <c r="M109" s="94"/>
      <c r="N109" s="94"/>
      <c r="O109" s="94" t="b">
        <v>0</v>
      </c>
      <c r="P109" s="94" t="b">
        <v>0</v>
      </c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 t="b">
        <v>0</v>
      </c>
      <c r="AC109" s="94"/>
      <c r="AD109" s="94"/>
      <c r="AE109" s="94"/>
      <c r="AF109" s="94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94"/>
      <c r="H110" s="94"/>
      <c r="I110" s="94"/>
      <c r="J110" s="94"/>
      <c r="K110" s="94"/>
      <c r="L110" s="94"/>
      <c r="M110" s="94"/>
      <c r="N110" s="94"/>
      <c r="O110" s="94" t="b">
        <v>0</v>
      </c>
      <c r="P110" s="94" t="b">
        <v>0</v>
      </c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 t="b">
        <v>0</v>
      </c>
      <c r="AC110" s="94"/>
      <c r="AD110" s="94"/>
      <c r="AE110" s="94"/>
      <c r="AF110" s="94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94"/>
      <c r="H111" s="94"/>
      <c r="I111" s="94"/>
      <c r="J111" s="94"/>
      <c r="K111" s="94"/>
      <c r="L111" s="94"/>
      <c r="M111" s="94"/>
      <c r="N111" s="94"/>
      <c r="O111" s="94" t="b">
        <v>0</v>
      </c>
      <c r="P111" s="94" t="b">
        <v>0</v>
      </c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 t="b">
        <v>0</v>
      </c>
      <c r="AC111" s="94"/>
      <c r="AD111" s="94"/>
      <c r="AE111" s="94"/>
      <c r="AF111" s="94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94"/>
      <c r="H112" s="94"/>
      <c r="I112" s="94"/>
      <c r="J112" s="94"/>
      <c r="K112" s="94"/>
      <c r="L112" s="94"/>
      <c r="M112" s="94"/>
      <c r="N112" s="94"/>
      <c r="O112" s="94" t="b">
        <v>0</v>
      </c>
      <c r="P112" s="94" t="b">
        <v>0</v>
      </c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 t="b">
        <v>0</v>
      </c>
      <c r="AC112" s="94"/>
      <c r="AD112" s="94"/>
      <c r="AE112" s="94"/>
      <c r="AF112" s="94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94"/>
      <c r="H113" s="94"/>
      <c r="I113" s="94"/>
      <c r="J113" s="94"/>
      <c r="K113" s="94"/>
      <c r="L113" s="94"/>
      <c r="M113" s="94"/>
      <c r="N113" s="94"/>
      <c r="O113" s="94" t="b">
        <v>0</v>
      </c>
      <c r="P113" s="94" t="b">
        <v>0</v>
      </c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 t="b">
        <v>0</v>
      </c>
      <c r="AC113" s="94"/>
      <c r="AD113" s="94"/>
      <c r="AE113" s="94"/>
      <c r="AF113" s="94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94"/>
      <c r="H114" s="94"/>
      <c r="I114" s="94"/>
      <c r="J114" s="94"/>
      <c r="K114" s="94"/>
      <c r="L114" s="94"/>
      <c r="M114" s="94"/>
      <c r="N114" s="94"/>
      <c r="O114" s="94" t="b">
        <v>0</v>
      </c>
      <c r="P114" s="94" t="b">
        <v>0</v>
      </c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 t="b">
        <v>0</v>
      </c>
      <c r="AC114" s="94"/>
      <c r="AD114" s="94"/>
      <c r="AE114" s="94"/>
      <c r="AF114" s="94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94"/>
      <c r="H115" s="94"/>
      <c r="I115" s="94"/>
      <c r="J115" s="94"/>
      <c r="K115" s="94"/>
      <c r="L115" s="94"/>
      <c r="M115" s="94"/>
      <c r="N115" s="94"/>
      <c r="O115" s="94" t="b">
        <v>0</v>
      </c>
      <c r="P115" s="94" t="b">
        <v>0</v>
      </c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 t="b">
        <v>0</v>
      </c>
      <c r="AC115" s="94"/>
      <c r="AD115" s="94"/>
      <c r="AE115" s="94"/>
      <c r="AF115" s="94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94"/>
      <c r="H116" s="94"/>
      <c r="I116" s="94"/>
      <c r="J116" s="94"/>
      <c r="K116" s="94"/>
      <c r="L116" s="94"/>
      <c r="M116" s="94"/>
      <c r="N116" s="94"/>
      <c r="O116" s="94" t="b">
        <v>0</v>
      </c>
      <c r="P116" s="94" t="b">
        <v>0</v>
      </c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 t="b">
        <v>0</v>
      </c>
      <c r="AC116" s="94"/>
      <c r="AD116" s="94"/>
      <c r="AE116" s="94"/>
      <c r="AF116" s="94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94"/>
      <c r="H117" s="94"/>
      <c r="I117" s="94"/>
      <c r="J117" s="94"/>
      <c r="K117" s="94"/>
      <c r="L117" s="94"/>
      <c r="M117" s="94"/>
      <c r="N117" s="94"/>
      <c r="O117" s="94" t="b">
        <v>0</v>
      </c>
      <c r="P117" s="94" t="b">
        <v>0</v>
      </c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 t="b">
        <v>0</v>
      </c>
      <c r="AC117" s="94"/>
      <c r="AD117" s="94"/>
      <c r="AE117" s="94"/>
      <c r="AF117" s="94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94"/>
      <c r="H118" s="94"/>
      <c r="I118" s="94"/>
      <c r="J118" s="94"/>
      <c r="K118" s="94"/>
      <c r="L118" s="94"/>
      <c r="M118" s="94"/>
      <c r="N118" s="94"/>
      <c r="O118" s="94" t="b">
        <v>0</v>
      </c>
      <c r="P118" s="94" t="b">
        <v>0</v>
      </c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 t="b">
        <v>0</v>
      </c>
      <c r="AC118" s="94"/>
      <c r="AD118" s="94"/>
      <c r="AE118" s="94"/>
      <c r="AF118" s="94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94"/>
      <c r="H119" s="94"/>
      <c r="I119" s="94"/>
      <c r="J119" s="94"/>
      <c r="K119" s="94"/>
      <c r="L119" s="94"/>
      <c r="M119" s="94"/>
      <c r="N119" s="94"/>
      <c r="O119" s="94" t="b">
        <v>0</v>
      </c>
      <c r="P119" s="94" t="b">
        <v>0</v>
      </c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 t="b">
        <v>0</v>
      </c>
      <c r="AC119" s="94"/>
      <c r="AD119" s="94"/>
      <c r="AE119" s="94"/>
      <c r="AF119" s="94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94"/>
      <c r="H120" s="94"/>
      <c r="I120" s="94"/>
      <c r="J120" s="94"/>
      <c r="K120" s="94"/>
      <c r="L120" s="94"/>
      <c r="M120" s="94"/>
      <c r="N120" s="94"/>
      <c r="O120" s="94" t="b">
        <v>0</v>
      </c>
      <c r="P120" s="94" t="b">
        <v>0</v>
      </c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 t="b">
        <v>0</v>
      </c>
      <c r="AC120" s="94"/>
      <c r="AD120" s="94"/>
      <c r="AE120" s="94"/>
      <c r="AF120" s="94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94"/>
      <c r="H121" s="94"/>
      <c r="I121" s="94"/>
      <c r="J121" s="94"/>
      <c r="K121" s="94"/>
      <c r="L121" s="94"/>
      <c r="M121" s="94"/>
      <c r="N121" s="94"/>
      <c r="O121" s="94" t="b">
        <v>0</v>
      </c>
      <c r="P121" s="94" t="b">
        <v>0</v>
      </c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 t="b">
        <v>0</v>
      </c>
      <c r="AC121" s="94"/>
      <c r="AD121" s="94"/>
      <c r="AE121" s="94"/>
      <c r="AF121" s="94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94"/>
      <c r="H122" s="94"/>
      <c r="I122" s="94"/>
      <c r="J122" s="94"/>
      <c r="K122" s="94"/>
      <c r="L122" s="94"/>
      <c r="M122" s="94"/>
      <c r="N122" s="94"/>
      <c r="O122" s="94" t="b">
        <v>0</v>
      </c>
      <c r="P122" s="94" t="b">
        <v>0</v>
      </c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 t="b">
        <v>0</v>
      </c>
      <c r="AC122" s="94"/>
      <c r="AD122" s="94"/>
      <c r="AE122" s="94"/>
      <c r="AF122" s="94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94"/>
      <c r="H123" s="94"/>
      <c r="I123" s="94"/>
      <c r="J123" s="94"/>
      <c r="K123" s="94"/>
      <c r="L123" s="94"/>
      <c r="M123" s="94"/>
      <c r="N123" s="94"/>
      <c r="O123" s="94" t="b">
        <v>0</v>
      </c>
      <c r="P123" s="94" t="b">
        <v>0</v>
      </c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 t="b">
        <v>0</v>
      </c>
      <c r="AC123" s="94"/>
      <c r="AD123" s="94"/>
      <c r="AE123" s="94"/>
      <c r="AF123" s="94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94"/>
      <c r="H124" s="94"/>
      <c r="I124" s="94"/>
      <c r="J124" s="94"/>
      <c r="K124" s="94"/>
      <c r="L124" s="94"/>
      <c r="M124" s="94"/>
      <c r="N124" s="94"/>
      <c r="O124" s="94" t="b">
        <v>0</v>
      </c>
      <c r="P124" s="94" t="b">
        <v>0</v>
      </c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 t="b">
        <v>0</v>
      </c>
      <c r="AC124" s="94"/>
      <c r="AD124" s="94"/>
      <c r="AE124" s="94"/>
      <c r="AF124" s="94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94"/>
      <c r="H125" s="94"/>
      <c r="I125" s="94"/>
      <c r="J125" s="94"/>
      <c r="K125" s="94"/>
      <c r="L125" s="94"/>
      <c r="M125" s="94"/>
      <c r="N125" s="94"/>
      <c r="O125" s="94" t="b">
        <v>0</v>
      </c>
      <c r="P125" s="94" t="b">
        <v>0</v>
      </c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 t="b">
        <v>0</v>
      </c>
      <c r="AC125" s="94"/>
      <c r="AD125" s="94"/>
      <c r="AE125" s="94"/>
      <c r="AF125" s="94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94"/>
      <c r="H126" s="94"/>
      <c r="I126" s="94"/>
      <c r="J126" s="94"/>
      <c r="K126" s="94"/>
      <c r="L126" s="94"/>
      <c r="M126" s="94"/>
      <c r="N126" s="94"/>
      <c r="O126" s="94" t="b">
        <v>0</v>
      </c>
      <c r="P126" s="94" t="b">
        <v>0</v>
      </c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 t="b">
        <v>0</v>
      </c>
      <c r="AC126" s="94"/>
      <c r="AD126" s="94"/>
      <c r="AE126" s="94"/>
      <c r="AF126" s="94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94"/>
      <c r="H127" s="94"/>
      <c r="I127" s="94"/>
      <c r="J127" s="94"/>
      <c r="K127" s="94"/>
      <c r="L127" s="94"/>
      <c r="M127" s="94"/>
      <c r="N127" s="94"/>
      <c r="O127" s="94" t="b">
        <v>0</v>
      </c>
      <c r="P127" s="94" t="b">
        <v>0</v>
      </c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 t="b">
        <v>0</v>
      </c>
      <c r="AC127" s="94"/>
      <c r="AD127" s="94"/>
      <c r="AE127" s="94"/>
      <c r="AF127" s="94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94"/>
      <c r="H128" s="94"/>
      <c r="I128" s="94"/>
      <c r="J128" s="94"/>
      <c r="K128" s="94"/>
      <c r="L128" s="94"/>
      <c r="M128" s="94"/>
      <c r="N128" s="94"/>
      <c r="O128" s="94" t="b">
        <v>0</v>
      </c>
      <c r="P128" s="94" t="b">
        <v>0</v>
      </c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 t="b">
        <v>0</v>
      </c>
      <c r="AC128" s="94"/>
      <c r="AD128" s="94"/>
      <c r="AE128" s="94"/>
      <c r="AF128" s="94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94"/>
      <c r="H129" s="94"/>
      <c r="I129" s="94"/>
      <c r="J129" s="94"/>
      <c r="K129" s="94"/>
      <c r="L129" s="94"/>
      <c r="M129" s="94"/>
      <c r="N129" s="94"/>
      <c r="O129" s="94" t="b">
        <v>0</v>
      </c>
      <c r="P129" s="94" t="b">
        <v>0</v>
      </c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 t="b">
        <v>0</v>
      </c>
      <c r="AC129" s="94"/>
      <c r="AD129" s="94"/>
      <c r="AE129" s="94"/>
      <c r="AF129" s="94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94"/>
      <c r="H130" s="94"/>
      <c r="I130" s="94"/>
      <c r="J130" s="94"/>
      <c r="K130" s="94"/>
      <c r="L130" s="94"/>
      <c r="M130" s="94"/>
      <c r="N130" s="94"/>
      <c r="O130" s="94" t="b">
        <v>0</v>
      </c>
      <c r="P130" s="94" t="b">
        <v>0</v>
      </c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 t="b">
        <v>0</v>
      </c>
      <c r="AC130" s="94"/>
      <c r="AD130" s="94"/>
      <c r="AE130" s="94"/>
      <c r="AF130" s="94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94"/>
      <c r="H131" s="94"/>
      <c r="I131" s="94"/>
      <c r="J131" s="94"/>
      <c r="K131" s="94"/>
      <c r="L131" s="94"/>
      <c r="M131" s="94"/>
      <c r="N131" s="94"/>
      <c r="O131" s="94" t="b">
        <v>0</v>
      </c>
      <c r="P131" s="94" t="b">
        <v>0</v>
      </c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 t="b">
        <v>0</v>
      </c>
      <c r="AC131" s="94"/>
      <c r="AD131" s="94"/>
      <c r="AE131" s="94"/>
      <c r="AF131" s="94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94"/>
      <c r="H132" s="94"/>
      <c r="I132" s="94"/>
      <c r="J132" s="94"/>
      <c r="K132" s="94"/>
      <c r="L132" s="94"/>
      <c r="M132" s="94"/>
      <c r="N132" s="94"/>
      <c r="O132" s="94" t="b">
        <v>0</v>
      </c>
      <c r="P132" s="94" t="b">
        <v>0</v>
      </c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 t="b">
        <v>0</v>
      </c>
      <c r="AC132" s="94"/>
      <c r="AD132" s="94"/>
      <c r="AE132" s="94"/>
      <c r="AF132" s="94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94"/>
      <c r="H133" s="94"/>
      <c r="I133" s="94"/>
      <c r="J133" s="94"/>
      <c r="K133" s="94"/>
      <c r="L133" s="94"/>
      <c r="M133" s="94"/>
      <c r="N133" s="94"/>
      <c r="O133" s="94" t="b">
        <v>0</v>
      </c>
      <c r="P133" s="94" t="b">
        <v>0</v>
      </c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 t="b">
        <v>0</v>
      </c>
      <c r="AC133" s="94"/>
      <c r="AD133" s="94"/>
      <c r="AE133" s="94"/>
      <c r="AF133" s="94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94"/>
      <c r="H134" s="94"/>
      <c r="I134" s="94"/>
      <c r="J134" s="94"/>
      <c r="K134" s="94"/>
      <c r="L134" s="94"/>
      <c r="M134" s="94"/>
      <c r="N134" s="94"/>
      <c r="O134" s="94" t="b">
        <v>0</v>
      </c>
      <c r="P134" s="94" t="b">
        <v>0</v>
      </c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 t="b">
        <v>0</v>
      </c>
      <c r="AC134" s="94"/>
      <c r="AD134" s="94"/>
      <c r="AE134" s="94"/>
      <c r="AF134" s="94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94"/>
      <c r="H135" s="94"/>
      <c r="I135" s="94"/>
      <c r="J135" s="94"/>
      <c r="K135" s="94"/>
      <c r="L135" s="94"/>
      <c r="M135" s="94"/>
      <c r="N135" s="94"/>
      <c r="O135" s="94" t="b">
        <v>0</v>
      </c>
      <c r="P135" s="94" t="b">
        <v>0</v>
      </c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 t="b">
        <v>0</v>
      </c>
      <c r="AC135" s="94"/>
      <c r="AD135" s="94"/>
      <c r="AE135" s="94"/>
      <c r="AF135" s="94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94"/>
      <c r="H136" s="94"/>
      <c r="I136" s="94"/>
      <c r="J136" s="94"/>
      <c r="K136" s="94"/>
      <c r="L136" s="94"/>
      <c r="M136" s="94"/>
      <c r="N136" s="94"/>
      <c r="O136" s="94" t="b">
        <v>0</v>
      </c>
      <c r="P136" s="94" t="b">
        <v>0</v>
      </c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 t="b">
        <v>0</v>
      </c>
      <c r="AC136" s="94"/>
      <c r="AD136" s="94"/>
      <c r="AE136" s="94"/>
      <c r="AF136" s="94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94"/>
      <c r="H137" s="94"/>
      <c r="I137" s="94"/>
      <c r="J137" s="94"/>
      <c r="K137" s="94"/>
      <c r="L137" s="94"/>
      <c r="M137" s="94"/>
      <c r="N137" s="94"/>
      <c r="O137" s="94" t="b">
        <v>0</v>
      </c>
      <c r="P137" s="94" t="b">
        <v>0</v>
      </c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 t="b">
        <v>0</v>
      </c>
      <c r="AC137" s="94"/>
      <c r="AD137" s="94"/>
      <c r="AE137" s="94"/>
      <c r="AF137" s="94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94"/>
      <c r="H138" s="94"/>
      <c r="I138" s="94"/>
      <c r="J138" s="94"/>
      <c r="K138" s="94"/>
      <c r="L138" s="94"/>
      <c r="M138" s="94"/>
      <c r="N138" s="94"/>
      <c r="O138" s="94" t="b">
        <v>0</v>
      </c>
      <c r="P138" s="94" t="b">
        <v>0</v>
      </c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 t="b">
        <v>0</v>
      </c>
      <c r="AC138" s="94"/>
      <c r="AD138" s="94"/>
      <c r="AE138" s="94"/>
      <c r="AF138" s="94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94"/>
      <c r="H139" s="94"/>
      <c r="I139" s="94"/>
      <c r="J139" s="94"/>
      <c r="K139" s="94"/>
      <c r="L139" s="94"/>
      <c r="M139" s="94"/>
      <c r="N139" s="94"/>
      <c r="O139" s="94" t="b">
        <v>0</v>
      </c>
      <c r="P139" s="94" t="b">
        <v>0</v>
      </c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 t="b">
        <v>0</v>
      </c>
      <c r="AC139" s="94"/>
      <c r="AD139" s="94"/>
      <c r="AE139" s="94"/>
      <c r="AF139" s="94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94"/>
      <c r="H140" s="94"/>
      <c r="I140" s="94"/>
      <c r="J140" s="94"/>
      <c r="K140" s="94"/>
      <c r="L140" s="94"/>
      <c r="M140" s="94"/>
      <c r="N140" s="94"/>
      <c r="O140" s="94" t="b">
        <v>0</v>
      </c>
      <c r="P140" s="94" t="b">
        <v>0</v>
      </c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 t="b">
        <v>0</v>
      </c>
      <c r="AC140" s="94"/>
      <c r="AD140" s="94"/>
      <c r="AE140" s="94"/>
      <c r="AF140" s="94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94"/>
      <c r="H141" s="94"/>
      <c r="I141" s="94"/>
      <c r="J141" s="94"/>
      <c r="K141" s="94"/>
      <c r="L141" s="94"/>
      <c r="M141" s="94"/>
      <c r="N141" s="94"/>
      <c r="O141" s="94" t="b">
        <v>0</v>
      </c>
      <c r="P141" s="94" t="b">
        <v>0</v>
      </c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 t="b">
        <v>0</v>
      </c>
      <c r="AC141" s="94"/>
      <c r="AD141" s="94"/>
      <c r="AE141" s="94"/>
      <c r="AF141" s="94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94"/>
      <c r="H142" s="94"/>
      <c r="I142" s="94"/>
      <c r="J142" s="94"/>
      <c r="K142" s="94"/>
      <c r="L142" s="94"/>
      <c r="M142" s="94"/>
      <c r="N142" s="94"/>
      <c r="O142" s="94" t="b">
        <v>0</v>
      </c>
      <c r="P142" s="94" t="b">
        <v>0</v>
      </c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 t="b">
        <v>0</v>
      </c>
      <c r="AC142" s="94"/>
      <c r="AD142" s="94"/>
      <c r="AE142" s="94"/>
      <c r="AF142" s="94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94"/>
      <c r="H143" s="94"/>
      <c r="I143" s="94"/>
      <c r="J143" s="94"/>
      <c r="K143" s="94"/>
      <c r="L143" s="94"/>
      <c r="M143" s="94"/>
      <c r="N143" s="94"/>
      <c r="O143" s="94" t="b">
        <v>0</v>
      </c>
      <c r="P143" s="94" t="b">
        <v>0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 t="b">
        <v>0</v>
      </c>
      <c r="AC143" s="94"/>
      <c r="AD143" s="94"/>
      <c r="AE143" s="94"/>
      <c r="AF143" s="94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94"/>
      <c r="H144" s="94"/>
      <c r="I144" s="94"/>
      <c r="J144" s="94"/>
      <c r="K144" s="94"/>
      <c r="L144" s="94"/>
      <c r="M144" s="94"/>
      <c r="N144" s="94"/>
      <c r="O144" s="94" t="b">
        <v>0</v>
      </c>
      <c r="P144" s="94" t="b">
        <v>0</v>
      </c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 t="b">
        <v>0</v>
      </c>
      <c r="AC144" s="94"/>
      <c r="AD144" s="94"/>
      <c r="AE144" s="94"/>
      <c r="AF144" s="94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94"/>
      <c r="H145" s="94"/>
      <c r="I145" s="94"/>
      <c r="J145" s="94"/>
      <c r="K145" s="94"/>
      <c r="L145" s="94"/>
      <c r="M145" s="94"/>
      <c r="N145" s="94"/>
      <c r="O145" s="94" t="b">
        <v>0</v>
      </c>
      <c r="P145" s="94" t="b">
        <v>0</v>
      </c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 t="b">
        <v>0</v>
      </c>
      <c r="AC145" s="94"/>
      <c r="AD145" s="94"/>
      <c r="AE145" s="94"/>
      <c r="AF145" s="94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94"/>
      <c r="H146" s="94"/>
      <c r="I146" s="94"/>
      <c r="J146" s="94"/>
      <c r="K146" s="94"/>
      <c r="L146" s="94"/>
      <c r="M146" s="94"/>
      <c r="N146" s="94"/>
      <c r="O146" s="94" t="b">
        <v>0</v>
      </c>
      <c r="P146" s="94" t="b">
        <v>0</v>
      </c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 t="b">
        <v>0</v>
      </c>
      <c r="AC146" s="94"/>
      <c r="AD146" s="94"/>
      <c r="AE146" s="94"/>
      <c r="AF146" s="94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94"/>
      <c r="H147" s="94"/>
      <c r="I147" s="94"/>
      <c r="J147" s="94"/>
      <c r="K147" s="94"/>
      <c r="L147" s="94"/>
      <c r="M147" s="94"/>
      <c r="N147" s="94"/>
      <c r="O147" s="94" t="b">
        <v>0</v>
      </c>
      <c r="P147" s="94" t="b">
        <v>0</v>
      </c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 t="b">
        <v>0</v>
      </c>
      <c r="AC147" s="94"/>
      <c r="AD147" s="94"/>
      <c r="AE147" s="94"/>
      <c r="AF147" s="94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94"/>
      <c r="H148" s="94"/>
      <c r="I148" s="94"/>
      <c r="J148" s="94"/>
      <c r="K148" s="94"/>
      <c r="L148" s="94"/>
      <c r="M148" s="94"/>
      <c r="N148" s="94"/>
      <c r="O148" s="94" t="b">
        <v>0</v>
      </c>
      <c r="P148" s="94" t="b">
        <v>0</v>
      </c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 t="b">
        <v>0</v>
      </c>
      <c r="AC148" s="94"/>
      <c r="AD148" s="94"/>
      <c r="AE148" s="94"/>
      <c r="AF148" s="94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94"/>
      <c r="H149" s="94"/>
      <c r="I149" s="94"/>
      <c r="J149" s="94"/>
      <c r="K149" s="94"/>
      <c r="L149" s="94"/>
      <c r="M149" s="94"/>
      <c r="N149" s="94"/>
      <c r="O149" s="94" t="b">
        <v>0</v>
      </c>
      <c r="P149" s="94" t="b">
        <v>0</v>
      </c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 t="b">
        <v>0</v>
      </c>
      <c r="AC149" s="94"/>
      <c r="AD149" s="94"/>
      <c r="AE149" s="94"/>
      <c r="AF149" s="94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94"/>
      <c r="H150" s="94"/>
      <c r="I150" s="94"/>
      <c r="J150" s="94"/>
      <c r="K150" s="94"/>
      <c r="L150" s="94"/>
      <c r="M150" s="94"/>
      <c r="N150" s="94"/>
      <c r="O150" s="94" t="b">
        <v>0</v>
      </c>
      <c r="P150" s="94" t="b">
        <v>0</v>
      </c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 t="b">
        <v>0</v>
      </c>
      <c r="AC150" s="94"/>
      <c r="AD150" s="94"/>
      <c r="AE150" s="94"/>
      <c r="AF150" s="94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94"/>
      <c r="H151" s="94"/>
      <c r="I151" s="94"/>
      <c r="J151" s="94"/>
      <c r="K151" s="94"/>
      <c r="L151" s="94"/>
      <c r="M151" s="94"/>
      <c r="N151" s="94"/>
      <c r="O151" s="94" t="b">
        <v>0</v>
      </c>
      <c r="P151" s="94" t="b">
        <v>0</v>
      </c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 t="b">
        <v>0</v>
      </c>
      <c r="AC151" s="94"/>
      <c r="AD151" s="94"/>
      <c r="AE151" s="94"/>
      <c r="AF151" s="94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94"/>
      <c r="H152" s="94"/>
      <c r="I152" s="94"/>
      <c r="J152" s="94"/>
      <c r="K152" s="94"/>
      <c r="L152" s="94"/>
      <c r="M152" s="94"/>
      <c r="N152" s="94"/>
      <c r="O152" s="94" t="b">
        <v>0</v>
      </c>
      <c r="P152" s="94" t="b">
        <v>0</v>
      </c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 t="b">
        <v>0</v>
      </c>
      <c r="AC152" s="94"/>
      <c r="AD152" s="94"/>
      <c r="AE152" s="94"/>
      <c r="AF152" s="94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94"/>
      <c r="H153" s="94"/>
      <c r="I153" s="94"/>
      <c r="J153" s="94"/>
      <c r="K153" s="94"/>
      <c r="L153" s="94"/>
      <c r="M153" s="94"/>
      <c r="N153" s="94"/>
      <c r="O153" s="94" t="b">
        <v>0</v>
      </c>
      <c r="P153" s="94" t="b">
        <v>0</v>
      </c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 t="b">
        <v>0</v>
      </c>
      <c r="AC153" s="94"/>
      <c r="AD153" s="94"/>
      <c r="AE153" s="94"/>
      <c r="AF153" s="94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94"/>
      <c r="H154" s="94"/>
      <c r="I154" s="94"/>
      <c r="J154" s="94"/>
      <c r="K154" s="94"/>
      <c r="L154" s="94"/>
      <c r="M154" s="94"/>
      <c r="N154" s="94"/>
      <c r="O154" s="94" t="b">
        <v>0</v>
      </c>
      <c r="P154" s="94" t="b">
        <v>0</v>
      </c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 t="b">
        <v>0</v>
      </c>
      <c r="AC154" s="94"/>
      <c r="AD154" s="94"/>
      <c r="AE154" s="94"/>
      <c r="AF154" s="94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94"/>
      <c r="H155" s="94"/>
      <c r="I155" s="94"/>
      <c r="J155" s="94"/>
      <c r="K155" s="94"/>
      <c r="L155" s="94"/>
      <c r="M155" s="94"/>
      <c r="N155" s="94"/>
      <c r="O155" s="94" t="b">
        <v>0</v>
      </c>
      <c r="P155" s="94" t="b">
        <v>0</v>
      </c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 t="b">
        <v>0</v>
      </c>
      <c r="AC155" s="94"/>
      <c r="AD155" s="94"/>
      <c r="AE155" s="94"/>
      <c r="AF155" s="94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94"/>
      <c r="H156" s="94"/>
      <c r="I156" s="94"/>
      <c r="J156" s="94"/>
      <c r="K156" s="94"/>
      <c r="L156" s="94"/>
      <c r="M156" s="94"/>
      <c r="N156" s="94"/>
      <c r="O156" s="94" t="b">
        <v>0</v>
      </c>
      <c r="P156" s="94" t="b">
        <v>0</v>
      </c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 t="b">
        <v>0</v>
      </c>
      <c r="AC156" s="94"/>
      <c r="AD156" s="94"/>
      <c r="AE156" s="94"/>
      <c r="AF156" s="94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94"/>
      <c r="H157" s="94"/>
      <c r="I157" s="94"/>
      <c r="J157" s="94"/>
      <c r="K157" s="94"/>
      <c r="L157" s="94"/>
      <c r="M157" s="94"/>
      <c r="N157" s="94"/>
      <c r="O157" s="94" t="b">
        <v>0</v>
      </c>
      <c r="P157" s="94" t="b">
        <v>0</v>
      </c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 t="b">
        <v>0</v>
      </c>
      <c r="AC157" s="94"/>
      <c r="AD157" s="94"/>
      <c r="AE157" s="94"/>
      <c r="AF157" s="94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94"/>
      <c r="H158" s="94"/>
      <c r="I158" s="94"/>
      <c r="J158" s="94"/>
      <c r="K158" s="94"/>
      <c r="L158" s="94"/>
      <c r="M158" s="94"/>
      <c r="N158" s="94"/>
      <c r="O158" s="94" t="b">
        <v>0</v>
      </c>
      <c r="P158" s="94" t="b">
        <v>0</v>
      </c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 t="b">
        <v>0</v>
      </c>
      <c r="AC158" s="94"/>
      <c r="AD158" s="94"/>
      <c r="AE158" s="94"/>
      <c r="AF158" s="94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94"/>
      <c r="H159" s="94"/>
      <c r="I159" s="94"/>
      <c r="J159" s="94"/>
      <c r="K159" s="94"/>
      <c r="L159" s="94"/>
      <c r="M159" s="94"/>
      <c r="N159" s="94"/>
      <c r="O159" s="94" t="b">
        <v>0</v>
      </c>
      <c r="P159" s="94" t="b">
        <v>0</v>
      </c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 t="b">
        <v>0</v>
      </c>
      <c r="AC159" s="94"/>
      <c r="AD159" s="94"/>
      <c r="AE159" s="94"/>
      <c r="AF159" s="94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94"/>
      <c r="H160" s="94"/>
      <c r="I160" s="94"/>
      <c r="J160" s="94"/>
      <c r="K160" s="94"/>
      <c r="L160" s="94"/>
      <c r="M160" s="94"/>
      <c r="N160" s="94"/>
      <c r="O160" s="94" t="b">
        <v>0</v>
      </c>
      <c r="P160" s="94" t="b">
        <v>0</v>
      </c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 t="b">
        <v>0</v>
      </c>
      <c r="AC160" s="94"/>
      <c r="AD160" s="94"/>
      <c r="AE160" s="94"/>
      <c r="AF160" s="94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94"/>
      <c r="H161" s="94"/>
      <c r="I161" s="94"/>
      <c r="J161" s="94"/>
      <c r="K161" s="94"/>
      <c r="L161" s="94"/>
      <c r="M161" s="94"/>
      <c r="N161" s="94"/>
      <c r="O161" s="94" t="b">
        <v>0</v>
      </c>
      <c r="P161" s="94" t="b">
        <v>0</v>
      </c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 t="b">
        <v>0</v>
      </c>
      <c r="AC161" s="94"/>
      <c r="AD161" s="94"/>
      <c r="AE161" s="94"/>
      <c r="AF161" s="94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94"/>
      <c r="H162" s="94"/>
      <c r="I162" s="94"/>
      <c r="J162" s="94"/>
      <c r="K162" s="94"/>
      <c r="L162" s="94"/>
      <c r="M162" s="94"/>
      <c r="N162" s="94"/>
      <c r="O162" s="94" t="b">
        <v>0</v>
      </c>
      <c r="P162" s="94" t="b">
        <v>0</v>
      </c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 t="b">
        <v>0</v>
      </c>
      <c r="AC162" s="94"/>
      <c r="AD162" s="94"/>
      <c r="AE162" s="94"/>
      <c r="AF162" s="94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94"/>
      <c r="H163" s="94"/>
      <c r="I163" s="94"/>
      <c r="J163" s="94"/>
      <c r="K163" s="94"/>
      <c r="L163" s="94"/>
      <c r="M163" s="94"/>
      <c r="N163" s="94"/>
      <c r="O163" s="94" t="b">
        <v>0</v>
      </c>
      <c r="P163" s="94" t="b">
        <v>0</v>
      </c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 t="b">
        <v>0</v>
      </c>
      <c r="AC163" s="94"/>
      <c r="AD163" s="94"/>
      <c r="AE163" s="94"/>
      <c r="AF163" s="94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94"/>
      <c r="H164" s="94"/>
      <c r="I164" s="94"/>
      <c r="J164" s="94"/>
      <c r="K164" s="94"/>
      <c r="L164" s="94"/>
      <c r="M164" s="94"/>
      <c r="N164" s="94"/>
      <c r="O164" s="94" t="b">
        <v>0</v>
      </c>
      <c r="P164" s="94" t="b">
        <v>0</v>
      </c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 t="b">
        <v>0</v>
      </c>
      <c r="AC164" s="94"/>
      <c r="AD164" s="94"/>
      <c r="AE164" s="94"/>
      <c r="AF164" s="94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94"/>
      <c r="H165" s="94"/>
      <c r="I165" s="94"/>
      <c r="J165" s="94"/>
      <c r="K165" s="94"/>
      <c r="L165" s="94"/>
      <c r="M165" s="94"/>
      <c r="N165" s="94"/>
      <c r="O165" s="94" t="b">
        <v>0</v>
      </c>
      <c r="P165" s="94" t="b">
        <v>0</v>
      </c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 t="b">
        <v>0</v>
      </c>
      <c r="AC165" s="94"/>
      <c r="AD165" s="94"/>
      <c r="AE165" s="94"/>
      <c r="AF165" s="94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94"/>
      <c r="H166" s="94"/>
      <c r="I166" s="94"/>
      <c r="J166" s="94"/>
      <c r="K166" s="94"/>
      <c r="L166" s="94"/>
      <c r="M166" s="94"/>
      <c r="N166" s="94"/>
      <c r="O166" s="94" t="b">
        <v>0</v>
      </c>
      <c r="P166" s="94" t="b">
        <v>0</v>
      </c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 t="b">
        <v>0</v>
      </c>
      <c r="AC166" s="94"/>
      <c r="AD166" s="94"/>
      <c r="AE166" s="94"/>
      <c r="AF166" s="94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94"/>
      <c r="H167" s="94"/>
      <c r="I167" s="94"/>
      <c r="J167" s="94"/>
      <c r="K167" s="94"/>
      <c r="L167" s="94"/>
      <c r="M167" s="94"/>
      <c r="N167" s="94"/>
      <c r="O167" s="94" t="b">
        <v>0</v>
      </c>
      <c r="P167" s="94" t="b">
        <v>0</v>
      </c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 t="b">
        <v>0</v>
      </c>
      <c r="AC167" s="94"/>
      <c r="AD167" s="94"/>
      <c r="AE167" s="94"/>
      <c r="AF167" s="94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94"/>
      <c r="H168" s="94"/>
      <c r="I168" s="94"/>
      <c r="J168" s="94"/>
      <c r="K168" s="94"/>
      <c r="L168" s="94"/>
      <c r="M168" s="94"/>
      <c r="N168" s="94"/>
      <c r="O168" s="94" t="b">
        <v>0</v>
      </c>
      <c r="P168" s="94" t="b">
        <v>0</v>
      </c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 t="b">
        <v>0</v>
      </c>
      <c r="AC168" s="94"/>
      <c r="AD168" s="94"/>
      <c r="AE168" s="94"/>
      <c r="AF168" s="94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94"/>
      <c r="H169" s="94"/>
      <c r="I169" s="94"/>
      <c r="J169" s="94"/>
      <c r="K169" s="94"/>
      <c r="L169" s="94"/>
      <c r="M169" s="94"/>
      <c r="N169" s="94"/>
      <c r="O169" s="94" t="b">
        <v>0</v>
      </c>
      <c r="P169" s="94" t="b">
        <v>0</v>
      </c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 t="b">
        <v>0</v>
      </c>
      <c r="AC169" s="94"/>
      <c r="AD169" s="94"/>
      <c r="AE169" s="94"/>
      <c r="AF169" s="94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94"/>
      <c r="H170" s="94"/>
      <c r="I170" s="94"/>
      <c r="J170" s="94"/>
      <c r="K170" s="94"/>
      <c r="L170" s="94"/>
      <c r="M170" s="94"/>
      <c r="N170" s="94"/>
      <c r="O170" s="94" t="b">
        <v>0</v>
      </c>
      <c r="P170" s="94" t="b">
        <v>0</v>
      </c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 t="b">
        <v>0</v>
      </c>
      <c r="AC170" s="94"/>
      <c r="AD170" s="94"/>
      <c r="AE170" s="94"/>
      <c r="AF170" s="94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94"/>
      <c r="H171" s="94"/>
      <c r="I171" s="94"/>
      <c r="J171" s="94"/>
      <c r="K171" s="94"/>
      <c r="L171" s="94"/>
      <c r="M171" s="94"/>
      <c r="N171" s="94"/>
      <c r="O171" s="94" t="b">
        <v>0</v>
      </c>
      <c r="P171" s="94" t="b">
        <v>0</v>
      </c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 t="b">
        <v>0</v>
      </c>
      <c r="AC171" s="94"/>
      <c r="AD171" s="94"/>
      <c r="AE171" s="94"/>
      <c r="AF171" s="94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94"/>
      <c r="H172" s="94"/>
      <c r="I172" s="94"/>
      <c r="J172" s="94"/>
      <c r="K172" s="94"/>
      <c r="L172" s="94"/>
      <c r="M172" s="94"/>
      <c r="N172" s="94"/>
      <c r="O172" s="94" t="b">
        <v>0</v>
      </c>
      <c r="P172" s="94" t="b">
        <v>0</v>
      </c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 t="b">
        <v>0</v>
      </c>
      <c r="AC172" s="94"/>
      <c r="AD172" s="94"/>
      <c r="AE172" s="94"/>
      <c r="AF172" s="94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94"/>
      <c r="H173" s="94"/>
      <c r="I173" s="94"/>
      <c r="J173" s="94"/>
      <c r="K173" s="94"/>
      <c r="L173" s="94"/>
      <c r="M173" s="94"/>
      <c r="N173" s="94"/>
      <c r="O173" s="94" t="b">
        <v>0</v>
      </c>
      <c r="P173" s="94" t="b">
        <v>0</v>
      </c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 t="b">
        <v>0</v>
      </c>
      <c r="AC173" s="94"/>
      <c r="AD173" s="94"/>
      <c r="AE173" s="94"/>
      <c r="AF173" s="94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94"/>
      <c r="H174" s="94"/>
      <c r="I174" s="94"/>
      <c r="J174" s="94"/>
      <c r="K174" s="94"/>
      <c r="L174" s="94"/>
      <c r="M174" s="94"/>
      <c r="N174" s="94"/>
      <c r="O174" s="94" t="b">
        <v>0</v>
      </c>
      <c r="P174" s="94" t="b">
        <v>0</v>
      </c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 t="b">
        <v>0</v>
      </c>
      <c r="AC174" s="94"/>
      <c r="AD174" s="94"/>
      <c r="AE174" s="94"/>
      <c r="AF174" s="94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94"/>
      <c r="H175" s="94"/>
      <c r="I175" s="94"/>
      <c r="J175" s="94"/>
      <c r="K175" s="94"/>
      <c r="L175" s="94"/>
      <c r="M175" s="94"/>
      <c r="N175" s="94"/>
      <c r="O175" s="94" t="b">
        <v>0</v>
      </c>
      <c r="P175" s="94" t="b">
        <v>0</v>
      </c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 t="b">
        <v>0</v>
      </c>
      <c r="AC175" s="94"/>
      <c r="AD175" s="94"/>
      <c r="AE175" s="94"/>
      <c r="AF175" s="94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94"/>
      <c r="H176" s="94"/>
      <c r="I176" s="94"/>
      <c r="J176" s="94"/>
      <c r="K176" s="94"/>
      <c r="L176" s="94"/>
      <c r="M176" s="94"/>
      <c r="N176" s="94"/>
      <c r="O176" s="94" t="b">
        <v>0</v>
      </c>
      <c r="P176" s="94" t="b">
        <v>0</v>
      </c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 t="b">
        <v>0</v>
      </c>
      <c r="AC176" s="94"/>
      <c r="AD176" s="94"/>
      <c r="AE176" s="94"/>
      <c r="AF176" s="94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94"/>
      <c r="H177" s="94"/>
      <c r="I177" s="94"/>
      <c r="J177" s="94"/>
      <c r="K177" s="94"/>
      <c r="L177" s="94"/>
      <c r="M177" s="94"/>
      <c r="N177" s="94"/>
      <c r="O177" s="94" t="b">
        <v>0</v>
      </c>
      <c r="P177" s="94" t="b">
        <v>0</v>
      </c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 t="b">
        <v>0</v>
      </c>
      <c r="AC177" s="94"/>
      <c r="AD177" s="94"/>
      <c r="AE177" s="94"/>
      <c r="AF177" s="94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94"/>
      <c r="H178" s="94"/>
      <c r="I178" s="94"/>
      <c r="J178" s="94"/>
      <c r="K178" s="94"/>
      <c r="L178" s="94"/>
      <c r="M178" s="94"/>
      <c r="N178" s="94"/>
      <c r="O178" s="94" t="b">
        <v>0</v>
      </c>
      <c r="P178" s="94" t="b">
        <v>0</v>
      </c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 t="b">
        <v>0</v>
      </c>
      <c r="AC178" s="94"/>
      <c r="AD178" s="94"/>
      <c r="AE178" s="94"/>
      <c r="AF178" s="94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94"/>
      <c r="H179" s="94"/>
      <c r="I179" s="94"/>
      <c r="J179" s="94"/>
      <c r="K179" s="94"/>
      <c r="L179" s="94"/>
      <c r="M179" s="94"/>
      <c r="N179" s="94"/>
      <c r="O179" s="94" t="b">
        <v>0</v>
      </c>
      <c r="P179" s="94" t="b">
        <v>0</v>
      </c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 t="b">
        <v>0</v>
      </c>
      <c r="AC179" s="94"/>
      <c r="AD179" s="94"/>
      <c r="AE179" s="94"/>
      <c r="AF179" s="94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94"/>
      <c r="H180" s="94"/>
      <c r="I180" s="94"/>
      <c r="J180" s="94"/>
      <c r="K180" s="94"/>
      <c r="L180" s="94"/>
      <c r="M180" s="94"/>
      <c r="N180" s="94"/>
      <c r="O180" s="94" t="b">
        <v>0</v>
      </c>
      <c r="P180" s="94" t="b">
        <v>0</v>
      </c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 t="b">
        <v>0</v>
      </c>
      <c r="AC180" s="94"/>
      <c r="AD180" s="94"/>
      <c r="AE180" s="94"/>
      <c r="AF180" s="94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94"/>
      <c r="H181" s="94"/>
      <c r="I181" s="94"/>
      <c r="J181" s="94"/>
      <c r="K181" s="94"/>
      <c r="L181" s="94"/>
      <c r="M181" s="94"/>
      <c r="N181" s="94"/>
      <c r="O181" s="94" t="b">
        <v>0</v>
      </c>
      <c r="P181" s="94" t="b">
        <v>0</v>
      </c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 t="b">
        <v>0</v>
      </c>
      <c r="AC181" s="94"/>
      <c r="AD181" s="94"/>
      <c r="AE181" s="94"/>
      <c r="AF181" s="94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94"/>
      <c r="H182" s="94"/>
      <c r="I182" s="94"/>
      <c r="J182" s="94"/>
      <c r="K182" s="94"/>
      <c r="L182" s="94"/>
      <c r="M182" s="94"/>
      <c r="N182" s="94"/>
      <c r="O182" s="94" t="b">
        <v>0</v>
      </c>
      <c r="P182" s="94" t="b">
        <v>0</v>
      </c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 t="b">
        <v>0</v>
      </c>
      <c r="AC182" s="94"/>
      <c r="AD182" s="94"/>
      <c r="AE182" s="94"/>
      <c r="AF182" s="94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94"/>
      <c r="H183" s="94"/>
      <c r="I183" s="94"/>
      <c r="J183" s="94"/>
      <c r="K183" s="94"/>
      <c r="L183" s="94"/>
      <c r="M183" s="94"/>
      <c r="N183" s="94"/>
      <c r="O183" s="94" t="b">
        <v>0</v>
      </c>
      <c r="P183" s="94" t="b">
        <v>0</v>
      </c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 t="b">
        <v>0</v>
      </c>
      <c r="AC183" s="94"/>
      <c r="AD183" s="94"/>
      <c r="AE183" s="94"/>
      <c r="AF183" s="94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94"/>
      <c r="H184" s="94"/>
      <c r="I184" s="94"/>
      <c r="J184" s="94"/>
      <c r="K184" s="94"/>
      <c r="L184" s="94"/>
      <c r="M184" s="94"/>
      <c r="N184" s="94"/>
      <c r="O184" s="94" t="b">
        <v>0</v>
      </c>
      <c r="P184" s="94" t="b">
        <v>0</v>
      </c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 t="b">
        <v>0</v>
      </c>
      <c r="AC184" s="94"/>
      <c r="AD184" s="94"/>
      <c r="AE184" s="94"/>
      <c r="AF184" s="94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94"/>
      <c r="H185" s="94"/>
      <c r="I185" s="94"/>
      <c r="J185" s="94"/>
      <c r="K185" s="94"/>
      <c r="L185" s="94"/>
      <c r="M185" s="94"/>
      <c r="N185" s="94"/>
      <c r="O185" s="94" t="b">
        <v>0</v>
      </c>
      <c r="P185" s="94" t="b">
        <v>0</v>
      </c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 t="b">
        <v>0</v>
      </c>
      <c r="AC185" s="94"/>
      <c r="AD185" s="94"/>
      <c r="AE185" s="94"/>
      <c r="AF185" s="94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94"/>
      <c r="H186" s="94"/>
      <c r="I186" s="94"/>
      <c r="J186" s="94"/>
      <c r="K186" s="94"/>
      <c r="L186" s="94"/>
      <c r="M186" s="94"/>
      <c r="N186" s="94"/>
      <c r="O186" s="94" t="b">
        <v>0</v>
      </c>
      <c r="P186" s="94" t="b">
        <v>0</v>
      </c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 t="b">
        <v>0</v>
      </c>
      <c r="AC186" s="94"/>
      <c r="AD186" s="94"/>
      <c r="AE186" s="94"/>
      <c r="AF186" s="94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94"/>
      <c r="H187" s="94"/>
      <c r="I187" s="94"/>
      <c r="J187" s="94"/>
      <c r="K187" s="94"/>
      <c r="L187" s="94"/>
      <c r="M187" s="94"/>
      <c r="N187" s="94"/>
      <c r="O187" s="94" t="b">
        <v>0</v>
      </c>
      <c r="P187" s="94" t="b">
        <v>0</v>
      </c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 t="b">
        <v>0</v>
      </c>
      <c r="AC187" s="94"/>
      <c r="AD187" s="94"/>
      <c r="AE187" s="94"/>
      <c r="AF187" s="94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94"/>
      <c r="H188" s="94"/>
      <c r="I188" s="94"/>
      <c r="J188" s="94"/>
      <c r="K188" s="94"/>
      <c r="L188" s="94"/>
      <c r="M188" s="94"/>
      <c r="N188" s="94"/>
      <c r="O188" s="94" t="b">
        <v>0</v>
      </c>
      <c r="P188" s="94" t="b">
        <v>0</v>
      </c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 t="b">
        <v>0</v>
      </c>
      <c r="AC188" s="94"/>
      <c r="AD188" s="94"/>
      <c r="AE188" s="94"/>
      <c r="AF188" s="94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94"/>
      <c r="H189" s="94"/>
      <c r="I189" s="94"/>
      <c r="J189" s="94"/>
      <c r="K189" s="94"/>
      <c r="L189" s="94"/>
      <c r="M189" s="94"/>
      <c r="N189" s="94"/>
      <c r="O189" s="94" t="b">
        <v>0</v>
      </c>
      <c r="P189" s="94" t="b">
        <v>0</v>
      </c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 t="b">
        <v>0</v>
      </c>
      <c r="AC189" s="94"/>
      <c r="AD189" s="94"/>
      <c r="AE189" s="94"/>
      <c r="AF189" s="94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94"/>
      <c r="H190" s="94"/>
      <c r="I190" s="94"/>
      <c r="J190" s="94"/>
      <c r="K190" s="94"/>
      <c r="L190" s="94"/>
      <c r="M190" s="94"/>
      <c r="N190" s="94"/>
      <c r="O190" s="94" t="b">
        <v>0</v>
      </c>
      <c r="P190" s="94" t="b">
        <v>0</v>
      </c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 t="b">
        <v>0</v>
      </c>
      <c r="AC190" s="94"/>
      <c r="AD190" s="94"/>
      <c r="AE190" s="94"/>
      <c r="AF190" s="94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94"/>
      <c r="H191" s="94"/>
      <c r="I191" s="94"/>
      <c r="J191" s="94"/>
      <c r="K191" s="94"/>
      <c r="L191" s="94"/>
      <c r="M191" s="94"/>
      <c r="N191" s="94"/>
      <c r="O191" s="94" t="b">
        <v>0</v>
      </c>
      <c r="P191" s="94" t="b">
        <v>0</v>
      </c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 t="b">
        <v>0</v>
      </c>
      <c r="AC191" s="94"/>
      <c r="AD191" s="94"/>
      <c r="AE191" s="94"/>
      <c r="AF191" s="94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94"/>
      <c r="H192" s="94"/>
      <c r="I192" s="94"/>
      <c r="J192" s="94"/>
      <c r="K192" s="94"/>
      <c r="L192" s="94"/>
      <c r="M192" s="94"/>
      <c r="N192" s="94"/>
      <c r="O192" s="94" t="b">
        <v>0</v>
      </c>
      <c r="P192" s="94" t="b">
        <v>0</v>
      </c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 t="b">
        <v>0</v>
      </c>
      <c r="AC192" s="94"/>
      <c r="AD192" s="94"/>
      <c r="AE192" s="94"/>
      <c r="AF192" s="94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94"/>
      <c r="H193" s="94"/>
      <c r="I193" s="94"/>
      <c r="J193" s="94"/>
      <c r="K193" s="94"/>
      <c r="L193" s="94"/>
      <c r="M193" s="94"/>
      <c r="N193" s="94"/>
      <c r="O193" s="94" t="b">
        <v>0</v>
      </c>
      <c r="P193" s="94" t="b">
        <v>0</v>
      </c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 t="b">
        <v>0</v>
      </c>
      <c r="AC193" s="94"/>
      <c r="AD193" s="94"/>
      <c r="AE193" s="94"/>
      <c r="AF193" s="94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94"/>
      <c r="H194" s="94"/>
      <c r="I194" s="94"/>
      <c r="J194" s="94"/>
      <c r="K194" s="94"/>
      <c r="L194" s="94"/>
      <c r="M194" s="94"/>
      <c r="N194" s="94"/>
      <c r="O194" s="94" t="b">
        <v>0</v>
      </c>
      <c r="P194" s="94" t="b">
        <v>0</v>
      </c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 t="b">
        <v>0</v>
      </c>
      <c r="AC194" s="94"/>
      <c r="AD194" s="94"/>
      <c r="AE194" s="94"/>
      <c r="AF194" s="94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94"/>
      <c r="H195" s="94"/>
      <c r="I195" s="94"/>
      <c r="J195" s="94"/>
      <c r="K195" s="94"/>
      <c r="L195" s="94"/>
      <c r="M195" s="94"/>
      <c r="N195" s="94"/>
      <c r="O195" s="94" t="b">
        <v>0</v>
      </c>
      <c r="P195" s="94" t="b">
        <v>0</v>
      </c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 t="b">
        <v>0</v>
      </c>
      <c r="AC195" s="94"/>
      <c r="AD195" s="94"/>
      <c r="AE195" s="94"/>
      <c r="AF195" s="94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94"/>
      <c r="H196" s="94"/>
      <c r="I196" s="94"/>
      <c r="J196" s="94"/>
      <c r="K196" s="94"/>
      <c r="L196" s="94"/>
      <c r="M196" s="94"/>
      <c r="N196" s="94"/>
      <c r="O196" s="94" t="b">
        <v>0</v>
      </c>
      <c r="P196" s="94" t="b">
        <v>0</v>
      </c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 t="b">
        <v>0</v>
      </c>
      <c r="AC196" s="94"/>
      <c r="AD196" s="94"/>
      <c r="AE196" s="94"/>
      <c r="AF196" s="94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94"/>
      <c r="H197" s="94"/>
      <c r="I197" s="94"/>
      <c r="J197" s="94"/>
      <c r="K197" s="94"/>
      <c r="L197" s="94"/>
      <c r="M197" s="94"/>
      <c r="N197" s="94"/>
      <c r="O197" s="94" t="b">
        <v>0</v>
      </c>
      <c r="P197" s="94" t="b">
        <v>0</v>
      </c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 t="b">
        <v>0</v>
      </c>
      <c r="AC197" s="94"/>
      <c r="AD197" s="94"/>
      <c r="AE197" s="94"/>
      <c r="AF197" s="94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94"/>
      <c r="H198" s="94"/>
      <c r="I198" s="94"/>
      <c r="J198" s="94"/>
      <c r="K198" s="94"/>
      <c r="L198" s="94"/>
      <c r="M198" s="94"/>
      <c r="N198" s="94"/>
      <c r="O198" s="94" t="b">
        <v>0</v>
      </c>
      <c r="P198" s="94" t="b">
        <v>0</v>
      </c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 t="b">
        <v>0</v>
      </c>
      <c r="AC198" s="94"/>
      <c r="AD198" s="94"/>
      <c r="AE198" s="94"/>
      <c r="AF198" s="94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94"/>
      <c r="H199" s="94"/>
      <c r="I199" s="94"/>
      <c r="J199" s="94"/>
      <c r="K199" s="94"/>
      <c r="L199" s="94"/>
      <c r="M199" s="94"/>
      <c r="N199" s="94"/>
      <c r="O199" s="94" t="b">
        <v>0</v>
      </c>
      <c r="P199" s="94" t="b">
        <v>0</v>
      </c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 t="b">
        <v>0</v>
      </c>
      <c r="AC199" s="94"/>
      <c r="AD199" s="94"/>
      <c r="AE199" s="94"/>
      <c r="AF199" s="94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94"/>
      <c r="H200" s="94"/>
      <c r="I200" s="94"/>
      <c r="J200" s="94"/>
      <c r="K200" s="94"/>
      <c r="L200" s="94"/>
      <c r="M200" s="94"/>
      <c r="N200" s="94"/>
      <c r="O200" s="94" t="b">
        <v>0</v>
      </c>
      <c r="P200" s="94" t="b">
        <v>0</v>
      </c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 t="b">
        <v>0</v>
      </c>
      <c r="AC200" s="94"/>
      <c r="AD200" s="94"/>
      <c r="AE200" s="94"/>
      <c r="AF200" s="94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94"/>
      <c r="H201" s="94"/>
      <c r="I201" s="94"/>
      <c r="J201" s="94"/>
      <c r="K201" s="94"/>
      <c r="L201" s="94"/>
      <c r="M201" s="94"/>
      <c r="N201" s="94"/>
      <c r="O201" s="94" t="b">
        <v>0</v>
      </c>
      <c r="P201" s="94" t="b">
        <v>0</v>
      </c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 t="b">
        <v>0</v>
      </c>
      <c r="AC201" s="94"/>
      <c r="AD201" s="94"/>
      <c r="AE201" s="94"/>
      <c r="AF201" s="94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94"/>
      <c r="H202" s="94"/>
      <c r="I202" s="94"/>
      <c r="J202" s="94"/>
      <c r="K202" s="94"/>
      <c r="L202" s="94"/>
      <c r="M202" s="94"/>
      <c r="N202" s="94"/>
      <c r="O202" s="94" t="b">
        <v>0</v>
      </c>
      <c r="P202" s="94" t="b">
        <v>0</v>
      </c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 t="b">
        <v>0</v>
      </c>
      <c r="AC202" s="94"/>
      <c r="AD202" s="94"/>
      <c r="AE202" s="94"/>
      <c r="AF202" s="94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94"/>
      <c r="H203" s="94"/>
      <c r="I203" s="94"/>
      <c r="J203" s="94"/>
      <c r="K203" s="94"/>
      <c r="L203" s="94"/>
      <c r="M203" s="94"/>
      <c r="N203" s="94"/>
      <c r="O203" s="94" t="b">
        <v>0</v>
      </c>
      <c r="P203" s="94" t="b">
        <v>0</v>
      </c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 t="b">
        <v>0</v>
      </c>
      <c r="AC203" s="94"/>
      <c r="AD203" s="94"/>
      <c r="AE203" s="94"/>
      <c r="AF203" s="94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94"/>
      <c r="H204" s="94"/>
      <c r="I204" s="94"/>
      <c r="J204" s="94"/>
      <c r="K204" s="94"/>
      <c r="L204" s="94"/>
      <c r="M204" s="94"/>
      <c r="N204" s="94"/>
      <c r="O204" s="94" t="b">
        <v>0</v>
      </c>
      <c r="P204" s="94" t="b">
        <v>0</v>
      </c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 t="b">
        <v>0</v>
      </c>
      <c r="AC204" s="94"/>
      <c r="AD204" s="94"/>
      <c r="AE204" s="94"/>
      <c r="AF204" s="94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94"/>
      <c r="H205" s="94"/>
      <c r="I205" s="94"/>
      <c r="J205" s="94"/>
      <c r="K205" s="94"/>
      <c r="L205" s="94"/>
      <c r="M205" s="94"/>
      <c r="N205" s="94"/>
      <c r="O205" s="94" t="b">
        <v>0</v>
      </c>
      <c r="P205" s="94" t="b">
        <v>0</v>
      </c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 t="b">
        <v>0</v>
      </c>
      <c r="AC205" s="94"/>
      <c r="AD205" s="94"/>
      <c r="AE205" s="94"/>
      <c r="AF205" s="94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94"/>
      <c r="H206" s="94"/>
      <c r="I206" s="94"/>
      <c r="J206" s="94"/>
      <c r="K206" s="94"/>
      <c r="L206" s="94"/>
      <c r="M206" s="94"/>
      <c r="N206" s="94"/>
      <c r="O206" s="94" t="b">
        <v>0</v>
      </c>
      <c r="P206" s="94" t="b">
        <v>0</v>
      </c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 t="b">
        <v>0</v>
      </c>
      <c r="AC206" s="94"/>
      <c r="AD206" s="94"/>
      <c r="AE206" s="94"/>
      <c r="AF206" s="94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94"/>
      <c r="H207" s="94"/>
      <c r="I207" s="94"/>
      <c r="J207" s="94"/>
      <c r="K207" s="94"/>
      <c r="L207" s="94"/>
      <c r="M207" s="94"/>
      <c r="N207" s="94"/>
      <c r="O207" s="94" t="b">
        <v>0</v>
      </c>
      <c r="P207" s="94" t="b">
        <v>0</v>
      </c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 t="b">
        <v>0</v>
      </c>
      <c r="AC207" s="94"/>
      <c r="AD207" s="94"/>
      <c r="AE207" s="94"/>
      <c r="AF207" s="94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94"/>
      <c r="H208" s="94"/>
      <c r="I208" s="94"/>
      <c r="J208" s="94"/>
      <c r="K208" s="94"/>
      <c r="L208" s="94"/>
      <c r="M208" s="94"/>
      <c r="N208" s="94"/>
      <c r="O208" s="94" t="b">
        <v>0</v>
      </c>
      <c r="P208" s="94" t="b">
        <v>0</v>
      </c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 t="b">
        <v>0</v>
      </c>
      <c r="AC208" s="94"/>
      <c r="AD208" s="94"/>
      <c r="AE208" s="94"/>
      <c r="AF208" s="94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94"/>
      <c r="H209" s="94"/>
      <c r="I209" s="94"/>
      <c r="J209" s="94"/>
      <c r="K209" s="94"/>
      <c r="L209" s="94"/>
      <c r="M209" s="94"/>
      <c r="N209" s="94"/>
      <c r="O209" s="94" t="b">
        <v>0</v>
      </c>
      <c r="P209" s="94" t="b">
        <v>0</v>
      </c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 t="b">
        <v>0</v>
      </c>
      <c r="AC209" s="94"/>
      <c r="AD209" s="94"/>
      <c r="AE209" s="94"/>
      <c r="AF209" s="94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94"/>
      <c r="H210" s="94"/>
      <c r="I210" s="94"/>
      <c r="J210" s="94"/>
      <c r="K210" s="94"/>
      <c r="L210" s="94"/>
      <c r="M210" s="94"/>
      <c r="N210" s="94"/>
      <c r="O210" s="94" t="b">
        <v>0</v>
      </c>
      <c r="P210" s="94" t="b">
        <v>0</v>
      </c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 t="b">
        <v>0</v>
      </c>
      <c r="AC210" s="94"/>
      <c r="AD210" s="94"/>
      <c r="AE210" s="94"/>
      <c r="AF210" s="94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94"/>
      <c r="H211" s="94"/>
      <c r="I211" s="94"/>
      <c r="J211" s="94"/>
      <c r="K211" s="94"/>
      <c r="L211" s="94"/>
      <c r="M211" s="94"/>
      <c r="N211" s="94"/>
      <c r="O211" s="94" t="b">
        <v>0</v>
      </c>
      <c r="P211" s="94" t="b">
        <v>0</v>
      </c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 t="b">
        <v>0</v>
      </c>
      <c r="AC211" s="94"/>
      <c r="AD211" s="94"/>
      <c r="AE211" s="94"/>
      <c r="AF211" s="94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94"/>
      <c r="H212" s="94"/>
      <c r="I212" s="94"/>
      <c r="J212" s="94"/>
      <c r="K212" s="94"/>
      <c r="L212" s="94"/>
      <c r="M212" s="94"/>
      <c r="N212" s="94"/>
      <c r="O212" s="94" t="b">
        <v>0</v>
      </c>
      <c r="P212" s="94" t="b">
        <v>0</v>
      </c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 t="b">
        <v>0</v>
      </c>
      <c r="AC212" s="94"/>
      <c r="AD212" s="94"/>
      <c r="AE212" s="94"/>
      <c r="AF212" s="94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94"/>
      <c r="H213" s="94"/>
      <c r="I213" s="94"/>
      <c r="J213" s="94"/>
      <c r="K213" s="94"/>
      <c r="L213" s="94"/>
      <c r="M213" s="94"/>
      <c r="N213" s="94"/>
      <c r="O213" s="94" t="b">
        <v>0</v>
      </c>
      <c r="P213" s="94" t="b">
        <v>0</v>
      </c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 t="b">
        <v>0</v>
      </c>
      <c r="AC213" s="94"/>
      <c r="AD213" s="94"/>
      <c r="AE213" s="94"/>
      <c r="AF213" s="94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94"/>
      <c r="H214" s="94"/>
      <c r="I214" s="94"/>
      <c r="J214" s="94"/>
      <c r="K214" s="94"/>
      <c r="L214" s="94"/>
      <c r="M214" s="94"/>
      <c r="N214" s="94"/>
      <c r="O214" s="94" t="b">
        <v>0</v>
      </c>
      <c r="P214" s="94" t="b">
        <v>0</v>
      </c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 t="b">
        <v>0</v>
      </c>
      <c r="AC214" s="94"/>
      <c r="AD214" s="94"/>
      <c r="AE214" s="94"/>
      <c r="AF214" s="94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94"/>
      <c r="H215" s="94"/>
      <c r="I215" s="94"/>
      <c r="J215" s="94"/>
      <c r="K215" s="94"/>
      <c r="L215" s="94"/>
      <c r="M215" s="94"/>
      <c r="N215" s="94"/>
      <c r="O215" s="94" t="b">
        <v>0</v>
      </c>
      <c r="P215" s="94" t="b">
        <v>0</v>
      </c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 t="b">
        <v>0</v>
      </c>
      <c r="AC215" s="94"/>
      <c r="AD215" s="94"/>
      <c r="AE215" s="94"/>
      <c r="AF215" s="94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94"/>
      <c r="H216" s="94"/>
      <c r="I216" s="94"/>
      <c r="J216" s="94"/>
      <c r="K216" s="94"/>
      <c r="L216" s="94"/>
      <c r="M216" s="94"/>
      <c r="N216" s="94"/>
      <c r="O216" s="94" t="b">
        <v>0</v>
      </c>
      <c r="P216" s="94" t="b">
        <v>0</v>
      </c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 t="b">
        <v>0</v>
      </c>
      <c r="AC216" s="94"/>
      <c r="AD216" s="94"/>
      <c r="AE216" s="94"/>
      <c r="AF216" s="94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94"/>
      <c r="H217" s="94"/>
      <c r="I217" s="94"/>
      <c r="J217" s="94"/>
      <c r="K217" s="94"/>
      <c r="L217" s="94"/>
      <c r="M217" s="94"/>
      <c r="N217" s="94"/>
      <c r="O217" s="94" t="b">
        <v>0</v>
      </c>
      <c r="P217" s="94" t="b">
        <v>0</v>
      </c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 t="b">
        <v>0</v>
      </c>
      <c r="AC217" s="94"/>
      <c r="AD217" s="94"/>
      <c r="AE217" s="94"/>
      <c r="AF217" s="94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94"/>
      <c r="H218" s="94"/>
      <c r="I218" s="94"/>
      <c r="J218" s="94"/>
      <c r="K218" s="94"/>
      <c r="L218" s="94"/>
      <c r="M218" s="94"/>
      <c r="N218" s="94"/>
      <c r="O218" s="94" t="b">
        <v>0</v>
      </c>
      <c r="P218" s="94" t="b">
        <v>0</v>
      </c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 t="b">
        <v>0</v>
      </c>
      <c r="AC218" s="94"/>
      <c r="AD218" s="94"/>
      <c r="AE218" s="94"/>
      <c r="AF218" s="94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94"/>
      <c r="H219" s="94"/>
      <c r="I219" s="94"/>
      <c r="J219" s="94"/>
      <c r="K219" s="94"/>
      <c r="L219" s="94"/>
      <c r="M219" s="94"/>
      <c r="N219" s="94"/>
      <c r="O219" s="94" t="b">
        <v>0</v>
      </c>
      <c r="P219" s="94" t="b">
        <v>0</v>
      </c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 t="b">
        <v>0</v>
      </c>
      <c r="AC219" s="94"/>
      <c r="AD219" s="94"/>
      <c r="AE219" s="94"/>
      <c r="AF219" s="94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94"/>
      <c r="H220" s="94"/>
      <c r="I220" s="94"/>
      <c r="J220" s="94"/>
      <c r="K220" s="94"/>
      <c r="L220" s="94"/>
      <c r="M220" s="94"/>
      <c r="N220" s="94"/>
      <c r="O220" s="94" t="b">
        <v>0</v>
      </c>
      <c r="P220" s="94" t="b">
        <v>0</v>
      </c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 t="b">
        <v>0</v>
      </c>
      <c r="AC220" s="94"/>
      <c r="AD220" s="94"/>
      <c r="AE220" s="94"/>
      <c r="AF220" s="94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94"/>
      <c r="H221" s="94"/>
      <c r="I221" s="94"/>
      <c r="J221" s="94"/>
      <c r="K221" s="94"/>
      <c r="L221" s="94"/>
      <c r="M221" s="94"/>
      <c r="N221" s="94"/>
      <c r="O221" s="94" t="b">
        <v>0</v>
      </c>
      <c r="P221" s="94" t="b">
        <v>0</v>
      </c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 t="b">
        <v>0</v>
      </c>
      <c r="AC221" s="94"/>
      <c r="AD221" s="94"/>
      <c r="AE221" s="94"/>
      <c r="AF221" s="94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94"/>
      <c r="H222" s="94"/>
      <c r="I222" s="94"/>
      <c r="J222" s="94"/>
      <c r="K222" s="94"/>
      <c r="L222" s="94"/>
      <c r="M222" s="94"/>
      <c r="N222" s="94"/>
      <c r="O222" s="94" t="b">
        <v>0</v>
      </c>
      <c r="P222" s="94" t="b">
        <v>0</v>
      </c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 t="b">
        <v>0</v>
      </c>
      <c r="AC222" s="94"/>
      <c r="AD222" s="94"/>
      <c r="AE222" s="94"/>
      <c r="AF222" s="94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94"/>
      <c r="H223" s="94"/>
      <c r="I223" s="94"/>
      <c r="J223" s="94"/>
      <c r="K223" s="94"/>
      <c r="L223" s="94"/>
      <c r="M223" s="94"/>
      <c r="N223" s="94"/>
      <c r="O223" s="94" t="b">
        <v>0</v>
      </c>
      <c r="P223" s="94" t="b">
        <v>0</v>
      </c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 t="b">
        <v>0</v>
      </c>
      <c r="AC223" s="94"/>
      <c r="AD223" s="94"/>
      <c r="AE223" s="94"/>
      <c r="AF223" s="94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94"/>
      <c r="H224" s="94"/>
      <c r="I224" s="94"/>
      <c r="J224" s="94"/>
      <c r="K224" s="94"/>
      <c r="L224" s="94"/>
      <c r="M224" s="94"/>
      <c r="N224" s="94"/>
      <c r="O224" s="94" t="b">
        <v>0</v>
      </c>
      <c r="P224" s="94" t="b">
        <v>0</v>
      </c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 t="b">
        <v>0</v>
      </c>
      <c r="AC224" s="94"/>
      <c r="AD224" s="94"/>
      <c r="AE224" s="94"/>
      <c r="AF224" s="94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94"/>
      <c r="H225" s="94"/>
      <c r="I225" s="94"/>
      <c r="J225" s="94"/>
      <c r="K225" s="94"/>
      <c r="L225" s="94"/>
      <c r="M225" s="94"/>
      <c r="N225" s="94"/>
      <c r="O225" s="94" t="b">
        <v>0</v>
      </c>
      <c r="P225" s="94" t="b">
        <v>0</v>
      </c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 t="b">
        <v>0</v>
      </c>
      <c r="AC225" s="94"/>
      <c r="AD225" s="94"/>
      <c r="AE225" s="94"/>
      <c r="AF225" s="94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94"/>
      <c r="H226" s="94"/>
      <c r="I226" s="94"/>
      <c r="J226" s="94"/>
      <c r="K226" s="94"/>
      <c r="L226" s="94"/>
      <c r="M226" s="94"/>
      <c r="N226" s="94"/>
      <c r="O226" s="94" t="b">
        <v>0</v>
      </c>
      <c r="P226" s="94" t="b">
        <v>0</v>
      </c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 t="b">
        <v>0</v>
      </c>
      <c r="AC226" s="94"/>
      <c r="AD226" s="94"/>
      <c r="AE226" s="94"/>
      <c r="AF226" s="94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94"/>
      <c r="H227" s="94"/>
      <c r="I227" s="94"/>
      <c r="J227" s="94"/>
      <c r="K227" s="94"/>
      <c r="L227" s="94"/>
      <c r="M227" s="94"/>
      <c r="N227" s="94"/>
      <c r="O227" s="94" t="b">
        <v>0</v>
      </c>
      <c r="P227" s="94" t="b">
        <v>0</v>
      </c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 t="b">
        <v>0</v>
      </c>
      <c r="AC227" s="94"/>
      <c r="AD227" s="94"/>
      <c r="AE227" s="94"/>
      <c r="AF227" s="94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94"/>
      <c r="H228" s="94"/>
      <c r="I228" s="94"/>
      <c r="J228" s="94"/>
      <c r="K228" s="94"/>
      <c r="L228" s="94"/>
      <c r="M228" s="94"/>
      <c r="N228" s="94"/>
      <c r="O228" s="94" t="b">
        <v>0</v>
      </c>
      <c r="P228" s="94" t="b">
        <v>0</v>
      </c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 t="b">
        <v>0</v>
      </c>
      <c r="AC228" s="94"/>
      <c r="AD228" s="94"/>
      <c r="AE228" s="94"/>
      <c r="AF228" s="94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94"/>
      <c r="H229" s="94"/>
      <c r="I229" s="94"/>
      <c r="J229" s="94"/>
      <c r="K229" s="94"/>
      <c r="L229" s="94"/>
      <c r="M229" s="94"/>
      <c r="N229" s="94"/>
      <c r="O229" s="94" t="b">
        <v>0</v>
      </c>
      <c r="P229" s="94" t="b">
        <v>0</v>
      </c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 t="b">
        <v>0</v>
      </c>
      <c r="AC229" s="94"/>
      <c r="AD229" s="94"/>
      <c r="AE229" s="94"/>
      <c r="AF229" s="94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94"/>
      <c r="H230" s="94"/>
      <c r="I230" s="94"/>
      <c r="J230" s="94"/>
      <c r="K230" s="94"/>
      <c r="L230" s="94"/>
      <c r="M230" s="94"/>
      <c r="N230" s="94"/>
      <c r="O230" s="94" t="b">
        <v>0</v>
      </c>
      <c r="P230" s="94" t="b">
        <v>0</v>
      </c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 t="b">
        <v>0</v>
      </c>
      <c r="AC230" s="94"/>
      <c r="AD230" s="94"/>
      <c r="AE230" s="94"/>
      <c r="AF230" s="94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94"/>
      <c r="H231" s="94"/>
      <c r="I231" s="94"/>
      <c r="J231" s="94"/>
      <c r="K231" s="94"/>
      <c r="L231" s="94"/>
      <c r="M231" s="94"/>
      <c r="N231" s="94"/>
      <c r="O231" s="94" t="b">
        <v>0</v>
      </c>
      <c r="P231" s="94" t="b">
        <v>0</v>
      </c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 t="b">
        <v>0</v>
      </c>
      <c r="AC231" s="94"/>
      <c r="AD231" s="94"/>
      <c r="AE231" s="94"/>
      <c r="AF231" s="94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94"/>
      <c r="H232" s="94"/>
      <c r="I232" s="94"/>
      <c r="J232" s="94"/>
      <c r="K232" s="94"/>
      <c r="L232" s="94"/>
      <c r="M232" s="94"/>
      <c r="N232" s="94"/>
      <c r="O232" s="94" t="b">
        <v>0</v>
      </c>
      <c r="P232" s="94" t="b">
        <v>0</v>
      </c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 t="b">
        <v>0</v>
      </c>
      <c r="AC232" s="94"/>
      <c r="AD232" s="94"/>
      <c r="AE232" s="94"/>
      <c r="AF232" s="94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94"/>
      <c r="H233" s="94"/>
      <c r="I233" s="94"/>
      <c r="J233" s="94"/>
      <c r="K233" s="94"/>
      <c r="L233" s="94"/>
      <c r="M233" s="94"/>
      <c r="N233" s="94"/>
      <c r="O233" s="94" t="b">
        <v>0</v>
      </c>
      <c r="P233" s="94" t="b">
        <v>0</v>
      </c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 t="b">
        <v>0</v>
      </c>
      <c r="AC233" s="94"/>
      <c r="AD233" s="94"/>
      <c r="AE233" s="94"/>
      <c r="AF233" s="94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94"/>
      <c r="H234" s="94"/>
      <c r="I234" s="94"/>
      <c r="J234" s="94"/>
      <c r="K234" s="94"/>
      <c r="L234" s="94"/>
      <c r="M234" s="94"/>
      <c r="N234" s="94"/>
      <c r="O234" s="94" t="b">
        <v>0</v>
      </c>
      <c r="P234" s="94" t="b">
        <v>0</v>
      </c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 t="b">
        <v>0</v>
      </c>
      <c r="AC234" s="94"/>
      <c r="AD234" s="94"/>
      <c r="AE234" s="94"/>
      <c r="AF234" s="94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94"/>
      <c r="H235" s="94"/>
      <c r="I235" s="94"/>
      <c r="J235" s="94"/>
      <c r="K235" s="94"/>
      <c r="L235" s="94"/>
      <c r="M235" s="94"/>
      <c r="N235" s="94"/>
      <c r="O235" s="94" t="b">
        <v>0</v>
      </c>
      <c r="P235" s="94" t="b">
        <v>0</v>
      </c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 t="b">
        <v>0</v>
      </c>
      <c r="AC235" s="94"/>
      <c r="AD235" s="94"/>
      <c r="AE235" s="94"/>
      <c r="AF235" s="94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94"/>
      <c r="H236" s="94"/>
      <c r="I236" s="94"/>
      <c r="J236" s="94"/>
      <c r="K236" s="94"/>
      <c r="L236" s="94"/>
      <c r="M236" s="94"/>
      <c r="N236" s="94"/>
      <c r="O236" s="94" t="b">
        <v>0</v>
      </c>
      <c r="P236" s="94" t="b">
        <v>0</v>
      </c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 t="b">
        <v>0</v>
      </c>
      <c r="AC236" s="94"/>
      <c r="AD236" s="94"/>
      <c r="AE236" s="94"/>
      <c r="AF236" s="94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94"/>
      <c r="H237" s="94"/>
      <c r="I237" s="94"/>
      <c r="J237" s="94"/>
      <c r="K237" s="94"/>
      <c r="L237" s="94"/>
      <c r="M237" s="94"/>
      <c r="N237" s="94"/>
      <c r="O237" s="94" t="b">
        <v>0</v>
      </c>
      <c r="P237" s="94" t="b">
        <v>0</v>
      </c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 t="b">
        <v>0</v>
      </c>
      <c r="AC237" s="94"/>
      <c r="AD237" s="94"/>
      <c r="AE237" s="94"/>
      <c r="AF237" s="94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94"/>
      <c r="H238" s="94"/>
      <c r="I238" s="94"/>
      <c r="J238" s="94"/>
      <c r="K238" s="94"/>
      <c r="L238" s="94"/>
      <c r="M238" s="94"/>
      <c r="N238" s="94"/>
      <c r="O238" s="94" t="b">
        <v>0</v>
      </c>
      <c r="P238" s="94" t="b">
        <v>0</v>
      </c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 t="b">
        <v>0</v>
      </c>
      <c r="AC238" s="94"/>
      <c r="AD238" s="94"/>
      <c r="AE238" s="94"/>
      <c r="AF238" s="94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94"/>
      <c r="H239" s="94"/>
      <c r="I239" s="94"/>
      <c r="J239" s="94"/>
      <c r="K239" s="94"/>
      <c r="L239" s="94"/>
      <c r="M239" s="94"/>
      <c r="N239" s="94"/>
      <c r="O239" s="94" t="b">
        <v>0</v>
      </c>
      <c r="P239" s="94" t="b">
        <v>0</v>
      </c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 t="b">
        <v>0</v>
      </c>
      <c r="AC239" s="94"/>
      <c r="AD239" s="94"/>
      <c r="AE239" s="94"/>
      <c r="AF239" s="94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94"/>
      <c r="H240" s="94"/>
      <c r="I240" s="94"/>
      <c r="J240" s="94"/>
      <c r="K240" s="94"/>
      <c r="L240" s="94"/>
      <c r="M240" s="94"/>
      <c r="N240" s="94"/>
      <c r="O240" s="94" t="b">
        <v>0</v>
      </c>
      <c r="P240" s="94" t="b">
        <v>0</v>
      </c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 t="b">
        <v>0</v>
      </c>
      <c r="AC240" s="94"/>
      <c r="AD240" s="94"/>
      <c r="AE240" s="94"/>
      <c r="AF240" s="94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94"/>
      <c r="H241" s="94"/>
      <c r="I241" s="94"/>
      <c r="J241" s="94"/>
      <c r="K241" s="94"/>
      <c r="L241" s="94"/>
      <c r="M241" s="94"/>
      <c r="N241" s="94"/>
      <c r="O241" s="94" t="b">
        <v>0</v>
      </c>
      <c r="P241" s="94" t="b">
        <v>0</v>
      </c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 t="b">
        <v>0</v>
      </c>
      <c r="AC241" s="94"/>
      <c r="AD241" s="94"/>
      <c r="AE241" s="94"/>
      <c r="AF241" s="94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94"/>
      <c r="H242" s="94"/>
      <c r="I242" s="94"/>
      <c r="J242" s="94"/>
      <c r="K242" s="94"/>
      <c r="L242" s="94"/>
      <c r="M242" s="94"/>
      <c r="N242" s="94"/>
      <c r="O242" s="94" t="b">
        <v>0</v>
      </c>
      <c r="P242" s="94" t="b">
        <v>0</v>
      </c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 t="b">
        <v>0</v>
      </c>
      <c r="AC242" s="94"/>
      <c r="AD242" s="94"/>
      <c r="AE242" s="94"/>
      <c r="AF242" s="94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94"/>
      <c r="H243" s="94"/>
      <c r="I243" s="94"/>
      <c r="J243" s="94"/>
      <c r="K243" s="94"/>
      <c r="L243" s="94"/>
      <c r="M243" s="94"/>
      <c r="N243" s="94"/>
      <c r="O243" s="94" t="b">
        <v>0</v>
      </c>
      <c r="P243" s="94" t="b">
        <v>0</v>
      </c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 t="b">
        <v>0</v>
      </c>
      <c r="AC243" s="94"/>
      <c r="AD243" s="94"/>
      <c r="AE243" s="94"/>
      <c r="AF243" s="94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94"/>
      <c r="H244" s="94"/>
      <c r="I244" s="94"/>
      <c r="J244" s="94"/>
      <c r="K244" s="94"/>
      <c r="L244" s="94"/>
      <c r="M244" s="94"/>
      <c r="N244" s="94"/>
      <c r="O244" s="94" t="b">
        <v>0</v>
      </c>
      <c r="P244" s="94" t="b">
        <v>0</v>
      </c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 t="b">
        <v>0</v>
      </c>
      <c r="AC244" s="94"/>
      <c r="AD244" s="94"/>
      <c r="AE244" s="94"/>
      <c r="AF244" s="94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94"/>
      <c r="H245" s="94"/>
      <c r="I245" s="94"/>
      <c r="J245" s="94"/>
      <c r="K245" s="94"/>
      <c r="L245" s="94"/>
      <c r="M245" s="94"/>
      <c r="N245" s="94"/>
      <c r="O245" s="94" t="b">
        <v>0</v>
      </c>
      <c r="P245" s="94" t="b">
        <v>0</v>
      </c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 t="b">
        <v>0</v>
      </c>
      <c r="AC245" s="94"/>
      <c r="AD245" s="94"/>
      <c r="AE245" s="94"/>
      <c r="AF245" s="94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94"/>
      <c r="H246" s="94"/>
      <c r="I246" s="94"/>
      <c r="J246" s="94"/>
      <c r="K246" s="94"/>
      <c r="L246" s="94"/>
      <c r="M246" s="94"/>
      <c r="N246" s="94"/>
      <c r="O246" s="94" t="b">
        <v>0</v>
      </c>
      <c r="P246" s="94" t="b">
        <v>0</v>
      </c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 t="b">
        <v>0</v>
      </c>
      <c r="AC246" s="94"/>
      <c r="AD246" s="94"/>
      <c r="AE246" s="94"/>
      <c r="AF246" s="94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94"/>
      <c r="H247" s="94"/>
      <c r="I247" s="94"/>
      <c r="J247" s="94"/>
      <c r="K247" s="94"/>
      <c r="L247" s="94"/>
      <c r="M247" s="94"/>
      <c r="N247" s="94"/>
      <c r="O247" s="94" t="b">
        <v>0</v>
      </c>
      <c r="P247" s="94" t="b">
        <v>0</v>
      </c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 t="b">
        <v>0</v>
      </c>
      <c r="AC247" s="94"/>
      <c r="AD247" s="94"/>
      <c r="AE247" s="94"/>
      <c r="AF247" s="94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94"/>
      <c r="H248" s="94"/>
      <c r="I248" s="94"/>
      <c r="J248" s="94"/>
      <c r="K248" s="94"/>
      <c r="L248" s="94"/>
      <c r="M248" s="94"/>
      <c r="N248" s="94"/>
      <c r="O248" s="94" t="b">
        <v>0</v>
      </c>
      <c r="P248" s="94" t="b">
        <v>0</v>
      </c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 t="b">
        <v>0</v>
      </c>
      <c r="AC248" s="94"/>
      <c r="AD248" s="94"/>
      <c r="AE248" s="94"/>
      <c r="AF248" s="94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94"/>
      <c r="H249" s="94"/>
      <c r="I249" s="94"/>
      <c r="J249" s="94"/>
      <c r="K249" s="94"/>
      <c r="L249" s="94"/>
      <c r="M249" s="94"/>
      <c r="N249" s="94"/>
      <c r="O249" s="94" t="b">
        <v>0</v>
      </c>
      <c r="P249" s="94" t="b">
        <v>0</v>
      </c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 t="b">
        <v>0</v>
      </c>
      <c r="AC249" s="94"/>
      <c r="AD249" s="94"/>
      <c r="AE249" s="94"/>
      <c r="AF249" s="94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94"/>
      <c r="H250" s="94"/>
      <c r="I250" s="94"/>
      <c r="J250" s="94"/>
      <c r="K250" s="94"/>
      <c r="L250" s="94"/>
      <c r="M250" s="94"/>
      <c r="N250" s="94"/>
      <c r="O250" s="94" t="b">
        <v>0</v>
      </c>
      <c r="P250" s="94" t="b">
        <v>0</v>
      </c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 t="b">
        <v>0</v>
      </c>
      <c r="AC250" s="94"/>
      <c r="AD250" s="94"/>
      <c r="AE250" s="94"/>
      <c r="AF250" s="94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94"/>
      <c r="H251" s="94"/>
      <c r="I251" s="94"/>
      <c r="J251" s="94"/>
      <c r="K251" s="94"/>
      <c r="L251" s="94"/>
      <c r="M251" s="94"/>
      <c r="N251" s="94"/>
      <c r="O251" s="94" t="b">
        <v>0</v>
      </c>
      <c r="P251" s="94" t="b">
        <v>0</v>
      </c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 t="b">
        <v>0</v>
      </c>
      <c r="AC251" s="94"/>
      <c r="AD251" s="94"/>
      <c r="AE251" s="94"/>
      <c r="AF251" s="94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94"/>
      <c r="H252" s="94"/>
      <c r="I252" s="94"/>
      <c r="J252" s="94"/>
      <c r="K252" s="94"/>
      <c r="L252" s="94"/>
      <c r="M252" s="94"/>
      <c r="N252" s="94"/>
      <c r="O252" s="94" t="b">
        <v>0</v>
      </c>
      <c r="P252" s="94" t="b">
        <v>0</v>
      </c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 t="b">
        <v>0</v>
      </c>
      <c r="AC252" s="94"/>
      <c r="AD252" s="94"/>
      <c r="AE252" s="94"/>
      <c r="AF252" s="94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94"/>
      <c r="H253" s="94"/>
      <c r="I253" s="94"/>
      <c r="J253" s="94"/>
      <c r="K253" s="94"/>
      <c r="L253" s="94"/>
      <c r="M253" s="94"/>
      <c r="N253" s="94"/>
      <c r="O253" s="94" t="b">
        <v>0</v>
      </c>
      <c r="P253" s="94" t="b">
        <v>0</v>
      </c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 t="b">
        <v>0</v>
      </c>
      <c r="AC253" s="94"/>
      <c r="AD253" s="94"/>
      <c r="AE253" s="94"/>
      <c r="AF253" s="94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94"/>
      <c r="H254" s="94"/>
      <c r="I254" s="94"/>
      <c r="J254" s="94"/>
      <c r="K254" s="94"/>
      <c r="L254" s="94"/>
      <c r="M254" s="94"/>
      <c r="N254" s="94"/>
      <c r="O254" s="94" t="b">
        <v>0</v>
      </c>
      <c r="P254" s="94" t="b">
        <v>0</v>
      </c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 t="b">
        <v>0</v>
      </c>
      <c r="AC254" s="94"/>
      <c r="AD254" s="94"/>
      <c r="AE254" s="94"/>
      <c r="AF254" s="94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94"/>
      <c r="H255" s="94"/>
      <c r="I255" s="94"/>
      <c r="J255" s="94"/>
      <c r="K255" s="94"/>
      <c r="L255" s="94"/>
      <c r="M255" s="94"/>
      <c r="N255" s="94"/>
      <c r="O255" s="94" t="b">
        <v>0</v>
      </c>
      <c r="P255" s="94" t="b">
        <v>0</v>
      </c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 t="b">
        <v>0</v>
      </c>
      <c r="AC255" s="94"/>
      <c r="AD255" s="94"/>
      <c r="AE255" s="94"/>
      <c r="AF255" s="94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94"/>
      <c r="H256" s="94"/>
      <c r="I256" s="94"/>
      <c r="J256" s="94"/>
      <c r="K256" s="94"/>
      <c r="L256" s="94"/>
      <c r="M256" s="94"/>
      <c r="N256" s="94"/>
      <c r="O256" s="94" t="b">
        <v>0</v>
      </c>
      <c r="P256" s="94" t="b">
        <v>0</v>
      </c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 t="b">
        <v>0</v>
      </c>
      <c r="AC256" s="94"/>
      <c r="AD256" s="94"/>
      <c r="AE256" s="94"/>
      <c r="AF256" s="94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94"/>
      <c r="H257" s="94"/>
      <c r="I257" s="94"/>
      <c r="J257" s="94"/>
      <c r="K257" s="94"/>
      <c r="L257" s="94"/>
      <c r="M257" s="94"/>
      <c r="N257" s="94"/>
      <c r="O257" s="94" t="b">
        <v>0</v>
      </c>
      <c r="P257" s="94" t="b">
        <v>0</v>
      </c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 t="b">
        <v>0</v>
      </c>
      <c r="AC257" s="94"/>
      <c r="AD257" s="94"/>
      <c r="AE257" s="94"/>
      <c r="AF257" s="94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94"/>
      <c r="H258" s="94"/>
      <c r="I258" s="94"/>
      <c r="J258" s="94"/>
      <c r="K258" s="94"/>
      <c r="L258" s="94"/>
      <c r="M258" s="94"/>
      <c r="N258" s="94"/>
      <c r="O258" s="94" t="b">
        <v>0</v>
      </c>
      <c r="P258" s="94" t="b">
        <v>0</v>
      </c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 t="b">
        <v>0</v>
      </c>
      <c r="AC258" s="94"/>
      <c r="AD258" s="94"/>
      <c r="AE258" s="94"/>
      <c r="AF258" s="94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94"/>
      <c r="H259" s="94"/>
      <c r="I259" s="94"/>
      <c r="J259" s="94"/>
      <c r="K259" s="94"/>
      <c r="L259" s="94"/>
      <c r="M259" s="94"/>
      <c r="N259" s="94"/>
      <c r="O259" s="94" t="b">
        <v>0</v>
      </c>
      <c r="P259" s="94" t="b">
        <v>0</v>
      </c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 t="b">
        <v>0</v>
      </c>
      <c r="AC259" s="94"/>
      <c r="AD259" s="94"/>
      <c r="AE259" s="94"/>
      <c r="AF259" s="94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94"/>
      <c r="H260" s="94"/>
      <c r="I260" s="94"/>
      <c r="J260" s="94"/>
      <c r="K260" s="94"/>
      <c r="L260" s="94"/>
      <c r="M260" s="94"/>
      <c r="N260" s="94"/>
      <c r="O260" s="94" t="b">
        <v>0</v>
      </c>
      <c r="P260" s="94" t="b">
        <v>0</v>
      </c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 t="b">
        <v>0</v>
      </c>
      <c r="AC260" s="94"/>
      <c r="AD260" s="94"/>
      <c r="AE260" s="94"/>
      <c r="AF260" s="94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94"/>
      <c r="H261" s="94"/>
      <c r="I261" s="94"/>
      <c r="J261" s="94"/>
      <c r="K261" s="94"/>
      <c r="L261" s="94"/>
      <c r="M261" s="94"/>
      <c r="N261" s="94"/>
      <c r="O261" s="94" t="b">
        <v>0</v>
      </c>
      <c r="P261" s="94" t="b">
        <v>0</v>
      </c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 t="b">
        <v>0</v>
      </c>
      <c r="AC261" s="94"/>
      <c r="AD261" s="94"/>
      <c r="AE261" s="94"/>
      <c r="AF261" s="94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94"/>
      <c r="H262" s="94"/>
      <c r="I262" s="94"/>
      <c r="J262" s="94"/>
      <c r="K262" s="94"/>
      <c r="L262" s="94"/>
      <c r="M262" s="94"/>
      <c r="N262" s="94"/>
      <c r="O262" s="94" t="b">
        <v>0</v>
      </c>
      <c r="P262" s="94" t="b">
        <v>0</v>
      </c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 t="b">
        <v>0</v>
      </c>
      <c r="AC262" s="94"/>
      <c r="AD262" s="94"/>
      <c r="AE262" s="94"/>
      <c r="AF262" s="94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94"/>
      <c r="H263" s="94"/>
      <c r="I263" s="94"/>
      <c r="J263" s="94"/>
      <c r="K263" s="94"/>
      <c r="L263" s="94"/>
      <c r="M263" s="94"/>
      <c r="N263" s="94"/>
      <c r="O263" s="94" t="b">
        <v>0</v>
      </c>
      <c r="P263" s="94" t="b">
        <v>0</v>
      </c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 t="b">
        <v>0</v>
      </c>
      <c r="AC263" s="94"/>
      <c r="AD263" s="94"/>
      <c r="AE263" s="94"/>
      <c r="AF263" s="94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94"/>
      <c r="H264" s="94"/>
      <c r="I264" s="94"/>
      <c r="J264" s="94"/>
      <c r="K264" s="94"/>
      <c r="L264" s="94"/>
      <c r="M264" s="94"/>
      <c r="N264" s="94"/>
      <c r="O264" s="94" t="b">
        <v>0</v>
      </c>
      <c r="P264" s="94" t="b">
        <v>0</v>
      </c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 t="b">
        <v>0</v>
      </c>
      <c r="AC264" s="94"/>
      <c r="AD264" s="94"/>
      <c r="AE264" s="94"/>
      <c r="AF264" s="94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94"/>
      <c r="H265" s="94"/>
      <c r="I265" s="94"/>
      <c r="J265" s="94"/>
      <c r="K265" s="94"/>
      <c r="L265" s="94"/>
      <c r="M265" s="94"/>
      <c r="N265" s="94"/>
      <c r="O265" s="94" t="b">
        <v>0</v>
      </c>
      <c r="P265" s="94" t="b">
        <v>0</v>
      </c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 t="b">
        <v>0</v>
      </c>
      <c r="AC265" s="94"/>
      <c r="AD265" s="94"/>
      <c r="AE265" s="94"/>
      <c r="AF265" s="94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94"/>
      <c r="H266" s="94"/>
      <c r="I266" s="94"/>
      <c r="J266" s="94"/>
      <c r="K266" s="94"/>
      <c r="L266" s="94"/>
      <c r="M266" s="94"/>
      <c r="N266" s="94"/>
      <c r="O266" s="94" t="b">
        <v>0</v>
      </c>
      <c r="P266" s="94" t="b">
        <v>0</v>
      </c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 t="b">
        <v>0</v>
      </c>
      <c r="AC266" s="94"/>
      <c r="AD266" s="94"/>
      <c r="AE266" s="94"/>
      <c r="AF266" s="94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94"/>
      <c r="H267" s="94"/>
      <c r="I267" s="94"/>
      <c r="J267" s="94"/>
      <c r="K267" s="94"/>
      <c r="L267" s="94"/>
      <c r="M267" s="94"/>
      <c r="N267" s="94"/>
      <c r="O267" s="94" t="b">
        <v>0</v>
      </c>
      <c r="P267" s="94" t="b">
        <v>0</v>
      </c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 t="b">
        <v>0</v>
      </c>
      <c r="AC267" s="94"/>
      <c r="AD267" s="94"/>
      <c r="AE267" s="94"/>
      <c r="AF267" s="94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94"/>
      <c r="H268" s="94"/>
      <c r="I268" s="94"/>
      <c r="J268" s="94"/>
      <c r="K268" s="94"/>
      <c r="L268" s="94"/>
      <c r="M268" s="94"/>
      <c r="N268" s="94"/>
      <c r="O268" s="94" t="b">
        <v>0</v>
      </c>
      <c r="P268" s="94" t="b">
        <v>0</v>
      </c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 t="b">
        <v>0</v>
      </c>
      <c r="AC268" s="94"/>
      <c r="AD268" s="94"/>
      <c r="AE268" s="94"/>
      <c r="AF268" s="94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94"/>
      <c r="H269" s="94"/>
      <c r="I269" s="94"/>
      <c r="J269" s="94"/>
      <c r="K269" s="94"/>
      <c r="L269" s="94"/>
      <c r="M269" s="94"/>
      <c r="N269" s="94"/>
      <c r="O269" s="94" t="b">
        <v>0</v>
      </c>
      <c r="P269" s="94" t="b">
        <v>0</v>
      </c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 t="b">
        <v>0</v>
      </c>
      <c r="AC269" s="94"/>
      <c r="AD269" s="94"/>
      <c r="AE269" s="94"/>
      <c r="AF269" s="94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94"/>
      <c r="H270" s="94"/>
      <c r="I270" s="94"/>
      <c r="J270" s="94"/>
      <c r="K270" s="94"/>
      <c r="L270" s="94"/>
      <c r="M270" s="94"/>
      <c r="N270" s="94"/>
      <c r="O270" s="94" t="b">
        <v>0</v>
      </c>
      <c r="P270" s="94" t="b">
        <v>0</v>
      </c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 t="b">
        <v>0</v>
      </c>
      <c r="AC270" s="94"/>
      <c r="AD270" s="94"/>
      <c r="AE270" s="94"/>
      <c r="AF270" s="94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94"/>
      <c r="H271" s="94"/>
      <c r="I271" s="94"/>
      <c r="J271" s="94"/>
      <c r="K271" s="94"/>
      <c r="L271" s="94"/>
      <c r="M271" s="94"/>
      <c r="N271" s="94"/>
      <c r="O271" s="94" t="b">
        <v>0</v>
      </c>
      <c r="P271" s="94" t="b">
        <v>0</v>
      </c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 t="b">
        <v>0</v>
      </c>
      <c r="AC271" s="94"/>
      <c r="AD271" s="94"/>
      <c r="AE271" s="94"/>
      <c r="AF271" s="94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94"/>
      <c r="H272" s="94"/>
      <c r="I272" s="94"/>
      <c r="J272" s="94"/>
      <c r="K272" s="94"/>
      <c r="L272" s="94"/>
      <c r="M272" s="94"/>
      <c r="N272" s="94"/>
      <c r="O272" s="94" t="b">
        <v>0</v>
      </c>
      <c r="P272" s="94" t="b">
        <v>0</v>
      </c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 t="b">
        <v>0</v>
      </c>
      <c r="AC272" s="94"/>
      <c r="AD272" s="94"/>
      <c r="AE272" s="94"/>
      <c r="AF272" s="94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94"/>
      <c r="H273" s="94"/>
      <c r="I273" s="94"/>
      <c r="J273" s="94"/>
      <c r="K273" s="94"/>
      <c r="L273" s="94"/>
      <c r="M273" s="94"/>
      <c r="N273" s="94"/>
      <c r="O273" s="94" t="b">
        <v>0</v>
      </c>
      <c r="P273" s="94" t="b">
        <v>0</v>
      </c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 t="b">
        <v>0</v>
      </c>
      <c r="AC273" s="94"/>
      <c r="AD273" s="94"/>
      <c r="AE273" s="94"/>
      <c r="AF273" s="94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94"/>
      <c r="H274" s="94"/>
      <c r="I274" s="94"/>
      <c r="J274" s="94"/>
      <c r="K274" s="94"/>
      <c r="L274" s="94"/>
      <c r="M274" s="94"/>
      <c r="N274" s="94"/>
      <c r="O274" s="94" t="b">
        <v>0</v>
      </c>
      <c r="P274" s="94" t="b">
        <v>0</v>
      </c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 t="b">
        <v>0</v>
      </c>
      <c r="AC274" s="94"/>
      <c r="AD274" s="94"/>
      <c r="AE274" s="94"/>
      <c r="AF274" s="94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94"/>
      <c r="H275" s="94"/>
      <c r="I275" s="94"/>
      <c r="J275" s="94"/>
      <c r="K275" s="94"/>
      <c r="L275" s="94"/>
      <c r="M275" s="94"/>
      <c r="N275" s="94"/>
      <c r="O275" s="94" t="b">
        <v>0</v>
      </c>
      <c r="P275" s="94" t="b">
        <v>0</v>
      </c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 t="b">
        <v>0</v>
      </c>
      <c r="AC275" s="94"/>
      <c r="AD275" s="94"/>
      <c r="AE275" s="94"/>
      <c r="AF275" s="94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94"/>
      <c r="H276" s="94"/>
      <c r="I276" s="94"/>
      <c r="J276" s="94"/>
      <c r="K276" s="94"/>
      <c r="L276" s="94"/>
      <c r="M276" s="94"/>
      <c r="N276" s="94"/>
      <c r="O276" s="94" t="b">
        <v>0</v>
      </c>
      <c r="P276" s="94" t="b">
        <v>0</v>
      </c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 t="b">
        <v>0</v>
      </c>
      <c r="AC276" s="94"/>
      <c r="AD276" s="94"/>
      <c r="AE276" s="94"/>
      <c r="AF276" s="94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94"/>
      <c r="H277" s="94"/>
      <c r="I277" s="94"/>
      <c r="J277" s="94"/>
      <c r="K277" s="94"/>
      <c r="L277" s="94"/>
      <c r="M277" s="94"/>
      <c r="N277" s="94"/>
      <c r="O277" s="94" t="b">
        <v>0</v>
      </c>
      <c r="P277" s="94" t="b">
        <v>0</v>
      </c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 t="b">
        <v>0</v>
      </c>
      <c r="AC277" s="94"/>
      <c r="AD277" s="94"/>
      <c r="AE277" s="94"/>
      <c r="AF277" s="94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94"/>
      <c r="H278" s="94"/>
      <c r="I278" s="94"/>
      <c r="J278" s="94"/>
      <c r="K278" s="94"/>
      <c r="L278" s="94"/>
      <c r="M278" s="94"/>
      <c r="N278" s="94"/>
      <c r="O278" s="94" t="b">
        <v>0</v>
      </c>
      <c r="P278" s="94" t="b">
        <v>0</v>
      </c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 t="b">
        <v>0</v>
      </c>
      <c r="AC278" s="94"/>
      <c r="AD278" s="94"/>
      <c r="AE278" s="94"/>
      <c r="AF278" s="94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94"/>
      <c r="H279" s="94"/>
      <c r="I279" s="94"/>
      <c r="J279" s="94"/>
      <c r="K279" s="94"/>
      <c r="L279" s="94"/>
      <c r="M279" s="94"/>
      <c r="N279" s="94"/>
      <c r="O279" s="94" t="b">
        <v>0</v>
      </c>
      <c r="P279" s="94" t="b">
        <v>0</v>
      </c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 t="b">
        <v>0</v>
      </c>
      <c r="AC279" s="94"/>
      <c r="AD279" s="94"/>
      <c r="AE279" s="94"/>
      <c r="AF279" s="94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94"/>
      <c r="H280" s="94"/>
      <c r="I280" s="94"/>
      <c r="J280" s="94"/>
      <c r="K280" s="94"/>
      <c r="L280" s="94"/>
      <c r="M280" s="94"/>
      <c r="N280" s="94"/>
      <c r="O280" s="94" t="b">
        <v>0</v>
      </c>
      <c r="P280" s="94" t="b">
        <v>0</v>
      </c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 t="b">
        <v>0</v>
      </c>
      <c r="AC280" s="94"/>
      <c r="AD280" s="94"/>
      <c r="AE280" s="94"/>
      <c r="AF280" s="94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94"/>
      <c r="H281" s="94"/>
      <c r="I281" s="94"/>
      <c r="J281" s="94"/>
      <c r="K281" s="94"/>
      <c r="L281" s="94"/>
      <c r="M281" s="94"/>
      <c r="N281" s="94"/>
      <c r="O281" s="94" t="b">
        <v>0</v>
      </c>
      <c r="P281" s="94" t="b">
        <v>0</v>
      </c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 t="b">
        <v>0</v>
      </c>
      <c r="AC281" s="94"/>
      <c r="AD281" s="94"/>
      <c r="AE281" s="94"/>
      <c r="AF281" s="94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94"/>
      <c r="H282" s="94"/>
      <c r="I282" s="94"/>
      <c r="J282" s="94"/>
      <c r="K282" s="94"/>
      <c r="L282" s="94"/>
      <c r="M282" s="94"/>
      <c r="N282" s="94"/>
      <c r="O282" s="94" t="b">
        <v>0</v>
      </c>
      <c r="P282" s="94" t="b">
        <v>0</v>
      </c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 t="b">
        <v>0</v>
      </c>
      <c r="AC282" s="94"/>
      <c r="AD282" s="94"/>
      <c r="AE282" s="94"/>
      <c r="AF282" s="94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94"/>
      <c r="H283" s="94"/>
      <c r="I283" s="94"/>
      <c r="J283" s="94"/>
      <c r="K283" s="94"/>
      <c r="L283" s="94"/>
      <c r="M283" s="94"/>
      <c r="N283" s="94"/>
      <c r="O283" s="94" t="b">
        <v>0</v>
      </c>
      <c r="P283" s="94" t="b">
        <v>0</v>
      </c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 t="b">
        <v>0</v>
      </c>
      <c r="AC283" s="94"/>
      <c r="AD283" s="94"/>
      <c r="AE283" s="94"/>
      <c r="AF283" s="94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94"/>
      <c r="H284" s="94"/>
      <c r="I284" s="94"/>
      <c r="J284" s="94"/>
      <c r="K284" s="94"/>
      <c r="L284" s="94"/>
      <c r="M284" s="94"/>
      <c r="N284" s="94"/>
      <c r="O284" s="94" t="b">
        <v>0</v>
      </c>
      <c r="P284" s="94" t="b">
        <v>0</v>
      </c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 t="b">
        <v>0</v>
      </c>
      <c r="AC284" s="94"/>
      <c r="AD284" s="94"/>
      <c r="AE284" s="94"/>
      <c r="AF284" s="94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94"/>
      <c r="H285" s="94"/>
      <c r="I285" s="94"/>
      <c r="J285" s="94"/>
      <c r="K285" s="94"/>
      <c r="L285" s="94"/>
      <c r="M285" s="94"/>
      <c r="N285" s="94"/>
      <c r="O285" s="94" t="b">
        <v>0</v>
      </c>
      <c r="P285" s="94" t="b">
        <v>0</v>
      </c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 t="b">
        <v>0</v>
      </c>
      <c r="AC285" s="94"/>
      <c r="AD285" s="94"/>
      <c r="AE285" s="94"/>
      <c r="AF285" s="94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94"/>
      <c r="H286" s="94"/>
      <c r="I286" s="94"/>
      <c r="J286" s="94"/>
      <c r="K286" s="94"/>
      <c r="L286" s="94"/>
      <c r="M286" s="94"/>
      <c r="N286" s="94"/>
      <c r="O286" s="94" t="b">
        <v>0</v>
      </c>
      <c r="P286" s="94" t="b">
        <v>0</v>
      </c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 t="b">
        <v>0</v>
      </c>
      <c r="AC286" s="94"/>
      <c r="AD286" s="94"/>
      <c r="AE286" s="94"/>
      <c r="AF286" s="94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94"/>
      <c r="H287" s="94"/>
      <c r="I287" s="94"/>
      <c r="J287" s="94"/>
      <c r="K287" s="94"/>
      <c r="L287" s="94"/>
      <c r="M287" s="94"/>
      <c r="N287" s="94"/>
      <c r="O287" s="94" t="b">
        <v>0</v>
      </c>
      <c r="P287" s="94" t="b">
        <v>0</v>
      </c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 t="b">
        <v>0</v>
      </c>
      <c r="AC287" s="94"/>
      <c r="AD287" s="94"/>
      <c r="AE287" s="94"/>
      <c r="AF287" s="94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94"/>
      <c r="H288" s="94"/>
      <c r="I288" s="94"/>
      <c r="J288" s="94"/>
      <c r="K288" s="94"/>
      <c r="L288" s="94"/>
      <c r="M288" s="94"/>
      <c r="N288" s="94"/>
      <c r="O288" s="94" t="b">
        <v>0</v>
      </c>
      <c r="P288" s="94" t="b">
        <v>0</v>
      </c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 t="b">
        <v>0</v>
      </c>
      <c r="AC288" s="94"/>
      <c r="AD288" s="94"/>
      <c r="AE288" s="94"/>
      <c r="AF288" s="94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94"/>
      <c r="H289" s="94"/>
      <c r="I289" s="94"/>
      <c r="J289" s="94"/>
      <c r="K289" s="94"/>
      <c r="L289" s="94"/>
      <c r="M289" s="94"/>
      <c r="N289" s="94"/>
      <c r="O289" s="94" t="b">
        <v>0</v>
      </c>
      <c r="P289" s="94" t="b">
        <v>0</v>
      </c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 t="b">
        <v>0</v>
      </c>
      <c r="AC289" s="94"/>
      <c r="AD289" s="94"/>
      <c r="AE289" s="94"/>
      <c r="AF289" s="94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94"/>
      <c r="H290" s="94"/>
      <c r="I290" s="94"/>
      <c r="J290" s="94"/>
      <c r="K290" s="94"/>
      <c r="L290" s="94"/>
      <c r="M290" s="94"/>
      <c r="N290" s="94"/>
      <c r="O290" s="94" t="b">
        <v>0</v>
      </c>
      <c r="P290" s="94" t="b">
        <v>0</v>
      </c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 t="b">
        <v>0</v>
      </c>
      <c r="AC290" s="94"/>
      <c r="AD290" s="94"/>
      <c r="AE290" s="94"/>
      <c r="AF290" s="94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94"/>
      <c r="H291" s="94"/>
      <c r="I291" s="94"/>
      <c r="J291" s="94"/>
      <c r="K291" s="94"/>
      <c r="L291" s="94"/>
      <c r="M291" s="94"/>
      <c r="N291" s="94"/>
      <c r="O291" s="94" t="b">
        <v>0</v>
      </c>
      <c r="P291" s="94" t="b">
        <v>0</v>
      </c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 t="b">
        <v>0</v>
      </c>
      <c r="AC291" s="94"/>
      <c r="AD291" s="94"/>
      <c r="AE291" s="94"/>
      <c r="AF291" s="94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94"/>
      <c r="H292" s="94"/>
      <c r="I292" s="94"/>
      <c r="J292" s="94"/>
      <c r="K292" s="94"/>
      <c r="L292" s="94"/>
      <c r="M292" s="94"/>
      <c r="N292" s="94"/>
      <c r="O292" s="94" t="b">
        <v>0</v>
      </c>
      <c r="P292" s="94" t="b">
        <v>0</v>
      </c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 t="b">
        <v>0</v>
      </c>
      <c r="AC292" s="94"/>
      <c r="AD292" s="94"/>
      <c r="AE292" s="94"/>
      <c r="AF292" s="94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94"/>
      <c r="H293" s="94"/>
      <c r="I293" s="94"/>
      <c r="J293" s="94"/>
      <c r="K293" s="94"/>
      <c r="L293" s="94"/>
      <c r="M293" s="94"/>
      <c r="N293" s="94"/>
      <c r="O293" s="94" t="b">
        <v>0</v>
      </c>
      <c r="P293" s="94" t="b">
        <v>0</v>
      </c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 t="b">
        <v>0</v>
      </c>
      <c r="AC293" s="94"/>
      <c r="AD293" s="94"/>
      <c r="AE293" s="94"/>
      <c r="AF293" s="94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94"/>
      <c r="H294" s="94"/>
      <c r="I294" s="94"/>
      <c r="J294" s="94"/>
      <c r="K294" s="94"/>
      <c r="L294" s="94"/>
      <c r="M294" s="94"/>
      <c r="N294" s="94"/>
      <c r="O294" s="94" t="b">
        <v>0</v>
      </c>
      <c r="P294" s="94" t="b">
        <v>0</v>
      </c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 t="b">
        <v>0</v>
      </c>
      <c r="AC294" s="94"/>
      <c r="AD294" s="94"/>
      <c r="AE294" s="94"/>
      <c r="AF294" s="94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94"/>
      <c r="H295" s="94"/>
      <c r="I295" s="94"/>
      <c r="J295" s="94"/>
      <c r="K295" s="94"/>
      <c r="L295" s="94"/>
      <c r="M295" s="94"/>
      <c r="N295" s="94"/>
      <c r="O295" s="94" t="b">
        <v>0</v>
      </c>
      <c r="P295" s="94" t="b">
        <v>0</v>
      </c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 t="b">
        <v>0</v>
      </c>
      <c r="AC295" s="94"/>
      <c r="AD295" s="94"/>
      <c r="AE295" s="94"/>
      <c r="AF295" s="94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94"/>
      <c r="H296" s="94"/>
      <c r="I296" s="94"/>
      <c r="J296" s="94"/>
      <c r="K296" s="94"/>
      <c r="L296" s="94"/>
      <c r="M296" s="94"/>
      <c r="N296" s="94"/>
      <c r="O296" s="94" t="b">
        <v>0</v>
      </c>
      <c r="P296" s="94" t="b">
        <v>0</v>
      </c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 t="b">
        <v>0</v>
      </c>
      <c r="AC296" s="94"/>
      <c r="AD296" s="94"/>
      <c r="AE296" s="94"/>
      <c r="AF296" s="94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94"/>
      <c r="H297" s="94"/>
      <c r="I297" s="94"/>
      <c r="J297" s="94"/>
      <c r="K297" s="94"/>
      <c r="L297" s="94"/>
      <c r="M297" s="94"/>
      <c r="N297" s="94"/>
      <c r="O297" s="94" t="b">
        <v>0</v>
      </c>
      <c r="P297" s="94" t="b">
        <v>0</v>
      </c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 t="b">
        <v>0</v>
      </c>
      <c r="AC297" s="94"/>
      <c r="AD297" s="94"/>
      <c r="AE297" s="94"/>
      <c r="AF297" s="94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94"/>
      <c r="H298" s="94"/>
      <c r="I298" s="94"/>
      <c r="J298" s="94"/>
      <c r="K298" s="94"/>
      <c r="L298" s="94"/>
      <c r="M298" s="94"/>
      <c r="N298" s="94"/>
      <c r="O298" s="94" t="b">
        <v>0</v>
      </c>
      <c r="P298" s="94" t="b">
        <v>0</v>
      </c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 t="b">
        <v>0</v>
      </c>
      <c r="AC298" s="94"/>
      <c r="AD298" s="94"/>
      <c r="AE298" s="94"/>
      <c r="AF298" s="94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94"/>
      <c r="H299" s="94"/>
      <c r="I299" s="94"/>
      <c r="J299" s="94"/>
      <c r="K299" s="94"/>
      <c r="L299" s="94"/>
      <c r="M299" s="94"/>
      <c r="N299" s="94"/>
      <c r="O299" s="94" t="b">
        <v>0</v>
      </c>
      <c r="P299" s="94" t="b">
        <v>0</v>
      </c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 t="b">
        <v>0</v>
      </c>
      <c r="AC299" s="94"/>
      <c r="AD299" s="94"/>
      <c r="AE299" s="94"/>
      <c r="AF299" s="94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94"/>
      <c r="H300" s="94"/>
      <c r="I300" s="94"/>
      <c r="J300" s="94"/>
      <c r="K300" s="94"/>
      <c r="L300" s="94"/>
      <c r="M300" s="94"/>
      <c r="N300" s="94"/>
      <c r="O300" s="94" t="b">
        <v>0</v>
      </c>
      <c r="P300" s="94" t="b">
        <v>0</v>
      </c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 t="b">
        <v>0</v>
      </c>
      <c r="AC300" s="94"/>
      <c r="AD300" s="94"/>
      <c r="AE300" s="94"/>
      <c r="AF300" s="94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94"/>
      <c r="H301" s="94"/>
      <c r="I301" s="94"/>
      <c r="J301" s="94"/>
      <c r="K301" s="94"/>
      <c r="L301" s="94"/>
      <c r="M301" s="94"/>
      <c r="N301" s="94"/>
      <c r="O301" s="94" t="b">
        <v>0</v>
      </c>
      <c r="P301" s="94" t="b">
        <v>0</v>
      </c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 t="b">
        <v>0</v>
      </c>
      <c r="AC301" s="94"/>
      <c r="AD301" s="94"/>
      <c r="AE301" s="94"/>
      <c r="AF301" s="94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94"/>
      <c r="H302" s="94"/>
      <c r="I302" s="94"/>
      <c r="J302" s="94"/>
      <c r="K302" s="94"/>
      <c r="L302" s="94"/>
      <c r="M302" s="94"/>
      <c r="N302" s="94"/>
      <c r="O302" s="94" t="b">
        <v>0</v>
      </c>
      <c r="P302" s="94" t="b">
        <v>0</v>
      </c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 t="b">
        <v>0</v>
      </c>
      <c r="AC302" s="94"/>
      <c r="AD302" s="94"/>
      <c r="AE302" s="94"/>
      <c r="AF302" s="94"/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94"/>
      <c r="H303" s="94"/>
      <c r="I303" s="94"/>
      <c r="J303" s="94"/>
      <c r="K303" s="94"/>
      <c r="L303" s="94"/>
      <c r="M303" s="94"/>
      <c r="N303" s="94"/>
      <c r="O303" s="94" t="b">
        <v>0</v>
      </c>
      <c r="P303" s="94" t="b">
        <v>0</v>
      </c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 t="b">
        <v>0</v>
      </c>
      <c r="AC303" s="94"/>
      <c r="AD303" s="94"/>
      <c r="AE303" s="94"/>
      <c r="AF303" s="94"/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94"/>
      <c r="H304" s="94"/>
      <c r="I304" s="94"/>
      <c r="J304" s="94"/>
      <c r="K304" s="94"/>
      <c r="L304" s="94"/>
      <c r="M304" s="94"/>
      <c r="N304" s="94"/>
      <c r="O304" s="94" t="b">
        <v>0</v>
      </c>
      <c r="P304" s="94" t="b">
        <v>0</v>
      </c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 t="b">
        <v>0</v>
      </c>
      <c r="AC304" s="94"/>
      <c r="AD304" s="94"/>
      <c r="AE304" s="94"/>
      <c r="AF304" s="94"/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94"/>
      <c r="H305" s="94"/>
      <c r="I305" s="94"/>
      <c r="J305" s="94"/>
      <c r="K305" s="94"/>
      <c r="L305" s="94"/>
      <c r="M305" s="94"/>
      <c r="N305" s="94"/>
      <c r="O305" s="94" t="b">
        <v>0</v>
      </c>
      <c r="P305" s="94" t="b">
        <v>0</v>
      </c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 t="b">
        <v>0</v>
      </c>
      <c r="AC305" s="94"/>
      <c r="AD305" s="94"/>
      <c r="AE305" s="94"/>
      <c r="AF305" s="94"/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94"/>
      <c r="H306" s="94"/>
      <c r="I306" s="94"/>
      <c r="J306" s="94"/>
      <c r="K306" s="94"/>
      <c r="L306" s="94"/>
      <c r="M306" s="94"/>
      <c r="N306" s="94"/>
      <c r="O306" s="94" t="b">
        <v>0</v>
      </c>
      <c r="P306" s="94" t="b">
        <v>0</v>
      </c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 t="b">
        <v>0</v>
      </c>
      <c r="AC306" s="94"/>
      <c r="AD306" s="94"/>
      <c r="AE306" s="94"/>
      <c r="AF306" s="94"/>
    </row>
    <row r="307">
      <c r="A307" s="94"/>
      <c r="B307" s="109" t="str">
        <f>VLOOKUP($A307,ANAGRAFICA!$B$1:$G$306,2,FALSE)</f>
        <v>#N/A</v>
      </c>
      <c r="C307" s="109" t="str">
        <f>VLOOKUP($A307,ANAGRAFICA!$B$1:$G$306,3,FALSE)</f>
        <v>#N/A</v>
      </c>
      <c r="D307" s="109" t="str">
        <f>VLOOKUP($A307,ANAGRAFICA!$B$1:$G$306,4,FALSE)</f>
        <v>#N/A</v>
      </c>
      <c r="E307" s="109" t="str">
        <f>VLOOKUP($A307,ANAGRAFICA!$B$1:$G$306,5,FALSE)</f>
        <v>#N/A</v>
      </c>
      <c r="F307" s="109" t="str">
        <f>VLOOKUP($A307,ANAGRAFICA!$B$1:$G$306,6,FALSE)</f>
        <v>#N/A</v>
      </c>
      <c r="G307" s="94"/>
      <c r="H307" s="94"/>
      <c r="I307" s="94"/>
      <c r="J307" s="94"/>
      <c r="K307" s="94"/>
      <c r="L307" s="94"/>
      <c r="M307" s="94"/>
      <c r="N307" s="94"/>
      <c r="O307" s="94" t="b">
        <v>0</v>
      </c>
      <c r="P307" s="94" t="b">
        <v>0</v>
      </c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 t="b">
        <v>0</v>
      </c>
      <c r="AC307" s="94"/>
      <c r="AD307" s="94"/>
      <c r="AE307" s="94"/>
      <c r="AF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</row>
  </sheetData>
  <dataValidations>
    <dataValidation type="list" allowBlank="1" showErrorMessage="1" sqref="A2:A284">
      <formula1>ANAGRAFICA!$B$2:$B$506</formula1>
    </dataValidation>
    <dataValidation type="list" allowBlank="1" showErrorMessage="1" sqref="M2:M307">
      <formula1>"PS,ICU,OR,CATH LAB,SUB,DELIVERY ROOM,OTHER"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7" max="7" width="13.88"/>
  </cols>
  <sheetData>
    <row r="1">
      <c r="A1" s="264" t="s">
        <v>1</v>
      </c>
      <c r="B1" s="265" t="s">
        <v>2</v>
      </c>
      <c r="C1" s="264" t="s">
        <v>3</v>
      </c>
      <c r="D1" s="264" t="s">
        <v>4</v>
      </c>
      <c r="E1" s="264" t="s">
        <v>385</v>
      </c>
      <c r="F1" s="266" t="s">
        <v>6</v>
      </c>
      <c r="G1" s="267" t="s">
        <v>1569</v>
      </c>
      <c r="H1" s="267" t="s">
        <v>1570</v>
      </c>
      <c r="I1" s="267" t="s">
        <v>1571</v>
      </c>
      <c r="J1" s="267" t="s">
        <v>1572</v>
      </c>
      <c r="K1" s="267" t="s">
        <v>1573</v>
      </c>
      <c r="L1" s="267" t="s">
        <v>1574</v>
      </c>
      <c r="M1" s="267" t="s">
        <v>1575</v>
      </c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</row>
    <row r="2">
      <c r="A2" s="57">
        <v>2.124000241E9</v>
      </c>
      <c r="B2" s="109" t="str">
        <f>VLOOKUP($A2,ANAGRAFICA!$B$1:$G$306,2,FALSE)</f>
        <v>ISELLA</v>
      </c>
      <c r="C2" s="109" t="str">
        <f>VLOOKUP($A2,ANAGRAFICA!$B$1:$G$306,3,FALSE)</f>
        <v>VINCENZO</v>
      </c>
      <c r="D2" s="109" t="str">
        <f>VLOOKUP($A2,ANAGRAFICA!$B$1:$G$306,4,FALSE)</f>
        <v/>
      </c>
      <c r="E2" s="109">
        <f>VLOOKUP($A2,ANAGRAFICA!$B$1:$G$306,5,FALSE)</f>
        <v>3272024052</v>
      </c>
      <c r="F2" s="109">
        <f>VLOOKUP($A2,ANAGRAFICA!$B$1:$G$306,6,FALSE)</f>
        <v>2024</v>
      </c>
      <c r="G2" s="117" t="b">
        <v>0</v>
      </c>
      <c r="H2" s="117" t="b">
        <v>0</v>
      </c>
      <c r="I2" s="117" t="b">
        <v>0</v>
      </c>
      <c r="J2" s="3" t="s">
        <v>1576</v>
      </c>
      <c r="K2" s="3">
        <v>34.9</v>
      </c>
      <c r="L2" s="3">
        <v>35.6</v>
      </c>
      <c r="M2" s="3">
        <v>35.4</v>
      </c>
    </row>
    <row r="3">
      <c r="A3" s="57">
        <v>2.124000328E9</v>
      </c>
      <c r="B3" s="109" t="str">
        <f>VLOOKUP($A3,ANAGRAFICA!$B$1:$G$306,2,FALSE)</f>
        <v>LAVANGA</v>
      </c>
      <c r="C3" s="109" t="str">
        <f>VLOOKUP($A3,ANAGRAFICA!$B$1:$G$306,3,FALSE)</f>
        <v>DONATO</v>
      </c>
      <c r="D3" s="109" t="str">
        <f>VLOOKUP($A3,ANAGRAFICA!$B$1:$G$306,4,FALSE)</f>
        <v/>
      </c>
      <c r="E3" s="109">
        <f>VLOOKUP($A3,ANAGRAFICA!$B$1:$G$306,5,FALSE)</f>
        <v>3272024053</v>
      </c>
      <c r="F3" s="109">
        <f>VLOOKUP($A3,ANAGRAFICA!$B$1:$G$306,6,FALSE)</f>
        <v>2024</v>
      </c>
      <c r="G3" s="117" t="b">
        <v>0</v>
      </c>
      <c r="H3" s="117" t="b">
        <v>0</v>
      </c>
      <c r="I3" s="117" t="b">
        <v>0</v>
      </c>
      <c r="J3" s="3" t="s">
        <v>1576</v>
      </c>
      <c r="K3" s="3">
        <v>33.9</v>
      </c>
      <c r="L3" s="3">
        <v>35.2</v>
      </c>
      <c r="M3" s="3">
        <v>34.9</v>
      </c>
    </row>
    <row r="4">
      <c r="A4" s="57">
        <v>2.124001121E9</v>
      </c>
      <c r="B4" s="109" t="str">
        <f>VLOOKUP($A4,ANAGRAFICA!$B$1:$G$306,2,FALSE)</f>
        <v>TIEGHI</v>
      </c>
      <c r="C4" s="109" t="str">
        <f>VLOOKUP($A4,ANAGRAFICA!$B$1:$G$306,3,FALSE)</f>
        <v>MASSIMO</v>
      </c>
      <c r="D4" s="109" t="str">
        <f>VLOOKUP($A4,ANAGRAFICA!$B$1:$G$306,4,FALSE)</f>
        <v/>
      </c>
      <c r="E4" s="109">
        <f>VLOOKUP($A4,ANAGRAFICA!$B$1:$G$306,5,FALSE)</f>
        <v>3272024054</v>
      </c>
      <c r="F4" s="109">
        <f>VLOOKUP($A4,ANAGRAFICA!$B$1:$G$306,6,FALSE)</f>
        <v>2024</v>
      </c>
      <c r="G4" s="3" t="b">
        <v>1</v>
      </c>
      <c r="H4" s="3" t="b">
        <v>1</v>
      </c>
      <c r="I4" s="117" t="b">
        <v>0</v>
      </c>
      <c r="J4" s="3" t="s">
        <v>1576</v>
      </c>
      <c r="K4" s="3">
        <v>33.8</v>
      </c>
      <c r="L4" s="3">
        <v>36.3</v>
      </c>
      <c r="M4" s="3">
        <v>33.8</v>
      </c>
    </row>
    <row r="5">
      <c r="A5" s="57">
        <v>2.124002215E9</v>
      </c>
      <c r="B5" s="109" t="str">
        <f>VLOOKUP($A5,ANAGRAFICA!$B$1:$G$306,2,FALSE)</f>
        <v>SCHIFANO</v>
      </c>
      <c r="C5" s="109" t="str">
        <f>VLOOKUP($A5,ANAGRAFICA!$B$1:$G$306,3,FALSE)</f>
        <v>FRANCESCO</v>
      </c>
      <c r="D5" s="109" t="str">
        <f>VLOOKUP($A5,ANAGRAFICA!$B$1:$G$306,4,FALSE)</f>
        <v/>
      </c>
      <c r="E5" s="109">
        <f>VLOOKUP($A5,ANAGRAFICA!$B$1:$G$306,5,FALSE)</f>
        <v>3272024055</v>
      </c>
      <c r="F5" s="109">
        <f>VLOOKUP($A5,ANAGRAFICA!$B$1:$G$306,6,FALSE)</f>
        <v>2024</v>
      </c>
      <c r="G5" s="3" t="b">
        <v>1</v>
      </c>
      <c r="H5" s="3" t="b">
        <v>0</v>
      </c>
      <c r="I5" s="3" t="b">
        <v>1</v>
      </c>
      <c r="J5" s="3" t="s">
        <v>1576</v>
      </c>
      <c r="K5" s="3">
        <v>34.6</v>
      </c>
      <c r="L5" s="3">
        <v>36.1</v>
      </c>
      <c r="M5" s="3">
        <v>34.6</v>
      </c>
    </row>
    <row r="6">
      <c r="A6" s="57">
        <v>2.124202869E9</v>
      </c>
      <c r="B6" s="109" t="str">
        <f>VLOOKUP($A6,ANAGRAFICA!$B$1:$G$306,2,FALSE)</f>
        <v>VALSECCHI</v>
      </c>
      <c r="C6" s="109" t="str">
        <f>VLOOKUP($A6,ANAGRAFICA!$B$1:$G$306,3,FALSE)</f>
        <v>ANDREA</v>
      </c>
      <c r="D6" s="109" t="str">
        <f>VLOOKUP($A6,ANAGRAFICA!$B$1:$G$306,4,FALSE)</f>
        <v/>
      </c>
      <c r="E6" s="109">
        <f>VLOOKUP($A6,ANAGRAFICA!$B$1:$G$306,5,FALSE)</f>
        <v>3272024056</v>
      </c>
      <c r="F6" s="109">
        <f>VLOOKUP($A6,ANAGRAFICA!$B$1:$G$306,6,FALSE)</f>
        <v>2024</v>
      </c>
      <c r="G6" s="3" t="b">
        <v>1</v>
      </c>
      <c r="H6" s="117" t="b">
        <v>0</v>
      </c>
      <c r="I6" s="117" t="b">
        <v>0</v>
      </c>
      <c r="J6" s="3" t="s">
        <v>1576</v>
      </c>
      <c r="K6" s="3">
        <v>37.4</v>
      </c>
      <c r="L6" s="3">
        <v>37.4</v>
      </c>
      <c r="M6" s="3">
        <v>35.7</v>
      </c>
    </row>
    <row r="7">
      <c r="A7" s="57">
        <v>2.12401869E9</v>
      </c>
      <c r="B7" s="109" t="str">
        <f>VLOOKUP($A7,ANAGRAFICA!$B$1:$G$306,2,FALSE)</f>
        <v>AVENIDO</v>
      </c>
      <c r="C7" s="109" t="str">
        <f>VLOOKUP($A7,ANAGRAFICA!$B$1:$G$306,3,FALSE)</f>
        <v>DELFIN</v>
      </c>
      <c r="D7" s="109" t="str">
        <f>VLOOKUP($A7,ANAGRAFICA!$B$1:$G$306,4,FALSE)</f>
        <v>758-16</v>
      </c>
      <c r="E7" s="109">
        <f>VLOOKUP($A7,ANAGRAFICA!$B$1:$G$306,5,FALSE)</f>
        <v>3272024082</v>
      </c>
      <c r="F7" s="109">
        <f>VLOOKUP($A7,ANAGRAFICA!$B$1:$G$306,6,FALSE)</f>
        <v>2024</v>
      </c>
      <c r="G7" s="3" t="b">
        <v>1</v>
      </c>
      <c r="H7" s="3" t="b">
        <v>1</v>
      </c>
      <c r="I7" s="117" t="b">
        <v>0</v>
      </c>
      <c r="J7" s="3" t="s">
        <v>1576</v>
      </c>
      <c r="K7" s="3">
        <v>35.1</v>
      </c>
      <c r="L7" s="3">
        <v>35.8</v>
      </c>
      <c r="M7" s="3">
        <v>35.1</v>
      </c>
    </row>
    <row r="8">
      <c r="A8" s="57">
        <v>2.124018637E9</v>
      </c>
      <c r="B8" s="109" t="str">
        <f>VLOOKUP($A8,ANAGRAFICA!$B$1:$G$306,2,FALSE)</f>
        <v>CARIBONI</v>
      </c>
      <c r="C8" s="109" t="str">
        <f>VLOOKUP($A8,ANAGRAFICA!$B$1:$G$306,3,FALSE)</f>
        <v>LORENZA</v>
      </c>
      <c r="D8" s="109" t="str">
        <f>VLOOKUP($A8,ANAGRAFICA!$B$1:$G$306,4,FALSE)</f>
        <v>758-15</v>
      </c>
      <c r="E8" s="109">
        <f>VLOOKUP($A8,ANAGRAFICA!$B$1:$G$306,5,FALSE)</f>
        <v>3272024081</v>
      </c>
      <c r="F8" s="109">
        <f>VLOOKUP($A8,ANAGRAFICA!$B$1:$G$306,6,FALSE)</f>
        <v>2024</v>
      </c>
      <c r="G8" s="117" t="b">
        <v>0</v>
      </c>
      <c r="H8" s="117" t="b">
        <v>0</v>
      </c>
      <c r="I8" s="117" t="b">
        <v>0</v>
      </c>
      <c r="J8" s="3" t="s">
        <v>1576</v>
      </c>
      <c r="K8" s="3">
        <v>34.6</v>
      </c>
      <c r="L8" s="3">
        <v>35.9</v>
      </c>
      <c r="M8" s="3">
        <v>34.6</v>
      </c>
    </row>
    <row r="9">
      <c r="A9" s="57">
        <v>2.124014334E9</v>
      </c>
      <c r="B9" s="109" t="str">
        <f>VLOOKUP($A9,ANAGRAFICA!$B$1:$G$306,2,FALSE)</f>
        <v>PONTIGGIA</v>
      </c>
      <c r="C9" s="109" t="str">
        <f>VLOOKUP($A9,ANAGRAFICA!$B$1:$G$306,3,FALSE)</f>
        <v>FLAVIO</v>
      </c>
      <c r="D9" s="109" t="str">
        <f>VLOOKUP($A9,ANAGRAFICA!$B$1:$G$306,4,FALSE)</f>
        <v>758-9</v>
      </c>
      <c r="E9" s="109">
        <f>VLOOKUP($A9,ANAGRAFICA!$B$1:$G$306,5,FALSE)</f>
        <v>3272024075</v>
      </c>
      <c r="F9" s="109">
        <f>VLOOKUP($A9,ANAGRAFICA!$B$1:$G$306,6,FALSE)</f>
        <v>2024</v>
      </c>
      <c r="G9" s="3" t="b">
        <v>1</v>
      </c>
      <c r="H9" s="117" t="b">
        <v>0</v>
      </c>
      <c r="I9" s="117" t="b">
        <v>0</v>
      </c>
      <c r="J9" s="3" t="s">
        <v>1576</v>
      </c>
      <c r="K9" s="3">
        <v>34.9</v>
      </c>
      <c r="L9" s="3">
        <v>35.4</v>
      </c>
      <c r="M9" s="3">
        <v>34.9</v>
      </c>
    </row>
    <row r="10">
      <c r="A10" s="57">
        <v>2.124012915E9</v>
      </c>
      <c r="B10" s="109" t="str">
        <f>VLOOKUP($A10,ANAGRAFICA!$B$1:$G$306,2,FALSE)</f>
        <v>GARGIONI</v>
      </c>
      <c r="C10" s="109" t="str">
        <f>VLOOKUP($A10,ANAGRAFICA!$B$1:$G$306,3,FALSE)</f>
        <v>GIULIO</v>
      </c>
      <c r="D10" s="109" t="str">
        <f>VLOOKUP($A10,ANAGRAFICA!$B$1:$G$306,4,FALSE)</f>
        <v>758-6</v>
      </c>
      <c r="E10" s="109">
        <f>VLOOKUP($A10,ANAGRAFICA!$B$1:$G$306,5,FALSE)</f>
        <v>3272024072</v>
      </c>
      <c r="F10" s="109">
        <f>VLOOKUP($A10,ANAGRAFICA!$B$1:$G$306,6,FALSE)</f>
        <v>2024</v>
      </c>
      <c r="G10" s="3" t="b">
        <v>1</v>
      </c>
      <c r="H10" s="3" t="b">
        <v>1</v>
      </c>
      <c r="I10" s="117" t="b">
        <v>0</v>
      </c>
      <c r="J10" s="3" t="s">
        <v>1576</v>
      </c>
      <c r="K10" s="3" t="s">
        <v>1577</v>
      </c>
      <c r="L10" s="3" t="s">
        <v>1577</v>
      </c>
      <c r="M10" s="3" t="s">
        <v>1578</v>
      </c>
    </row>
    <row r="11">
      <c r="A11" s="57">
        <v>2.124012963E9</v>
      </c>
      <c r="B11" s="109" t="str">
        <f>VLOOKUP($A11,ANAGRAFICA!$B$1:$G$306,2,FALSE)</f>
        <v>TARENZI</v>
      </c>
      <c r="C11" s="109" t="str">
        <f>VLOOKUP($A11,ANAGRAFICA!$B$1:$G$306,3,FALSE)</f>
        <v>GIACOMO</v>
      </c>
      <c r="D11" s="109" t="str">
        <f>VLOOKUP($A11,ANAGRAFICA!$B$1:$G$306,4,FALSE)</f>
        <v>758-7</v>
      </c>
      <c r="E11" s="109">
        <f>VLOOKUP($A11,ANAGRAFICA!$B$1:$G$306,5,FALSE)</f>
        <v>3272024073</v>
      </c>
      <c r="F11" s="109">
        <f>VLOOKUP($A11,ANAGRAFICA!$B$1:$G$306,6,FALSE)</f>
        <v>2024</v>
      </c>
      <c r="G11" s="3" t="b">
        <v>1</v>
      </c>
      <c r="H11" s="3" t="b">
        <v>1</v>
      </c>
      <c r="I11" s="117" t="b">
        <v>0</v>
      </c>
      <c r="J11" s="3" t="s">
        <v>1576</v>
      </c>
      <c r="K11" s="3">
        <v>35.7</v>
      </c>
      <c r="L11" s="3">
        <v>35.8</v>
      </c>
      <c r="M11" s="3">
        <v>35.5</v>
      </c>
    </row>
    <row r="12">
      <c r="A12" s="57">
        <v>2.124208629E9</v>
      </c>
      <c r="B12" s="109" t="str">
        <f>VLOOKUP($A12,ANAGRAFICA!$B$1:$G$306,2,FALSE)</f>
        <v>D'ANDREA</v>
      </c>
      <c r="C12" s="109" t="str">
        <f>VLOOKUP($A12,ANAGRAFICA!$B$1:$G$306,3,FALSE)</f>
        <v>FERNANDO ANTONIO</v>
      </c>
      <c r="D12" s="109" t="str">
        <f>VLOOKUP($A12,ANAGRAFICA!$B$1:$G$306,4,FALSE)</f>
        <v>758-5</v>
      </c>
      <c r="E12" s="109">
        <f>VLOOKUP($A12,ANAGRAFICA!$B$1:$G$306,5,FALSE)</f>
        <v>3272024071</v>
      </c>
      <c r="F12" s="109">
        <f>VLOOKUP($A12,ANAGRAFICA!$B$1:$G$306,6,FALSE)</f>
        <v>2024</v>
      </c>
      <c r="G12" s="3" t="b">
        <v>1</v>
      </c>
      <c r="H12" s="3" t="b">
        <v>1</v>
      </c>
      <c r="I12" s="117" t="b">
        <v>0</v>
      </c>
      <c r="J12" s="3" t="s">
        <v>1576</v>
      </c>
      <c r="K12" s="3" t="s">
        <v>1579</v>
      </c>
      <c r="L12" s="3" t="s">
        <v>1580</v>
      </c>
      <c r="M12" s="3" t="s">
        <v>1577</v>
      </c>
    </row>
    <row r="13">
      <c r="A13" s="57">
        <v>2.1240107E9</v>
      </c>
      <c r="B13" s="109" t="str">
        <f>VLOOKUP($A13,ANAGRAFICA!$B$1:$G$306,2,FALSE)</f>
        <v>ORNAGHI</v>
      </c>
      <c r="C13" s="109" t="str">
        <f>VLOOKUP($A13,ANAGRAFICA!$B$1:$G$306,3,FALSE)</f>
        <v>LORENZO</v>
      </c>
      <c r="D13" s="109" t="str">
        <f>VLOOKUP($A13,ANAGRAFICA!$B$1:$G$306,4,FALSE)</f>
        <v>758-2</v>
      </c>
      <c r="E13" s="109">
        <f>VLOOKUP($A13,ANAGRAFICA!$B$1:$G$306,5,FALSE)</f>
        <v>3272024068</v>
      </c>
      <c r="F13" s="109">
        <f>VLOOKUP($A13,ANAGRAFICA!$B$1:$G$306,6,FALSE)</f>
        <v>2024</v>
      </c>
      <c r="G13" s="117" t="b">
        <v>0</v>
      </c>
      <c r="H13" s="3" t="b">
        <v>1</v>
      </c>
      <c r="I13" s="117" t="b">
        <v>0</v>
      </c>
      <c r="J13" s="3" t="s">
        <v>1576</v>
      </c>
      <c r="K13" s="3">
        <v>33.9</v>
      </c>
      <c r="L13" s="3">
        <v>35.0</v>
      </c>
      <c r="M13" s="3">
        <v>34.3</v>
      </c>
    </row>
    <row r="14">
      <c r="A14" s="57">
        <v>2.124009735E9</v>
      </c>
      <c r="B14" s="109" t="str">
        <f>VLOOKUP($A14,ANAGRAFICA!$B$1:$G$306,2,FALSE)</f>
        <v>BOSSI</v>
      </c>
      <c r="C14" s="109" t="str">
        <f>VLOOKUP($A14,ANAGRAFICA!$B$1:$G$306,3,FALSE)</f>
        <v>LUDOVICO</v>
      </c>
      <c r="D14" s="109" t="str">
        <f>VLOOKUP($A14,ANAGRAFICA!$B$1:$G$306,4,FALSE)</f>
        <v>758-1</v>
      </c>
      <c r="E14" s="109">
        <f>VLOOKUP($A14,ANAGRAFICA!$B$1:$G$306,5,FALSE)</f>
        <v>3272024067</v>
      </c>
      <c r="F14" s="109">
        <f>VLOOKUP($A14,ANAGRAFICA!$B$1:$G$306,6,FALSE)</f>
        <v>2024</v>
      </c>
      <c r="G14" s="117" t="b">
        <v>0</v>
      </c>
      <c r="H14" s="3" t="b">
        <v>1</v>
      </c>
      <c r="I14" s="117" t="b">
        <v>0</v>
      </c>
      <c r="J14" s="3" t="s">
        <v>1576</v>
      </c>
      <c r="K14" s="3">
        <v>35.3</v>
      </c>
      <c r="L14" s="3">
        <v>35.6</v>
      </c>
      <c r="M14" s="3">
        <v>34.9</v>
      </c>
    </row>
    <row r="15">
      <c r="A15" s="57">
        <v>2.124011236E9</v>
      </c>
      <c r="B15" s="109" t="str">
        <f>VLOOKUP($A15,ANAGRAFICA!$B$1:$G$306,2,FALSE)</f>
        <v>BERETTA</v>
      </c>
      <c r="C15" s="109" t="str">
        <f>VLOOKUP($A15,ANAGRAFICA!$B$1:$G$306,3,FALSE)</f>
        <v>ENZO LUCIANO</v>
      </c>
      <c r="D15" s="109" t="str">
        <f>VLOOKUP($A15,ANAGRAFICA!$B$1:$G$306,4,FALSE)</f>
        <v>758-3</v>
      </c>
      <c r="E15" s="109">
        <f>VLOOKUP($A15,ANAGRAFICA!$B$1:$G$306,5,FALSE)</f>
        <v>3272024069</v>
      </c>
      <c r="F15" s="109">
        <f>VLOOKUP($A15,ANAGRAFICA!$B$1:$G$306,6,FALSE)</f>
        <v>2024</v>
      </c>
      <c r="G15" s="3" t="b">
        <v>1</v>
      </c>
      <c r="H15" s="3" t="b">
        <v>0</v>
      </c>
      <c r="I15" s="117" t="b">
        <v>0</v>
      </c>
      <c r="J15" s="3" t="s">
        <v>1576</v>
      </c>
      <c r="K15" s="3" t="s">
        <v>516</v>
      </c>
      <c r="L15" s="3">
        <v>35.6</v>
      </c>
      <c r="M15" s="3">
        <v>35.2</v>
      </c>
    </row>
    <row r="16">
      <c r="A16" s="57">
        <v>2.124007138E9</v>
      </c>
      <c r="B16" s="109" t="str">
        <f>VLOOKUP($A16,ANAGRAFICA!$B$1:$G$306,2,FALSE)</f>
        <v>TARTARELLI</v>
      </c>
      <c r="C16" s="109" t="str">
        <f>VLOOKUP($A16,ANAGRAFICA!$B$1:$G$306,3,FALSE)</f>
        <v>GIUSEPPE</v>
      </c>
      <c r="D16" s="109" t="str">
        <f>VLOOKUP($A16,ANAGRAFICA!$B$1:$G$306,4,FALSE)</f>
        <v/>
      </c>
      <c r="E16" s="109">
        <f>VLOOKUP($A16,ANAGRAFICA!$B$1:$G$306,5,FALSE)</f>
        <v>3272024063</v>
      </c>
      <c r="F16" s="109">
        <f>VLOOKUP($A16,ANAGRAFICA!$B$1:$G$306,6,FALSE)</f>
        <v>2024</v>
      </c>
      <c r="G16" s="117" t="b">
        <v>0</v>
      </c>
      <c r="H16" s="3" t="b">
        <v>1</v>
      </c>
      <c r="I16" s="117" t="b">
        <v>0</v>
      </c>
      <c r="J16" s="3" t="s">
        <v>1576</v>
      </c>
      <c r="K16" s="3">
        <v>34.4</v>
      </c>
      <c r="L16" s="3">
        <v>35.0</v>
      </c>
      <c r="M16" s="3">
        <v>34.4</v>
      </c>
    </row>
    <row r="17">
      <c r="A17" s="57">
        <v>2.124015827E9</v>
      </c>
      <c r="B17" s="109" t="str">
        <f>VLOOKUP($A17,ANAGRAFICA!$B$1:$G$306,2,FALSE)</f>
        <v>SCHIAVON</v>
      </c>
      <c r="C17" s="109" t="str">
        <f>VLOOKUP($A17,ANAGRAFICA!$B$1:$G$306,3,FALSE)</f>
        <v>ELIO PAOLO</v>
      </c>
      <c r="D17" s="109" t="str">
        <f>VLOOKUP($A17,ANAGRAFICA!$B$1:$G$306,4,FALSE)</f>
        <v>758-11</v>
      </c>
      <c r="E17" s="109">
        <f>VLOOKUP($A17,ANAGRAFICA!$B$1:$G$306,5,FALSE)</f>
        <v>3272024077</v>
      </c>
      <c r="F17" s="109">
        <f>VLOOKUP($A17,ANAGRAFICA!$B$1:$G$306,6,FALSE)</f>
        <v>2024</v>
      </c>
      <c r="G17" s="117" t="b">
        <v>0</v>
      </c>
      <c r="H17" s="117" t="b">
        <v>0</v>
      </c>
      <c r="I17" s="117" t="b">
        <v>0</v>
      </c>
      <c r="J17" s="3" t="s">
        <v>1576</v>
      </c>
      <c r="K17" s="3">
        <v>35.2</v>
      </c>
      <c r="L17" s="3">
        <v>35.7</v>
      </c>
      <c r="M17" s="3">
        <v>35.4</v>
      </c>
    </row>
    <row r="18">
      <c r="A18" s="57">
        <v>2.124004761E9</v>
      </c>
      <c r="B18" s="109" t="str">
        <f>VLOOKUP($A18,ANAGRAFICA!$B$1:$G$306,2,FALSE)</f>
        <v>TRAMPOLIN</v>
      </c>
      <c r="C18" s="109" t="str">
        <f>VLOOKUP($A18,ANAGRAFICA!$B$1:$G$306,3,FALSE)</f>
        <v>FABIO</v>
      </c>
      <c r="D18" s="109" t="str">
        <f>VLOOKUP($A18,ANAGRAFICA!$B$1:$G$306,4,FALSE)</f>
        <v/>
      </c>
      <c r="E18" s="109">
        <f>VLOOKUP($A18,ANAGRAFICA!$B$1:$G$306,5,FALSE)</f>
        <v>3272024060</v>
      </c>
      <c r="F18" s="109">
        <f>VLOOKUP($A18,ANAGRAFICA!$B$1:$G$306,6,FALSE)</f>
        <v>2024</v>
      </c>
      <c r="G18" s="3" t="b">
        <v>1</v>
      </c>
      <c r="H18" s="117" t="b">
        <v>0</v>
      </c>
      <c r="I18" s="117" t="b">
        <v>0</v>
      </c>
      <c r="J18" s="3" t="s">
        <v>1576</v>
      </c>
      <c r="K18" s="3">
        <v>35.2</v>
      </c>
      <c r="L18" s="3">
        <v>35.8</v>
      </c>
      <c r="M18" s="3">
        <v>35.2</v>
      </c>
    </row>
    <row r="19">
      <c r="A19" s="57">
        <v>2.124003924E9</v>
      </c>
      <c r="B19" s="109" t="str">
        <f>VLOOKUP($A19,ANAGRAFICA!$B$1:$G$306,2,FALSE)</f>
        <v>MUHAMMAD</v>
      </c>
      <c r="C19" s="109" t="str">
        <f>VLOOKUP($A19,ANAGRAFICA!$B$1:$G$306,3,FALSE)</f>
        <v>SHARIF</v>
      </c>
      <c r="D19" s="109" t="str">
        <f>VLOOKUP($A19,ANAGRAFICA!$B$1:$G$306,4,FALSE)</f>
        <v/>
      </c>
      <c r="E19" s="109">
        <f>VLOOKUP($A19,ANAGRAFICA!$B$1:$G$306,5,FALSE)</f>
        <v>3272024059</v>
      </c>
      <c r="F19" s="109">
        <f>VLOOKUP($A19,ANAGRAFICA!$B$1:$G$306,6,FALSE)</f>
        <v>2024</v>
      </c>
      <c r="G19" s="117" t="b">
        <v>0</v>
      </c>
      <c r="H19" s="3" t="b">
        <v>1</v>
      </c>
      <c r="I19" s="117" t="b">
        <v>0</v>
      </c>
      <c r="J19" s="3" t="s">
        <v>1576</v>
      </c>
      <c r="K19" s="3">
        <v>35.7</v>
      </c>
      <c r="L19" s="3">
        <v>36.0</v>
      </c>
      <c r="M19" s="3">
        <v>35.5</v>
      </c>
    </row>
    <row r="20">
      <c r="A20" s="57">
        <v>2.12400578E9</v>
      </c>
      <c r="B20" s="109" t="str">
        <f>VLOOKUP($A20,ANAGRAFICA!$B$1:$G$306,2,FALSE)</f>
        <v>SAINCIUC</v>
      </c>
      <c r="C20" s="109" t="str">
        <f>VLOOKUP($A20,ANAGRAFICA!$B$1:$G$306,3,FALSE)</f>
        <v>AUREL</v>
      </c>
      <c r="D20" s="109" t="str">
        <f>VLOOKUP($A20,ANAGRAFICA!$B$1:$G$306,4,FALSE)</f>
        <v/>
      </c>
      <c r="E20" s="109">
        <f>VLOOKUP($A20,ANAGRAFICA!$B$1:$G$306,5,FALSE)</f>
        <v>3272024061</v>
      </c>
      <c r="F20" s="109">
        <f>VLOOKUP($A20,ANAGRAFICA!$B$1:$G$306,6,FALSE)</f>
        <v>2024</v>
      </c>
      <c r="G20" s="3" t="b">
        <v>1</v>
      </c>
      <c r="H20" s="3" t="b">
        <v>1</v>
      </c>
      <c r="I20" s="117" t="b">
        <v>0</v>
      </c>
      <c r="J20" s="3" t="s">
        <v>1576</v>
      </c>
      <c r="K20" s="3">
        <v>34.1</v>
      </c>
      <c r="L20" s="3">
        <v>35.2</v>
      </c>
      <c r="M20" s="3">
        <v>34.4</v>
      </c>
    </row>
    <row r="21">
      <c r="A21" s="57">
        <v>2.124206072E9</v>
      </c>
      <c r="B21" s="109" t="str">
        <f>VLOOKUP($A21,ANAGRAFICA!$B$1:$G$306,2,FALSE)</f>
        <v>CONSONNI</v>
      </c>
      <c r="C21" s="109" t="str">
        <f>VLOOKUP($A21,ANAGRAFICA!$B$1:$G$306,3,FALSE)</f>
        <v>GIULIO</v>
      </c>
      <c r="D21" s="109" t="str">
        <f>VLOOKUP($A21,ANAGRAFICA!$B$1:$G$306,4,FALSE)</f>
        <v/>
      </c>
      <c r="E21" s="109">
        <f>VLOOKUP($A21,ANAGRAFICA!$B$1:$G$306,5,FALSE)</f>
        <v>3272024064</v>
      </c>
      <c r="F21" s="109">
        <f>VLOOKUP($A21,ANAGRAFICA!$B$1:$G$306,6,FALSE)</f>
        <v>2024</v>
      </c>
      <c r="G21" s="117" t="b">
        <v>0</v>
      </c>
      <c r="H21" s="117" t="b">
        <v>0</v>
      </c>
      <c r="I21" s="117" t="b">
        <v>0</v>
      </c>
      <c r="J21" s="3" t="s">
        <v>1576</v>
      </c>
      <c r="K21" s="3">
        <v>33.5</v>
      </c>
      <c r="L21" s="3">
        <v>34.3</v>
      </c>
      <c r="M21" s="3">
        <v>34.8</v>
      </c>
    </row>
    <row r="22">
      <c r="A22" s="57">
        <v>2.124023603E9</v>
      </c>
      <c r="B22" s="109" t="str">
        <f>VLOOKUP($A22,ANAGRAFICA!$B$1:$G$306,2,FALSE)</f>
        <v>MAZZARDIS </v>
      </c>
      <c r="C22" s="109" t="str">
        <f>VLOOKUP($A22,ANAGRAFICA!$B$1:$G$306,3,FALSE)</f>
        <v>DAVIDE</v>
      </c>
      <c r="D22" s="109" t="str">
        <f>VLOOKUP($A22,ANAGRAFICA!$B$1:$G$306,4,FALSE)</f>
        <v>758-19</v>
      </c>
      <c r="E22" s="109">
        <f>VLOOKUP($A22,ANAGRAFICA!$B$1:$G$306,5,FALSE)</f>
        <v>3272024085</v>
      </c>
      <c r="F22" s="109">
        <f>VLOOKUP($A22,ANAGRAFICA!$B$1:$G$306,6,FALSE)</f>
        <v>2024</v>
      </c>
      <c r="G22" s="3" t="b">
        <v>0</v>
      </c>
      <c r="H22" s="3" t="b">
        <v>1</v>
      </c>
      <c r="I22" s="117" t="b">
        <v>0</v>
      </c>
      <c r="J22" s="3" t="s">
        <v>1576</v>
      </c>
      <c r="K22" s="3" t="s">
        <v>1581</v>
      </c>
      <c r="L22" s="3" t="s">
        <v>1580</v>
      </c>
      <c r="M22" s="3">
        <v>35.0</v>
      </c>
    </row>
    <row r="23">
      <c r="A23" s="57">
        <v>2.124025195E9</v>
      </c>
      <c r="B23" s="109" t="str">
        <f>VLOOKUP($A23,ANAGRAFICA!$B$1:$G$306,2,FALSE)</f>
        <v>FAZIO</v>
      </c>
      <c r="C23" s="109" t="str">
        <f>VLOOKUP($A23,ANAGRAFICA!$B$1:$G$306,3,FALSE)</f>
        <v>FRANCESCO ANTONIO</v>
      </c>
      <c r="D23" s="109" t="str">
        <f>VLOOKUP($A23,ANAGRAFICA!$B$1:$G$306,4,FALSE)</f>
        <v>758-21</v>
      </c>
      <c r="E23" s="109">
        <f>VLOOKUP($A23,ANAGRAFICA!$B$1:$G$306,5,FALSE)</f>
        <v>3272024087</v>
      </c>
      <c r="F23" s="109">
        <f>VLOOKUP($A23,ANAGRAFICA!$B$1:$G$306,6,FALSE)</f>
        <v>2024</v>
      </c>
      <c r="G23" s="3" t="b">
        <v>1</v>
      </c>
      <c r="H23" s="3" t="b">
        <v>1</v>
      </c>
      <c r="I23" s="117" t="b">
        <v>0</v>
      </c>
      <c r="J23" s="3" t="s">
        <v>1576</v>
      </c>
      <c r="K23" s="3">
        <v>35.0</v>
      </c>
      <c r="L23" s="3">
        <v>35.0</v>
      </c>
      <c r="M23" s="3" t="s">
        <v>1579</v>
      </c>
    </row>
    <row r="24">
      <c r="A24" s="57">
        <v>2.124025878E9</v>
      </c>
      <c r="B24" s="109" t="str">
        <f>VLOOKUP($A24,ANAGRAFICA!$B$1:$G$306,2,FALSE)</f>
        <v>PEDRONI </v>
      </c>
      <c r="C24" s="109" t="str">
        <f>VLOOKUP($A24,ANAGRAFICA!$B$1:$G$306,3,FALSE)</f>
        <v>PIERANGELO</v>
      </c>
      <c r="D24" s="109" t="str">
        <f>VLOOKUP($A24,ANAGRAFICA!$B$1:$G$306,4,FALSE)</f>
        <v>758-22</v>
      </c>
      <c r="E24" s="109">
        <f>VLOOKUP($A24,ANAGRAFICA!$B$1:$G$306,5,FALSE)</f>
        <v>3272024088</v>
      </c>
      <c r="F24" s="109">
        <f>VLOOKUP($A24,ANAGRAFICA!$B$1:$G$306,6,FALSE)</f>
        <v>2024</v>
      </c>
      <c r="G24" s="3" t="b">
        <v>1</v>
      </c>
      <c r="H24" s="3" t="b">
        <v>1</v>
      </c>
      <c r="I24" s="117" t="b">
        <v>0</v>
      </c>
      <c r="J24" s="3" t="s">
        <v>1576</v>
      </c>
      <c r="K24" s="3">
        <v>35.0</v>
      </c>
      <c r="L24" s="3">
        <v>35.7</v>
      </c>
      <c r="M24" s="3">
        <v>35.2</v>
      </c>
    </row>
    <row r="25">
      <c r="A25" s="57">
        <v>2.125004454E9</v>
      </c>
      <c r="B25" s="109" t="str">
        <f>VLOOKUP($A25,ANAGRAFICA!$B$1:$G$306,2,FALSE)</f>
        <v>ANTIGNANO</v>
      </c>
      <c r="C25" s="109" t="str">
        <f>VLOOKUP($A25,ANAGRAFICA!$B$1:$G$306,3,FALSE)</f>
        <v>MAURO</v>
      </c>
      <c r="D25" s="109" t="str">
        <f>VLOOKUP($A25,ANAGRAFICA!$B$1:$G$306,4,FALSE)</f>
        <v>758-23</v>
      </c>
      <c r="E25" s="109">
        <f>VLOOKUP($A25,ANAGRAFICA!$B$1:$G$306,5,FALSE)</f>
        <v>3272025052</v>
      </c>
      <c r="F25" s="109">
        <f>VLOOKUP($A25,ANAGRAFICA!$B$1:$G$306,6,FALSE)</f>
        <v>2025</v>
      </c>
      <c r="G25" s="117" t="b">
        <v>0</v>
      </c>
      <c r="H25" s="3" t="b">
        <v>1</v>
      </c>
      <c r="I25" s="117" t="b">
        <v>0</v>
      </c>
      <c r="J25" s="3" t="s">
        <v>1576</v>
      </c>
      <c r="K25" s="3">
        <v>33.6</v>
      </c>
    </row>
    <row r="26">
      <c r="A26" s="57">
        <v>2.125004867E9</v>
      </c>
      <c r="B26" s="109" t="str">
        <f>VLOOKUP($A26,ANAGRAFICA!$B$1:$G$306,2,FALSE)</f>
        <v>MARCONI</v>
      </c>
      <c r="C26" s="109" t="str">
        <f>VLOOKUP($A26,ANAGRAFICA!$B$1:$G$306,3,FALSE)</f>
        <v>PIETRO VITTORIO</v>
      </c>
      <c r="D26" s="109" t="str">
        <f>VLOOKUP($A26,ANAGRAFICA!$B$1:$G$306,4,FALSE)</f>
        <v/>
      </c>
      <c r="E26" s="154" t="s">
        <v>691</v>
      </c>
      <c r="F26" s="109">
        <f>VLOOKUP($A26,ANAGRAFICA!$B$1:$G$306,6,FALSE)</f>
        <v>2025</v>
      </c>
      <c r="G26" s="3" t="b">
        <v>1</v>
      </c>
      <c r="H26" s="3" t="b">
        <v>1</v>
      </c>
      <c r="I26" s="117" t="b">
        <v>0</v>
      </c>
      <c r="J26" s="3" t="s">
        <v>1576</v>
      </c>
      <c r="K26" s="3">
        <v>33.9</v>
      </c>
      <c r="L26" s="3">
        <v>35.9</v>
      </c>
      <c r="M26" s="3">
        <v>33.9</v>
      </c>
    </row>
    <row r="27">
      <c r="A27" s="57">
        <v>2.025010247E9</v>
      </c>
      <c r="B27" s="109" t="str">
        <f>VLOOKUP($A27,ANAGRAFICA!$B$1:$G$306,2,FALSE)</f>
        <v>TREMOLADA</v>
      </c>
      <c r="C27" s="109" t="str">
        <f>VLOOKUP($A27,ANAGRAFICA!$B$1:$G$306,3,FALSE)</f>
        <v>MARCO</v>
      </c>
      <c r="D27" s="109" t="str">
        <f>VLOOKUP($A27,ANAGRAFICA!$B$1:$G$306,4,FALSE)</f>
        <v>758-25</v>
      </c>
      <c r="E27" s="109">
        <f>VLOOKUP($A27,ANAGRAFICA!$B$1:$G$306,5,FALSE)</f>
        <v>3272025054</v>
      </c>
      <c r="F27" s="109">
        <f>VLOOKUP($A27,ANAGRAFICA!$B$1:$G$306,6,FALSE)</f>
        <v>2025</v>
      </c>
      <c r="G27" s="3" t="b">
        <v>1</v>
      </c>
      <c r="H27" s="3" t="b">
        <v>1</v>
      </c>
      <c r="I27" s="117" t="b">
        <v>0</v>
      </c>
      <c r="J27" s="3" t="s">
        <v>1576</v>
      </c>
      <c r="K27" s="3">
        <v>35.4</v>
      </c>
      <c r="L27" s="3">
        <v>36.0</v>
      </c>
      <c r="M27" s="3">
        <v>35.3</v>
      </c>
    </row>
    <row r="28">
      <c r="A28" s="57">
        <v>2.025010247E9</v>
      </c>
      <c r="B28" s="109" t="str">
        <f>VLOOKUP($A28,ANAGRAFICA!$B$1:$G$306,2,FALSE)</f>
        <v>TREMOLADA</v>
      </c>
      <c r="C28" s="109" t="str">
        <f>VLOOKUP($A28,ANAGRAFICA!$B$1:$G$306,3,FALSE)</f>
        <v>MARCO</v>
      </c>
      <c r="D28" s="109" t="str">
        <f>VLOOKUP($A28,ANAGRAFICA!$B$1:$G$306,4,FALSE)</f>
        <v>758-25</v>
      </c>
      <c r="E28" s="109">
        <f>VLOOKUP($A28,ANAGRAFICA!$B$1:$G$306,5,FALSE)</f>
        <v>3272025054</v>
      </c>
      <c r="F28" s="109">
        <f>VLOOKUP($A28,ANAGRAFICA!$B$1:$G$306,6,FALSE)</f>
        <v>2025</v>
      </c>
      <c r="G28" s="3" t="b">
        <v>1</v>
      </c>
      <c r="H28" s="117" t="b">
        <v>0</v>
      </c>
      <c r="I28" s="117" t="b">
        <v>0</v>
      </c>
      <c r="J28" s="3" t="s">
        <v>1582</v>
      </c>
      <c r="K28" s="3">
        <v>37.0</v>
      </c>
      <c r="L28" s="3">
        <v>37.1</v>
      </c>
      <c r="M28" s="3">
        <v>36.9</v>
      </c>
    </row>
    <row r="29">
      <c r="A29" s="57">
        <v>2.125020858E9</v>
      </c>
      <c r="B29" s="109" t="str">
        <f>VLOOKUP($A29,ANAGRAFICA!$B$1:$G$306,2,FALSE)</f>
        <v>FALVO</v>
      </c>
      <c r="C29" s="109" t="str">
        <f>VLOOKUP($A29,ANAGRAFICA!$B$1:$G$306,3,FALSE)</f>
        <v>FRANCESCO</v>
      </c>
      <c r="D29" s="109" t="str">
        <f>VLOOKUP($A29,ANAGRAFICA!$B$1:$G$306,4,FALSE)</f>
        <v/>
      </c>
      <c r="E29" s="109">
        <f>VLOOKUP($A29,ANAGRAFICA!$B$1:$G$306,5,FALSE)</f>
        <v>3272025055</v>
      </c>
      <c r="F29" s="109">
        <f>VLOOKUP($A29,ANAGRAFICA!$B$1:$G$306,6,FALSE)</f>
        <v>2025</v>
      </c>
      <c r="G29" s="117" t="b">
        <v>0</v>
      </c>
      <c r="H29" s="3" t="b">
        <v>1</v>
      </c>
      <c r="I29" s="117" t="b">
        <v>0</v>
      </c>
      <c r="J29" s="3" t="s">
        <v>1576</v>
      </c>
      <c r="K29" s="3">
        <v>35.0</v>
      </c>
      <c r="L29" s="3">
        <v>35.3</v>
      </c>
      <c r="M29" s="3">
        <v>34.0</v>
      </c>
    </row>
    <row r="30">
      <c r="A30" s="57">
        <v>2.125023093E9</v>
      </c>
      <c r="B30" s="109" t="str">
        <f>VLOOKUP($A30,ANAGRAFICA!$B$1:$G$306,2,FALSE)</f>
        <v>GHEZZI</v>
      </c>
      <c r="C30" s="109" t="str">
        <f>VLOOKUP($A30,ANAGRAFICA!$B$1:$G$306,3,FALSE)</f>
        <v>FABIO</v>
      </c>
      <c r="D30" s="109" t="str">
        <f>VLOOKUP($A30,ANAGRAFICA!$B$1:$G$306,4,FALSE)</f>
        <v>758-28</v>
      </c>
      <c r="E30" s="109">
        <f>VLOOKUP($A30,ANAGRAFICA!$B$1:$G$306,5,FALSE)</f>
        <v>3272025056</v>
      </c>
      <c r="F30" s="109">
        <f>VLOOKUP($A30,ANAGRAFICA!$B$1:$G$306,6,FALSE)</f>
        <v>2025</v>
      </c>
      <c r="G30" s="117" t="b">
        <v>0</v>
      </c>
      <c r="H30" s="117" t="b">
        <v>0</v>
      </c>
      <c r="I30" s="117" t="b">
        <v>0</v>
      </c>
      <c r="J30" s="117"/>
      <c r="K30" s="3">
        <v>34.4</v>
      </c>
    </row>
    <row r="31">
      <c r="A31" s="57">
        <v>2.125025861E9</v>
      </c>
      <c r="B31" s="109" t="str">
        <f>VLOOKUP($A31,ANAGRAFICA!$B$1:$G$306,2,FALSE)</f>
        <v>CASSANI</v>
      </c>
      <c r="C31" s="109" t="str">
        <f>VLOOKUP($A31,ANAGRAFICA!$B$1:$G$306,3,FALSE)</f>
        <v>DAVIDE VIRGILIO</v>
      </c>
      <c r="D31" s="109" t="str">
        <f>VLOOKUP($A31,ANAGRAFICA!$B$1:$G$306,4,FALSE)</f>
        <v>758-31</v>
      </c>
      <c r="E31" s="109">
        <f>VLOOKUP($A31,ANAGRAFICA!$B$1:$G$306,5,FALSE)</f>
        <v>3272025058</v>
      </c>
      <c r="F31" s="109">
        <f>VLOOKUP($A31,ANAGRAFICA!$B$1:$G$306,6,FALSE)</f>
        <v>2025</v>
      </c>
      <c r="G31" s="3" t="b">
        <v>1</v>
      </c>
      <c r="H31" s="117" t="b">
        <v>0</v>
      </c>
      <c r="I31" s="117" t="b">
        <v>0</v>
      </c>
      <c r="J31" s="3" t="s">
        <v>1576</v>
      </c>
      <c r="K31" s="3">
        <v>36.6</v>
      </c>
      <c r="L31" s="3">
        <v>36.6</v>
      </c>
      <c r="M31" s="3">
        <v>33.8</v>
      </c>
    </row>
    <row r="32">
      <c r="A32" s="57">
        <v>2.125026559E9</v>
      </c>
      <c r="B32" s="109" t="str">
        <f>VLOOKUP($A32,ANAGRAFICA!$B$1:$G$306,2,FALSE)</f>
        <v>VEDUTI</v>
      </c>
      <c r="C32" s="109" t="str">
        <f>VLOOKUP($A32,ANAGRAFICA!$B$1:$G$306,3,FALSE)</f>
        <v>LORENZO</v>
      </c>
      <c r="D32" s="109" t="str">
        <f>VLOOKUP($A32,ANAGRAFICA!$B$1:$G$306,4,FALSE)</f>
        <v>758-32</v>
      </c>
      <c r="E32" s="109">
        <f>VLOOKUP($A32,ANAGRAFICA!$B$1:$G$306,5,FALSE)</f>
        <v>3272025059</v>
      </c>
      <c r="F32" s="109">
        <f>VLOOKUP($A32,ANAGRAFICA!$B$1:$G$306,6,FALSE)</f>
        <v>2025</v>
      </c>
      <c r="G32" s="3" t="b">
        <v>1</v>
      </c>
      <c r="H32" s="117" t="b">
        <v>0</v>
      </c>
      <c r="I32" s="117" t="b">
        <v>0</v>
      </c>
      <c r="J32" s="3" t="s">
        <v>1576</v>
      </c>
      <c r="K32" s="3">
        <v>36.4</v>
      </c>
      <c r="L32" s="3">
        <v>36.4</v>
      </c>
      <c r="M32" s="3">
        <v>35.1</v>
      </c>
    </row>
    <row r="33">
      <c r="A33" s="57">
        <v>2.125027331E9</v>
      </c>
      <c r="B33" s="109" t="str">
        <f>VLOOKUP($A33,ANAGRAFICA!$B$1:$G$306,2,FALSE)</f>
        <v>QUARIN</v>
      </c>
      <c r="C33" s="109" t="str">
        <f>VLOOKUP($A33,ANAGRAFICA!$B$1:$G$306,3,FALSE)</f>
        <v>FRANCO</v>
      </c>
      <c r="D33" s="109" t="str">
        <f>VLOOKUP($A33,ANAGRAFICA!$B$1:$G$306,4,FALSE)</f>
        <v>758-34</v>
      </c>
      <c r="E33" s="109" t="str">
        <f>VLOOKUP($A33,ANAGRAFICA!$B$1:$G$306,5,FALSE)</f>
        <v/>
      </c>
      <c r="F33" s="109">
        <f>VLOOKUP($A33,ANAGRAFICA!$B$1:$G$306,6,FALSE)</f>
        <v>2025</v>
      </c>
      <c r="G33" s="3" t="b">
        <v>1</v>
      </c>
      <c r="H33" s="117" t="b">
        <v>0</v>
      </c>
      <c r="I33" s="117" t="b">
        <v>0</v>
      </c>
      <c r="J33" s="3" t="s">
        <v>1582</v>
      </c>
      <c r="K33" s="3">
        <v>35.6</v>
      </c>
      <c r="L33" s="3">
        <v>35.8</v>
      </c>
      <c r="M33" s="3">
        <v>35.5</v>
      </c>
    </row>
    <row r="34">
      <c r="A34" s="57">
        <v>2.125029623E9</v>
      </c>
      <c r="B34" s="109" t="str">
        <f>VLOOKUP($A34,ANAGRAFICA!$B$1:$G$306,2,FALSE)</f>
        <v>IANDIORIO</v>
      </c>
      <c r="C34" s="109" t="str">
        <f>VLOOKUP($A34,ANAGRAFICA!$B$1:$G$306,3,FALSE)</f>
        <v>ALDO NATALINO</v>
      </c>
      <c r="D34" s="109" t="str">
        <f>VLOOKUP($A34,ANAGRAFICA!$B$1:$G$306,4,FALSE)</f>
        <v>758-36</v>
      </c>
      <c r="E34" s="109">
        <f>VLOOKUP($A34,ANAGRAFICA!$B$1:$G$306,5,FALSE)</f>
        <v>3272025062</v>
      </c>
      <c r="F34" s="109">
        <f>VLOOKUP($A34,ANAGRAFICA!$B$1:$G$306,6,FALSE)</f>
        <v>2025</v>
      </c>
      <c r="G34" s="117" t="b">
        <v>0</v>
      </c>
      <c r="H34" s="3" t="b">
        <v>1</v>
      </c>
      <c r="I34" s="117" t="b">
        <v>0</v>
      </c>
      <c r="J34" s="3" t="s">
        <v>1582</v>
      </c>
      <c r="K34" s="3">
        <v>36.3</v>
      </c>
      <c r="L34" s="3">
        <v>36.4</v>
      </c>
      <c r="M34" s="3">
        <v>35.1</v>
      </c>
    </row>
    <row r="35">
      <c r="A35" s="57">
        <v>2.125026384E9</v>
      </c>
      <c r="B35" s="109" t="str">
        <f>VLOOKUP($A35,ANAGRAFICA!$B$1:$G$306,2,FALSE)</f>
        <v>PRINCIPATO</v>
      </c>
      <c r="C35" s="109" t="str">
        <f>VLOOKUP($A35,ANAGRAFICA!$B$1:$G$306,3,FALSE)</f>
        <v>FRANCO ANGELO</v>
      </c>
      <c r="D35" s="109" t="str">
        <f>VLOOKUP($A35,ANAGRAFICA!$B$1:$G$306,4,FALSE)</f>
        <v>758-35</v>
      </c>
      <c r="E35" s="109">
        <f>VLOOKUP($A35,ANAGRAFICA!$B$1:$G$306,5,FALSE)</f>
        <v>3272025061</v>
      </c>
      <c r="F35" s="109">
        <f>VLOOKUP($A35,ANAGRAFICA!$B$1:$G$306,6,FALSE)</f>
        <v>2025</v>
      </c>
      <c r="G35" s="3" t="b">
        <v>1</v>
      </c>
      <c r="H35" s="3" t="b">
        <v>1</v>
      </c>
      <c r="I35" s="117" t="b">
        <v>0</v>
      </c>
      <c r="J35" s="3" t="s">
        <v>1576</v>
      </c>
      <c r="K35" s="3">
        <v>35.2</v>
      </c>
      <c r="L35" s="3">
        <v>35.3</v>
      </c>
      <c r="M35" s="3">
        <v>34.1</v>
      </c>
    </row>
    <row r="36">
      <c r="A36" s="57">
        <v>2.125032902E9</v>
      </c>
      <c r="B36" s="109" t="str">
        <f>VLOOKUP($A36,ANAGRAFICA!$B$1:$G$306,2,FALSE)</f>
        <v>BRAIDA</v>
      </c>
      <c r="C36" s="109" t="str">
        <f>VLOOKUP($A36,ANAGRAFICA!$B$1:$G$306,3,FALSE)</f>
        <v>ILARIO</v>
      </c>
      <c r="D36" s="109" t="str">
        <f>VLOOKUP($A36,ANAGRAFICA!$B$1:$G$306,4,FALSE)</f>
        <v>758-37</v>
      </c>
      <c r="E36" s="109">
        <f>VLOOKUP($A36,ANAGRAFICA!$B$1:$G$306,5,FALSE)</f>
        <v>3272025063</v>
      </c>
      <c r="F36" s="109">
        <f>VLOOKUP($A36,ANAGRAFICA!$B$1:$G$306,6,FALSE)</f>
        <v>2025</v>
      </c>
      <c r="G36" s="117" t="b">
        <v>0</v>
      </c>
      <c r="H36" s="117" t="b">
        <v>0</v>
      </c>
      <c r="I36" s="117" t="b">
        <v>0</v>
      </c>
      <c r="J36" s="3"/>
    </row>
    <row r="37">
      <c r="A37" s="57">
        <v>2.125026869E9</v>
      </c>
      <c r="B37" s="109" t="str">
        <f>VLOOKUP($A37,ANAGRAFICA!$B$1:$G$306,2,FALSE)</f>
        <v>NACCARI</v>
      </c>
      <c r="C37" s="109" t="str">
        <f>VLOOKUP($A37,ANAGRAFICA!$B$1:$G$306,3,FALSE)</f>
        <v>ROBERTO</v>
      </c>
      <c r="D37" s="109" t="str">
        <f>VLOOKUP($A37,ANAGRAFICA!$B$1:$G$306,4,FALSE)</f>
        <v>758-33</v>
      </c>
      <c r="E37" s="109">
        <f>VLOOKUP($A37,ANAGRAFICA!$B$1:$G$306,5,FALSE)</f>
        <v>3272025060</v>
      </c>
      <c r="F37" s="109">
        <f>VLOOKUP($A37,ANAGRAFICA!$B$1:$G$306,6,FALSE)</f>
        <v>2025</v>
      </c>
      <c r="G37" s="117" t="b">
        <v>0</v>
      </c>
      <c r="H37" s="3" t="b">
        <v>1</v>
      </c>
      <c r="I37" s="117" t="b">
        <v>0</v>
      </c>
      <c r="J37" s="3" t="s">
        <v>1576</v>
      </c>
      <c r="K37" s="3">
        <v>35.7</v>
      </c>
      <c r="L37" s="3">
        <v>36.3</v>
      </c>
      <c r="M37" s="3">
        <v>35.7</v>
      </c>
    </row>
    <row r="38">
      <c r="A38" s="57">
        <v>2.125037955E9</v>
      </c>
      <c r="B38" s="109" t="str">
        <f>VLOOKUP($A38,ANAGRAFICA!$B$1:$G$306,2,FALSE)</f>
        <v>MANNINO</v>
      </c>
      <c r="C38" s="109" t="str">
        <f>VLOOKUP($A38,ANAGRAFICA!$B$1:$G$306,3,FALSE)</f>
        <v>ANDREA</v>
      </c>
      <c r="D38" s="109" t="str">
        <f>VLOOKUP($A38,ANAGRAFICA!$B$1:$G$306,4,FALSE)</f>
        <v>758-39</v>
      </c>
      <c r="E38" s="109">
        <f>VLOOKUP($A38,ANAGRAFICA!$B$1:$G$306,5,FALSE)</f>
        <v>3272025066</v>
      </c>
      <c r="F38" s="109">
        <f>VLOOKUP($A38,ANAGRAFICA!$B$1:$G$306,6,FALSE)</f>
        <v>2025</v>
      </c>
      <c r="G38" s="3" t="b">
        <v>1</v>
      </c>
      <c r="H38" s="3" t="b">
        <v>1</v>
      </c>
      <c r="I38" s="117" t="b">
        <v>0</v>
      </c>
      <c r="J38" s="3" t="s">
        <v>1576</v>
      </c>
      <c r="K38" s="3">
        <v>34.8</v>
      </c>
      <c r="L38" s="3">
        <v>35.7</v>
      </c>
      <c r="M38" s="3">
        <v>34.8</v>
      </c>
    </row>
    <row r="39">
      <c r="A39" s="57">
        <v>2.125040106E9</v>
      </c>
      <c r="B39" s="109" t="str">
        <f>VLOOKUP($A39,ANAGRAFICA!$B$1:$G$306,2,FALSE)</f>
        <v>COLNAGHI</v>
      </c>
      <c r="C39" s="109" t="str">
        <f>VLOOKUP($A39,ANAGRAFICA!$B$1:$G$306,3,FALSE)</f>
        <v>EUGENIO PIERO</v>
      </c>
      <c r="D39" s="109" t="str">
        <f>VLOOKUP($A39,ANAGRAFICA!$B$1:$G$306,4,FALSE)</f>
        <v>758-41</v>
      </c>
      <c r="E39" s="109">
        <f>VLOOKUP($A39,ANAGRAFICA!$B$1:$G$306,5,FALSE)</f>
        <v>3272025068</v>
      </c>
      <c r="F39" s="109">
        <f>VLOOKUP($A39,ANAGRAFICA!$B$1:$G$306,6,FALSE)</f>
        <v>2025</v>
      </c>
      <c r="G39" s="3" t="b">
        <v>1</v>
      </c>
      <c r="H39" s="3" t="b">
        <v>0</v>
      </c>
      <c r="I39" s="117" t="b">
        <v>0</v>
      </c>
      <c r="J39" s="3" t="s">
        <v>1576</v>
      </c>
      <c r="K39" s="3">
        <v>35.2</v>
      </c>
      <c r="L39" s="3">
        <v>35.5</v>
      </c>
      <c r="M39" s="3">
        <v>35.0</v>
      </c>
    </row>
    <row r="40">
      <c r="A40" s="57">
        <v>2.125040052E9</v>
      </c>
      <c r="B40" s="109" t="str">
        <f>VLOOKUP($A40,ANAGRAFICA!$B$1:$G$306,2,FALSE)</f>
        <v>TODESCATO</v>
      </c>
      <c r="C40" s="109" t="str">
        <f>VLOOKUP($A40,ANAGRAFICA!$B$1:$G$306,3,FALSE)</f>
        <v>GIANLUCA</v>
      </c>
      <c r="D40" s="109" t="str">
        <f>VLOOKUP($A40,ANAGRAFICA!$B$1:$G$306,4,FALSE)</f>
        <v>758-40</v>
      </c>
      <c r="E40" s="109">
        <f>VLOOKUP($A40,ANAGRAFICA!$B$1:$G$306,5,FALSE)</f>
        <v>3272025067</v>
      </c>
      <c r="F40" s="109">
        <f>VLOOKUP($A40,ANAGRAFICA!$B$1:$G$306,6,FALSE)</f>
        <v>2025</v>
      </c>
      <c r="G40" s="117" t="b">
        <v>0</v>
      </c>
      <c r="H40" s="3" t="b">
        <v>1</v>
      </c>
      <c r="I40" s="117" t="b">
        <v>0</v>
      </c>
      <c r="J40" s="3" t="s">
        <v>1576</v>
      </c>
      <c r="K40" s="3">
        <v>35.0</v>
      </c>
      <c r="L40" s="3">
        <v>36.0</v>
      </c>
      <c r="M40" s="3">
        <v>35.0</v>
      </c>
    </row>
    <row r="41">
      <c r="A41" s="57">
        <v>2.125040835E9</v>
      </c>
      <c r="B41" s="109" t="str">
        <f>VLOOKUP($A41,ANAGRAFICA!$B$1:$G$306,2,FALSE)</f>
        <v>PESACANE</v>
      </c>
      <c r="C41" s="109" t="str">
        <f>VLOOKUP($A41,ANAGRAFICA!$B$1:$G$306,3,FALSE)</f>
        <v>MATTEO VALERIO</v>
      </c>
      <c r="D41" s="109" t="str">
        <f>VLOOKUP($A41,ANAGRAFICA!$B$1:$G$306,4,FALSE)</f>
        <v>758-42</v>
      </c>
      <c r="E41" s="109">
        <f>VLOOKUP($A41,ANAGRAFICA!$B$1:$G$306,5,FALSE)</f>
        <v>3272025069</v>
      </c>
      <c r="F41" s="109">
        <f>VLOOKUP($A41,ANAGRAFICA!$B$1:$G$306,6,FALSE)</f>
        <v>2025</v>
      </c>
      <c r="G41" s="3" t="b">
        <v>1</v>
      </c>
      <c r="H41" s="117" t="b">
        <v>0</v>
      </c>
      <c r="I41" s="117" t="b">
        <v>0</v>
      </c>
      <c r="J41" s="3" t="s">
        <v>1576</v>
      </c>
      <c r="K41" s="3">
        <v>34.9</v>
      </c>
      <c r="L41" s="3">
        <v>35.6</v>
      </c>
      <c r="M41" s="3">
        <v>34.9</v>
      </c>
    </row>
    <row r="42">
      <c r="A42" s="57">
        <v>2.125042368E9</v>
      </c>
      <c r="B42" s="109" t="str">
        <f>VLOOKUP($A42,ANAGRAFICA!$B$1:$G$306,2,FALSE)</f>
        <v>MARKOVIC</v>
      </c>
      <c r="C42" s="109" t="str">
        <f>VLOOKUP($A42,ANAGRAFICA!$B$1:$G$306,3,FALSE)</f>
        <v>BRANKO</v>
      </c>
      <c r="D42" s="109" t="str">
        <f>VLOOKUP($A42,ANAGRAFICA!$B$1:$G$306,4,FALSE)</f>
        <v>758-43</v>
      </c>
      <c r="E42" s="109">
        <f>VLOOKUP($A42,ANAGRAFICA!$B$1:$G$306,5,FALSE)</f>
        <v>3272025070</v>
      </c>
      <c r="F42" s="109">
        <f>VLOOKUP($A42,ANAGRAFICA!$B$1:$G$306,6,FALSE)</f>
        <v>2025</v>
      </c>
      <c r="G42" s="3" t="b">
        <v>1</v>
      </c>
      <c r="H42" s="117" t="b">
        <v>0</v>
      </c>
      <c r="I42" s="117" t="b">
        <v>0</v>
      </c>
      <c r="J42" s="3" t="s">
        <v>1576</v>
      </c>
      <c r="K42" s="3">
        <v>35.6</v>
      </c>
      <c r="L42" s="3">
        <v>35.1</v>
      </c>
      <c r="M42" s="3">
        <v>35.7</v>
      </c>
    </row>
    <row r="43">
      <c r="A43" s="57">
        <v>2.125046195E9</v>
      </c>
      <c r="B43" s="109" t="str">
        <f>VLOOKUP($A43,ANAGRAFICA!$B$1:$G$306,2,FALSE)</f>
        <v>CASILLO</v>
      </c>
      <c r="C43" s="109" t="str">
        <f>VLOOKUP($A43,ANAGRAFICA!$B$1:$G$306,3,FALSE)</f>
        <v>SALVATORE</v>
      </c>
      <c r="D43" s="109" t="str">
        <f>VLOOKUP($A43,ANAGRAFICA!$B$1:$G$306,4,FALSE)</f>
        <v>758-44</v>
      </c>
      <c r="E43" s="109">
        <f>VLOOKUP($A43,ANAGRAFICA!$B$1:$G$306,5,FALSE)</f>
        <v>3272025071</v>
      </c>
      <c r="F43" s="109">
        <f>VLOOKUP($A43,ANAGRAFICA!$B$1:$G$306,6,FALSE)</f>
        <v>2025</v>
      </c>
      <c r="G43" s="3" t="b">
        <v>1</v>
      </c>
      <c r="H43" s="3" t="b">
        <v>0</v>
      </c>
      <c r="I43" s="117" t="b">
        <v>0</v>
      </c>
      <c r="J43" s="3" t="s">
        <v>1583</v>
      </c>
      <c r="K43" s="3">
        <v>35.0</v>
      </c>
      <c r="L43" s="3">
        <v>35.3</v>
      </c>
      <c r="M43" s="3">
        <v>35.0</v>
      </c>
    </row>
    <row r="44">
      <c r="A44" s="57">
        <v>2.1250527E9</v>
      </c>
      <c r="B44" s="109" t="str">
        <f>VLOOKUP($A44,ANAGRAFICA!$B$1:$G$306,2,FALSE)</f>
        <v>GADDA</v>
      </c>
      <c r="C44" s="109" t="str">
        <f>VLOOKUP($A44,ANAGRAFICA!$B$1:$G$306,3,FALSE)</f>
        <v>LILIANA</v>
      </c>
      <c r="D44" s="109" t="str">
        <f>VLOOKUP($A44,ANAGRAFICA!$B$1:$G$306,4,FALSE)</f>
        <v>758-46</v>
      </c>
      <c r="E44" s="109">
        <f>VLOOKUP($A44,ANAGRAFICA!$B$1:$G$306,5,FALSE)</f>
        <v>3272025073</v>
      </c>
      <c r="F44" s="109">
        <f>VLOOKUP($A44,ANAGRAFICA!$B$1:$G$306,6,FALSE)</f>
        <v>2025</v>
      </c>
      <c r="G44" s="117" t="b">
        <v>0</v>
      </c>
      <c r="H44" s="3" t="b">
        <v>1</v>
      </c>
      <c r="I44" s="117" t="b">
        <v>0</v>
      </c>
      <c r="J44" s="3" t="s">
        <v>1576</v>
      </c>
      <c r="K44" s="3">
        <v>35.5</v>
      </c>
      <c r="L44" s="3">
        <v>35.7</v>
      </c>
      <c r="M44" s="3">
        <v>35.1</v>
      </c>
    </row>
    <row r="45">
      <c r="A45" s="57">
        <v>2.126002771E9</v>
      </c>
      <c r="B45" s="109" t="str">
        <f>VLOOKUP($A45,ANAGRAFICA!$B$1:$G$306,2,FALSE)</f>
        <v>LONGOBARDI</v>
      </c>
      <c r="C45" s="109" t="str">
        <f>VLOOKUP($A45,ANAGRAFICA!$B$1:$G$306,3,FALSE)</f>
        <v>FRANCESCO</v>
      </c>
      <c r="D45" s="109" t="str">
        <f>VLOOKUP($A45,ANAGRAFICA!$B$1:$G$306,4,FALSE)</f>
        <v>758-52</v>
      </c>
      <c r="E45" s="109" t="str">
        <f>VLOOKUP($A45,ANAGRAFICA!$B$1:$G$306,5,FALSE)</f>
        <v/>
      </c>
      <c r="F45" s="109">
        <f>VLOOKUP($A45,ANAGRAFICA!$B$1:$G$306,6,FALSE)</f>
        <v>2026</v>
      </c>
      <c r="G45" s="3" t="b">
        <v>1</v>
      </c>
      <c r="H45" s="3" t="b">
        <v>1</v>
      </c>
      <c r="I45" s="117" t="b">
        <v>0</v>
      </c>
      <c r="J45" s="3" t="s">
        <v>1576</v>
      </c>
      <c r="K45" s="3">
        <v>35.5</v>
      </c>
      <c r="L45" s="3">
        <v>35.9</v>
      </c>
      <c r="M45" s="3">
        <v>35.4</v>
      </c>
    </row>
    <row r="46">
      <c r="A46" s="57">
        <v>2.126001104E9</v>
      </c>
      <c r="B46" s="109" t="str">
        <f>VLOOKUP($A46,ANAGRAFICA!$B$1:$G$306,2,FALSE)</f>
        <v>LOREGGIA</v>
      </c>
      <c r="C46" s="109" t="str">
        <f>VLOOKUP($A46,ANAGRAFICA!$B$1:$G$306,3,FALSE)</f>
        <v>GIAN MARCO</v>
      </c>
      <c r="D46" s="109" t="str">
        <f>VLOOKUP($A46,ANAGRAFICA!$B$1:$G$306,4,FALSE)</f>
        <v>758-51</v>
      </c>
      <c r="E46" s="109" t="str">
        <f>VLOOKUP($A46,ANAGRAFICA!$B$1:$G$306,5,FALSE)</f>
        <v/>
      </c>
      <c r="F46" s="109">
        <f>VLOOKUP($A46,ANAGRAFICA!$B$1:$G$306,6,FALSE)</f>
        <v>2026</v>
      </c>
      <c r="G46" s="3" t="b">
        <v>0</v>
      </c>
      <c r="H46" s="117" t="b">
        <v>0</v>
      </c>
      <c r="I46" s="117" t="b">
        <v>0</v>
      </c>
      <c r="J46" s="3" t="s">
        <v>1576</v>
      </c>
      <c r="K46" s="3">
        <v>35.6</v>
      </c>
      <c r="L46" s="3">
        <v>35.7</v>
      </c>
      <c r="M46" s="3">
        <v>35.2</v>
      </c>
    </row>
    <row r="47">
      <c r="A47" s="94"/>
      <c r="B47" s="109" t="str">
        <f>VLOOKUP($A47,ANAGRAFICA!$B$1:$G$306,2,FALSE)</f>
        <v>#N/A</v>
      </c>
      <c r="C47" s="109" t="str">
        <f>VLOOKUP($A47,ANAGRAFICA!$B$1:$G$306,3,FALSE)</f>
        <v>#N/A</v>
      </c>
      <c r="D47" s="109" t="str">
        <f>VLOOKUP($A47,ANAGRAFICA!$B$1:$G$306,4,FALSE)</f>
        <v>#N/A</v>
      </c>
      <c r="E47" s="109" t="str">
        <f>VLOOKUP($A47,ANAGRAFICA!$B$1:$G$306,5,FALSE)</f>
        <v>#N/A</v>
      </c>
      <c r="F47" s="109" t="str">
        <f>VLOOKUP($A47,ANAGRAFICA!$B$1:$G$306,6,FALSE)</f>
        <v>#N/A</v>
      </c>
      <c r="G47" s="117" t="b">
        <v>0</v>
      </c>
      <c r="H47" s="117" t="b">
        <v>0</v>
      </c>
      <c r="I47" s="117" t="b">
        <v>0</v>
      </c>
      <c r="J47" s="117"/>
    </row>
    <row r="48">
      <c r="A48" s="94"/>
      <c r="B48" s="109" t="str">
        <f>VLOOKUP($A48,ANAGRAFICA!$B$1:$G$306,2,FALSE)</f>
        <v>#N/A</v>
      </c>
      <c r="C48" s="109" t="str">
        <f>VLOOKUP($A48,ANAGRAFICA!$B$1:$G$306,3,FALSE)</f>
        <v>#N/A</v>
      </c>
      <c r="D48" s="109" t="str">
        <f>VLOOKUP($A48,ANAGRAFICA!$B$1:$G$306,4,FALSE)</f>
        <v>#N/A</v>
      </c>
      <c r="E48" s="109" t="str">
        <f>VLOOKUP($A48,ANAGRAFICA!$B$1:$G$306,5,FALSE)</f>
        <v>#N/A</v>
      </c>
      <c r="F48" s="109" t="str">
        <f>VLOOKUP($A48,ANAGRAFICA!$B$1:$G$306,6,FALSE)</f>
        <v>#N/A</v>
      </c>
      <c r="G48" s="117" t="b">
        <v>0</v>
      </c>
      <c r="H48" s="117" t="b">
        <v>0</v>
      </c>
      <c r="I48" s="117" t="b">
        <v>0</v>
      </c>
      <c r="J48" s="117"/>
    </row>
    <row r="49">
      <c r="A49" s="94"/>
      <c r="B49" s="109" t="str">
        <f>VLOOKUP($A49,ANAGRAFICA!$B$1:$G$306,2,FALSE)</f>
        <v>#N/A</v>
      </c>
      <c r="C49" s="109" t="str">
        <f>VLOOKUP($A49,ANAGRAFICA!$B$1:$G$306,3,FALSE)</f>
        <v>#N/A</v>
      </c>
      <c r="D49" s="109" t="str">
        <f>VLOOKUP($A49,ANAGRAFICA!$B$1:$G$306,4,FALSE)</f>
        <v>#N/A</v>
      </c>
      <c r="E49" s="109" t="str">
        <f>VLOOKUP($A49,ANAGRAFICA!$B$1:$G$306,5,FALSE)</f>
        <v>#N/A</v>
      </c>
      <c r="F49" s="109" t="str">
        <f>VLOOKUP($A49,ANAGRAFICA!$B$1:$G$306,6,FALSE)</f>
        <v>#N/A</v>
      </c>
      <c r="G49" s="117" t="b">
        <v>0</v>
      </c>
      <c r="H49" s="117" t="b">
        <v>0</v>
      </c>
      <c r="I49" s="117" t="b">
        <v>0</v>
      </c>
      <c r="J49" s="117"/>
    </row>
    <row r="50">
      <c r="A50" s="94"/>
      <c r="B50" s="109" t="str">
        <f>VLOOKUP($A50,ANAGRAFICA!$B$1:$G$306,2,FALSE)</f>
        <v>#N/A</v>
      </c>
      <c r="C50" s="109" t="str">
        <f>VLOOKUP($A50,ANAGRAFICA!$B$1:$G$306,3,FALSE)</f>
        <v>#N/A</v>
      </c>
      <c r="D50" s="109" t="str">
        <f>VLOOKUP($A50,ANAGRAFICA!$B$1:$G$306,4,FALSE)</f>
        <v>#N/A</v>
      </c>
      <c r="E50" s="109" t="str">
        <f>VLOOKUP($A50,ANAGRAFICA!$B$1:$G$306,5,FALSE)</f>
        <v>#N/A</v>
      </c>
      <c r="F50" s="109" t="str">
        <f>VLOOKUP($A50,ANAGRAFICA!$B$1:$G$306,6,FALSE)</f>
        <v>#N/A</v>
      </c>
      <c r="G50" s="117" t="b">
        <v>0</v>
      </c>
      <c r="H50" s="117" t="b">
        <v>0</v>
      </c>
      <c r="I50" s="117" t="b">
        <v>0</v>
      </c>
      <c r="J50" s="117"/>
    </row>
    <row r="51">
      <c r="A51" s="94"/>
      <c r="B51" s="109" t="str">
        <f>VLOOKUP($A51,ANAGRAFICA!$B$1:$G$306,2,FALSE)</f>
        <v>#N/A</v>
      </c>
      <c r="C51" s="109" t="str">
        <f>VLOOKUP($A51,ANAGRAFICA!$B$1:$G$306,3,FALSE)</f>
        <v>#N/A</v>
      </c>
      <c r="D51" s="109" t="str">
        <f>VLOOKUP($A51,ANAGRAFICA!$B$1:$G$306,4,FALSE)</f>
        <v>#N/A</v>
      </c>
      <c r="E51" s="109" t="str">
        <f>VLOOKUP($A51,ANAGRAFICA!$B$1:$G$306,5,FALSE)</f>
        <v>#N/A</v>
      </c>
      <c r="F51" s="109" t="str">
        <f>VLOOKUP($A51,ANAGRAFICA!$B$1:$G$306,6,FALSE)</f>
        <v>#N/A</v>
      </c>
      <c r="G51" s="117" t="b">
        <v>0</v>
      </c>
      <c r="H51" s="117" t="b">
        <v>0</v>
      </c>
      <c r="I51" s="117" t="b">
        <v>0</v>
      </c>
      <c r="J51" s="117"/>
    </row>
    <row r="52">
      <c r="A52" s="94"/>
      <c r="B52" s="109" t="str">
        <f>VLOOKUP($A52,ANAGRAFICA!$B$1:$G$306,2,FALSE)</f>
        <v>#N/A</v>
      </c>
      <c r="C52" s="109" t="str">
        <f>VLOOKUP($A52,ANAGRAFICA!$B$1:$G$306,3,FALSE)</f>
        <v>#N/A</v>
      </c>
      <c r="D52" s="109" t="str">
        <f>VLOOKUP($A52,ANAGRAFICA!$B$1:$G$306,4,FALSE)</f>
        <v>#N/A</v>
      </c>
      <c r="E52" s="109" t="str">
        <f>VLOOKUP($A52,ANAGRAFICA!$B$1:$G$306,5,FALSE)</f>
        <v>#N/A</v>
      </c>
      <c r="F52" s="109" t="str">
        <f>VLOOKUP($A52,ANAGRAFICA!$B$1:$G$306,6,FALSE)</f>
        <v>#N/A</v>
      </c>
      <c r="G52" s="117" t="b">
        <v>0</v>
      </c>
      <c r="H52" s="117" t="b">
        <v>0</v>
      </c>
      <c r="I52" s="117" t="b">
        <v>0</v>
      </c>
      <c r="J52" s="117"/>
    </row>
    <row r="53">
      <c r="A53" s="94"/>
      <c r="B53" s="109" t="str">
        <f>VLOOKUP($A53,ANAGRAFICA!$B$1:$G$306,2,FALSE)</f>
        <v>#N/A</v>
      </c>
      <c r="C53" s="109" t="str">
        <f>VLOOKUP($A53,ANAGRAFICA!$B$1:$G$306,3,FALSE)</f>
        <v>#N/A</v>
      </c>
      <c r="D53" s="109" t="str">
        <f>VLOOKUP($A53,ANAGRAFICA!$B$1:$G$306,4,FALSE)</f>
        <v>#N/A</v>
      </c>
      <c r="E53" s="109" t="str">
        <f>VLOOKUP($A53,ANAGRAFICA!$B$1:$G$306,5,FALSE)</f>
        <v>#N/A</v>
      </c>
      <c r="F53" s="109" t="str">
        <f>VLOOKUP($A53,ANAGRAFICA!$B$1:$G$306,6,FALSE)</f>
        <v>#N/A</v>
      </c>
      <c r="G53" s="117" t="b">
        <v>0</v>
      </c>
      <c r="H53" s="117" t="b">
        <v>0</v>
      </c>
      <c r="I53" s="117" t="b">
        <v>0</v>
      </c>
      <c r="J53" s="117"/>
    </row>
    <row r="54">
      <c r="A54" s="94"/>
      <c r="B54" s="109" t="str">
        <f>VLOOKUP($A54,ANAGRAFICA!$B$1:$G$306,2,FALSE)</f>
        <v>#N/A</v>
      </c>
      <c r="C54" s="109" t="str">
        <f>VLOOKUP($A54,ANAGRAFICA!$B$1:$G$306,3,FALSE)</f>
        <v>#N/A</v>
      </c>
      <c r="D54" s="109" t="str">
        <f>VLOOKUP($A54,ANAGRAFICA!$B$1:$G$306,4,FALSE)</f>
        <v>#N/A</v>
      </c>
      <c r="E54" s="109" t="str">
        <f>VLOOKUP($A54,ANAGRAFICA!$B$1:$G$306,5,FALSE)</f>
        <v>#N/A</v>
      </c>
      <c r="F54" s="109" t="str">
        <f>VLOOKUP($A54,ANAGRAFICA!$B$1:$G$306,6,FALSE)</f>
        <v>#N/A</v>
      </c>
      <c r="G54" s="117" t="b">
        <v>0</v>
      </c>
      <c r="H54" s="117" t="b">
        <v>0</v>
      </c>
      <c r="I54" s="117" t="b">
        <v>0</v>
      </c>
      <c r="J54" s="117"/>
    </row>
    <row r="55">
      <c r="A55" s="94"/>
      <c r="B55" s="109" t="str">
        <f>VLOOKUP($A55,ANAGRAFICA!$B$1:$G$306,2,FALSE)</f>
        <v>#N/A</v>
      </c>
      <c r="C55" s="109" t="str">
        <f>VLOOKUP($A55,ANAGRAFICA!$B$1:$G$306,3,FALSE)</f>
        <v>#N/A</v>
      </c>
      <c r="D55" s="109" t="str">
        <f>VLOOKUP($A55,ANAGRAFICA!$B$1:$G$306,4,FALSE)</f>
        <v>#N/A</v>
      </c>
      <c r="E55" s="109" t="str">
        <f>VLOOKUP($A55,ANAGRAFICA!$B$1:$G$306,5,FALSE)</f>
        <v>#N/A</v>
      </c>
      <c r="F55" s="109" t="str">
        <f>VLOOKUP($A55,ANAGRAFICA!$B$1:$G$306,6,FALSE)</f>
        <v>#N/A</v>
      </c>
      <c r="G55" s="117" t="b">
        <v>0</v>
      </c>
      <c r="H55" s="117" t="b">
        <v>0</v>
      </c>
      <c r="I55" s="117" t="b">
        <v>0</v>
      </c>
      <c r="J55" s="117"/>
    </row>
    <row r="56">
      <c r="A56" s="94"/>
      <c r="B56" s="109" t="str">
        <f>VLOOKUP($A56,ANAGRAFICA!$B$1:$G$306,2,FALSE)</f>
        <v>#N/A</v>
      </c>
      <c r="C56" s="109" t="str">
        <f>VLOOKUP($A56,ANAGRAFICA!$B$1:$G$306,3,FALSE)</f>
        <v>#N/A</v>
      </c>
      <c r="D56" s="109" t="str">
        <f>VLOOKUP($A56,ANAGRAFICA!$B$1:$G$306,4,FALSE)</f>
        <v>#N/A</v>
      </c>
      <c r="E56" s="109" t="str">
        <f>VLOOKUP($A56,ANAGRAFICA!$B$1:$G$306,5,FALSE)</f>
        <v>#N/A</v>
      </c>
      <c r="F56" s="109" t="str">
        <f>VLOOKUP($A56,ANAGRAFICA!$B$1:$G$306,6,FALSE)</f>
        <v>#N/A</v>
      </c>
      <c r="G56" s="117" t="b">
        <v>0</v>
      </c>
      <c r="H56" s="117" t="b">
        <v>0</v>
      </c>
      <c r="I56" s="117" t="b">
        <v>0</v>
      </c>
      <c r="J56" s="117"/>
    </row>
    <row r="57">
      <c r="A57" s="94"/>
      <c r="B57" s="109" t="str">
        <f>VLOOKUP($A57,ANAGRAFICA!$B$1:$G$306,2,FALSE)</f>
        <v>#N/A</v>
      </c>
      <c r="C57" s="109" t="str">
        <f>VLOOKUP($A57,ANAGRAFICA!$B$1:$G$306,3,FALSE)</f>
        <v>#N/A</v>
      </c>
      <c r="D57" s="109" t="str">
        <f>VLOOKUP($A57,ANAGRAFICA!$B$1:$G$306,4,FALSE)</f>
        <v>#N/A</v>
      </c>
      <c r="E57" s="109" t="str">
        <f>VLOOKUP($A57,ANAGRAFICA!$B$1:$G$306,5,FALSE)</f>
        <v>#N/A</v>
      </c>
      <c r="F57" s="109" t="str">
        <f>VLOOKUP($A57,ANAGRAFICA!$B$1:$G$306,6,FALSE)</f>
        <v>#N/A</v>
      </c>
      <c r="G57" s="117" t="b">
        <v>0</v>
      </c>
      <c r="H57" s="117" t="b">
        <v>0</v>
      </c>
      <c r="I57" s="117" t="b">
        <v>0</v>
      </c>
      <c r="J57" s="117"/>
    </row>
    <row r="58">
      <c r="A58" s="94"/>
      <c r="B58" s="109" t="str">
        <f>VLOOKUP($A58,ANAGRAFICA!$B$1:$G$306,2,FALSE)</f>
        <v>#N/A</v>
      </c>
      <c r="C58" s="109" t="str">
        <f>VLOOKUP($A58,ANAGRAFICA!$B$1:$G$306,3,FALSE)</f>
        <v>#N/A</v>
      </c>
      <c r="D58" s="109" t="str">
        <f>VLOOKUP($A58,ANAGRAFICA!$B$1:$G$306,4,FALSE)</f>
        <v>#N/A</v>
      </c>
      <c r="E58" s="109" t="str">
        <f>VLOOKUP($A58,ANAGRAFICA!$B$1:$G$306,5,FALSE)</f>
        <v>#N/A</v>
      </c>
      <c r="F58" s="109" t="str">
        <f>VLOOKUP($A58,ANAGRAFICA!$B$1:$G$306,6,FALSE)</f>
        <v>#N/A</v>
      </c>
      <c r="G58" s="117" t="b">
        <v>0</v>
      </c>
      <c r="H58" s="117" t="b">
        <v>0</v>
      </c>
      <c r="I58" s="117" t="b">
        <v>0</v>
      </c>
      <c r="J58" s="117"/>
    </row>
    <row r="59">
      <c r="A59" s="94"/>
      <c r="B59" s="109" t="str">
        <f>VLOOKUP($A59,ANAGRAFICA!$B$1:$G$306,2,FALSE)</f>
        <v>#N/A</v>
      </c>
      <c r="C59" s="109" t="str">
        <f>VLOOKUP($A59,ANAGRAFICA!$B$1:$G$306,3,FALSE)</f>
        <v>#N/A</v>
      </c>
      <c r="D59" s="109" t="str">
        <f>VLOOKUP($A59,ANAGRAFICA!$B$1:$G$306,4,FALSE)</f>
        <v>#N/A</v>
      </c>
      <c r="E59" s="109" t="str">
        <f>VLOOKUP($A59,ANAGRAFICA!$B$1:$G$306,5,FALSE)</f>
        <v>#N/A</v>
      </c>
      <c r="F59" s="109" t="str">
        <f>VLOOKUP($A59,ANAGRAFICA!$B$1:$G$306,6,FALSE)</f>
        <v>#N/A</v>
      </c>
      <c r="G59" s="117" t="b">
        <v>0</v>
      </c>
      <c r="H59" s="117" t="b">
        <v>0</v>
      </c>
      <c r="I59" s="117" t="b">
        <v>0</v>
      </c>
      <c r="J59" s="117"/>
    </row>
    <row r="60">
      <c r="A60" s="94"/>
      <c r="B60" s="109" t="str">
        <f>VLOOKUP($A60,ANAGRAFICA!$B$1:$G$306,2,FALSE)</f>
        <v>#N/A</v>
      </c>
      <c r="C60" s="109" t="str">
        <f>VLOOKUP($A60,ANAGRAFICA!$B$1:$G$306,3,FALSE)</f>
        <v>#N/A</v>
      </c>
      <c r="D60" s="109" t="str">
        <f>VLOOKUP($A60,ANAGRAFICA!$B$1:$G$306,4,FALSE)</f>
        <v>#N/A</v>
      </c>
      <c r="E60" s="109" t="str">
        <f>VLOOKUP($A60,ANAGRAFICA!$B$1:$G$306,5,FALSE)</f>
        <v>#N/A</v>
      </c>
      <c r="F60" s="109" t="str">
        <f>VLOOKUP($A60,ANAGRAFICA!$B$1:$G$306,6,FALSE)</f>
        <v>#N/A</v>
      </c>
      <c r="G60" s="117" t="b">
        <v>0</v>
      </c>
      <c r="H60" s="117" t="b">
        <v>0</v>
      </c>
      <c r="I60" s="117" t="b">
        <v>0</v>
      </c>
      <c r="J60" s="117"/>
    </row>
    <row r="61">
      <c r="A61" s="94"/>
      <c r="B61" s="109" t="str">
        <f>VLOOKUP($A61,ANAGRAFICA!$B$1:$G$306,2,FALSE)</f>
        <v>#N/A</v>
      </c>
      <c r="C61" s="109" t="str">
        <f>VLOOKUP($A61,ANAGRAFICA!$B$1:$G$306,3,FALSE)</f>
        <v>#N/A</v>
      </c>
      <c r="D61" s="109" t="str">
        <f>VLOOKUP($A61,ANAGRAFICA!$B$1:$G$306,4,FALSE)</f>
        <v>#N/A</v>
      </c>
      <c r="E61" s="109" t="str">
        <f>VLOOKUP($A61,ANAGRAFICA!$B$1:$G$306,5,FALSE)</f>
        <v>#N/A</v>
      </c>
      <c r="F61" s="109" t="str">
        <f>VLOOKUP($A61,ANAGRAFICA!$B$1:$G$306,6,FALSE)</f>
        <v>#N/A</v>
      </c>
      <c r="G61" s="117" t="b">
        <v>0</v>
      </c>
      <c r="H61" s="117" t="b">
        <v>0</v>
      </c>
      <c r="I61" s="117" t="b">
        <v>0</v>
      </c>
      <c r="J61" s="117"/>
    </row>
    <row r="62">
      <c r="A62" s="94"/>
      <c r="B62" s="109" t="str">
        <f>VLOOKUP($A62,ANAGRAFICA!$B$1:$G$306,2,FALSE)</f>
        <v>#N/A</v>
      </c>
      <c r="C62" s="109" t="str">
        <f>VLOOKUP($A62,ANAGRAFICA!$B$1:$G$306,3,FALSE)</f>
        <v>#N/A</v>
      </c>
      <c r="D62" s="109" t="str">
        <f>VLOOKUP($A62,ANAGRAFICA!$B$1:$G$306,4,FALSE)</f>
        <v>#N/A</v>
      </c>
      <c r="E62" s="109" t="str">
        <f>VLOOKUP($A62,ANAGRAFICA!$B$1:$G$306,5,FALSE)</f>
        <v>#N/A</v>
      </c>
      <c r="F62" s="109" t="str">
        <f>VLOOKUP($A62,ANAGRAFICA!$B$1:$G$306,6,FALSE)</f>
        <v>#N/A</v>
      </c>
      <c r="G62" s="117" t="b">
        <v>0</v>
      </c>
      <c r="H62" s="117" t="b">
        <v>0</v>
      </c>
      <c r="I62" s="117" t="b">
        <v>0</v>
      </c>
      <c r="J62" s="117"/>
    </row>
    <row r="63">
      <c r="A63" s="94"/>
      <c r="B63" s="109" t="str">
        <f>VLOOKUP($A63,ANAGRAFICA!$B$1:$G$306,2,FALSE)</f>
        <v>#N/A</v>
      </c>
      <c r="C63" s="109" t="str">
        <f>VLOOKUP($A63,ANAGRAFICA!$B$1:$G$306,3,FALSE)</f>
        <v>#N/A</v>
      </c>
      <c r="D63" s="109" t="str">
        <f>VLOOKUP($A63,ANAGRAFICA!$B$1:$G$306,4,FALSE)</f>
        <v>#N/A</v>
      </c>
      <c r="E63" s="109" t="str">
        <f>VLOOKUP($A63,ANAGRAFICA!$B$1:$G$306,5,FALSE)</f>
        <v>#N/A</v>
      </c>
      <c r="F63" s="109" t="str">
        <f>VLOOKUP($A63,ANAGRAFICA!$B$1:$G$306,6,FALSE)</f>
        <v>#N/A</v>
      </c>
      <c r="G63" s="117" t="b">
        <v>0</v>
      </c>
      <c r="H63" s="117" t="b">
        <v>0</v>
      </c>
      <c r="I63" s="117" t="b">
        <v>0</v>
      </c>
      <c r="J63" s="117"/>
    </row>
    <row r="64">
      <c r="A64" s="94"/>
      <c r="B64" s="109" t="str">
        <f>VLOOKUP($A64,ANAGRAFICA!$B$1:$G$306,2,FALSE)</f>
        <v>#N/A</v>
      </c>
      <c r="C64" s="109" t="str">
        <f>VLOOKUP($A64,ANAGRAFICA!$B$1:$G$306,3,FALSE)</f>
        <v>#N/A</v>
      </c>
      <c r="D64" s="109" t="str">
        <f>VLOOKUP($A64,ANAGRAFICA!$B$1:$G$306,4,FALSE)</f>
        <v>#N/A</v>
      </c>
      <c r="E64" s="109" t="str">
        <f>VLOOKUP($A64,ANAGRAFICA!$B$1:$G$306,5,FALSE)</f>
        <v>#N/A</v>
      </c>
      <c r="F64" s="109" t="str">
        <f>VLOOKUP($A64,ANAGRAFICA!$B$1:$G$306,6,FALSE)</f>
        <v>#N/A</v>
      </c>
      <c r="G64" s="117" t="b">
        <v>0</v>
      </c>
      <c r="H64" s="117" t="b">
        <v>0</v>
      </c>
      <c r="I64" s="117" t="b">
        <v>0</v>
      </c>
      <c r="J64" s="117"/>
    </row>
    <row r="65">
      <c r="A65" s="94"/>
      <c r="B65" s="109" t="str">
        <f>VLOOKUP($A65,ANAGRAFICA!$B$1:$G$306,2,FALSE)</f>
        <v>#N/A</v>
      </c>
      <c r="C65" s="109" t="str">
        <f>VLOOKUP($A65,ANAGRAFICA!$B$1:$G$306,3,FALSE)</f>
        <v>#N/A</v>
      </c>
      <c r="D65" s="109" t="str">
        <f>VLOOKUP($A65,ANAGRAFICA!$B$1:$G$306,4,FALSE)</f>
        <v>#N/A</v>
      </c>
      <c r="E65" s="109" t="str">
        <f>VLOOKUP($A65,ANAGRAFICA!$B$1:$G$306,5,FALSE)</f>
        <v>#N/A</v>
      </c>
      <c r="F65" s="109" t="str">
        <f>VLOOKUP($A65,ANAGRAFICA!$B$1:$G$306,6,FALSE)</f>
        <v>#N/A</v>
      </c>
      <c r="G65" s="117" t="b">
        <v>0</v>
      </c>
      <c r="H65" s="117" t="b">
        <v>0</v>
      </c>
      <c r="I65" s="117" t="b">
        <v>0</v>
      </c>
      <c r="J65" s="117"/>
    </row>
    <row r="66">
      <c r="A66" s="94"/>
      <c r="B66" s="109" t="str">
        <f>VLOOKUP($A66,ANAGRAFICA!$B$1:$G$306,2,FALSE)</f>
        <v>#N/A</v>
      </c>
      <c r="C66" s="109" t="str">
        <f>VLOOKUP($A66,ANAGRAFICA!$B$1:$G$306,3,FALSE)</f>
        <v>#N/A</v>
      </c>
      <c r="D66" s="109" t="str">
        <f>VLOOKUP($A66,ANAGRAFICA!$B$1:$G$306,4,FALSE)</f>
        <v>#N/A</v>
      </c>
      <c r="E66" s="109" t="str">
        <f>VLOOKUP($A66,ANAGRAFICA!$B$1:$G$306,5,FALSE)</f>
        <v>#N/A</v>
      </c>
      <c r="F66" s="109" t="str">
        <f>VLOOKUP($A66,ANAGRAFICA!$B$1:$G$306,6,FALSE)</f>
        <v>#N/A</v>
      </c>
      <c r="G66" s="117" t="b">
        <v>0</v>
      </c>
      <c r="H66" s="117" t="b">
        <v>0</v>
      </c>
      <c r="I66" s="117" t="b">
        <v>0</v>
      </c>
      <c r="J66" s="117"/>
    </row>
    <row r="67">
      <c r="A67" s="94"/>
      <c r="B67" s="109" t="str">
        <f>VLOOKUP($A67,ANAGRAFICA!$B$1:$G$306,2,FALSE)</f>
        <v>#N/A</v>
      </c>
      <c r="C67" s="109" t="str">
        <f>VLOOKUP($A67,ANAGRAFICA!$B$1:$G$306,3,FALSE)</f>
        <v>#N/A</v>
      </c>
      <c r="D67" s="109" t="str">
        <f>VLOOKUP($A67,ANAGRAFICA!$B$1:$G$306,4,FALSE)</f>
        <v>#N/A</v>
      </c>
      <c r="E67" s="109" t="str">
        <f>VLOOKUP($A67,ANAGRAFICA!$B$1:$G$306,5,FALSE)</f>
        <v>#N/A</v>
      </c>
      <c r="F67" s="109" t="str">
        <f>VLOOKUP($A67,ANAGRAFICA!$B$1:$G$306,6,FALSE)</f>
        <v>#N/A</v>
      </c>
      <c r="G67" s="117" t="b">
        <v>0</v>
      </c>
      <c r="H67" s="117" t="b">
        <v>0</v>
      </c>
      <c r="I67" s="117" t="b">
        <v>0</v>
      </c>
      <c r="J67" s="117"/>
    </row>
    <row r="68">
      <c r="A68" s="94"/>
      <c r="B68" s="109" t="str">
        <f>VLOOKUP($A68,ANAGRAFICA!$B$1:$G$306,2,FALSE)</f>
        <v>#N/A</v>
      </c>
      <c r="C68" s="109" t="str">
        <f>VLOOKUP($A68,ANAGRAFICA!$B$1:$G$306,3,FALSE)</f>
        <v>#N/A</v>
      </c>
      <c r="D68" s="109" t="str">
        <f>VLOOKUP($A68,ANAGRAFICA!$B$1:$G$306,4,FALSE)</f>
        <v>#N/A</v>
      </c>
      <c r="E68" s="109" t="str">
        <f>VLOOKUP($A68,ANAGRAFICA!$B$1:$G$306,5,FALSE)</f>
        <v>#N/A</v>
      </c>
      <c r="F68" s="109" t="str">
        <f>VLOOKUP($A68,ANAGRAFICA!$B$1:$G$306,6,FALSE)</f>
        <v>#N/A</v>
      </c>
      <c r="G68" s="117" t="b">
        <v>0</v>
      </c>
      <c r="H68" s="117" t="b">
        <v>0</v>
      </c>
      <c r="I68" s="117" t="b">
        <v>0</v>
      </c>
      <c r="J68" s="117"/>
    </row>
    <row r="69">
      <c r="A69" s="94"/>
      <c r="B69" s="109" t="str">
        <f>VLOOKUP($A69,ANAGRAFICA!$B$1:$G$306,2,FALSE)</f>
        <v>#N/A</v>
      </c>
      <c r="C69" s="109" t="str">
        <f>VLOOKUP($A69,ANAGRAFICA!$B$1:$G$306,3,FALSE)</f>
        <v>#N/A</v>
      </c>
      <c r="D69" s="109" t="str">
        <f>VLOOKUP($A69,ANAGRAFICA!$B$1:$G$306,4,FALSE)</f>
        <v>#N/A</v>
      </c>
      <c r="E69" s="109" t="str">
        <f>VLOOKUP($A69,ANAGRAFICA!$B$1:$G$306,5,FALSE)</f>
        <v>#N/A</v>
      </c>
      <c r="F69" s="109" t="str">
        <f>VLOOKUP($A69,ANAGRAFICA!$B$1:$G$306,6,FALSE)</f>
        <v>#N/A</v>
      </c>
      <c r="G69" s="117" t="b">
        <v>0</v>
      </c>
      <c r="H69" s="117" t="b">
        <v>0</v>
      </c>
      <c r="I69" s="117" t="b">
        <v>0</v>
      </c>
      <c r="J69" s="117"/>
    </row>
    <row r="70">
      <c r="A70" s="94"/>
      <c r="B70" s="109" t="str">
        <f>VLOOKUP($A70,ANAGRAFICA!$B$1:$G$306,2,FALSE)</f>
        <v>#N/A</v>
      </c>
      <c r="C70" s="109" t="str">
        <f>VLOOKUP($A70,ANAGRAFICA!$B$1:$G$306,3,FALSE)</f>
        <v>#N/A</v>
      </c>
      <c r="D70" s="109" t="str">
        <f>VLOOKUP($A70,ANAGRAFICA!$B$1:$G$306,4,FALSE)</f>
        <v>#N/A</v>
      </c>
      <c r="E70" s="109" t="str">
        <f>VLOOKUP($A70,ANAGRAFICA!$B$1:$G$306,5,FALSE)</f>
        <v>#N/A</v>
      </c>
      <c r="F70" s="109" t="str">
        <f>VLOOKUP($A70,ANAGRAFICA!$B$1:$G$306,6,FALSE)</f>
        <v>#N/A</v>
      </c>
      <c r="G70" s="117" t="b">
        <v>0</v>
      </c>
      <c r="H70" s="117" t="b">
        <v>0</v>
      </c>
      <c r="I70" s="117" t="b">
        <v>0</v>
      </c>
      <c r="J70" s="117"/>
    </row>
    <row r="71">
      <c r="A71" s="94"/>
      <c r="B71" s="109" t="str">
        <f>VLOOKUP($A71,ANAGRAFICA!$B$1:$G$306,2,FALSE)</f>
        <v>#N/A</v>
      </c>
      <c r="C71" s="109" t="str">
        <f>VLOOKUP($A71,ANAGRAFICA!$B$1:$G$306,3,FALSE)</f>
        <v>#N/A</v>
      </c>
      <c r="D71" s="109" t="str">
        <f>VLOOKUP($A71,ANAGRAFICA!$B$1:$G$306,4,FALSE)</f>
        <v>#N/A</v>
      </c>
      <c r="E71" s="109" t="str">
        <f>VLOOKUP($A71,ANAGRAFICA!$B$1:$G$306,5,FALSE)</f>
        <v>#N/A</v>
      </c>
      <c r="F71" s="109" t="str">
        <f>VLOOKUP($A71,ANAGRAFICA!$B$1:$G$306,6,FALSE)</f>
        <v>#N/A</v>
      </c>
      <c r="G71" s="117" t="b">
        <v>0</v>
      </c>
      <c r="H71" s="117" t="b">
        <v>0</v>
      </c>
      <c r="I71" s="117" t="b">
        <v>0</v>
      </c>
      <c r="J71" s="117"/>
    </row>
    <row r="72">
      <c r="A72" s="94"/>
      <c r="B72" s="109" t="str">
        <f>VLOOKUP($A72,ANAGRAFICA!$B$1:$G$306,2,FALSE)</f>
        <v>#N/A</v>
      </c>
      <c r="C72" s="109" t="str">
        <f>VLOOKUP($A72,ANAGRAFICA!$B$1:$G$306,3,FALSE)</f>
        <v>#N/A</v>
      </c>
      <c r="D72" s="109" t="str">
        <f>VLOOKUP($A72,ANAGRAFICA!$B$1:$G$306,4,FALSE)</f>
        <v>#N/A</v>
      </c>
      <c r="E72" s="109" t="str">
        <f>VLOOKUP($A72,ANAGRAFICA!$B$1:$G$306,5,FALSE)</f>
        <v>#N/A</v>
      </c>
      <c r="F72" s="109" t="str">
        <f>VLOOKUP($A72,ANAGRAFICA!$B$1:$G$306,6,FALSE)</f>
        <v>#N/A</v>
      </c>
      <c r="G72" s="117" t="b">
        <v>0</v>
      </c>
      <c r="H72" s="117" t="b">
        <v>0</v>
      </c>
      <c r="I72" s="117" t="b">
        <v>0</v>
      </c>
      <c r="J72" s="117"/>
    </row>
    <row r="73">
      <c r="A73" s="94"/>
      <c r="B73" s="109" t="str">
        <f>VLOOKUP($A73,ANAGRAFICA!$B$1:$G$306,2,FALSE)</f>
        <v>#N/A</v>
      </c>
      <c r="C73" s="109" t="str">
        <f>VLOOKUP($A73,ANAGRAFICA!$B$1:$G$306,3,FALSE)</f>
        <v>#N/A</v>
      </c>
      <c r="D73" s="109" t="str">
        <f>VLOOKUP($A73,ANAGRAFICA!$B$1:$G$306,4,FALSE)</f>
        <v>#N/A</v>
      </c>
      <c r="E73" s="109" t="str">
        <f>VLOOKUP($A73,ANAGRAFICA!$B$1:$G$306,5,FALSE)</f>
        <v>#N/A</v>
      </c>
      <c r="F73" s="109" t="str">
        <f>VLOOKUP($A73,ANAGRAFICA!$B$1:$G$306,6,FALSE)</f>
        <v>#N/A</v>
      </c>
      <c r="G73" s="117" t="b">
        <v>0</v>
      </c>
      <c r="H73" s="117" t="b">
        <v>0</v>
      </c>
      <c r="I73" s="117" t="b">
        <v>0</v>
      </c>
      <c r="J73" s="117"/>
    </row>
    <row r="74">
      <c r="A74" s="94"/>
      <c r="B74" s="109" t="str">
        <f>VLOOKUP($A74,ANAGRAFICA!$B$1:$G$306,2,FALSE)</f>
        <v>#N/A</v>
      </c>
      <c r="C74" s="109" t="str">
        <f>VLOOKUP($A74,ANAGRAFICA!$B$1:$G$306,3,FALSE)</f>
        <v>#N/A</v>
      </c>
      <c r="D74" s="109" t="str">
        <f>VLOOKUP($A74,ANAGRAFICA!$B$1:$G$306,4,FALSE)</f>
        <v>#N/A</v>
      </c>
      <c r="E74" s="109" t="str">
        <f>VLOOKUP($A74,ANAGRAFICA!$B$1:$G$306,5,FALSE)</f>
        <v>#N/A</v>
      </c>
      <c r="F74" s="109" t="str">
        <f>VLOOKUP($A74,ANAGRAFICA!$B$1:$G$306,6,FALSE)</f>
        <v>#N/A</v>
      </c>
      <c r="G74" s="117" t="b">
        <v>0</v>
      </c>
      <c r="H74" s="117" t="b">
        <v>0</v>
      </c>
      <c r="I74" s="117" t="b">
        <v>0</v>
      </c>
      <c r="J74" s="117"/>
    </row>
    <row r="75">
      <c r="A75" s="94"/>
      <c r="B75" s="109" t="str">
        <f>VLOOKUP($A75,ANAGRAFICA!$B$1:$G$306,2,FALSE)</f>
        <v>#N/A</v>
      </c>
      <c r="C75" s="109" t="str">
        <f>VLOOKUP($A75,ANAGRAFICA!$B$1:$G$306,3,FALSE)</f>
        <v>#N/A</v>
      </c>
      <c r="D75" s="109" t="str">
        <f>VLOOKUP($A75,ANAGRAFICA!$B$1:$G$306,4,FALSE)</f>
        <v>#N/A</v>
      </c>
      <c r="E75" s="109" t="str">
        <f>VLOOKUP($A75,ANAGRAFICA!$B$1:$G$306,5,FALSE)</f>
        <v>#N/A</v>
      </c>
      <c r="F75" s="109" t="str">
        <f>VLOOKUP($A75,ANAGRAFICA!$B$1:$G$306,6,FALSE)</f>
        <v>#N/A</v>
      </c>
      <c r="G75" s="117" t="b">
        <v>0</v>
      </c>
      <c r="H75" s="117" t="b">
        <v>0</v>
      </c>
      <c r="I75" s="117" t="b">
        <v>0</v>
      </c>
      <c r="J75" s="117"/>
    </row>
    <row r="76">
      <c r="A76" s="94"/>
      <c r="B76" s="109" t="str">
        <f>VLOOKUP($A76,ANAGRAFICA!$B$1:$G$306,2,FALSE)</f>
        <v>#N/A</v>
      </c>
      <c r="C76" s="109" t="str">
        <f>VLOOKUP($A76,ANAGRAFICA!$B$1:$G$306,3,FALSE)</f>
        <v>#N/A</v>
      </c>
      <c r="D76" s="109" t="str">
        <f>VLOOKUP($A76,ANAGRAFICA!$B$1:$G$306,4,FALSE)</f>
        <v>#N/A</v>
      </c>
      <c r="E76" s="109" t="str">
        <f>VLOOKUP($A76,ANAGRAFICA!$B$1:$G$306,5,FALSE)</f>
        <v>#N/A</v>
      </c>
      <c r="F76" s="109" t="str">
        <f>VLOOKUP($A76,ANAGRAFICA!$B$1:$G$306,6,FALSE)</f>
        <v>#N/A</v>
      </c>
      <c r="G76" s="117" t="b">
        <v>0</v>
      </c>
      <c r="H76" s="117" t="b">
        <v>0</v>
      </c>
      <c r="I76" s="117" t="b">
        <v>0</v>
      </c>
      <c r="J76" s="117"/>
    </row>
    <row r="77">
      <c r="A77" s="94"/>
      <c r="B77" s="109" t="str">
        <f>VLOOKUP($A77,ANAGRAFICA!$B$1:$G$306,2,FALSE)</f>
        <v>#N/A</v>
      </c>
      <c r="C77" s="109" t="str">
        <f>VLOOKUP($A77,ANAGRAFICA!$B$1:$G$306,3,FALSE)</f>
        <v>#N/A</v>
      </c>
      <c r="D77" s="109" t="str">
        <f>VLOOKUP($A77,ANAGRAFICA!$B$1:$G$306,4,FALSE)</f>
        <v>#N/A</v>
      </c>
      <c r="E77" s="109" t="str">
        <f>VLOOKUP($A77,ANAGRAFICA!$B$1:$G$306,5,FALSE)</f>
        <v>#N/A</v>
      </c>
      <c r="F77" s="109" t="str">
        <f>VLOOKUP($A77,ANAGRAFICA!$B$1:$G$306,6,FALSE)</f>
        <v>#N/A</v>
      </c>
      <c r="G77" s="117" t="b">
        <v>0</v>
      </c>
      <c r="H77" s="117" t="b">
        <v>0</v>
      </c>
      <c r="I77" s="117" t="b">
        <v>0</v>
      </c>
      <c r="J77" s="117"/>
    </row>
    <row r="78">
      <c r="A78" s="94"/>
      <c r="B78" s="109" t="str">
        <f>VLOOKUP($A78,ANAGRAFICA!$B$1:$G$306,2,FALSE)</f>
        <v>#N/A</v>
      </c>
      <c r="C78" s="109" t="str">
        <f>VLOOKUP($A78,ANAGRAFICA!$B$1:$G$306,3,FALSE)</f>
        <v>#N/A</v>
      </c>
      <c r="D78" s="109" t="str">
        <f>VLOOKUP($A78,ANAGRAFICA!$B$1:$G$306,4,FALSE)</f>
        <v>#N/A</v>
      </c>
      <c r="E78" s="109" t="str">
        <f>VLOOKUP($A78,ANAGRAFICA!$B$1:$G$306,5,FALSE)</f>
        <v>#N/A</v>
      </c>
      <c r="F78" s="109" t="str">
        <f>VLOOKUP($A78,ANAGRAFICA!$B$1:$G$306,6,FALSE)</f>
        <v>#N/A</v>
      </c>
      <c r="G78" s="117" t="b">
        <v>0</v>
      </c>
      <c r="H78" s="117" t="b">
        <v>0</v>
      </c>
      <c r="I78" s="117" t="b">
        <v>0</v>
      </c>
      <c r="J78" s="117"/>
    </row>
    <row r="79">
      <c r="A79" s="94"/>
      <c r="B79" s="109" t="str">
        <f>VLOOKUP($A79,ANAGRAFICA!$B$1:$G$306,2,FALSE)</f>
        <v>#N/A</v>
      </c>
      <c r="C79" s="109" t="str">
        <f>VLOOKUP($A79,ANAGRAFICA!$B$1:$G$306,3,FALSE)</f>
        <v>#N/A</v>
      </c>
      <c r="D79" s="109" t="str">
        <f>VLOOKUP($A79,ANAGRAFICA!$B$1:$G$306,4,FALSE)</f>
        <v>#N/A</v>
      </c>
      <c r="E79" s="109" t="str">
        <f>VLOOKUP($A79,ANAGRAFICA!$B$1:$G$306,5,FALSE)</f>
        <v>#N/A</v>
      </c>
      <c r="F79" s="109" t="str">
        <f>VLOOKUP($A79,ANAGRAFICA!$B$1:$G$306,6,FALSE)</f>
        <v>#N/A</v>
      </c>
      <c r="G79" s="117" t="b">
        <v>0</v>
      </c>
      <c r="H79" s="117" t="b">
        <v>0</v>
      </c>
      <c r="I79" s="117" t="b">
        <v>0</v>
      </c>
      <c r="J79" s="117"/>
    </row>
    <row r="80">
      <c r="A80" s="94"/>
      <c r="B80" s="109" t="str">
        <f>VLOOKUP($A80,ANAGRAFICA!$B$1:$G$306,2,FALSE)</f>
        <v>#N/A</v>
      </c>
      <c r="C80" s="109" t="str">
        <f>VLOOKUP($A80,ANAGRAFICA!$B$1:$G$306,3,FALSE)</f>
        <v>#N/A</v>
      </c>
      <c r="D80" s="109" t="str">
        <f>VLOOKUP($A80,ANAGRAFICA!$B$1:$G$306,4,FALSE)</f>
        <v>#N/A</v>
      </c>
      <c r="E80" s="109" t="str">
        <f>VLOOKUP($A80,ANAGRAFICA!$B$1:$G$306,5,FALSE)</f>
        <v>#N/A</v>
      </c>
      <c r="F80" s="109" t="str">
        <f>VLOOKUP($A80,ANAGRAFICA!$B$1:$G$306,6,FALSE)</f>
        <v>#N/A</v>
      </c>
      <c r="G80" s="117" t="b">
        <v>0</v>
      </c>
      <c r="H80" s="117" t="b">
        <v>0</v>
      </c>
      <c r="I80" s="117" t="b">
        <v>0</v>
      </c>
      <c r="J80" s="117"/>
    </row>
    <row r="81">
      <c r="A81" s="94"/>
      <c r="B81" s="109" t="str">
        <f>VLOOKUP($A81,ANAGRAFICA!$B$1:$G$306,2,FALSE)</f>
        <v>#N/A</v>
      </c>
      <c r="C81" s="109" t="str">
        <f>VLOOKUP($A81,ANAGRAFICA!$B$1:$G$306,3,FALSE)</f>
        <v>#N/A</v>
      </c>
      <c r="D81" s="109" t="str">
        <f>VLOOKUP($A81,ANAGRAFICA!$B$1:$G$306,4,FALSE)</f>
        <v>#N/A</v>
      </c>
      <c r="E81" s="109" t="str">
        <f>VLOOKUP($A81,ANAGRAFICA!$B$1:$G$306,5,FALSE)</f>
        <v>#N/A</v>
      </c>
      <c r="F81" s="109" t="str">
        <f>VLOOKUP($A81,ANAGRAFICA!$B$1:$G$306,6,FALSE)</f>
        <v>#N/A</v>
      </c>
      <c r="G81" s="117" t="b">
        <v>0</v>
      </c>
      <c r="H81" s="117" t="b">
        <v>0</v>
      </c>
      <c r="I81" s="117" t="b">
        <v>0</v>
      </c>
      <c r="J81" s="117"/>
    </row>
    <row r="82">
      <c r="A82" s="94"/>
      <c r="B82" s="109" t="str">
        <f>VLOOKUP($A82,ANAGRAFICA!$B$1:$G$306,2,FALSE)</f>
        <v>#N/A</v>
      </c>
      <c r="C82" s="109" t="str">
        <f>VLOOKUP($A82,ANAGRAFICA!$B$1:$G$306,3,FALSE)</f>
        <v>#N/A</v>
      </c>
      <c r="D82" s="109" t="str">
        <f>VLOOKUP($A82,ANAGRAFICA!$B$1:$G$306,4,FALSE)</f>
        <v>#N/A</v>
      </c>
      <c r="E82" s="109" t="str">
        <f>VLOOKUP($A82,ANAGRAFICA!$B$1:$G$306,5,FALSE)</f>
        <v>#N/A</v>
      </c>
      <c r="F82" s="109" t="str">
        <f>VLOOKUP($A82,ANAGRAFICA!$B$1:$G$306,6,FALSE)</f>
        <v>#N/A</v>
      </c>
      <c r="G82" s="117" t="b">
        <v>0</v>
      </c>
      <c r="H82" s="117" t="b">
        <v>0</v>
      </c>
      <c r="I82" s="117" t="b">
        <v>0</v>
      </c>
      <c r="J82" s="117"/>
    </row>
    <row r="83">
      <c r="A83" s="94"/>
      <c r="B83" s="109" t="str">
        <f>VLOOKUP($A83,ANAGRAFICA!$B$1:$G$306,2,FALSE)</f>
        <v>#N/A</v>
      </c>
      <c r="C83" s="109" t="str">
        <f>VLOOKUP($A83,ANAGRAFICA!$B$1:$G$306,3,FALSE)</f>
        <v>#N/A</v>
      </c>
      <c r="D83" s="109" t="str">
        <f>VLOOKUP($A83,ANAGRAFICA!$B$1:$G$306,4,FALSE)</f>
        <v>#N/A</v>
      </c>
      <c r="E83" s="109" t="str">
        <f>VLOOKUP($A83,ANAGRAFICA!$B$1:$G$306,5,FALSE)</f>
        <v>#N/A</v>
      </c>
      <c r="F83" s="109" t="str">
        <f>VLOOKUP($A83,ANAGRAFICA!$B$1:$G$306,6,FALSE)</f>
        <v>#N/A</v>
      </c>
      <c r="G83" s="117" t="b">
        <v>0</v>
      </c>
      <c r="H83" s="117" t="b">
        <v>0</v>
      </c>
      <c r="I83" s="117" t="b">
        <v>0</v>
      </c>
      <c r="J83" s="117"/>
    </row>
    <row r="84">
      <c r="A84" s="94"/>
      <c r="B84" s="109" t="str">
        <f>VLOOKUP($A84,ANAGRAFICA!$B$1:$G$306,2,FALSE)</f>
        <v>#N/A</v>
      </c>
      <c r="C84" s="109" t="str">
        <f>VLOOKUP($A84,ANAGRAFICA!$B$1:$G$306,3,FALSE)</f>
        <v>#N/A</v>
      </c>
      <c r="D84" s="109" t="str">
        <f>VLOOKUP($A84,ANAGRAFICA!$B$1:$G$306,4,FALSE)</f>
        <v>#N/A</v>
      </c>
      <c r="E84" s="109" t="str">
        <f>VLOOKUP($A84,ANAGRAFICA!$B$1:$G$306,5,FALSE)</f>
        <v>#N/A</v>
      </c>
      <c r="F84" s="109" t="str">
        <f>VLOOKUP($A84,ANAGRAFICA!$B$1:$G$306,6,FALSE)</f>
        <v>#N/A</v>
      </c>
      <c r="G84" s="117" t="b">
        <v>0</v>
      </c>
      <c r="H84" s="117" t="b">
        <v>0</v>
      </c>
      <c r="I84" s="117" t="b">
        <v>0</v>
      </c>
      <c r="J84" s="117"/>
    </row>
    <row r="85">
      <c r="A85" s="94"/>
      <c r="B85" s="109" t="str">
        <f>VLOOKUP($A85,ANAGRAFICA!$B$1:$G$306,2,FALSE)</f>
        <v>#N/A</v>
      </c>
      <c r="C85" s="109" t="str">
        <f>VLOOKUP($A85,ANAGRAFICA!$B$1:$G$306,3,FALSE)</f>
        <v>#N/A</v>
      </c>
      <c r="D85" s="109" t="str">
        <f>VLOOKUP($A85,ANAGRAFICA!$B$1:$G$306,4,FALSE)</f>
        <v>#N/A</v>
      </c>
      <c r="E85" s="109" t="str">
        <f>VLOOKUP($A85,ANAGRAFICA!$B$1:$G$306,5,FALSE)</f>
        <v>#N/A</v>
      </c>
      <c r="F85" s="109" t="str">
        <f>VLOOKUP($A85,ANAGRAFICA!$B$1:$G$306,6,FALSE)</f>
        <v>#N/A</v>
      </c>
      <c r="G85" s="117" t="b">
        <v>0</v>
      </c>
      <c r="H85" s="117" t="b">
        <v>0</v>
      </c>
      <c r="I85" s="117" t="b">
        <v>0</v>
      </c>
      <c r="J85" s="117"/>
    </row>
    <row r="86">
      <c r="A86" s="94"/>
      <c r="B86" s="109" t="str">
        <f>VLOOKUP($A86,ANAGRAFICA!$B$1:$G$306,2,FALSE)</f>
        <v>#N/A</v>
      </c>
      <c r="C86" s="109" t="str">
        <f>VLOOKUP($A86,ANAGRAFICA!$B$1:$G$306,3,FALSE)</f>
        <v>#N/A</v>
      </c>
      <c r="D86" s="109" t="str">
        <f>VLOOKUP($A86,ANAGRAFICA!$B$1:$G$306,4,FALSE)</f>
        <v>#N/A</v>
      </c>
      <c r="E86" s="109" t="str">
        <f>VLOOKUP($A86,ANAGRAFICA!$B$1:$G$306,5,FALSE)</f>
        <v>#N/A</v>
      </c>
      <c r="F86" s="109" t="str">
        <f>VLOOKUP($A86,ANAGRAFICA!$B$1:$G$306,6,FALSE)</f>
        <v>#N/A</v>
      </c>
      <c r="G86" s="117" t="b">
        <v>0</v>
      </c>
      <c r="H86" s="117" t="b">
        <v>0</v>
      </c>
      <c r="I86" s="117" t="b">
        <v>0</v>
      </c>
      <c r="J86" s="117"/>
    </row>
    <row r="87">
      <c r="A87" s="94"/>
      <c r="B87" s="109" t="str">
        <f>VLOOKUP($A87,ANAGRAFICA!$B$1:$G$306,2,FALSE)</f>
        <v>#N/A</v>
      </c>
      <c r="C87" s="109" t="str">
        <f>VLOOKUP($A87,ANAGRAFICA!$B$1:$G$306,3,FALSE)</f>
        <v>#N/A</v>
      </c>
      <c r="D87" s="109" t="str">
        <f>VLOOKUP($A87,ANAGRAFICA!$B$1:$G$306,4,FALSE)</f>
        <v>#N/A</v>
      </c>
      <c r="E87" s="109" t="str">
        <f>VLOOKUP($A87,ANAGRAFICA!$B$1:$G$306,5,FALSE)</f>
        <v>#N/A</v>
      </c>
      <c r="F87" s="109" t="str">
        <f>VLOOKUP($A87,ANAGRAFICA!$B$1:$G$306,6,FALSE)</f>
        <v>#N/A</v>
      </c>
      <c r="G87" s="117" t="b">
        <v>0</v>
      </c>
      <c r="H87" s="117" t="b">
        <v>0</v>
      </c>
      <c r="I87" s="117" t="b">
        <v>0</v>
      </c>
      <c r="J87" s="117"/>
    </row>
    <row r="88">
      <c r="A88" s="94"/>
      <c r="B88" s="109" t="str">
        <f>VLOOKUP($A88,ANAGRAFICA!$B$1:$G$306,2,FALSE)</f>
        <v>#N/A</v>
      </c>
      <c r="C88" s="109" t="str">
        <f>VLOOKUP($A88,ANAGRAFICA!$B$1:$G$306,3,FALSE)</f>
        <v>#N/A</v>
      </c>
      <c r="D88" s="109" t="str">
        <f>VLOOKUP($A88,ANAGRAFICA!$B$1:$G$306,4,FALSE)</f>
        <v>#N/A</v>
      </c>
      <c r="E88" s="109" t="str">
        <f>VLOOKUP($A88,ANAGRAFICA!$B$1:$G$306,5,FALSE)</f>
        <v>#N/A</v>
      </c>
      <c r="F88" s="109" t="str">
        <f>VLOOKUP($A88,ANAGRAFICA!$B$1:$G$306,6,FALSE)</f>
        <v>#N/A</v>
      </c>
      <c r="G88" s="117" t="b">
        <v>0</v>
      </c>
      <c r="H88" s="117" t="b">
        <v>0</v>
      </c>
      <c r="I88" s="117" t="b">
        <v>0</v>
      </c>
      <c r="J88" s="117"/>
    </row>
    <row r="89">
      <c r="A89" s="94"/>
      <c r="B89" s="109" t="str">
        <f>VLOOKUP($A89,ANAGRAFICA!$B$1:$G$306,2,FALSE)</f>
        <v>#N/A</v>
      </c>
      <c r="C89" s="109" t="str">
        <f>VLOOKUP($A89,ANAGRAFICA!$B$1:$G$306,3,FALSE)</f>
        <v>#N/A</v>
      </c>
      <c r="D89" s="109" t="str">
        <f>VLOOKUP($A89,ANAGRAFICA!$B$1:$G$306,4,FALSE)</f>
        <v>#N/A</v>
      </c>
      <c r="E89" s="109" t="str">
        <f>VLOOKUP($A89,ANAGRAFICA!$B$1:$G$306,5,FALSE)</f>
        <v>#N/A</v>
      </c>
      <c r="F89" s="109" t="str">
        <f>VLOOKUP($A89,ANAGRAFICA!$B$1:$G$306,6,FALSE)</f>
        <v>#N/A</v>
      </c>
      <c r="G89" s="117" t="b">
        <v>0</v>
      </c>
      <c r="H89" s="117" t="b">
        <v>0</v>
      </c>
      <c r="I89" s="117" t="b">
        <v>0</v>
      </c>
      <c r="J89" s="117"/>
    </row>
    <row r="90">
      <c r="A90" s="94"/>
      <c r="B90" s="109" t="str">
        <f>VLOOKUP($A90,ANAGRAFICA!$B$1:$G$306,2,FALSE)</f>
        <v>#N/A</v>
      </c>
      <c r="C90" s="109" t="str">
        <f>VLOOKUP($A90,ANAGRAFICA!$B$1:$G$306,3,FALSE)</f>
        <v>#N/A</v>
      </c>
      <c r="D90" s="109" t="str">
        <f>VLOOKUP($A90,ANAGRAFICA!$B$1:$G$306,4,FALSE)</f>
        <v>#N/A</v>
      </c>
      <c r="E90" s="109" t="str">
        <f>VLOOKUP($A90,ANAGRAFICA!$B$1:$G$306,5,FALSE)</f>
        <v>#N/A</v>
      </c>
      <c r="F90" s="109" t="str">
        <f>VLOOKUP($A90,ANAGRAFICA!$B$1:$G$306,6,FALSE)</f>
        <v>#N/A</v>
      </c>
      <c r="G90" s="117" t="b">
        <v>0</v>
      </c>
      <c r="H90" s="117" t="b">
        <v>0</v>
      </c>
      <c r="I90" s="117" t="b">
        <v>0</v>
      </c>
      <c r="J90" s="117"/>
    </row>
    <row r="91">
      <c r="A91" s="94"/>
      <c r="B91" s="109" t="str">
        <f>VLOOKUP($A91,ANAGRAFICA!$B$1:$G$306,2,FALSE)</f>
        <v>#N/A</v>
      </c>
      <c r="C91" s="109" t="str">
        <f>VLOOKUP($A91,ANAGRAFICA!$B$1:$G$306,3,FALSE)</f>
        <v>#N/A</v>
      </c>
      <c r="D91" s="109" t="str">
        <f>VLOOKUP($A91,ANAGRAFICA!$B$1:$G$306,4,FALSE)</f>
        <v>#N/A</v>
      </c>
      <c r="E91" s="109" t="str">
        <f>VLOOKUP($A91,ANAGRAFICA!$B$1:$G$306,5,FALSE)</f>
        <v>#N/A</v>
      </c>
      <c r="F91" s="109" t="str">
        <f>VLOOKUP($A91,ANAGRAFICA!$B$1:$G$306,6,FALSE)</f>
        <v>#N/A</v>
      </c>
      <c r="G91" s="117" t="b">
        <v>0</v>
      </c>
      <c r="H91" s="117" t="b">
        <v>0</v>
      </c>
      <c r="I91" s="117" t="b">
        <v>0</v>
      </c>
      <c r="J91" s="117"/>
    </row>
    <row r="92">
      <c r="A92" s="94"/>
      <c r="B92" s="109" t="str">
        <f>VLOOKUP($A92,ANAGRAFICA!$B$1:$G$306,2,FALSE)</f>
        <v>#N/A</v>
      </c>
      <c r="C92" s="109" t="str">
        <f>VLOOKUP($A92,ANAGRAFICA!$B$1:$G$306,3,FALSE)</f>
        <v>#N/A</v>
      </c>
      <c r="D92" s="109" t="str">
        <f>VLOOKUP($A92,ANAGRAFICA!$B$1:$G$306,4,FALSE)</f>
        <v>#N/A</v>
      </c>
      <c r="E92" s="109" t="str">
        <f>VLOOKUP($A92,ANAGRAFICA!$B$1:$G$306,5,FALSE)</f>
        <v>#N/A</v>
      </c>
      <c r="F92" s="109" t="str">
        <f>VLOOKUP($A92,ANAGRAFICA!$B$1:$G$306,6,FALSE)</f>
        <v>#N/A</v>
      </c>
      <c r="G92" s="117" t="b">
        <v>0</v>
      </c>
      <c r="H92" s="117" t="b">
        <v>0</v>
      </c>
      <c r="I92" s="117" t="b">
        <v>0</v>
      </c>
      <c r="J92" s="117"/>
    </row>
    <row r="93">
      <c r="A93" s="94"/>
      <c r="B93" s="109" t="str">
        <f>VLOOKUP($A93,ANAGRAFICA!$B$1:$G$306,2,FALSE)</f>
        <v>#N/A</v>
      </c>
      <c r="C93" s="109" t="str">
        <f>VLOOKUP($A93,ANAGRAFICA!$B$1:$G$306,3,FALSE)</f>
        <v>#N/A</v>
      </c>
      <c r="D93" s="109" t="str">
        <f>VLOOKUP($A93,ANAGRAFICA!$B$1:$G$306,4,FALSE)</f>
        <v>#N/A</v>
      </c>
      <c r="E93" s="109" t="str">
        <f>VLOOKUP($A93,ANAGRAFICA!$B$1:$G$306,5,FALSE)</f>
        <v>#N/A</v>
      </c>
      <c r="F93" s="109" t="str">
        <f>VLOOKUP($A93,ANAGRAFICA!$B$1:$G$306,6,FALSE)</f>
        <v>#N/A</v>
      </c>
      <c r="G93" s="117" t="b">
        <v>0</v>
      </c>
      <c r="H93" s="117" t="b">
        <v>0</v>
      </c>
      <c r="I93" s="117" t="b">
        <v>0</v>
      </c>
      <c r="J93" s="117"/>
    </row>
    <row r="94">
      <c r="A94" s="94"/>
      <c r="B94" s="109" t="str">
        <f>VLOOKUP($A94,ANAGRAFICA!$B$1:$G$306,2,FALSE)</f>
        <v>#N/A</v>
      </c>
      <c r="C94" s="109" t="str">
        <f>VLOOKUP($A94,ANAGRAFICA!$B$1:$G$306,3,FALSE)</f>
        <v>#N/A</v>
      </c>
      <c r="D94" s="109" t="str">
        <f>VLOOKUP($A94,ANAGRAFICA!$B$1:$G$306,4,FALSE)</f>
        <v>#N/A</v>
      </c>
      <c r="E94" s="109" t="str">
        <f>VLOOKUP($A94,ANAGRAFICA!$B$1:$G$306,5,FALSE)</f>
        <v>#N/A</v>
      </c>
      <c r="F94" s="109" t="str">
        <f>VLOOKUP($A94,ANAGRAFICA!$B$1:$G$306,6,FALSE)</f>
        <v>#N/A</v>
      </c>
      <c r="G94" s="117" t="b">
        <v>0</v>
      </c>
      <c r="H94" s="117" t="b">
        <v>0</v>
      </c>
      <c r="I94" s="117" t="b">
        <v>0</v>
      </c>
      <c r="J94" s="117"/>
    </row>
    <row r="95">
      <c r="A95" s="94"/>
      <c r="B95" s="109" t="str">
        <f>VLOOKUP($A95,ANAGRAFICA!$B$1:$G$306,2,FALSE)</f>
        <v>#N/A</v>
      </c>
      <c r="C95" s="109" t="str">
        <f>VLOOKUP($A95,ANAGRAFICA!$B$1:$G$306,3,FALSE)</f>
        <v>#N/A</v>
      </c>
      <c r="D95" s="109" t="str">
        <f>VLOOKUP($A95,ANAGRAFICA!$B$1:$G$306,4,FALSE)</f>
        <v>#N/A</v>
      </c>
      <c r="E95" s="109" t="str">
        <f>VLOOKUP($A95,ANAGRAFICA!$B$1:$G$306,5,FALSE)</f>
        <v>#N/A</v>
      </c>
      <c r="F95" s="109" t="str">
        <f>VLOOKUP($A95,ANAGRAFICA!$B$1:$G$306,6,FALSE)</f>
        <v>#N/A</v>
      </c>
      <c r="G95" s="117" t="b">
        <v>0</v>
      </c>
      <c r="H95" s="117" t="b">
        <v>0</v>
      </c>
      <c r="I95" s="117" t="b">
        <v>0</v>
      </c>
      <c r="J95" s="117"/>
    </row>
    <row r="96">
      <c r="A96" s="94"/>
      <c r="B96" s="109" t="str">
        <f>VLOOKUP($A96,ANAGRAFICA!$B$1:$G$306,2,FALSE)</f>
        <v>#N/A</v>
      </c>
      <c r="C96" s="109" t="str">
        <f>VLOOKUP($A96,ANAGRAFICA!$B$1:$G$306,3,FALSE)</f>
        <v>#N/A</v>
      </c>
      <c r="D96" s="109" t="str">
        <f>VLOOKUP($A96,ANAGRAFICA!$B$1:$G$306,4,FALSE)</f>
        <v>#N/A</v>
      </c>
      <c r="E96" s="109" t="str">
        <f>VLOOKUP($A96,ANAGRAFICA!$B$1:$G$306,5,FALSE)</f>
        <v>#N/A</v>
      </c>
      <c r="F96" s="109" t="str">
        <f>VLOOKUP($A96,ANAGRAFICA!$B$1:$G$306,6,FALSE)</f>
        <v>#N/A</v>
      </c>
      <c r="G96" s="117" t="b">
        <v>0</v>
      </c>
      <c r="H96" s="117" t="b">
        <v>0</v>
      </c>
      <c r="I96" s="117" t="b">
        <v>0</v>
      </c>
      <c r="J96" s="117"/>
    </row>
    <row r="97">
      <c r="A97" s="94"/>
      <c r="B97" s="109" t="str">
        <f>VLOOKUP($A97,ANAGRAFICA!$B$1:$G$306,2,FALSE)</f>
        <v>#N/A</v>
      </c>
      <c r="C97" s="109" t="str">
        <f>VLOOKUP($A97,ANAGRAFICA!$B$1:$G$306,3,FALSE)</f>
        <v>#N/A</v>
      </c>
      <c r="D97" s="109" t="str">
        <f>VLOOKUP($A97,ANAGRAFICA!$B$1:$G$306,4,FALSE)</f>
        <v>#N/A</v>
      </c>
      <c r="E97" s="109" t="str">
        <f>VLOOKUP($A97,ANAGRAFICA!$B$1:$G$306,5,FALSE)</f>
        <v>#N/A</v>
      </c>
      <c r="F97" s="109" t="str">
        <f>VLOOKUP($A97,ANAGRAFICA!$B$1:$G$306,6,FALSE)</f>
        <v>#N/A</v>
      </c>
      <c r="G97" s="117" t="b">
        <v>0</v>
      </c>
      <c r="H97" s="117" t="b">
        <v>0</v>
      </c>
      <c r="I97" s="117" t="b">
        <v>0</v>
      </c>
      <c r="J97" s="117"/>
    </row>
    <row r="98">
      <c r="A98" s="94"/>
      <c r="B98" s="109" t="str">
        <f>VLOOKUP($A98,ANAGRAFICA!$B$1:$G$306,2,FALSE)</f>
        <v>#N/A</v>
      </c>
      <c r="C98" s="109" t="str">
        <f>VLOOKUP($A98,ANAGRAFICA!$B$1:$G$306,3,FALSE)</f>
        <v>#N/A</v>
      </c>
      <c r="D98" s="109" t="str">
        <f>VLOOKUP($A98,ANAGRAFICA!$B$1:$G$306,4,FALSE)</f>
        <v>#N/A</v>
      </c>
      <c r="E98" s="109" t="str">
        <f>VLOOKUP($A98,ANAGRAFICA!$B$1:$G$306,5,FALSE)</f>
        <v>#N/A</v>
      </c>
      <c r="F98" s="109" t="str">
        <f>VLOOKUP($A98,ANAGRAFICA!$B$1:$G$306,6,FALSE)</f>
        <v>#N/A</v>
      </c>
      <c r="G98" s="117" t="b">
        <v>0</v>
      </c>
      <c r="H98" s="117" t="b">
        <v>0</v>
      </c>
      <c r="I98" s="117" t="b">
        <v>0</v>
      </c>
      <c r="J98" s="117"/>
    </row>
    <row r="99">
      <c r="A99" s="94"/>
      <c r="B99" s="109" t="str">
        <f>VLOOKUP($A99,ANAGRAFICA!$B$1:$G$306,2,FALSE)</f>
        <v>#N/A</v>
      </c>
      <c r="C99" s="109" t="str">
        <f>VLOOKUP($A99,ANAGRAFICA!$B$1:$G$306,3,FALSE)</f>
        <v>#N/A</v>
      </c>
      <c r="D99" s="109" t="str">
        <f>VLOOKUP($A99,ANAGRAFICA!$B$1:$G$306,4,FALSE)</f>
        <v>#N/A</v>
      </c>
      <c r="E99" s="109" t="str">
        <f>VLOOKUP($A99,ANAGRAFICA!$B$1:$G$306,5,FALSE)</f>
        <v>#N/A</v>
      </c>
      <c r="F99" s="109" t="str">
        <f>VLOOKUP($A99,ANAGRAFICA!$B$1:$G$306,6,FALSE)</f>
        <v>#N/A</v>
      </c>
      <c r="G99" s="117" t="b">
        <v>0</v>
      </c>
      <c r="H99" s="117" t="b">
        <v>0</v>
      </c>
      <c r="I99" s="117" t="b">
        <v>0</v>
      </c>
      <c r="J99" s="117"/>
    </row>
    <row r="100">
      <c r="A100" s="94"/>
      <c r="B100" s="109" t="str">
        <f>VLOOKUP($A100,ANAGRAFICA!$B$1:$G$306,2,FALSE)</f>
        <v>#N/A</v>
      </c>
      <c r="C100" s="109" t="str">
        <f>VLOOKUP($A100,ANAGRAFICA!$B$1:$G$306,3,FALSE)</f>
        <v>#N/A</v>
      </c>
      <c r="D100" s="109" t="str">
        <f>VLOOKUP($A100,ANAGRAFICA!$B$1:$G$306,4,FALSE)</f>
        <v>#N/A</v>
      </c>
      <c r="E100" s="109" t="str">
        <f>VLOOKUP($A100,ANAGRAFICA!$B$1:$G$306,5,FALSE)</f>
        <v>#N/A</v>
      </c>
      <c r="F100" s="109" t="str">
        <f>VLOOKUP($A100,ANAGRAFICA!$B$1:$G$306,6,FALSE)</f>
        <v>#N/A</v>
      </c>
      <c r="G100" s="117" t="b">
        <v>0</v>
      </c>
      <c r="H100" s="117" t="b">
        <v>0</v>
      </c>
      <c r="I100" s="117" t="b">
        <v>0</v>
      </c>
      <c r="J100" s="117"/>
    </row>
    <row r="101">
      <c r="A101" s="94"/>
      <c r="B101" s="109" t="str">
        <f>VLOOKUP($A101,ANAGRAFICA!$B$1:$G$306,2,FALSE)</f>
        <v>#N/A</v>
      </c>
      <c r="C101" s="109" t="str">
        <f>VLOOKUP($A101,ANAGRAFICA!$B$1:$G$306,3,FALSE)</f>
        <v>#N/A</v>
      </c>
      <c r="D101" s="109" t="str">
        <f>VLOOKUP($A101,ANAGRAFICA!$B$1:$G$306,4,FALSE)</f>
        <v>#N/A</v>
      </c>
      <c r="E101" s="109" t="str">
        <f>VLOOKUP($A101,ANAGRAFICA!$B$1:$G$306,5,FALSE)</f>
        <v>#N/A</v>
      </c>
      <c r="F101" s="109" t="str">
        <f>VLOOKUP($A101,ANAGRAFICA!$B$1:$G$306,6,FALSE)</f>
        <v>#N/A</v>
      </c>
      <c r="G101" s="117" t="b">
        <v>0</v>
      </c>
      <c r="H101" s="117" t="b">
        <v>0</v>
      </c>
      <c r="I101" s="117" t="b">
        <v>0</v>
      </c>
      <c r="J101" s="117"/>
    </row>
    <row r="102">
      <c r="A102" s="94"/>
      <c r="B102" s="109" t="str">
        <f>VLOOKUP($A102,ANAGRAFICA!$B$1:$G$306,2,FALSE)</f>
        <v>#N/A</v>
      </c>
      <c r="C102" s="109" t="str">
        <f>VLOOKUP($A102,ANAGRAFICA!$B$1:$G$306,3,FALSE)</f>
        <v>#N/A</v>
      </c>
      <c r="D102" s="109" t="str">
        <f>VLOOKUP($A102,ANAGRAFICA!$B$1:$G$306,4,FALSE)</f>
        <v>#N/A</v>
      </c>
      <c r="E102" s="109" t="str">
        <f>VLOOKUP($A102,ANAGRAFICA!$B$1:$G$306,5,FALSE)</f>
        <v>#N/A</v>
      </c>
      <c r="F102" s="109" t="str">
        <f>VLOOKUP($A102,ANAGRAFICA!$B$1:$G$306,6,FALSE)</f>
        <v>#N/A</v>
      </c>
      <c r="G102" s="117" t="b">
        <v>0</v>
      </c>
      <c r="H102" s="117" t="b">
        <v>0</v>
      </c>
      <c r="I102" s="117" t="b">
        <v>0</v>
      </c>
      <c r="J102" s="117"/>
    </row>
    <row r="103">
      <c r="A103" s="94"/>
      <c r="B103" s="109" t="str">
        <f>VLOOKUP($A103,ANAGRAFICA!$B$1:$G$306,2,FALSE)</f>
        <v>#N/A</v>
      </c>
      <c r="C103" s="109" t="str">
        <f>VLOOKUP($A103,ANAGRAFICA!$B$1:$G$306,3,FALSE)</f>
        <v>#N/A</v>
      </c>
      <c r="D103" s="109" t="str">
        <f>VLOOKUP($A103,ANAGRAFICA!$B$1:$G$306,4,FALSE)</f>
        <v>#N/A</v>
      </c>
      <c r="E103" s="109" t="str">
        <f>VLOOKUP($A103,ANAGRAFICA!$B$1:$G$306,5,FALSE)</f>
        <v>#N/A</v>
      </c>
      <c r="F103" s="109" t="str">
        <f>VLOOKUP($A103,ANAGRAFICA!$B$1:$G$306,6,FALSE)</f>
        <v>#N/A</v>
      </c>
      <c r="G103" s="117" t="b">
        <v>0</v>
      </c>
      <c r="H103" s="117" t="b">
        <v>0</v>
      </c>
      <c r="I103" s="117" t="b">
        <v>0</v>
      </c>
      <c r="J103" s="117"/>
    </row>
    <row r="104">
      <c r="A104" s="94"/>
      <c r="B104" s="109" t="str">
        <f>VLOOKUP($A104,ANAGRAFICA!$B$1:$G$306,2,FALSE)</f>
        <v>#N/A</v>
      </c>
      <c r="C104" s="109" t="str">
        <f>VLOOKUP($A104,ANAGRAFICA!$B$1:$G$306,3,FALSE)</f>
        <v>#N/A</v>
      </c>
      <c r="D104" s="109" t="str">
        <f>VLOOKUP($A104,ANAGRAFICA!$B$1:$G$306,4,FALSE)</f>
        <v>#N/A</v>
      </c>
      <c r="E104" s="109" t="str">
        <f>VLOOKUP($A104,ANAGRAFICA!$B$1:$G$306,5,FALSE)</f>
        <v>#N/A</v>
      </c>
      <c r="F104" s="109" t="str">
        <f>VLOOKUP($A104,ANAGRAFICA!$B$1:$G$306,6,FALSE)</f>
        <v>#N/A</v>
      </c>
      <c r="G104" s="117" t="b">
        <v>0</v>
      </c>
      <c r="H104" s="117" t="b">
        <v>0</v>
      </c>
      <c r="I104" s="117" t="b">
        <v>0</v>
      </c>
      <c r="J104" s="117"/>
    </row>
    <row r="105">
      <c r="A105" s="94"/>
      <c r="B105" s="109" t="str">
        <f>VLOOKUP($A105,ANAGRAFICA!$B$1:$G$306,2,FALSE)</f>
        <v>#N/A</v>
      </c>
      <c r="C105" s="109" t="str">
        <f>VLOOKUP($A105,ANAGRAFICA!$B$1:$G$306,3,FALSE)</f>
        <v>#N/A</v>
      </c>
      <c r="D105" s="109" t="str">
        <f>VLOOKUP($A105,ANAGRAFICA!$B$1:$G$306,4,FALSE)</f>
        <v>#N/A</v>
      </c>
      <c r="E105" s="109" t="str">
        <f>VLOOKUP($A105,ANAGRAFICA!$B$1:$G$306,5,FALSE)</f>
        <v>#N/A</v>
      </c>
      <c r="F105" s="109" t="str">
        <f>VLOOKUP($A105,ANAGRAFICA!$B$1:$G$306,6,FALSE)</f>
        <v>#N/A</v>
      </c>
      <c r="G105" s="117" t="b">
        <v>0</v>
      </c>
      <c r="H105" s="117" t="b">
        <v>0</v>
      </c>
      <c r="I105" s="117" t="b">
        <v>0</v>
      </c>
      <c r="J105" s="117"/>
    </row>
    <row r="106">
      <c r="A106" s="94"/>
      <c r="B106" s="109" t="str">
        <f>VLOOKUP($A106,ANAGRAFICA!$B$1:$G$306,2,FALSE)</f>
        <v>#N/A</v>
      </c>
      <c r="C106" s="109" t="str">
        <f>VLOOKUP($A106,ANAGRAFICA!$B$1:$G$306,3,FALSE)</f>
        <v>#N/A</v>
      </c>
      <c r="D106" s="109" t="str">
        <f>VLOOKUP($A106,ANAGRAFICA!$B$1:$G$306,4,FALSE)</f>
        <v>#N/A</v>
      </c>
      <c r="E106" s="109" t="str">
        <f>VLOOKUP($A106,ANAGRAFICA!$B$1:$G$306,5,FALSE)</f>
        <v>#N/A</v>
      </c>
      <c r="F106" s="109" t="str">
        <f>VLOOKUP($A106,ANAGRAFICA!$B$1:$G$306,6,FALSE)</f>
        <v>#N/A</v>
      </c>
      <c r="G106" s="117" t="b">
        <v>0</v>
      </c>
      <c r="H106" s="117" t="b">
        <v>0</v>
      </c>
      <c r="I106" s="117" t="b">
        <v>0</v>
      </c>
      <c r="J106" s="117"/>
    </row>
    <row r="107">
      <c r="A107" s="94"/>
      <c r="B107" s="109" t="str">
        <f>VLOOKUP($A107,ANAGRAFICA!$B$1:$G$306,2,FALSE)</f>
        <v>#N/A</v>
      </c>
      <c r="C107" s="109" t="str">
        <f>VLOOKUP($A107,ANAGRAFICA!$B$1:$G$306,3,FALSE)</f>
        <v>#N/A</v>
      </c>
      <c r="D107" s="109" t="str">
        <f>VLOOKUP($A107,ANAGRAFICA!$B$1:$G$306,4,FALSE)</f>
        <v>#N/A</v>
      </c>
      <c r="E107" s="109" t="str">
        <f>VLOOKUP($A107,ANAGRAFICA!$B$1:$G$306,5,FALSE)</f>
        <v>#N/A</v>
      </c>
      <c r="F107" s="109" t="str">
        <f>VLOOKUP($A107,ANAGRAFICA!$B$1:$G$306,6,FALSE)</f>
        <v>#N/A</v>
      </c>
      <c r="G107" s="117" t="b">
        <v>0</v>
      </c>
      <c r="H107" s="117" t="b">
        <v>0</v>
      </c>
      <c r="I107" s="117" t="b">
        <v>0</v>
      </c>
      <c r="J107" s="117"/>
    </row>
    <row r="108">
      <c r="A108" s="94"/>
      <c r="B108" s="109" t="str">
        <f>VLOOKUP($A108,ANAGRAFICA!$B$1:$G$306,2,FALSE)</f>
        <v>#N/A</v>
      </c>
      <c r="C108" s="109" t="str">
        <f>VLOOKUP($A108,ANAGRAFICA!$B$1:$G$306,3,FALSE)</f>
        <v>#N/A</v>
      </c>
      <c r="D108" s="109" t="str">
        <f>VLOOKUP($A108,ANAGRAFICA!$B$1:$G$306,4,FALSE)</f>
        <v>#N/A</v>
      </c>
      <c r="E108" s="109" t="str">
        <f>VLOOKUP($A108,ANAGRAFICA!$B$1:$G$306,5,FALSE)</f>
        <v>#N/A</v>
      </c>
      <c r="F108" s="109" t="str">
        <f>VLOOKUP($A108,ANAGRAFICA!$B$1:$G$306,6,FALSE)</f>
        <v>#N/A</v>
      </c>
      <c r="G108" s="117" t="b">
        <v>0</v>
      </c>
      <c r="H108" s="117" t="b">
        <v>0</v>
      </c>
      <c r="I108" s="117" t="b">
        <v>0</v>
      </c>
      <c r="J108" s="117"/>
    </row>
    <row r="109">
      <c r="A109" s="94"/>
      <c r="B109" s="109" t="str">
        <f>VLOOKUP($A109,ANAGRAFICA!$B$1:$G$306,2,FALSE)</f>
        <v>#N/A</v>
      </c>
      <c r="C109" s="109" t="str">
        <f>VLOOKUP($A109,ANAGRAFICA!$B$1:$G$306,3,FALSE)</f>
        <v>#N/A</v>
      </c>
      <c r="D109" s="109" t="str">
        <f>VLOOKUP($A109,ANAGRAFICA!$B$1:$G$306,4,FALSE)</f>
        <v>#N/A</v>
      </c>
      <c r="E109" s="109" t="str">
        <f>VLOOKUP($A109,ANAGRAFICA!$B$1:$G$306,5,FALSE)</f>
        <v>#N/A</v>
      </c>
      <c r="F109" s="109" t="str">
        <f>VLOOKUP($A109,ANAGRAFICA!$B$1:$G$306,6,FALSE)</f>
        <v>#N/A</v>
      </c>
      <c r="G109" s="117" t="b">
        <v>0</v>
      </c>
      <c r="H109" s="117" t="b">
        <v>0</v>
      </c>
      <c r="I109" s="117" t="b">
        <v>0</v>
      </c>
      <c r="J109" s="117"/>
    </row>
    <row r="110">
      <c r="A110" s="94"/>
      <c r="B110" s="109" t="str">
        <f>VLOOKUP($A110,ANAGRAFICA!$B$1:$G$306,2,FALSE)</f>
        <v>#N/A</v>
      </c>
      <c r="C110" s="109" t="str">
        <f>VLOOKUP($A110,ANAGRAFICA!$B$1:$G$306,3,FALSE)</f>
        <v>#N/A</v>
      </c>
      <c r="D110" s="109" t="str">
        <f>VLOOKUP($A110,ANAGRAFICA!$B$1:$G$306,4,FALSE)</f>
        <v>#N/A</v>
      </c>
      <c r="E110" s="109" t="str">
        <f>VLOOKUP($A110,ANAGRAFICA!$B$1:$G$306,5,FALSE)</f>
        <v>#N/A</v>
      </c>
      <c r="F110" s="109" t="str">
        <f>VLOOKUP($A110,ANAGRAFICA!$B$1:$G$306,6,FALSE)</f>
        <v>#N/A</v>
      </c>
      <c r="G110" s="117" t="b">
        <v>0</v>
      </c>
      <c r="H110" s="117" t="b">
        <v>0</v>
      </c>
      <c r="I110" s="117" t="b">
        <v>0</v>
      </c>
      <c r="J110" s="117"/>
    </row>
    <row r="111">
      <c r="A111" s="94"/>
      <c r="B111" s="109" t="str">
        <f>VLOOKUP($A111,ANAGRAFICA!$B$1:$G$306,2,FALSE)</f>
        <v>#N/A</v>
      </c>
      <c r="C111" s="109" t="str">
        <f>VLOOKUP($A111,ANAGRAFICA!$B$1:$G$306,3,FALSE)</f>
        <v>#N/A</v>
      </c>
      <c r="D111" s="109" t="str">
        <f>VLOOKUP($A111,ANAGRAFICA!$B$1:$G$306,4,FALSE)</f>
        <v>#N/A</v>
      </c>
      <c r="E111" s="109" t="str">
        <f>VLOOKUP($A111,ANAGRAFICA!$B$1:$G$306,5,FALSE)</f>
        <v>#N/A</v>
      </c>
      <c r="F111" s="109" t="str">
        <f>VLOOKUP($A111,ANAGRAFICA!$B$1:$G$306,6,FALSE)</f>
        <v>#N/A</v>
      </c>
      <c r="G111" s="117" t="b">
        <v>0</v>
      </c>
      <c r="H111" s="117" t="b">
        <v>0</v>
      </c>
      <c r="I111" s="117" t="b">
        <v>0</v>
      </c>
      <c r="J111" s="117"/>
    </row>
    <row r="112">
      <c r="A112" s="94"/>
      <c r="B112" s="109" t="str">
        <f>VLOOKUP($A112,ANAGRAFICA!$B$1:$G$306,2,FALSE)</f>
        <v>#N/A</v>
      </c>
      <c r="C112" s="109" t="str">
        <f>VLOOKUP($A112,ANAGRAFICA!$B$1:$G$306,3,FALSE)</f>
        <v>#N/A</v>
      </c>
      <c r="D112" s="109" t="str">
        <f>VLOOKUP($A112,ANAGRAFICA!$B$1:$G$306,4,FALSE)</f>
        <v>#N/A</v>
      </c>
      <c r="E112" s="109" t="str">
        <f>VLOOKUP($A112,ANAGRAFICA!$B$1:$G$306,5,FALSE)</f>
        <v>#N/A</v>
      </c>
      <c r="F112" s="109" t="str">
        <f>VLOOKUP($A112,ANAGRAFICA!$B$1:$G$306,6,FALSE)</f>
        <v>#N/A</v>
      </c>
      <c r="G112" s="117" t="b">
        <v>0</v>
      </c>
      <c r="H112" s="117" t="b">
        <v>0</v>
      </c>
      <c r="I112" s="117" t="b">
        <v>0</v>
      </c>
      <c r="J112" s="117"/>
    </row>
    <row r="113">
      <c r="A113" s="94"/>
      <c r="B113" s="109" t="str">
        <f>VLOOKUP($A113,ANAGRAFICA!$B$1:$G$306,2,FALSE)</f>
        <v>#N/A</v>
      </c>
      <c r="C113" s="109" t="str">
        <f>VLOOKUP($A113,ANAGRAFICA!$B$1:$G$306,3,FALSE)</f>
        <v>#N/A</v>
      </c>
      <c r="D113" s="109" t="str">
        <f>VLOOKUP($A113,ANAGRAFICA!$B$1:$G$306,4,FALSE)</f>
        <v>#N/A</v>
      </c>
      <c r="E113" s="109" t="str">
        <f>VLOOKUP($A113,ANAGRAFICA!$B$1:$G$306,5,FALSE)</f>
        <v>#N/A</v>
      </c>
      <c r="F113" s="109" t="str">
        <f>VLOOKUP($A113,ANAGRAFICA!$B$1:$G$306,6,FALSE)</f>
        <v>#N/A</v>
      </c>
      <c r="G113" s="117" t="b">
        <v>0</v>
      </c>
      <c r="H113" s="117" t="b">
        <v>0</v>
      </c>
      <c r="I113" s="117" t="b">
        <v>0</v>
      </c>
      <c r="J113" s="117"/>
    </row>
    <row r="114">
      <c r="A114" s="94"/>
      <c r="B114" s="109" t="str">
        <f>VLOOKUP($A114,ANAGRAFICA!$B$1:$G$306,2,FALSE)</f>
        <v>#N/A</v>
      </c>
      <c r="C114" s="109" t="str">
        <f>VLOOKUP($A114,ANAGRAFICA!$B$1:$G$306,3,FALSE)</f>
        <v>#N/A</v>
      </c>
      <c r="D114" s="109" t="str">
        <f>VLOOKUP($A114,ANAGRAFICA!$B$1:$G$306,4,FALSE)</f>
        <v>#N/A</v>
      </c>
      <c r="E114" s="109" t="str">
        <f>VLOOKUP($A114,ANAGRAFICA!$B$1:$G$306,5,FALSE)</f>
        <v>#N/A</v>
      </c>
      <c r="F114" s="109" t="str">
        <f>VLOOKUP($A114,ANAGRAFICA!$B$1:$G$306,6,FALSE)</f>
        <v>#N/A</v>
      </c>
      <c r="G114" s="117" t="b">
        <v>0</v>
      </c>
      <c r="H114" s="117" t="b">
        <v>0</v>
      </c>
      <c r="I114" s="117" t="b">
        <v>0</v>
      </c>
      <c r="J114" s="117"/>
    </row>
    <row r="115">
      <c r="A115" s="94"/>
      <c r="B115" s="109" t="str">
        <f>VLOOKUP($A115,ANAGRAFICA!$B$1:$G$306,2,FALSE)</f>
        <v>#N/A</v>
      </c>
      <c r="C115" s="109" t="str">
        <f>VLOOKUP($A115,ANAGRAFICA!$B$1:$G$306,3,FALSE)</f>
        <v>#N/A</v>
      </c>
      <c r="D115" s="109" t="str">
        <f>VLOOKUP($A115,ANAGRAFICA!$B$1:$G$306,4,FALSE)</f>
        <v>#N/A</v>
      </c>
      <c r="E115" s="109" t="str">
        <f>VLOOKUP($A115,ANAGRAFICA!$B$1:$G$306,5,FALSE)</f>
        <v>#N/A</v>
      </c>
      <c r="F115" s="109" t="str">
        <f>VLOOKUP($A115,ANAGRAFICA!$B$1:$G$306,6,FALSE)</f>
        <v>#N/A</v>
      </c>
      <c r="G115" s="117" t="b">
        <v>0</v>
      </c>
      <c r="H115" s="117" t="b">
        <v>0</v>
      </c>
      <c r="I115" s="117" t="b">
        <v>0</v>
      </c>
      <c r="J115" s="117"/>
    </row>
    <row r="116">
      <c r="A116" s="94"/>
      <c r="B116" s="109" t="str">
        <f>VLOOKUP($A116,ANAGRAFICA!$B$1:$G$306,2,FALSE)</f>
        <v>#N/A</v>
      </c>
      <c r="C116" s="109" t="str">
        <f>VLOOKUP($A116,ANAGRAFICA!$B$1:$G$306,3,FALSE)</f>
        <v>#N/A</v>
      </c>
      <c r="D116" s="109" t="str">
        <f>VLOOKUP($A116,ANAGRAFICA!$B$1:$G$306,4,FALSE)</f>
        <v>#N/A</v>
      </c>
      <c r="E116" s="109" t="str">
        <f>VLOOKUP($A116,ANAGRAFICA!$B$1:$G$306,5,FALSE)</f>
        <v>#N/A</v>
      </c>
      <c r="F116" s="109" t="str">
        <f>VLOOKUP($A116,ANAGRAFICA!$B$1:$G$306,6,FALSE)</f>
        <v>#N/A</v>
      </c>
      <c r="G116" s="117" t="b">
        <v>0</v>
      </c>
      <c r="H116" s="117" t="b">
        <v>0</v>
      </c>
      <c r="I116" s="117" t="b">
        <v>0</v>
      </c>
      <c r="J116" s="117"/>
    </row>
    <row r="117">
      <c r="A117" s="94"/>
      <c r="B117" s="109" t="str">
        <f>VLOOKUP($A117,ANAGRAFICA!$B$1:$G$306,2,FALSE)</f>
        <v>#N/A</v>
      </c>
      <c r="C117" s="109" t="str">
        <f>VLOOKUP($A117,ANAGRAFICA!$B$1:$G$306,3,FALSE)</f>
        <v>#N/A</v>
      </c>
      <c r="D117" s="109" t="str">
        <f>VLOOKUP($A117,ANAGRAFICA!$B$1:$G$306,4,FALSE)</f>
        <v>#N/A</v>
      </c>
      <c r="E117" s="109" t="str">
        <f>VLOOKUP($A117,ANAGRAFICA!$B$1:$G$306,5,FALSE)</f>
        <v>#N/A</v>
      </c>
      <c r="F117" s="109" t="str">
        <f>VLOOKUP($A117,ANAGRAFICA!$B$1:$G$306,6,FALSE)</f>
        <v>#N/A</v>
      </c>
      <c r="G117" s="117" t="b">
        <v>0</v>
      </c>
      <c r="H117" s="117" t="b">
        <v>0</v>
      </c>
      <c r="I117" s="117" t="b">
        <v>0</v>
      </c>
      <c r="J117" s="117"/>
    </row>
    <row r="118">
      <c r="A118" s="94"/>
      <c r="B118" s="109" t="str">
        <f>VLOOKUP($A118,ANAGRAFICA!$B$1:$G$306,2,FALSE)</f>
        <v>#N/A</v>
      </c>
      <c r="C118" s="109" t="str">
        <f>VLOOKUP($A118,ANAGRAFICA!$B$1:$G$306,3,FALSE)</f>
        <v>#N/A</v>
      </c>
      <c r="D118" s="109" t="str">
        <f>VLOOKUP($A118,ANAGRAFICA!$B$1:$G$306,4,FALSE)</f>
        <v>#N/A</v>
      </c>
      <c r="E118" s="109" t="str">
        <f>VLOOKUP($A118,ANAGRAFICA!$B$1:$G$306,5,FALSE)</f>
        <v>#N/A</v>
      </c>
      <c r="F118" s="109" t="str">
        <f>VLOOKUP($A118,ANAGRAFICA!$B$1:$G$306,6,FALSE)</f>
        <v>#N/A</v>
      </c>
      <c r="G118" s="117" t="b">
        <v>0</v>
      </c>
      <c r="H118" s="117" t="b">
        <v>0</v>
      </c>
      <c r="I118" s="117" t="b">
        <v>0</v>
      </c>
      <c r="J118" s="117"/>
    </row>
    <row r="119">
      <c r="A119" s="94"/>
      <c r="B119" s="109" t="str">
        <f>VLOOKUP($A119,ANAGRAFICA!$B$1:$G$306,2,FALSE)</f>
        <v>#N/A</v>
      </c>
      <c r="C119" s="109" t="str">
        <f>VLOOKUP($A119,ANAGRAFICA!$B$1:$G$306,3,FALSE)</f>
        <v>#N/A</v>
      </c>
      <c r="D119" s="109" t="str">
        <f>VLOOKUP($A119,ANAGRAFICA!$B$1:$G$306,4,FALSE)</f>
        <v>#N/A</v>
      </c>
      <c r="E119" s="109" t="str">
        <f>VLOOKUP($A119,ANAGRAFICA!$B$1:$G$306,5,FALSE)</f>
        <v>#N/A</v>
      </c>
      <c r="F119" s="109" t="str">
        <f>VLOOKUP($A119,ANAGRAFICA!$B$1:$G$306,6,FALSE)</f>
        <v>#N/A</v>
      </c>
      <c r="G119" s="117" t="b">
        <v>0</v>
      </c>
      <c r="H119" s="117" t="b">
        <v>0</v>
      </c>
      <c r="I119" s="117" t="b">
        <v>0</v>
      </c>
      <c r="J119" s="117"/>
    </row>
    <row r="120">
      <c r="A120" s="94"/>
      <c r="B120" s="109" t="str">
        <f>VLOOKUP($A120,ANAGRAFICA!$B$1:$G$306,2,FALSE)</f>
        <v>#N/A</v>
      </c>
      <c r="C120" s="109" t="str">
        <f>VLOOKUP($A120,ANAGRAFICA!$B$1:$G$306,3,FALSE)</f>
        <v>#N/A</v>
      </c>
      <c r="D120" s="109" t="str">
        <f>VLOOKUP($A120,ANAGRAFICA!$B$1:$G$306,4,FALSE)</f>
        <v>#N/A</v>
      </c>
      <c r="E120" s="109" t="str">
        <f>VLOOKUP($A120,ANAGRAFICA!$B$1:$G$306,5,FALSE)</f>
        <v>#N/A</v>
      </c>
      <c r="F120" s="109" t="str">
        <f>VLOOKUP($A120,ANAGRAFICA!$B$1:$G$306,6,FALSE)</f>
        <v>#N/A</v>
      </c>
      <c r="G120" s="117" t="b">
        <v>0</v>
      </c>
      <c r="H120" s="117" t="b">
        <v>0</v>
      </c>
      <c r="I120" s="117" t="b">
        <v>0</v>
      </c>
      <c r="J120" s="117"/>
    </row>
    <row r="121">
      <c r="A121" s="94"/>
      <c r="B121" s="109" t="str">
        <f>VLOOKUP($A121,ANAGRAFICA!$B$1:$G$306,2,FALSE)</f>
        <v>#N/A</v>
      </c>
      <c r="C121" s="109" t="str">
        <f>VLOOKUP($A121,ANAGRAFICA!$B$1:$G$306,3,FALSE)</f>
        <v>#N/A</v>
      </c>
      <c r="D121" s="109" t="str">
        <f>VLOOKUP($A121,ANAGRAFICA!$B$1:$G$306,4,FALSE)</f>
        <v>#N/A</v>
      </c>
      <c r="E121" s="109" t="str">
        <f>VLOOKUP($A121,ANAGRAFICA!$B$1:$G$306,5,FALSE)</f>
        <v>#N/A</v>
      </c>
      <c r="F121" s="109" t="str">
        <f>VLOOKUP($A121,ANAGRAFICA!$B$1:$G$306,6,FALSE)</f>
        <v>#N/A</v>
      </c>
      <c r="G121" s="117" t="b">
        <v>0</v>
      </c>
      <c r="H121" s="117" t="b">
        <v>0</v>
      </c>
      <c r="I121" s="117" t="b">
        <v>0</v>
      </c>
      <c r="J121" s="117"/>
    </row>
    <row r="122">
      <c r="A122" s="94"/>
      <c r="B122" s="109" t="str">
        <f>VLOOKUP($A122,ANAGRAFICA!$B$1:$G$306,2,FALSE)</f>
        <v>#N/A</v>
      </c>
      <c r="C122" s="109" t="str">
        <f>VLOOKUP($A122,ANAGRAFICA!$B$1:$G$306,3,FALSE)</f>
        <v>#N/A</v>
      </c>
      <c r="D122" s="109" t="str">
        <f>VLOOKUP($A122,ANAGRAFICA!$B$1:$G$306,4,FALSE)</f>
        <v>#N/A</v>
      </c>
      <c r="E122" s="109" t="str">
        <f>VLOOKUP($A122,ANAGRAFICA!$B$1:$G$306,5,FALSE)</f>
        <v>#N/A</v>
      </c>
      <c r="F122" s="109" t="str">
        <f>VLOOKUP($A122,ANAGRAFICA!$B$1:$G$306,6,FALSE)</f>
        <v>#N/A</v>
      </c>
      <c r="G122" s="117" t="b">
        <v>0</v>
      </c>
      <c r="H122" s="117" t="b">
        <v>0</v>
      </c>
      <c r="I122" s="117" t="b">
        <v>0</v>
      </c>
      <c r="J122" s="117"/>
    </row>
    <row r="123">
      <c r="A123" s="94"/>
      <c r="B123" s="109" t="str">
        <f>VLOOKUP($A123,ANAGRAFICA!$B$1:$G$306,2,FALSE)</f>
        <v>#N/A</v>
      </c>
      <c r="C123" s="109" t="str">
        <f>VLOOKUP($A123,ANAGRAFICA!$B$1:$G$306,3,FALSE)</f>
        <v>#N/A</v>
      </c>
      <c r="D123" s="109" t="str">
        <f>VLOOKUP($A123,ANAGRAFICA!$B$1:$G$306,4,FALSE)</f>
        <v>#N/A</v>
      </c>
      <c r="E123" s="109" t="str">
        <f>VLOOKUP($A123,ANAGRAFICA!$B$1:$G$306,5,FALSE)</f>
        <v>#N/A</v>
      </c>
      <c r="F123" s="109" t="str">
        <f>VLOOKUP($A123,ANAGRAFICA!$B$1:$G$306,6,FALSE)</f>
        <v>#N/A</v>
      </c>
      <c r="G123" s="117" t="b">
        <v>0</v>
      </c>
      <c r="H123" s="117" t="b">
        <v>0</v>
      </c>
      <c r="I123" s="117" t="b">
        <v>0</v>
      </c>
      <c r="J123" s="117"/>
    </row>
    <row r="124">
      <c r="A124" s="94"/>
      <c r="B124" s="109" t="str">
        <f>VLOOKUP($A124,ANAGRAFICA!$B$1:$G$306,2,FALSE)</f>
        <v>#N/A</v>
      </c>
      <c r="C124" s="109" t="str">
        <f>VLOOKUP($A124,ANAGRAFICA!$B$1:$G$306,3,FALSE)</f>
        <v>#N/A</v>
      </c>
      <c r="D124" s="109" t="str">
        <f>VLOOKUP($A124,ANAGRAFICA!$B$1:$G$306,4,FALSE)</f>
        <v>#N/A</v>
      </c>
      <c r="E124" s="109" t="str">
        <f>VLOOKUP($A124,ANAGRAFICA!$B$1:$G$306,5,FALSE)</f>
        <v>#N/A</v>
      </c>
      <c r="F124" s="109" t="str">
        <f>VLOOKUP($A124,ANAGRAFICA!$B$1:$G$306,6,FALSE)</f>
        <v>#N/A</v>
      </c>
      <c r="G124" s="117" t="b">
        <v>0</v>
      </c>
      <c r="H124" s="117" t="b">
        <v>0</v>
      </c>
      <c r="I124" s="117" t="b">
        <v>0</v>
      </c>
      <c r="J124" s="117"/>
    </row>
    <row r="125">
      <c r="A125" s="94"/>
      <c r="B125" s="109" t="str">
        <f>VLOOKUP($A125,ANAGRAFICA!$B$1:$G$306,2,FALSE)</f>
        <v>#N/A</v>
      </c>
      <c r="C125" s="109" t="str">
        <f>VLOOKUP($A125,ANAGRAFICA!$B$1:$G$306,3,FALSE)</f>
        <v>#N/A</v>
      </c>
      <c r="D125" s="109" t="str">
        <f>VLOOKUP($A125,ANAGRAFICA!$B$1:$G$306,4,FALSE)</f>
        <v>#N/A</v>
      </c>
      <c r="E125" s="109" t="str">
        <f>VLOOKUP($A125,ANAGRAFICA!$B$1:$G$306,5,FALSE)</f>
        <v>#N/A</v>
      </c>
      <c r="F125" s="109" t="str">
        <f>VLOOKUP($A125,ANAGRAFICA!$B$1:$G$306,6,FALSE)</f>
        <v>#N/A</v>
      </c>
      <c r="G125" s="117" t="b">
        <v>0</v>
      </c>
      <c r="H125" s="117" t="b">
        <v>0</v>
      </c>
      <c r="I125" s="117" t="b">
        <v>0</v>
      </c>
      <c r="J125" s="117"/>
    </row>
    <row r="126">
      <c r="A126" s="94"/>
      <c r="B126" s="109" t="str">
        <f>VLOOKUP($A126,ANAGRAFICA!$B$1:$G$306,2,FALSE)</f>
        <v>#N/A</v>
      </c>
      <c r="C126" s="109" t="str">
        <f>VLOOKUP($A126,ANAGRAFICA!$B$1:$G$306,3,FALSE)</f>
        <v>#N/A</v>
      </c>
      <c r="D126" s="109" t="str">
        <f>VLOOKUP($A126,ANAGRAFICA!$B$1:$G$306,4,FALSE)</f>
        <v>#N/A</v>
      </c>
      <c r="E126" s="109" t="str">
        <f>VLOOKUP($A126,ANAGRAFICA!$B$1:$G$306,5,FALSE)</f>
        <v>#N/A</v>
      </c>
      <c r="F126" s="109" t="str">
        <f>VLOOKUP($A126,ANAGRAFICA!$B$1:$G$306,6,FALSE)</f>
        <v>#N/A</v>
      </c>
      <c r="G126" s="117" t="b">
        <v>0</v>
      </c>
      <c r="H126" s="117" t="b">
        <v>0</v>
      </c>
      <c r="I126" s="117" t="b">
        <v>0</v>
      </c>
      <c r="J126" s="117"/>
    </row>
    <row r="127">
      <c r="A127" s="94"/>
      <c r="B127" s="109" t="str">
        <f>VLOOKUP($A127,ANAGRAFICA!$B$1:$G$306,2,FALSE)</f>
        <v>#N/A</v>
      </c>
      <c r="C127" s="109" t="str">
        <f>VLOOKUP($A127,ANAGRAFICA!$B$1:$G$306,3,FALSE)</f>
        <v>#N/A</v>
      </c>
      <c r="D127" s="109" t="str">
        <f>VLOOKUP($A127,ANAGRAFICA!$B$1:$G$306,4,FALSE)</f>
        <v>#N/A</v>
      </c>
      <c r="E127" s="109" t="str">
        <f>VLOOKUP($A127,ANAGRAFICA!$B$1:$G$306,5,FALSE)</f>
        <v>#N/A</v>
      </c>
      <c r="F127" s="109" t="str">
        <f>VLOOKUP($A127,ANAGRAFICA!$B$1:$G$306,6,FALSE)</f>
        <v>#N/A</v>
      </c>
      <c r="G127" s="117" t="b">
        <v>0</v>
      </c>
      <c r="H127" s="117" t="b">
        <v>0</v>
      </c>
      <c r="I127" s="117" t="b">
        <v>0</v>
      </c>
      <c r="J127" s="117"/>
    </row>
    <row r="128">
      <c r="A128" s="94"/>
      <c r="B128" s="109" t="str">
        <f>VLOOKUP($A128,ANAGRAFICA!$B$1:$G$306,2,FALSE)</f>
        <v>#N/A</v>
      </c>
      <c r="C128" s="109" t="str">
        <f>VLOOKUP($A128,ANAGRAFICA!$B$1:$G$306,3,FALSE)</f>
        <v>#N/A</v>
      </c>
      <c r="D128" s="109" t="str">
        <f>VLOOKUP($A128,ANAGRAFICA!$B$1:$G$306,4,FALSE)</f>
        <v>#N/A</v>
      </c>
      <c r="E128" s="109" t="str">
        <f>VLOOKUP($A128,ANAGRAFICA!$B$1:$G$306,5,FALSE)</f>
        <v>#N/A</v>
      </c>
      <c r="F128" s="109" t="str">
        <f>VLOOKUP($A128,ANAGRAFICA!$B$1:$G$306,6,FALSE)</f>
        <v>#N/A</v>
      </c>
      <c r="G128" s="117" t="b">
        <v>0</v>
      </c>
      <c r="H128" s="117" t="b">
        <v>0</v>
      </c>
      <c r="I128" s="117" t="b">
        <v>0</v>
      </c>
      <c r="J128" s="117"/>
    </row>
    <row r="129">
      <c r="A129" s="94"/>
      <c r="B129" s="109" t="str">
        <f>VLOOKUP($A129,ANAGRAFICA!$B$1:$G$306,2,FALSE)</f>
        <v>#N/A</v>
      </c>
      <c r="C129" s="109" t="str">
        <f>VLOOKUP($A129,ANAGRAFICA!$B$1:$G$306,3,FALSE)</f>
        <v>#N/A</v>
      </c>
      <c r="D129" s="109" t="str">
        <f>VLOOKUP($A129,ANAGRAFICA!$B$1:$G$306,4,FALSE)</f>
        <v>#N/A</v>
      </c>
      <c r="E129" s="109" t="str">
        <f>VLOOKUP($A129,ANAGRAFICA!$B$1:$G$306,5,FALSE)</f>
        <v>#N/A</v>
      </c>
      <c r="F129" s="109" t="str">
        <f>VLOOKUP($A129,ANAGRAFICA!$B$1:$G$306,6,FALSE)</f>
        <v>#N/A</v>
      </c>
      <c r="G129" s="117" t="b">
        <v>0</v>
      </c>
      <c r="H129" s="117" t="b">
        <v>0</v>
      </c>
      <c r="I129" s="117" t="b">
        <v>0</v>
      </c>
      <c r="J129" s="117"/>
    </row>
    <row r="130">
      <c r="A130" s="94"/>
      <c r="B130" s="109" t="str">
        <f>VLOOKUP($A130,ANAGRAFICA!$B$1:$G$306,2,FALSE)</f>
        <v>#N/A</v>
      </c>
      <c r="C130" s="109" t="str">
        <f>VLOOKUP($A130,ANAGRAFICA!$B$1:$G$306,3,FALSE)</f>
        <v>#N/A</v>
      </c>
      <c r="D130" s="109" t="str">
        <f>VLOOKUP($A130,ANAGRAFICA!$B$1:$G$306,4,FALSE)</f>
        <v>#N/A</v>
      </c>
      <c r="E130" s="109" t="str">
        <f>VLOOKUP($A130,ANAGRAFICA!$B$1:$G$306,5,FALSE)</f>
        <v>#N/A</v>
      </c>
      <c r="F130" s="109" t="str">
        <f>VLOOKUP($A130,ANAGRAFICA!$B$1:$G$306,6,FALSE)</f>
        <v>#N/A</v>
      </c>
      <c r="G130" s="117" t="b">
        <v>0</v>
      </c>
      <c r="H130" s="117" t="b">
        <v>0</v>
      </c>
      <c r="I130" s="117" t="b">
        <v>0</v>
      </c>
      <c r="J130" s="117"/>
    </row>
    <row r="131">
      <c r="A131" s="94"/>
      <c r="B131" s="109" t="str">
        <f>VLOOKUP($A131,ANAGRAFICA!$B$1:$G$306,2,FALSE)</f>
        <v>#N/A</v>
      </c>
      <c r="C131" s="109" t="str">
        <f>VLOOKUP($A131,ANAGRAFICA!$B$1:$G$306,3,FALSE)</f>
        <v>#N/A</v>
      </c>
      <c r="D131" s="109" t="str">
        <f>VLOOKUP($A131,ANAGRAFICA!$B$1:$G$306,4,FALSE)</f>
        <v>#N/A</v>
      </c>
      <c r="E131" s="109" t="str">
        <f>VLOOKUP($A131,ANAGRAFICA!$B$1:$G$306,5,FALSE)</f>
        <v>#N/A</v>
      </c>
      <c r="F131" s="109" t="str">
        <f>VLOOKUP($A131,ANAGRAFICA!$B$1:$G$306,6,FALSE)</f>
        <v>#N/A</v>
      </c>
      <c r="G131" s="117" t="b">
        <v>0</v>
      </c>
      <c r="H131" s="117" t="b">
        <v>0</v>
      </c>
      <c r="I131" s="117" t="b">
        <v>0</v>
      </c>
      <c r="J131" s="117"/>
    </row>
    <row r="132">
      <c r="A132" s="94"/>
      <c r="B132" s="109" t="str">
        <f>VLOOKUP($A132,ANAGRAFICA!$B$1:$G$306,2,FALSE)</f>
        <v>#N/A</v>
      </c>
      <c r="C132" s="109" t="str">
        <f>VLOOKUP($A132,ANAGRAFICA!$B$1:$G$306,3,FALSE)</f>
        <v>#N/A</v>
      </c>
      <c r="D132" s="109" t="str">
        <f>VLOOKUP($A132,ANAGRAFICA!$B$1:$G$306,4,FALSE)</f>
        <v>#N/A</v>
      </c>
      <c r="E132" s="109" t="str">
        <f>VLOOKUP($A132,ANAGRAFICA!$B$1:$G$306,5,FALSE)</f>
        <v>#N/A</v>
      </c>
      <c r="F132" s="109" t="str">
        <f>VLOOKUP($A132,ANAGRAFICA!$B$1:$G$306,6,FALSE)</f>
        <v>#N/A</v>
      </c>
      <c r="G132" s="117" t="b">
        <v>0</v>
      </c>
      <c r="H132" s="117" t="b">
        <v>0</v>
      </c>
      <c r="I132" s="117" t="b">
        <v>0</v>
      </c>
      <c r="J132" s="117"/>
    </row>
    <row r="133">
      <c r="A133" s="94"/>
      <c r="B133" s="109" t="str">
        <f>VLOOKUP($A133,ANAGRAFICA!$B$1:$G$306,2,FALSE)</f>
        <v>#N/A</v>
      </c>
      <c r="C133" s="109" t="str">
        <f>VLOOKUP($A133,ANAGRAFICA!$B$1:$G$306,3,FALSE)</f>
        <v>#N/A</v>
      </c>
      <c r="D133" s="109" t="str">
        <f>VLOOKUP($A133,ANAGRAFICA!$B$1:$G$306,4,FALSE)</f>
        <v>#N/A</v>
      </c>
      <c r="E133" s="109" t="str">
        <f>VLOOKUP($A133,ANAGRAFICA!$B$1:$G$306,5,FALSE)</f>
        <v>#N/A</v>
      </c>
      <c r="F133" s="109" t="str">
        <f>VLOOKUP($A133,ANAGRAFICA!$B$1:$G$306,6,FALSE)</f>
        <v>#N/A</v>
      </c>
      <c r="G133" s="117" t="b">
        <v>0</v>
      </c>
      <c r="H133" s="117" t="b">
        <v>0</v>
      </c>
      <c r="I133" s="117" t="b">
        <v>0</v>
      </c>
      <c r="J133" s="117"/>
    </row>
    <row r="134">
      <c r="A134" s="94"/>
      <c r="B134" s="109" t="str">
        <f>VLOOKUP($A134,ANAGRAFICA!$B$1:$G$306,2,FALSE)</f>
        <v>#N/A</v>
      </c>
      <c r="C134" s="109" t="str">
        <f>VLOOKUP($A134,ANAGRAFICA!$B$1:$G$306,3,FALSE)</f>
        <v>#N/A</v>
      </c>
      <c r="D134" s="109" t="str">
        <f>VLOOKUP($A134,ANAGRAFICA!$B$1:$G$306,4,FALSE)</f>
        <v>#N/A</v>
      </c>
      <c r="E134" s="109" t="str">
        <f>VLOOKUP($A134,ANAGRAFICA!$B$1:$G$306,5,FALSE)</f>
        <v>#N/A</v>
      </c>
      <c r="F134" s="109" t="str">
        <f>VLOOKUP($A134,ANAGRAFICA!$B$1:$G$306,6,FALSE)</f>
        <v>#N/A</v>
      </c>
      <c r="G134" s="117" t="b">
        <v>0</v>
      </c>
      <c r="H134" s="117" t="b">
        <v>0</v>
      </c>
      <c r="I134" s="117" t="b">
        <v>0</v>
      </c>
      <c r="J134" s="117"/>
    </row>
    <row r="135">
      <c r="A135" s="94"/>
      <c r="B135" s="109" t="str">
        <f>VLOOKUP($A135,ANAGRAFICA!$B$1:$G$306,2,FALSE)</f>
        <v>#N/A</v>
      </c>
      <c r="C135" s="109" t="str">
        <f>VLOOKUP($A135,ANAGRAFICA!$B$1:$G$306,3,FALSE)</f>
        <v>#N/A</v>
      </c>
      <c r="D135" s="109" t="str">
        <f>VLOOKUP($A135,ANAGRAFICA!$B$1:$G$306,4,FALSE)</f>
        <v>#N/A</v>
      </c>
      <c r="E135" s="109" t="str">
        <f>VLOOKUP($A135,ANAGRAFICA!$B$1:$G$306,5,FALSE)</f>
        <v>#N/A</v>
      </c>
      <c r="F135" s="109" t="str">
        <f>VLOOKUP($A135,ANAGRAFICA!$B$1:$G$306,6,FALSE)</f>
        <v>#N/A</v>
      </c>
      <c r="G135" s="117" t="b">
        <v>0</v>
      </c>
      <c r="H135" s="117" t="b">
        <v>0</v>
      </c>
      <c r="I135" s="117" t="b">
        <v>0</v>
      </c>
      <c r="J135" s="117"/>
    </row>
    <row r="136">
      <c r="A136" s="94"/>
      <c r="B136" s="109" t="str">
        <f>VLOOKUP($A136,ANAGRAFICA!$B$1:$G$306,2,FALSE)</f>
        <v>#N/A</v>
      </c>
      <c r="C136" s="109" t="str">
        <f>VLOOKUP($A136,ANAGRAFICA!$B$1:$G$306,3,FALSE)</f>
        <v>#N/A</v>
      </c>
      <c r="D136" s="109" t="str">
        <f>VLOOKUP($A136,ANAGRAFICA!$B$1:$G$306,4,FALSE)</f>
        <v>#N/A</v>
      </c>
      <c r="E136" s="109" t="str">
        <f>VLOOKUP($A136,ANAGRAFICA!$B$1:$G$306,5,FALSE)</f>
        <v>#N/A</v>
      </c>
      <c r="F136" s="109" t="str">
        <f>VLOOKUP($A136,ANAGRAFICA!$B$1:$G$306,6,FALSE)</f>
        <v>#N/A</v>
      </c>
      <c r="G136" s="117" t="b">
        <v>0</v>
      </c>
      <c r="H136" s="117" t="b">
        <v>0</v>
      </c>
      <c r="I136" s="117" t="b">
        <v>0</v>
      </c>
      <c r="J136" s="117"/>
    </row>
    <row r="137">
      <c r="A137" s="94"/>
      <c r="B137" s="109" t="str">
        <f>VLOOKUP($A137,ANAGRAFICA!$B$1:$G$306,2,FALSE)</f>
        <v>#N/A</v>
      </c>
      <c r="C137" s="109" t="str">
        <f>VLOOKUP($A137,ANAGRAFICA!$B$1:$G$306,3,FALSE)</f>
        <v>#N/A</v>
      </c>
      <c r="D137" s="109" t="str">
        <f>VLOOKUP($A137,ANAGRAFICA!$B$1:$G$306,4,FALSE)</f>
        <v>#N/A</v>
      </c>
      <c r="E137" s="109" t="str">
        <f>VLOOKUP($A137,ANAGRAFICA!$B$1:$G$306,5,FALSE)</f>
        <v>#N/A</v>
      </c>
      <c r="F137" s="109" t="str">
        <f>VLOOKUP($A137,ANAGRAFICA!$B$1:$G$306,6,FALSE)</f>
        <v>#N/A</v>
      </c>
      <c r="G137" s="117" t="b">
        <v>0</v>
      </c>
      <c r="H137" s="117" t="b">
        <v>0</v>
      </c>
      <c r="I137" s="117" t="b">
        <v>0</v>
      </c>
      <c r="J137" s="117"/>
    </row>
    <row r="138">
      <c r="A138" s="94"/>
      <c r="B138" s="109" t="str">
        <f>VLOOKUP($A138,ANAGRAFICA!$B$1:$G$306,2,FALSE)</f>
        <v>#N/A</v>
      </c>
      <c r="C138" s="109" t="str">
        <f>VLOOKUP($A138,ANAGRAFICA!$B$1:$G$306,3,FALSE)</f>
        <v>#N/A</v>
      </c>
      <c r="D138" s="109" t="str">
        <f>VLOOKUP($A138,ANAGRAFICA!$B$1:$G$306,4,FALSE)</f>
        <v>#N/A</v>
      </c>
      <c r="E138" s="109" t="str">
        <f>VLOOKUP($A138,ANAGRAFICA!$B$1:$G$306,5,FALSE)</f>
        <v>#N/A</v>
      </c>
      <c r="F138" s="109" t="str">
        <f>VLOOKUP($A138,ANAGRAFICA!$B$1:$G$306,6,FALSE)</f>
        <v>#N/A</v>
      </c>
      <c r="G138" s="117" t="b">
        <v>0</v>
      </c>
      <c r="H138" s="117" t="b">
        <v>0</v>
      </c>
      <c r="I138" s="117" t="b">
        <v>0</v>
      </c>
      <c r="J138" s="117"/>
    </row>
    <row r="139">
      <c r="A139" s="94"/>
      <c r="B139" s="109" t="str">
        <f>VLOOKUP($A139,ANAGRAFICA!$B$1:$G$306,2,FALSE)</f>
        <v>#N/A</v>
      </c>
      <c r="C139" s="109" t="str">
        <f>VLOOKUP($A139,ANAGRAFICA!$B$1:$G$306,3,FALSE)</f>
        <v>#N/A</v>
      </c>
      <c r="D139" s="109" t="str">
        <f>VLOOKUP($A139,ANAGRAFICA!$B$1:$G$306,4,FALSE)</f>
        <v>#N/A</v>
      </c>
      <c r="E139" s="109" t="str">
        <f>VLOOKUP($A139,ANAGRAFICA!$B$1:$G$306,5,FALSE)</f>
        <v>#N/A</v>
      </c>
      <c r="F139" s="109" t="str">
        <f>VLOOKUP($A139,ANAGRAFICA!$B$1:$G$306,6,FALSE)</f>
        <v>#N/A</v>
      </c>
      <c r="G139" s="117" t="b">
        <v>0</v>
      </c>
      <c r="H139" s="117" t="b">
        <v>0</v>
      </c>
      <c r="I139" s="117" t="b">
        <v>0</v>
      </c>
      <c r="J139" s="117"/>
    </row>
    <row r="140">
      <c r="A140" s="94"/>
      <c r="B140" s="109" t="str">
        <f>VLOOKUP($A140,ANAGRAFICA!$B$1:$G$306,2,FALSE)</f>
        <v>#N/A</v>
      </c>
      <c r="C140" s="109" t="str">
        <f>VLOOKUP($A140,ANAGRAFICA!$B$1:$G$306,3,FALSE)</f>
        <v>#N/A</v>
      </c>
      <c r="D140" s="109" t="str">
        <f>VLOOKUP($A140,ANAGRAFICA!$B$1:$G$306,4,FALSE)</f>
        <v>#N/A</v>
      </c>
      <c r="E140" s="109" t="str">
        <f>VLOOKUP($A140,ANAGRAFICA!$B$1:$G$306,5,FALSE)</f>
        <v>#N/A</v>
      </c>
      <c r="F140" s="109" t="str">
        <f>VLOOKUP($A140,ANAGRAFICA!$B$1:$G$306,6,FALSE)</f>
        <v>#N/A</v>
      </c>
      <c r="G140" s="117" t="b">
        <v>0</v>
      </c>
      <c r="H140" s="117" t="b">
        <v>0</v>
      </c>
      <c r="I140" s="117" t="b">
        <v>0</v>
      </c>
      <c r="J140" s="117"/>
    </row>
    <row r="141">
      <c r="A141" s="94"/>
      <c r="B141" s="109" t="str">
        <f>VLOOKUP($A141,ANAGRAFICA!$B$1:$G$306,2,FALSE)</f>
        <v>#N/A</v>
      </c>
      <c r="C141" s="109" t="str">
        <f>VLOOKUP($A141,ANAGRAFICA!$B$1:$G$306,3,FALSE)</f>
        <v>#N/A</v>
      </c>
      <c r="D141" s="109" t="str">
        <f>VLOOKUP($A141,ANAGRAFICA!$B$1:$G$306,4,FALSE)</f>
        <v>#N/A</v>
      </c>
      <c r="E141" s="109" t="str">
        <f>VLOOKUP($A141,ANAGRAFICA!$B$1:$G$306,5,FALSE)</f>
        <v>#N/A</v>
      </c>
      <c r="F141" s="109" t="str">
        <f>VLOOKUP($A141,ANAGRAFICA!$B$1:$G$306,6,FALSE)</f>
        <v>#N/A</v>
      </c>
      <c r="G141" s="117" t="b">
        <v>0</v>
      </c>
      <c r="H141" s="117" t="b">
        <v>0</v>
      </c>
      <c r="I141" s="117" t="b">
        <v>0</v>
      </c>
      <c r="J141" s="117"/>
    </row>
    <row r="142">
      <c r="A142" s="94"/>
      <c r="B142" s="109" t="str">
        <f>VLOOKUP($A142,ANAGRAFICA!$B$1:$G$306,2,FALSE)</f>
        <v>#N/A</v>
      </c>
      <c r="C142" s="109" t="str">
        <f>VLOOKUP($A142,ANAGRAFICA!$B$1:$G$306,3,FALSE)</f>
        <v>#N/A</v>
      </c>
      <c r="D142" s="109" t="str">
        <f>VLOOKUP($A142,ANAGRAFICA!$B$1:$G$306,4,FALSE)</f>
        <v>#N/A</v>
      </c>
      <c r="E142" s="109" t="str">
        <f>VLOOKUP($A142,ANAGRAFICA!$B$1:$G$306,5,FALSE)</f>
        <v>#N/A</v>
      </c>
      <c r="F142" s="109" t="str">
        <f>VLOOKUP($A142,ANAGRAFICA!$B$1:$G$306,6,FALSE)</f>
        <v>#N/A</v>
      </c>
      <c r="G142" s="117" t="b">
        <v>0</v>
      </c>
      <c r="H142" s="117" t="b">
        <v>0</v>
      </c>
      <c r="I142" s="117" t="b">
        <v>0</v>
      </c>
      <c r="J142" s="117"/>
    </row>
    <row r="143">
      <c r="A143" s="94"/>
      <c r="B143" s="109" t="str">
        <f>VLOOKUP($A143,ANAGRAFICA!$B$1:$G$306,2,FALSE)</f>
        <v>#N/A</v>
      </c>
      <c r="C143" s="109" t="str">
        <f>VLOOKUP($A143,ANAGRAFICA!$B$1:$G$306,3,FALSE)</f>
        <v>#N/A</v>
      </c>
      <c r="D143" s="109" t="str">
        <f>VLOOKUP($A143,ANAGRAFICA!$B$1:$G$306,4,FALSE)</f>
        <v>#N/A</v>
      </c>
      <c r="E143" s="109" t="str">
        <f>VLOOKUP($A143,ANAGRAFICA!$B$1:$G$306,5,FALSE)</f>
        <v>#N/A</v>
      </c>
      <c r="F143" s="109" t="str">
        <f>VLOOKUP($A143,ANAGRAFICA!$B$1:$G$306,6,FALSE)</f>
        <v>#N/A</v>
      </c>
      <c r="G143" s="117" t="b">
        <v>0</v>
      </c>
      <c r="H143" s="117" t="b">
        <v>0</v>
      </c>
      <c r="I143" s="117" t="b">
        <v>0</v>
      </c>
      <c r="J143" s="117"/>
    </row>
    <row r="144">
      <c r="A144" s="94"/>
      <c r="B144" s="109" t="str">
        <f>VLOOKUP($A144,ANAGRAFICA!$B$1:$G$306,2,FALSE)</f>
        <v>#N/A</v>
      </c>
      <c r="C144" s="109" t="str">
        <f>VLOOKUP($A144,ANAGRAFICA!$B$1:$G$306,3,FALSE)</f>
        <v>#N/A</v>
      </c>
      <c r="D144" s="109" t="str">
        <f>VLOOKUP($A144,ANAGRAFICA!$B$1:$G$306,4,FALSE)</f>
        <v>#N/A</v>
      </c>
      <c r="E144" s="109" t="str">
        <f>VLOOKUP($A144,ANAGRAFICA!$B$1:$G$306,5,FALSE)</f>
        <v>#N/A</v>
      </c>
      <c r="F144" s="109" t="str">
        <f>VLOOKUP($A144,ANAGRAFICA!$B$1:$G$306,6,FALSE)</f>
        <v>#N/A</v>
      </c>
      <c r="G144" s="117" t="b">
        <v>0</v>
      </c>
      <c r="H144" s="117" t="b">
        <v>0</v>
      </c>
      <c r="I144" s="117" t="b">
        <v>0</v>
      </c>
      <c r="J144" s="117"/>
    </row>
    <row r="145">
      <c r="A145" s="94"/>
      <c r="B145" s="109" t="str">
        <f>VLOOKUP($A145,ANAGRAFICA!$B$1:$G$306,2,FALSE)</f>
        <v>#N/A</v>
      </c>
      <c r="C145" s="109" t="str">
        <f>VLOOKUP($A145,ANAGRAFICA!$B$1:$G$306,3,FALSE)</f>
        <v>#N/A</v>
      </c>
      <c r="D145" s="109" t="str">
        <f>VLOOKUP($A145,ANAGRAFICA!$B$1:$G$306,4,FALSE)</f>
        <v>#N/A</v>
      </c>
      <c r="E145" s="109" t="str">
        <f>VLOOKUP($A145,ANAGRAFICA!$B$1:$G$306,5,FALSE)</f>
        <v>#N/A</v>
      </c>
      <c r="F145" s="109" t="str">
        <f>VLOOKUP($A145,ANAGRAFICA!$B$1:$G$306,6,FALSE)</f>
        <v>#N/A</v>
      </c>
      <c r="G145" s="117" t="b">
        <v>0</v>
      </c>
      <c r="H145" s="117" t="b">
        <v>0</v>
      </c>
      <c r="I145" s="117" t="b">
        <v>0</v>
      </c>
      <c r="J145" s="117"/>
    </row>
    <row r="146">
      <c r="A146" s="94"/>
      <c r="B146" s="109" t="str">
        <f>VLOOKUP($A146,ANAGRAFICA!$B$1:$G$306,2,FALSE)</f>
        <v>#N/A</v>
      </c>
      <c r="C146" s="109" t="str">
        <f>VLOOKUP($A146,ANAGRAFICA!$B$1:$G$306,3,FALSE)</f>
        <v>#N/A</v>
      </c>
      <c r="D146" s="109" t="str">
        <f>VLOOKUP($A146,ANAGRAFICA!$B$1:$G$306,4,FALSE)</f>
        <v>#N/A</v>
      </c>
      <c r="E146" s="109" t="str">
        <f>VLOOKUP($A146,ANAGRAFICA!$B$1:$G$306,5,FALSE)</f>
        <v>#N/A</v>
      </c>
      <c r="F146" s="109" t="str">
        <f>VLOOKUP($A146,ANAGRAFICA!$B$1:$G$306,6,FALSE)</f>
        <v>#N/A</v>
      </c>
      <c r="G146" s="117" t="b">
        <v>0</v>
      </c>
      <c r="H146" s="117" t="b">
        <v>0</v>
      </c>
      <c r="I146" s="117" t="b">
        <v>0</v>
      </c>
      <c r="J146" s="117"/>
    </row>
    <row r="147">
      <c r="A147" s="94"/>
      <c r="B147" s="109" t="str">
        <f>VLOOKUP($A147,ANAGRAFICA!$B$1:$G$306,2,FALSE)</f>
        <v>#N/A</v>
      </c>
      <c r="C147" s="109" t="str">
        <f>VLOOKUP($A147,ANAGRAFICA!$B$1:$G$306,3,FALSE)</f>
        <v>#N/A</v>
      </c>
      <c r="D147" s="109" t="str">
        <f>VLOOKUP($A147,ANAGRAFICA!$B$1:$G$306,4,FALSE)</f>
        <v>#N/A</v>
      </c>
      <c r="E147" s="109" t="str">
        <f>VLOOKUP($A147,ANAGRAFICA!$B$1:$G$306,5,FALSE)</f>
        <v>#N/A</v>
      </c>
      <c r="F147" s="109" t="str">
        <f>VLOOKUP($A147,ANAGRAFICA!$B$1:$G$306,6,FALSE)</f>
        <v>#N/A</v>
      </c>
      <c r="G147" s="117" t="b">
        <v>0</v>
      </c>
      <c r="H147" s="117" t="b">
        <v>0</v>
      </c>
      <c r="I147" s="117" t="b">
        <v>0</v>
      </c>
      <c r="J147" s="117"/>
    </row>
    <row r="148">
      <c r="A148" s="94"/>
      <c r="B148" s="109" t="str">
        <f>VLOOKUP($A148,ANAGRAFICA!$B$1:$G$306,2,FALSE)</f>
        <v>#N/A</v>
      </c>
      <c r="C148" s="109" t="str">
        <f>VLOOKUP($A148,ANAGRAFICA!$B$1:$G$306,3,FALSE)</f>
        <v>#N/A</v>
      </c>
      <c r="D148" s="109" t="str">
        <f>VLOOKUP($A148,ANAGRAFICA!$B$1:$G$306,4,FALSE)</f>
        <v>#N/A</v>
      </c>
      <c r="E148" s="109" t="str">
        <f>VLOOKUP($A148,ANAGRAFICA!$B$1:$G$306,5,FALSE)</f>
        <v>#N/A</v>
      </c>
      <c r="F148" s="109" t="str">
        <f>VLOOKUP($A148,ANAGRAFICA!$B$1:$G$306,6,FALSE)</f>
        <v>#N/A</v>
      </c>
      <c r="G148" s="117" t="b">
        <v>0</v>
      </c>
      <c r="H148" s="117" t="b">
        <v>0</v>
      </c>
      <c r="I148" s="117" t="b">
        <v>0</v>
      </c>
      <c r="J148" s="117"/>
    </row>
    <row r="149">
      <c r="A149" s="94"/>
      <c r="B149" s="109" t="str">
        <f>VLOOKUP($A149,ANAGRAFICA!$B$1:$G$306,2,FALSE)</f>
        <v>#N/A</v>
      </c>
      <c r="C149" s="109" t="str">
        <f>VLOOKUP($A149,ANAGRAFICA!$B$1:$G$306,3,FALSE)</f>
        <v>#N/A</v>
      </c>
      <c r="D149" s="109" t="str">
        <f>VLOOKUP($A149,ANAGRAFICA!$B$1:$G$306,4,FALSE)</f>
        <v>#N/A</v>
      </c>
      <c r="E149" s="109" t="str">
        <f>VLOOKUP($A149,ANAGRAFICA!$B$1:$G$306,5,FALSE)</f>
        <v>#N/A</v>
      </c>
      <c r="F149" s="109" t="str">
        <f>VLOOKUP($A149,ANAGRAFICA!$B$1:$G$306,6,FALSE)</f>
        <v>#N/A</v>
      </c>
      <c r="G149" s="117" t="b">
        <v>0</v>
      </c>
      <c r="H149" s="117" t="b">
        <v>0</v>
      </c>
      <c r="I149" s="117" t="b">
        <v>0</v>
      </c>
      <c r="J149" s="117"/>
    </row>
    <row r="150">
      <c r="A150" s="94"/>
      <c r="B150" s="109" t="str">
        <f>VLOOKUP($A150,ANAGRAFICA!$B$1:$G$306,2,FALSE)</f>
        <v>#N/A</v>
      </c>
      <c r="C150" s="109" t="str">
        <f>VLOOKUP($A150,ANAGRAFICA!$B$1:$G$306,3,FALSE)</f>
        <v>#N/A</v>
      </c>
      <c r="D150" s="109" t="str">
        <f>VLOOKUP($A150,ANAGRAFICA!$B$1:$G$306,4,FALSE)</f>
        <v>#N/A</v>
      </c>
      <c r="E150" s="109" t="str">
        <f>VLOOKUP($A150,ANAGRAFICA!$B$1:$G$306,5,FALSE)</f>
        <v>#N/A</v>
      </c>
      <c r="F150" s="109" t="str">
        <f>VLOOKUP($A150,ANAGRAFICA!$B$1:$G$306,6,FALSE)</f>
        <v>#N/A</v>
      </c>
      <c r="G150" s="117" t="b">
        <v>0</v>
      </c>
      <c r="H150" s="117" t="b">
        <v>0</v>
      </c>
      <c r="I150" s="117" t="b">
        <v>0</v>
      </c>
      <c r="J150" s="117"/>
    </row>
    <row r="151">
      <c r="A151" s="94"/>
      <c r="B151" s="109" t="str">
        <f>VLOOKUP($A151,ANAGRAFICA!$B$1:$G$306,2,FALSE)</f>
        <v>#N/A</v>
      </c>
      <c r="C151" s="109" t="str">
        <f>VLOOKUP($A151,ANAGRAFICA!$B$1:$G$306,3,FALSE)</f>
        <v>#N/A</v>
      </c>
      <c r="D151" s="109" t="str">
        <f>VLOOKUP($A151,ANAGRAFICA!$B$1:$G$306,4,FALSE)</f>
        <v>#N/A</v>
      </c>
      <c r="E151" s="109" t="str">
        <f>VLOOKUP($A151,ANAGRAFICA!$B$1:$G$306,5,FALSE)</f>
        <v>#N/A</v>
      </c>
      <c r="F151" s="109" t="str">
        <f>VLOOKUP($A151,ANAGRAFICA!$B$1:$G$306,6,FALSE)</f>
        <v>#N/A</v>
      </c>
      <c r="G151" s="117" t="b">
        <v>0</v>
      </c>
      <c r="H151" s="117" t="b">
        <v>0</v>
      </c>
      <c r="I151" s="117" t="b">
        <v>0</v>
      </c>
      <c r="J151" s="117"/>
    </row>
    <row r="152">
      <c r="A152" s="94"/>
      <c r="B152" s="109" t="str">
        <f>VLOOKUP($A152,ANAGRAFICA!$B$1:$G$306,2,FALSE)</f>
        <v>#N/A</v>
      </c>
      <c r="C152" s="109" t="str">
        <f>VLOOKUP($A152,ANAGRAFICA!$B$1:$G$306,3,FALSE)</f>
        <v>#N/A</v>
      </c>
      <c r="D152" s="109" t="str">
        <f>VLOOKUP($A152,ANAGRAFICA!$B$1:$G$306,4,FALSE)</f>
        <v>#N/A</v>
      </c>
      <c r="E152" s="109" t="str">
        <f>VLOOKUP($A152,ANAGRAFICA!$B$1:$G$306,5,FALSE)</f>
        <v>#N/A</v>
      </c>
      <c r="F152" s="109" t="str">
        <f>VLOOKUP($A152,ANAGRAFICA!$B$1:$G$306,6,FALSE)</f>
        <v>#N/A</v>
      </c>
      <c r="G152" s="117" t="b">
        <v>0</v>
      </c>
      <c r="H152" s="117" t="b">
        <v>0</v>
      </c>
      <c r="I152" s="117" t="b">
        <v>0</v>
      </c>
      <c r="J152" s="117"/>
    </row>
    <row r="153">
      <c r="A153" s="94"/>
      <c r="B153" s="109" t="str">
        <f>VLOOKUP($A153,ANAGRAFICA!$B$1:$G$306,2,FALSE)</f>
        <v>#N/A</v>
      </c>
      <c r="C153" s="109" t="str">
        <f>VLOOKUP($A153,ANAGRAFICA!$B$1:$G$306,3,FALSE)</f>
        <v>#N/A</v>
      </c>
      <c r="D153" s="109" t="str">
        <f>VLOOKUP($A153,ANAGRAFICA!$B$1:$G$306,4,FALSE)</f>
        <v>#N/A</v>
      </c>
      <c r="E153" s="109" t="str">
        <f>VLOOKUP($A153,ANAGRAFICA!$B$1:$G$306,5,FALSE)</f>
        <v>#N/A</v>
      </c>
      <c r="F153" s="109" t="str">
        <f>VLOOKUP($A153,ANAGRAFICA!$B$1:$G$306,6,FALSE)</f>
        <v>#N/A</v>
      </c>
      <c r="G153" s="117" t="b">
        <v>0</v>
      </c>
      <c r="H153" s="117" t="b">
        <v>0</v>
      </c>
      <c r="I153" s="117" t="b">
        <v>0</v>
      </c>
      <c r="J153" s="117"/>
    </row>
    <row r="154">
      <c r="A154" s="94"/>
      <c r="B154" s="109" t="str">
        <f>VLOOKUP($A154,ANAGRAFICA!$B$1:$G$306,2,FALSE)</f>
        <v>#N/A</v>
      </c>
      <c r="C154" s="109" t="str">
        <f>VLOOKUP($A154,ANAGRAFICA!$B$1:$G$306,3,FALSE)</f>
        <v>#N/A</v>
      </c>
      <c r="D154" s="109" t="str">
        <f>VLOOKUP($A154,ANAGRAFICA!$B$1:$G$306,4,FALSE)</f>
        <v>#N/A</v>
      </c>
      <c r="E154" s="109" t="str">
        <f>VLOOKUP($A154,ANAGRAFICA!$B$1:$G$306,5,FALSE)</f>
        <v>#N/A</v>
      </c>
      <c r="F154" s="109" t="str">
        <f>VLOOKUP($A154,ANAGRAFICA!$B$1:$G$306,6,FALSE)</f>
        <v>#N/A</v>
      </c>
      <c r="G154" s="117" t="b">
        <v>0</v>
      </c>
      <c r="H154" s="117" t="b">
        <v>0</v>
      </c>
      <c r="I154" s="117" t="b">
        <v>0</v>
      </c>
      <c r="J154" s="117"/>
    </row>
    <row r="155">
      <c r="A155" s="94"/>
      <c r="B155" s="109" t="str">
        <f>VLOOKUP($A155,ANAGRAFICA!$B$1:$G$306,2,FALSE)</f>
        <v>#N/A</v>
      </c>
      <c r="C155" s="109" t="str">
        <f>VLOOKUP($A155,ANAGRAFICA!$B$1:$G$306,3,FALSE)</f>
        <v>#N/A</v>
      </c>
      <c r="D155" s="109" t="str">
        <f>VLOOKUP($A155,ANAGRAFICA!$B$1:$G$306,4,FALSE)</f>
        <v>#N/A</v>
      </c>
      <c r="E155" s="109" t="str">
        <f>VLOOKUP($A155,ANAGRAFICA!$B$1:$G$306,5,FALSE)</f>
        <v>#N/A</v>
      </c>
      <c r="F155" s="109" t="str">
        <f>VLOOKUP($A155,ANAGRAFICA!$B$1:$G$306,6,FALSE)</f>
        <v>#N/A</v>
      </c>
      <c r="G155" s="117" t="b">
        <v>0</v>
      </c>
      <c r="H155" s="117" t="b">
        <v>0</v>
      </c>
      <c r="I155" s="117" t="b">
        <v>0</v>
      </c>
      <c r="J155" s="117"/>
    </row>
    <row r="156">
      <c r="A156" s="94"/>
      <c r="B156" s="109" t="str">
        <f>VLOOKUP($A156,ANAGRAFICA!$B$1:$G$306,2,FALSE)</f>
        <v>#N/A</v>
      </c>
      <c r="C156" s="109" t="str">
        <f>VLOOKUP($A156,ANAGRAFICA!$B$1:$G$306,3,FALSE)</f>
        <v>#N/A</v>
      </c>
      <c r="D156" s="109" t="str">
        <f>VLOOKUP($A156,ANAGRAFICA!$B$1:$G$306,4,FALSE)</f>
        <v>#N/A</v>
      </c>
      <c r="E156" s="109" t="str">
        <f>VLOOKUP($A156,ANAGRAFICA!$B$1:$G$306,5,FALSE)</f>
        <v>#N/A</v>
      </c>
      <c r="F156" s="109" t="str">
        <f>VLOOKUP($A156,ANAGRAFICA!$B$1:$G$306,6,FALSE)</f>
        <v>#N/A</v>
      </c>
      <c r="G156" s="117" t="b">
        <v>0</v>
      </c>
      <c r="H156" s="117" t="b">
        <v>0</v>
      </c>
      <c r="I156" s="117" t="b">
        <v>0</v>
      </c>
      <c r="J156" s="117"/>
    </row>
    <row r="157">
      <c r="A157" s="94"/>
      <c r="B157" s="109" t="str">
        <f>VLOOKUP($A157,ANAGRAFICA!$B$1:$G$306,2,FALSE)</f>
        <v>#N/A</v>
      </c>
      <c r="C157" s="109" t="str">
        <f>VLOOKUP($A157,ANAGRAFICA!$B$1:$G$306,3,FALSE)</f>
        <v>#N/A</v>
      </c>
      <c r="D157" s="109" t="str">
        <f>VLOOKUP($A157,ANAGRAFICA!$B$1:$G$306,4,FALSE)</f>
        <v>#N/A</v>
      </c>
      <c r="E157" s="109" t="str">
        <f>VLOOKUP($A157,ANAGRAFICA!$B$1:$G$306,5,FALSE)</f>
        <v>#N/A</v>
      </c>
      <c r="F157" s="109" t="str">
        <f>VLOOKUP($A157,ANAGRAFICA!$B$1:$G$306,6,FALSE)</f>
        <v>#N/A</v>
      </c>
      <c r="G157" s="117" t="b">
        <v>0</v>
      </c>
      <c r="H157" s="117" t="b">
        <v>0</v>
      </c>
      <c r="I157" s="117" t="b">
        <v>0</v>
      </c>
      <c r="J157" s="117"/>
    </row>
    <row r="158">
      <c r="A158" s="94"/>
      <c r="B158" s="109" t="str">
        <f>VLOOKUP($A158,ANAGRAFICA!$B$1:$G$306,2,FALSE)</f>
        <v>#N/A</v>
      </c>
      <c r="C158" s="109" t="str">
        <f>VLOOKUP($A158,ANAGRAFICA!$B$1:$G$306,3,FALSE)</f>
        <v>#N/A</v>
      </c>
      <c r="D158" s="109" t="str">
        <f>VLOOKUP($A158,ANAGRAFICA!$B$1:$G$306,4,FALSE)</f>
        <v>#N/A</v>
      </c>
      <c r="E158" s="109" t="str">
        <f>VLOOKUP($A158,ANAGRAFICA!$B$1:$G$306,5,FALSE)</f>
        <v>#N/A</v>
      </c>
      <c r="F158" s="109" t="str">
        <f>VLOOKUP($A158,ANAGRAFICA!$B$1:$G$306,6,FALSE)</f>
        <v>#N/A</v>
      </c>
      <c r="G158" s="117" t="b">
        <v>0</v>
      </c>
      <c r="H158" s="117" t="b">
        <v>0</v>
      </c>
      <c r="I158" s="117" t="b">
        <v>0</v>
      </c>
      <c r="J158" s="117"/>
    </row>
    <row r="159">
      <c r="A159" s="94"/>
      <c r="B159" s="109" t="str">
        <f>VLOOKUP($A159,ANAGRAFICA!$B$1:$G$306,2,FALSE)</f>
        <v>#N/A</v>
      </c>
      <c r="C159" s="109" t="str">
        <f>VLOOKUP($A159,ANAGRAFICA!$B$1:$G$306,3,FALSE)</f>
        <v>#N/A</v>
      </c>
      <c r="D159" s="109" t="str">
        <f>VLOOKUP($A159,ANAGRAFICA!$B$1:$G$306,4,FALSE)</f>
        <v>#N/A</v>
      </c>
      <c r="E159" s="109" t="str">
        <f>VLOOKUP($A159,ANAGRAFICA!$B$1:$G$306,5,FALSE)</f>
        <v>#N/A</v>
      </c>
      <c r="F159" s="109" t="str">
        <f>VLOOKUP($A159,ANAGRAFICA!$B$1:$G$306,6,FALSE)</f>
        <v>#N/A</v>
      </c>
      <c r="G159" s="117" t="b">
        <v>0</v>
      </c>
      <c r="H159" s="117" t="b">
        <v>0</v>
      </c>
      <c r="I159" s="117" t="b">
        <v>0</v>
      </c>
      <c r="J159" s="117"/>
    </row>
    <row r="160">
      <c r="A160" s="94"/>
      <c r="B160" s="109" t="str">
        <f>VLOOKUP($A160,ANAGRAFICA!$B$1:$G$306,2,FALSE)</f>
        <v>#N/A</v>
      </c>
      <c r="C160" s="109" t="str">
        <f>VLOOKUP($A160,ANAGRAFICA!$B$1:$G$306,3,FALSE)</f>
        <v>#N/A</v>
      </c>
      <c r="D160" s="109" t="str">
        <f>VLOOKUP($A160,ANAGRAFICA!$B$1:$G$306,4,FALSE)</f>
        <v>#N/A</v>
      </c>
      <c r="E160" s="109" t="str">
        <f>VLOOKUP($A160,ANAGRAFICA!$B$1:$G$306,5,FALSE)</f>
        <v>#N/A</v>
      </c>
      <c r="F160" s="109" t="str">
        <f>VLOOKUP($A160,ANAGRAFICA!$B$1:$G$306,6,FALSE)</f>
        <v>#N/A</v>
      </c>
      <c r="G160" s="117" t="b">
        <v>0</v>
      </c>
      <c r="H160" s="117" t="b">
        <v>0</v>
      </c>
      <c r="I160" s="117" t="b">
        <v>0</v>
      </c>
      <c r="J160" s="117"/>
    </row>
    <row r="161">
      <c r="A161" s="94"/>
      <c r="B161" s="109" t="str">
        <f>VLOOKUP($A161,ANAGRAFICA!$B$1:$G$306,2,FALSE)</f>
        <v>#N/A</v>
      </c>
      <c r="C161" s="109" t="str">
        <f>VLOOKUP($A161,ANAGRAFICA!$B$1:$G$306,3,FALSE)</f>
        <v>#N/A</v>
      </c>
      <c r="D161" s="109" t="str">
        <f>VLOOKUP($A161,ANAGRAFICA!$B$1:$G$306,4,FALSE)</f>
        <v>#N/A</v>
      </c>
      <c r="E161" s="109" t="str">
        <f>VLOOKUP($A161,ANAGRAFICA!$B$1:$G$306,5,FALSE)</f>
        <v>#N/A</v>
      </c>
      <c r="F161" s="109" t="str">
        <f>VLOOKUP($A161,ANAGRAFICA!$B$1:$G$306,6,FALSE)</f>
        <v>#N/A</v>
      </c>
      <c r="G161" s="117" t="b">
        <v>0</v>
      </c>
      <c r="H161" s="117" t="b">
        <v>0</v>
      </c>
      <c r="I161" s="117" t="b">
        <v>0</v>
      </c>
      <c r="J161" s="117"/>
    </row>
    <row r="162">
      <c r="A162" s="94"/>
      <c r="B162" s="109" t="str">
        <f>VLOOKUP($A162,ANAGRAFICA!$B$1:$G$306,2,FALSE)</f>
        <v>#N/A</v>
      </c>
      <c r="C162" s="109" t="str">
        <f>VLOOKUP($A162,ANAGRAFICA!$B$1:$G$306,3,FALSE)</f>
        <v>#N/A</v>
      </c>
      <c r="D162" s="109" t="str">
        <f>VLOOKUP($A162,ANAGRAFICA!$B$1:$G$306,4,FALSE)</f>
        <v>#N/A</v>
      </c>
      <c r="E162" s="109" t="str">
        <f>VLOOKUP($A162,ANAGRAFICA!$B$1:$G$306,5,FALSE)</f>
        <v>#N/A</v>
      </c>
      <c r="F162" s="109" t="str">
        <f>VLOOKUP($A162,ANAGRAFICA!$B$1:$G$306,6,FALSE)</f>
        <v>#N/A</v>
      </c>
      <c r="G162" s="117" t="b">
        <v>0</v>
      </c>
      <c r="H162" s="117" t="b">
        <v>0</v>
      </c>
      <c r="I162" s="117" t="b">
        <v>0</v>
      </c>
      <c r="J162" s="117"/>
    </row>
    <row r="163">
      <c r="A163" s="94"/>
      <c r="B163" s="109" t="str">
        <f>VLOOKUP($A163,ANAGRAFICA!$B$1:$G$306,2,FALSE)</f>
        <v>#N/A</v>
      </c>
      <c r="C163" s="109" t="str">
        <f>VLOOKUP($A163,ANAGRAFICA!$B$1:$G$306,3,FALSE)</f>
        <v>#N/A</v>
      </c>
      <c r="D163" s="109" t="str">
        <f>VLOOKUP($A163,ANAGRAFICA!$B$1:$G$306,4,FALSE)</f>
        <v>#N/A</v>
      </c>
      <c r="E163" s="109" t="str">
        <f>VLOOKUP($A163,ANAGRAFICA!$B$1:$G$306,5,FALSE)</f>
        <v>#N/A</v>
      </c>
      <c r="F163" s="109" t="str">
        <f>VLOOKUP($A163,ANAGRAFICA!$B$1:$G$306,6,FALSE)</f>
        <v>#N/A</v>
      </c>
      <c r="G163" s="117" t="b">
        <v>0</v>
      </c>
      <c r="H163" s="117" t="b">
        <v>0</v>
      </c>
      <c r="I163" s="117" t="b">
        <v>0</v>
      </c>
      <c r="J163" s="117"/>
    </row>
    <row r="164">
      <c r="A164" s="94"/>
      <c r="B164" s="109" t="str">
        <f>VLOOKUP($A164,ANAGRAFICA!$B$1:$G$306,2,FALSE)</f>
        <v>#N/A</v>
      </c>
      <c r="C164" s="109" t="str">
        <f>VLOOKUP($A164,ANAGRAFICA!$B$1:$G$306,3,FALSE)</f>
        <v>#N/A</v>
      </c>
      <c r="D164" s="109" t="str">
        <f>VLOOKUP($A164,ANAGRAFICA!$B$1:$G$306,4,FALSE)</f>
        <v>#N/A</v>
      </c>
      <c r="E164" s="109" t="str">
        <f>VLOOKUP($A164,ANAGRAFICA!$B$1:$G$306,5,FALSE)</f>
        <v>#N/A</v>
      </c>
      <c r="F164" s="109" t="str">
        <f>VLOOKUP($A164,ANAGRAFICA!$B$1:$G$306,6,FALSE)</f>
        <v>#N/A</v>
      </c>
      <c r="G164" s="117" t="b">
        <v>0</v>
      </c>
      <c r="H164" s="117" t="b">
        <v>0</v>
      </c>
      <c r="I164" s="117" t="b">
        <v>0</v>
      </c>
      <c r="J164" s="117"/>
    </row>
    <row r="165">
      <c r="A165" s="94"/>
      <c r="B165" s="109" t="str">
        <f>VLOOKUP($A165,ANAGRAFICA!$B$1:$G$306,2,FALSE)</f>
        <v>#N/A</v>
      </c>
      <c r="C165" s="109" t="str">
        <f>VLOOKUP($A165,ANAGRAFICA!$B$1:$G$306,3,FALSE)</f>
        <v>#N/A</v>
      </c>
      <c r="D165" s="109" t="str">
        <f>VLOOKUP($A165,ANAGRAFICA!$B$1:$G$306,4,FALSE)</f>
        <v>#N/A</v>
      </c>
      <c r="E165" s="109" t="str">
        <f>VLOOKUP($A165,ANAGRAFICA!$B$1:$G$306,5,FALSE)</f>
        <v>#N/A</v>
      </c>
      <c r="F165" s="109" t="str">
        <f>VLOOKUP($A165,ANAGRAFICA!$B$1:$G$306,6,FALSE)</f>
        <v>#N/A</v>
      </c>
      <c r="G165" s="117" t="b">
        <v>0</v>
      </c>
      <c r="H165" s="117" t="b">
        <v>0</v>
      </c>
      <c r="I165" s="117" t="b">
        <v>0</v>
      </c>
      <c r="J165" s="117"/>
    </row>
    <row r="166">
      <c r="A166" s="94"/>
      <c r="B166" s="109" t="str">
        <f>VLOOKUP($A166,ANAGRAFICA!$B$1:$G$306,2,FALSE)</f>
        <v>#N/A</v>
      </c>
      <c r="C166" s="109" t="str">
        <f>VLOOKUP($A166,ANAGRAFICA!$B$1:$G$306,3,FALSE)</f>
        <v>#N/A</v>
      </c>
      <c r="D166" s="109" t="str">
        <f>VLOOKUP($A166,ANAGRAFICA!$B$1:$G$306,4,FALSE)</f>
        <v>#N/A</v>
      </c>
      <c r="E166" s="109" t="str">
        <f>VLOOKUP($A166,ANAGRAFICA!$B$1:$G$306,5,FALSE)</f>
        <v>#N/A</v>
      </c>
      <c r="F166" s="109" t="str">
        <f>VLOOKUP($A166,ANAGRAFICA!$B$1:$G$306,6,FALSE)</f>
        <v>#N/A</v>
      </c>
      <c r="G166" s="117" t="b">
        <v>0</v>
      </c>
      <c r="H166" s="117" t="b">
        <v>0</v>
      </c>
      <c r="I166" s="117" t="b">
        <v>0</v>
      </c>
      <c r="J166" s="117"/>
    </row>
    <row r="167">
      <c r="A167" s="94"/>
      <c r="B167" s="109" t="str">
        <f>VLOOKUP($A167,ANAGRAFICA!$B$1:$G$306,2,FALSE)</f>
        <v>#N/A</v>
      </c>
      <c r="C167" s="109" t="str">
        <f>VLOOKUP($A167,ANAGRAFICA!$B$1:$G$306,3,FALSE)</f>
        <v>#N/A</v>
      </c>
      <c r="D167" s="109" t="str">
        <f>VLOOKUP($A167,ANAGRAFICA!$B$1:$G$306,4,FALSE)</f>
        <v>#N/A</v>
      </c>
      <c r="E167" s="109" t="str">
        <f>VLOOKUP($A167,ANAGRAFICA!$B$1:$G$306,5,FALSE)</f>
        <v>#N/A</v>
      </c>
      <c r="F167" s="109" t="str">
        <f>VLOOKUP($A167,ANAGRAFICA!$B$1:$G$306,6,FALSE)</f>
        <v>#N/A</v>
      </c>
      <c r="G167" s="117" t="b">
        <v>0</v>
      </c>
      <c r="H167" s="117" t="b">
        <v>0</v>
      </c>
      <c r="I167" s="117" t="b">
        <v>0</v>
      </c>
      <c r="J167" s="117"/>
    </row>
    <row r="168">
      <c r="A168" s="94"/>
      <c r="B168" s="109" t="str">
        <f>VLOOKUP($A168,ANAGRAFICA!$B$1:$G$306,2,FALSE)</f>
        <v>#N/A</v>
      </c>
      <c r="C168" s="109" t="str">
        <f>VLOOKUP($A168,ANAGRAFICA!$B$1:$G$306,3,FALSE)</f>
        <v>#N/A</v>
      </c>
      <c r="D168" s="109" t="str">
        <f>VLOOKUP($A168,ANAGRAFICA!$B$1:$G$306,4,FALSE)</f>
        <v>#N/A</v>
      </c>
      <c r="E168" s="109" t="str">
        <f>VLOOKUP($A168,ANAGRAFICA!$B$1:$G$306,5,FALSE)</f>
        <v>#N/A</v>
      </c>
      <c r="F168" s="109" t="str">
        <f>VLOOKUP($A168,ANAGRAFICA!$B$1:$G$306,6,FALSE)</f>
        <v>#N/A</v>
      </c>
      <c r="G168" s="117" t="b">
        <v>0</v>
      </c>
      <c r="H168" s="117" t="b">
        <v>0</v>
      </c>
      <c r="I168" s="117" t="b">
        <v>0</v>
      </c>
      <c r="J168" s="117"/>
    </row>
    <row r="169">
      <c r="A169" s="94"/>
      <c r="B169" s="109" t="str">
        <f>VLOOKUP($A169,ANAGRAFICA!$B$1:$G$306,2,FALSE)</f>
        <v>#N/A</v>
      </c>
      <c r="C169" s="109" t="str">
        <f>VLOOKUP($A169,ANAGRAFICA!$B$1:$G$306,3,FALSE)</f>
        <v>#N/A</v>
      </c>
      <c r="D169" s="109" t="str">
        <f>VLOOKUP($A169,ANAGRAFICA!$B$1:$G$306,4,FALSE)</f>
        <v>#N/A</v>
      </c>
      <c r="E169" s="109" t="str">
        <f>VLOOKUP($A169,ANAGRAFICA!$B$1:$G$306,5,FALSE)</f>
        <v>#N/A</v>
      </c>
      <c r="F169" s="109" t="str">
        <f>VLOOKUP($A169,ANAGRAFICA!$B$1:$G$306,6,FALSE)</f>
        <v>#N/A</v>
      </c>
      <c r="G169" s="117" t="b">
        <v>0</v>
      </c>
      <c r="H169" s="117" t="b">
        <v>0</v>
      </c>
      <c r="I169" s="117" t="b">
        <v>0</v>
      </c>
      <c r="J169" s="117"/>
    </row>
    <row r="170">
      <c r="A170" s="94"/>
      <c r="B170" s="109" t="str">
        <f>VLOOKUP($A170,ANAGRAFICA!$B$1:$G$306,2,FALSE)</f>
        <v>#N/A</v>
      </c>
      <c r="C170" s="109" t="str">
        <f>VLOOKUP($A170,ANAGRAFICA!$B$1:$G$306,3,FALSE)</f>
        <v>#N/A</v>
      </c>
      <c r="D170" s="109" t="str">
        <f>VLOOKUP($A170,ANAGRAFICA!$B$1:$G$306,4,FALSE)</f>
        <v>#N/A</v>
      </c>
      <c r="E170" s="109" t="str">
        <f>VLOOKUP($A170,ANAGRAFICA!$B$1:$G$306,5,FALSE)</f>
        <v>#N/A</v>
      </c>
      <c r="F170" s="109" t="str">
        <f>VLOOKUP($A170,ANAGRAFICA!$B$1:$G$306,6,FALSE)</f>
        <v>#N/A</v>
      </c>
      <c r="G170" s="117" t="b">
        <v>0</v>
      </c>
      <c r="H170" s="117" t="b">
        <v>0</v>
      </c>
      <c r="I170" s="117" t="b">
        <v>0</v>
      </c>
      <c r="J170" s="117"/>
    </row>
    <row r="171">
      <c r="A171" s="94"/>
      <c r="B171" s="109" t="str">
        <f>VLOOKUP($A171,ANAGRAFICA!$B$1:$G$306,2,FALSE)</f>
        <v>#N/A</v>
      </c>
      <c r="C171" s="109" t="str">
        <f>VLOOKUP($A171,ANAGRAFICA!$B$1:$G$306,3,FALSE)</f>
        <v>#N/A</v>
      </c>
      <c r="D171" s="109" t="str">
        <f>VLOOKUP($A171,ANAGRAFICA!$B$1:$G$306,4,FALSE)</f>
        <v>#N/A</v>
      </c>
      <c r="E171" s="109" t="str">
        <f>VLOOKUP($A171,ANAGRAFICA!$B$1:$G$306,5,FALSE)</f>
        <v>#N/A</v>
      </c>
      <c r="F171" s="109" t="str">
        <f>VLOOKUP($A171,ANAGRAFICA!$B$1:$G$306,6,FALSE)</f>
        <v>#N/A</v>
      </c>
      <c r="G171" s="117" t="b">
        <v>0</v>
      </c>
      <c r="H171" s="117" t="b">
        <v>0</v>
      </c>
      <c r="I171" s="117" t="b">
        <v>0</v>
      </c>
      <c r="J171" s="117"/>
    </row>
    <row r="172">
      <c r="A172" s="94"/>
      <c r="B172" s="109" t="str">
        <f>VLOOKUP($A172,ANAGRAFICA!$B$1:$G$306,2,FALSE)</f>
        <v>#N/A</v>
      </c>
      <c r="C172" s="109" t="str">
        <f>VLOOKUP($A172,ANAGRAFICA!$B$1:$G$306,3,FALSE)</f>
        <v>#N/A</v>
      </c>
      <c r="D172" s="109" t="str">
        <f>VLOOKUP($A172,ANAGRAFICA!$B$1:$G$306,4,FALSE)</f>
        <v>#N/A</v>
      </c>
      <c r="E172" s="109" t="str">
        <f>VLOOKUP($A172,ANAGRAFICA!$B$1:$G$306,5,FALSE)</f>
        <v>#N/A</v>
      </c>
      <c r="F172" s="109" t="str">
        <f>VLOOKUP($A172,ANAGRAFICA!$B$1:$G$306,6,FALSE)</f>
        <v>#N/A</v>
      </c>
      <c r="G172" s="117" t="b">
        <v>0</v>
      </c>
      <c r="H172" s="117" t="b">
        <v>0</v>
      </c>
      <c r="I172" s="117" t="b">
        <v>0</v>
      </c>
      <c r="J172" s="117"/>
    </row>
    <row r="173">
      <c r="A173" s="94"/>
      <c r="B173" s="109" t="str">
        <f>VLOOKUP($A173,ANAGRAFICA!$B$1:$G$306,2,FALSE)</f>
        <v>#N/A</v>
      </c>
      <c r="C173" s="109" t="str">
        <f>VLOOKUP($A173,ANAGRAFICA!$B$1:$G$306,3,FALSE)</f>
        <v>#N/A</v>
      </c>
      <c r="D173" s="109" t="str">
        <f>VLOOKUP($A173,ANAGRAFICA!$B$1:$G$306,4,FALSE)</f>
        <v>#N/A</v>
      </c>
      <c r="E173" s="109" t="str">
        <f>VLOOKUP($A173,ANAGRAFICA!$B$1:$G$306,5,FALSE)</f>
        <v>#N/A</v>
      </c>
      <c r="F173" s="109" t="str">
        <f>VLOOKUP($A173,ANAGRAFICA!$B$1:$G$306,6,FALSE)</f>
        <v>#N/A</v>
      </c>
      <c r="G173" s="117" t="b">
        <v>0</v>
      </c>
      <c r="H173" s="117" t="b">
        <v>0</v>
      </c>
      <c r="I173" s="117" t="b">
        <v>0</v>
      </c>
      <c r="J173" s="117"/>
    </row>
    <row r="174">
      <c r="A174" s="94"/>
      <c r="B174" s="109" t="str">
        <f>VLOOKUP($A174,ANAGRAFICA!$B$1:$G$306,2,FALSE)</f>
        <v>#N/A</v>
      </c>
      <c r="C174" s="109" t="str">
        <f>VLOOKUP($A174,ANAGRAFICA!$B$1:$G$306,3,FALSE)</f>
        <v>#N/A</v>
      </c>
      <c r="D174" s="109" t="str">
        <f>VLOOKUP($A174,ANAGRAFICA!$B$1:$G$306,4,FALSE)</f>
        <v>#N/A</v>
      </c>
      <c r="E174" s="109" t="str">
        <f>VLOOKUP($A174,ANAGRAFICA!$B$1:$G$306,5,FALSE)</f>
        <v>#N/A</v>
      </c>
      <c r="F174" s="109" t="str">
        <f>VLOOKUP($A174,ANAGRAFICA!$B$1:$G$306,6,FALSE)</f>
        <v>#N/A</v>
      </c>
      <c r="G174" s="117" t="b">
        <v>0</v>
      </c>
      <c r="H174" s="117" t="b">
        <v>0</v>
      </c>
      <c r="I174" s="117" t="b">
        <v>0</v>
      </c>
      <c r="J174" s="117"/>
    </row>
    <row r="175">
      <c r="A175" s="94"/>
      <c r="B175" s="109" t="str">
        <f>VLOOKUP($A175,ANAGRAFICA!$B$1:$G$306,2,FALSE)</f>
        <v>#N/A</v>
      </c>
      <c r="C175" s="109" t="str">
        <f>VLOOKUP($A175,ANAGRAFICA!$B$1:$G$306,3,FALSE)</f>
        <v>#N/A</v>
      </c>
      <c r="D175" s="109" t="str">
        <f>VLOOKUP($A175,ANAGRAFICA!$B$1:$G$306,4,FALSE)</f>
        <v>#N/A</v>
      </c>
      <c r="E175" s="109" t="str">
        <f>VLOOKUP($A175,ANAGRAFICA!$B$1:$G$306,5,FALSE)</f>
        <v>#N/A</v>
      </c>
      <c r="F175" s="109" t="str">
        <f>VLOOKUP($A175,ANAGRAFICA!$B$1:$G$306,6,FALSE)</f>
        <v>#N/A</v>
      </c>
      <c r="G175" s="117" t="b">
        <v>0</v>
      </c>
      <c r="H175" s="117" t="b">
        <v>0</v>
      </c>
      <c r="I175" s="117" t="b">
        <v>0</v>
      </c>
      <c r="J175" s="117"/>
    </row>
    <row r="176">
      <c r="A176" s="94"/>
      <c r="B176" s="109" t="str">
        <f>VLOOKUP($A176,ANAGRAFICA!$B$1:$G$306,2,FALSE)</f>
        <v>#N/A</v>
      </c>
      <c r="C176" s="109" t="str">
        <f>VLOOKUP($A176,ANAGRAFICA!$B$1:$G$306,3,FALSE)</f>
        <v>#N/A</v>
      </c>
      <c r="D176" s="109" t="str">
        <f>VLOOKUP($A176,ANAGRAFICA!$B$1:$G$306,4,FALSE)</f>
        <v>#N/A</v>
      </c>
      <c r="E176" s="109" t="str">
        <f>VLOOKUP($A176,ANAGRAFICA!$B$1:$G$306,5,FALSE)</f>
        <v>#N/A</v>
      </c>
      <c r="F176" s="109" t="str">
        <f>VLOOKUP($A176,ANAGRAFICA!$B$1:$G$306,6,FALSE)</f>
        <v>#N/A</v>
      </c>
      <c r="G176" s="117" t="b">
        <v>0</v>
      </c>
      <c r="H176" s="117" t="b">
        <v>0</v>
      </c>
      <c r="I176" s="117" t="b">
        <v>0</v>
      </c>
      <c r="J176" s="117"/>
    </row>
    <row r="177">
      <c r="A177" s="94"/>
      <c r="B177" s="109" t="str">
        <f>VLOOKUP($A177,ANAGRAFICA!$B$1:$G$306,2,FALSE)</f>
        <v>#N/A</v>
      </c>
      <c r="C177" s="109" t="str">
        <f>VLOOKUP($A177,ANAGRAFICA!$B$1:$G$306,3,FALSE)</f>
        <v>#N/A</v>
      </c>
      <c r="D177" s="109" t="str">
        <f>VLOOKUP($A177,ANAGRAFICA!$B$1:$G$306,4,FALSE)</f>
        <v>#N/A</v>
      </c>
      <c r="E177" s="109" t="str">
        <f>VLOOKUP($A177,ANAGRAFICA!$B$1:$G$306,5,FALSE)</f>
        <v>#N/A</v>
      </c>
      <c r="F177" s="109" t="str">
        <f>VLOOKUP($A177,ANAGRAFICA!$B$1:$G$306,6,FALSE)</f>
        <v>#N/A</v>
      </c>
      <c r="G177" s="117" t="b">
        <v>0</v>
      </c>
      <c r="H177" s="117" t="b">
        <v>0</v>
      </c>
      <c r="I177" s="117" t="b">
        <v>0</v>
      </c>
      <c r="J177" s="117"/>
    </row>
    <row r="178">
      <c r="A178" s="94"/>
      <c r="B178" s="109" t="str">
        <f>VLOOKUP($A178,ANAGRAFICA!$B$1:$G$306,2,FALSE)</f>
        <v>#N/A</v>
      </c>
      <c r="C178" s="109" t="str">
        <f>VLOOKUP($A178,ANAGRAFICA!$B$1:$G$306,3,FALSE)</f>
        <v>#N/A</v>
      </c>
      <c r="D178" s="109" t="str">
        <f>VLOOKUP($A178,ANAGRAFICA!$B$1:$G$306,4,FALSE)</f>
        <v>#N/A</v>
      </c>
      <c r="E178" s="109" t="str">
        <f>VLOOKUP($A178,ANAGRAFICA!$B$1:$G$306,5,FALSE)</f>
        <v>#N/A</v>
      </c>
      <c r="F178" s="109" t="str">
        <f>VLOOKUP($A178,ANAGRAFICA!$B$1:$G$306,6,FALSE)</f>
        <v>#N/A</v>
      </c>
      <c r="G178" s="117" t="b">
        <v>0</v>
      </c>
      <c r="H178" s="117" t="b">
        <v>0</v>
      </c>
      <c r="I178" s="117" t="b">
        <v>0</v>
      </c>
      <c r="J178" s="117"/>
    </row>
    <row r="179">
      <c r="A179" s="94"/>
      <c r="B179" s="109" t="str">
        <f>VLOOKUP($A179,ANAGRAFICA!$B$1:$G$306,2,FALSE)</f>
        <v>#N/A</v>
      </c>
      <c r="C179" s="109" t="str">
        <f>VLOOKUP($A179,ANAGRAFICA!$B$1:$G$306,3,FALSE)</f>
        <v>#N/A</v>
      </c>
      <c r="D179" s="109" t="str">
        <f>VLOOKUP($A179,ANAGRAFICA!$B$1:$G$306,4,FALSE)</f>
        <v>#N/A</v>
      </c>
      <c r="E179" s="109" t="str">
        <f>VLOOKUP($A179,ANAGRAFICA!$B$1:$G$306,5,FALSE)</f>
        <v>#N/A</v>
      </c>
      <c r="F179" s="109" t="str">
        <f>VLOOKUP($A179,ANAGRAFICA!$B$1:$G$306,6,FALSE)</f>
        <v>#N/A</v>
      </c>
      <c r="G179" s="117" t="b">
        <v>0</v>
      </c>
      <c r="H179" s="117" t="b">
        <v>0</v>
      </c>
      <c r="I179" s="117" t="b">
        <v>0</v>
      </c>
      <c r="J179" s="117"/>
    </row>
    <row r="180">
      <c r="A180" s="94"/>
      <c r="B180" s="109" t="str">
        <f>VLOOKUP($A180,ANAGRAFICA!$B$1:$G$306,2,FALSE)</f>
        <v>#N/A</v>
      </c>
      <c r="C180" s="109" t="str">
        <f>VLOOKUP($A180,ANAGRAFICA!$B$1:$G$306,3,FALSE)</f>
        <v>#N/A</v>
      </c>
      <c r="D180" s="109" t="str">
        <f>VLOOKUP($A180,ANAGRAFICA!$B$1:$G$306,4,FALSE)</f>
        <v>#N/A</v>
      </c>
      <c r="E180" s="109" t="str">
        <f>VLOOKUP($A180,ANAGRAFICA!$B$1:$G$306,5,FALSE)</f>
        <v>#N/A</v>
      </c>
      <c r="F180" s="109" t="str">
        <f>VLOOKUP($A180,ANAGRAFICA!$B$1:$G$306,6,FALSE)</f>
        <v>#N/A</v>
      </c>
      <c r="G180" s="117" t="b">
        <v>0</v>
      </c>
      <c r="H180" s="117" t="b">
        <v>0</v>
      </c>
      <c r="I180" s="117" t="b">
        <v>0</v>
      </c>
      <c r="J180" s="117"/>
    </row>
    <row r="181">
      <c r="A181" s="94"/>
      <c r="B181" s="109" t="str">
        <f>VLOOKUP($A181,ANAGRAFICA!$B$1:$G$306,2,FALSE)</f>
        <v>#N/A</v>
      </c>
      <c r="C181" s="109" t="str">
        <f>VLOOKUP($A181,ANAGRAFICA!$B$1:$G$306,3,FALSE)</f>
        <v>#N/A</v>
      </c>
      <c r="D181" s="109" t="str">
        <f>VLOOKUP($A181,ANAGRAFICA!$B$1:$G$306,4,FALSE)</f>
        <v>#N/A</v>
      </c>
      <c r="E181" s="109" t="str">
        <f>VLOOKUP($A181,ANAGRAFICA!$B$1:$G$306,5,FALSE)</f>
        <v>#N/A</v>
      </c>
      <c r="F181" s="109" t="str">
        <f>VLOOKUP($A181,ANAGRAFICA!$B$1:$G$306,6,FALSE)</f>
        <v>#N/A</v>
      </c>
      <c r="G181" s="117" t="b">
        <v>0</v>
      </c>
      <c r="H181" s="117" t="b">
        <v>0</v>
      </c>
      <c r="I181" s="117" t="b">
        <v>0</v>
      </c>
      <c r="J181" s="117"/>
    </row>
    <row r="182">
      <c r="A182" s="94"/>
      <c r="B182" s="109" t="str">
        <f>VLOOKUP($A182,ANAGRAFICA!$B$1:$G$306,2,FALSE)</f>
        <v>#N/A</v>
      </c>
      <c r="C182" s="109" t="str">
        <f>VLOOKUP($A182,ANAGRAFICA!$B$1:$G$306,3,FALSE)</f>
        <v>#N/A</v>
      </c>
      <c r="D182" s="109" t="str">
        <f>VLOOKUP($A182,ANAGRAFICA!$B$1:$G$306,4,FALSE)</f>
        <v>#N/A</v>
      </c>
      <c r="E182" s="109" t="str">
        <f>VLOOKUP($A182,ANAGRAFICA!$B$1:$G$306,5,FALSE)</f>
        <v>#N/A</v>
      </c>
      <c r="F182" s="109" t="str">
        <f>VLOOKUP($A182,ANAGRAFICA!$B$1:$G$306,6,FALSE)</f>
        <v>#N/A</v>
      </c>
      <c r="G182" s="117" t="b">
        <v>0</v>
      </c>
      <c r="H182" s="117" t="b">
        <v>0</v>
      </c>
      <c r="I182" s="117" t="b">
        <v>0</v>
      </c>
      <c r="J182" s="117"/>
    </row>
    <row r="183">
      <c r="A183" s="94"/>
      <c r="B183" s="109" t="str">
        <f>VLOOKUP($A183,ANAGRAFICA!$B$1:$G$306,2,FALSE)</f>
        <v>#N/A</v>
      </c>
      <c r="C183" s="109" t="str">
        <f>VLOOKUP($A183,ANAGRAFICA!$B$1:$G$306,3,FALSE)</f>
        <v>#N/A</v>
      </c>
      <c r="D183" s="109" t="str">
        <f>VLOOKUP($A183,ANAGRAFICA!$B$1:$G$306,4,FALSE)</f>
        <v>#N/A</v>
      </c>
      <c r="E183" s="109" t="str">
        <f>VLOOKUP($A183,ANAGRAFICA!$B$1:$G$306,5,FALSE)</f>
        <v>#N/A</v>
      </c>
      <c r="F183" s="109" t="str">
        <f>VLOOKUP($A183,ANAGRAFICA!$B$1:$G$306,6,FALSE)</f>
        <v>#N/A</v>
      </c>
      <c r="G183" s="117" t="b">
        <v>0</v>
      </c>
      <c r="H183" s="117" t="b">
        <v>0</v>
      </c>
      <c r="I183" s="117" t="b">
        <v>0</v>
      </c>
      <c r="J183" s="117"/>
    </row>
    <row r="184">
      <c r="A184" s="94"/>
      <c r="B184" s="109" t="str">
        <f>VLOOKUP($A184,ANAGRAFICA!$B$1:$G$306,2,FALSE)</f>
        <v>#N/A</v>
      </c>
      <c r="C184" s="109" t="str">
        <f>VLOOKUP($A184,ANAGRAFICA!$B$1:$G$306,3,FALSE)</f>
        <v>#N/A</v>
      </c>
      <c r="D184" s="109" t="str">
        <f>VLOOKUP($A184,ANAGRAFICA!$B$1:$G$306,4,FALSE)</f>
        <v>#N/A</v>
      </c>
      <c r="E184" s="109" t="str">
        <f>VLOOKUP($A184,ANAGRAFICA!$B$1:$G$306,5,FALSE)</f>
        <v>#N/A</v>
      </c>
      <c r="F184" s="109" t="str">
        <f>VLOOKUP($A184,ANAGRAFICA!$B$1:$G$306,6,FALSE)</f>
        <v>#N/A</v>
      </c>
      <c r="G184" s="117" t="b">
        <v>0</v>
      </c>
      <c r="H184" s="117" t="b">
        <v>0</v>
      </c>
      <c r="I184" s="117" t="b">
        <v>0</v>
      </c>
      <c r="J184" s="117"/>
    </row>
    <row r="185">
      <c r="A185" s="94"/>
      <c r="B185" s="109" t="str">
        <f>VLOOKUP($A185,ANAGRAFICA!$B$1:$G$306,2,FALSE)</f>
        <v>#N/A</v>
      </c>
      <c r="C185" s="109" t="str">
        <f>VLOOKUP($A185,ANAGRAFICA!$B$1:$G$306,3,FALSE)</f>
        <v>#N/A</v>
      </c>
      <c r="D185" s="109" t="str">
        <f>VLOOKUP($A185,ANAGRAFICA!$B$1:$G$306,4,FALSE)</f>
        <v>#N/A</v>
      </c>
      <c r="E185" s="109" t="str">
        <f>VLOOKUP($A185,ANAGRAFICA!$B$1:$G$306,5,FALSE)</f>
        <v>#N/A</v>
      </c>
      <c r="F185" s="109" t="str">
        <f>VLOOKUP($A185,ANAGRAFICA!$B$1:$G$306,6,FALSE)</f>
        <v>#N/A</v>
      </c>
      <c r="G185" s="117" t="b">
        <v>0</v>
      </c>
      <c r="H185" s="117" t="b">
        <v>0</v>
      </c>
      <c r="I185" s="117" t="b">
        <v>0</v>
      </c>
      <c r="J185" s="117"/>
    </row>
    <row r="186">
      <c r="A186" s="94"/>
      <c r="B186" s="109" t="str">
        <f>VLOOKUP($A186,ANAGRAFICA!$B$1:$G$306,2,FALSE)</f>
        <v>#N/A</v>
      </c>
      <c r="C186" s="109" t="str">
        <f>VLOOKUP($A186,ANAGRAFICA!$B$1:$G$306,3,FALSE)</f>
        <v>#N/A</v>
      </c>
      <c r="D186" s="109" t="str">
        <f>VLOOKUP($A186,ANAGRAFICA!$B$1:$G$306,4,FALSE)</f>
        <v>#N/A</v>
      </c>
      <c r="E186" s="109" t="str">
        <f>VLOOKUP($A186,ANAGRAFICA!$B$1:$G$306,5,FALSE)</f>
        <v>#N/A</v>
      </c>
      <c r="F186" s="109" t="str">
        <f>VLOOKUP($A186,ANAGRAFICA!$B$1:$G$306,6,FALSE)</f>
        <v>#N/A</v>
      </c>
      <c r="G186" s="117" t="b">
        <v>0</v>
      </c>
      <c r="H186" s="117" t="b">
        <v>0</v>
      </c>
      <c r="I186" s="117" t="b">
        <v>0</v>
      </c>
      <c r="J186" s="117"/>
    </row>
    <row r="187">
      <c r="A187" s="94"/>
      <c r="B187" s="109" t="str">
        <f>VLOOKUP($A187,ANAGRAFICA!$B$1:$G$306,2,FALSE)</f>
        <v>#N/A</v>
      </c>
      <c r="C187" s="109" t="str">
        <f>VLOOKUP($A187,ANAGRAFICA!$B$1:$G$306,3,FALSE)</f>
        <v>#N/A</v>
      </c>
      <c r="D187" s="109" t="str">
        <f>VLOOKUP($A187,ANAGRAFICA!$B$1:$G$306,4,FALSE)</f>
        <v>#N/A</v>
      </c>
      <c r="E187" s="109" t="str">
        <f>VLOOKUP($A187,ANAGRAFICA!$B$1:$G$306,5,FALSE)</f>
        <v>#N/A</v>
      </c>
      <c r="F187" s="109" t="str">
        <f>VLOOKUP($A187,ANAGRAFICA!$B$1:$G$306,6,FALSE)</f>
        <v>#N/A</v>
      </c>
      <c r="G187" s="117" t="b">
        <v>0</v>
      </c>
      <c r="H187" s="117" t="b">
        <v>0</v>
      </c>
      <c r="I187" s="117" t="b">
        <v>0</v>
      </c>
      <c r="J187" s="117"/>
    </row>
    <row r="188">
      <c r="A188" s="94"/>
      <c r="B188" s="109" t="str">
        <f>VLOOKUP($A188,ANAGRAFICA!$B$1:$G$306,2,FALSE)</f>
        <v>#N/A</v>
      </c>
      <c r="C188" s="109" t="str">
        <f>VLOOKUP($A188,ANAGRAFICA!$B$1:$G$306,3,FALSE)</f>
        <v>#N/A</v>
      </c>
      <c r="D188" s="109" t="str">
        <f>VLOOKUP($A188,ANAGRAFICA!$B$1:$G$306,4,FALSE)</f>
        <v>#N/A</v>
      </c>
      <c r="E188" s="109" t="str">
        <f>VLOOKUP($A188,ANAGRAFICA!$B$1:$G$306,5,FALSE)</f>
        <v>#N/A</v>
      </c>
      <c r="F188" s="109" t="str">
        <f>VLOOKUP($A188,ANAGRAFICA!$B$1:$G$306,6,FALSE)</f>
        <v>#N/A</v>
      </c>
      <c r="G188" s="117" t="b">
        <v>0</v>
      </c>
      <c r="H188" s="117" t="b">
        <v>0</v>
      </c>
      <c r="I188" s="117" t="b">
        <v>0</v>
      </c>
      <c r="J188" s="117"/>
    </row>
    <row r="189">
      <c r="A189" s="94"/>
      <c r="B189" s="109" t="str">
        <f>VLOOKUP($A189,ANAGRAFICA!$B$1:$G$306,2,FALSE)</f>
        <v>#N/A</v>
      </c>
      <c r="C189" s="109" t="str">
        <f>VLOOKUP($A189,ANAGRAFICA!$B$1:$G$306,3,FALSE)</f>
        <v>#N/A</v>
      </c>
      <c r="D189" s="109" t="str">
        <f>VLOOKUP($A189,ANAGRAFICA!$B$1:$G$306,4,FALSE)</f>
        <v>#N/A</v>
      </c>
      <c r="E189" s="109" t="str">
        <f>VLOOKUP($A189,ANAGRAFICA!$B$1:$G$306,5,FALSE)</f>
        <v>#N/A</v>
      </c>
      <c r="F189" s="109" t="str">
        <f>VLOOKUP($A189,ANAGRAFICA!$B$1:$G$306,6,FALSE)</f>
        <v>#N/A</v>
      </c>
      <c r="G189" s="117" t="b">
        <v>0</v>
      </c>
      <c r="H189" s="117" t="b">
        <v>0</v>
      </c>
      <c r="I189" s="117" t="b">
        <v>0</v>
      </c>
      <c r="J189" s="117"/>
    </row>
    <row r="190">
      <c r="A190" s="94"/>
      <c r="B190" s="109" t="str">
        <f>VLOOKUP($A190,ANAGRAFICA!$B$1:$G$306,2,FALSE)</f>
        <v>#N/A</v>
      </c>
      <c r="C190" s="109" t="str">
        <f>VLOOKUP($A190,ANAGRAFICA!$B$1:$G$306,3,FALSE)</f>
        <v>#N/A</v>
      </c>
      <c r="D190" s="109" t="str">
        <f>VLOOKUP($A190,ANAGRAFICA!$B$1:$G$306,4,FALSE)</f>
        <v>#N/A</v>
      </c>
      <c r="E190" s="109" t="str">
        <f>VLOOKUP($A190,ANAGRAFICA!$B$1:$G$306,5,FALSE)</f>
        <v>#N/A</v>
      </c>
      <c r="F190" s="109" t="str">
        <f>VLOOKUP($A190,ANAGRAFICA!$B$1:$G$306,6,FALSE)</f>
        <v>#N/A</v>
      </c>
      <c r="G190" s="117" t="b">
        <v>0</v>
      </c>
      <c r="H190" s="117" t="b">
        <v>0</v>
      </c>
      <c r="I190" s="117" t="b">
        <v>0</v>
      </c>
      <c r="J190" s="117"/>
    </row>
    <row r="191">
      <c r="A191" s="94"/>
      <c r="B191" s="109" t="str">
        <f>VLOOKUP($A191,ANAGRAFICA!$B$1:$G$306,2,FALSE)</f>
        <v>#N/A</v>
      </c>
      <c r="C191" s="109" t="str">
        <f>VLOOKUP($A191,ANAGRAFICA!$B$1:$G$306,3,FALSE)</f>
        <v>#N/A</v>
      </c>
      <c r="D191" s="109" t="str">
        <f>VLOOKUP($A191,ANAGRAFICA!$B$1:$G$306,4,FALSE)</f>
        <v>#N/A</v>
      </c>
      <c r="E191" s="109" t="str">
        <f>VLOOKUP($A191,ANAGRAFICA!$B$1:$G$306,5,FALSE)</f>
        <v>#N/A</v>
      </c>
      <c r="F191" s="109" t="str">
        <f>VLOOKUP($A191,ANAGRAFICA!$B$1:$G$306,6,FALSE)</f>
        <v>#N/A</v>
      </c>
      <c r="G191" s="117" t="b">
        <v>0</v>
      </c>
      <c r="H191" s="117" t="b">
        <v>0</v>
      </c>
      <c r="I191" s="117" t="b">
        <v>0</v>
      </c>
      <c r="J191" s="117"/>
    </row>
    <row r="192">
      <c r="A192" s="94"/>
      <c r="B192" s="109" t="str">
        <f>VLOOKUP($A192,ANAGRAFICA!$B$1:$G$306,2,FALSE)</f>
        <v>#N/A</v>
      </c>
      <c r="C192" s="109" t="str">
        <f>VLOOKUP($A192,ANAGRAFICA!$B$1:$G$306,3,FALSE)</f>
        <v>#N/A</v>
      </c>
      <c r="D192" s="109" t="str">
        <f>VLOOKUP($A192,ANAGRAFICA!$B$1:$G$306,4,FALSE)</f>
        <v>#N/A</v>
      </c>
      <c r="E192" s="109" t="str">
        <f>VLOOKUP($A192,ANAGRAFICA!$B$1:$G$306,5,FALSE)</f>
        <v>#N/A</v>
      </c>
      <c r="F192" s="109" t="str">
        <f>VLOOKUP($A192,ANAGRAFICA!$B$1:$G$306,6,FALSE)</f>
        <v>#N/A</v>
      </c>
      <c r="G192" s="117" t="b">
        <v>0</v>
      </c>
      <c r="H192" s="117" t="b">
        <v>0</v>
      </c>
      <c r="I192" s="117" t="b">
        <v>0</v>
      </c>
      <c r="J192" s="117"/>
    </row>
    <row r="193">
      <c r="A193" s="94"/>
      <c r="B193" s="109" t="str">
        <f>VLOOKUP($A193,ANAGRAFICA!$B$1:$G$306,2,FALSE)</f>
        <v>#N/A</v>
      </c>
      <c r="C193" s="109" t="str">
        <f>VLOOKUP($A193,ANAGRAFICA!$B$1:$G$306,3,FALSE)</f>
        <v>#N/A</v>
      </c>
      <c r="D193" s="109" t="str">
        <f>VLOOKUP($A193,ANAGRAFICA!$B$1:$G$306,4,FALSE)</f>
        <v>#N/A</v>
      </c>
      <c r="E193" s="109" t="str">
        <f>VLOOKUP($A193,ANAGRAFICA!$B$1:$G$306,5,FALSE)</f>
        <v>#N/A</v>
      </c>
      <c r="F193" s="109" t="str">
        <f>VLOOKUP($A193,ANAGRAFICA!$B$1:$G$306,6,FALSE)</f>
        <v>#N/A</v>
      </c>
      <c r="G193" s="117" t="b">
        <v>0</v>
      </c>
      <c r="H193" s="117" t="b">
        <v>0</v>
      </c>
      <c r="I193" s="117" t="b">
        <v>0</v>
      </c>
      <c r="J193" s="117"/>
    </row>
    <row r="194">
      <c r="A194" s="94"/>
      <c r="B194" s="109" t="str">
        <f>VLOOKUP($A194,ANAGRAFICA!$B$1:$G$306,2,FALSE)</f>
        <v>#N/A</v>
      </c>
      <c r="C194" s="109" t="str">
        <f>VLOOKUP($A194,ANAGRAFICA!$B$1:$G$306,3,FALSE)</f>
        <v>#N/A</v>
      </c>
      <c r="D194" s="109" t="str">
        <f>VLOOKUP($A194,ANAGRAFICA!$B$1:$G$306,4,FALSE)</f>
        <v>#N/A</v>
      </c>
      <c r="E194" s="109" t="str">
        <f>VLOOKUP($A194,ANAGRAFICA!$B$1:$G$306,5,FALSE)</f>
        <v>#N/A</v>
      </c>
      <c r="F194" s="109" t="str">
        <f>VLOOKUP($A194,ANAGRAFICA!$B$1:$G$306,6,FALSE)</f>
        <v>#N/A</v>
      </c>
      <c r="G194" s="117" t="b">
        <v>0</v>
      </c>
      <c r="H194" s="117" t="b">
        <v>0</v>
      </c>
      <c r="I194" s="117" t="b">
        <v>0</v>
      </c>
      <c r="J194" s="117"/>
    </row>
    <row r="195">
      <c r="A195" s="94"/>
      <c r="B195" s="109" t="str">
        <f>VLOOKUP($A195,ANAGRAFICA!$B$1:$G$306,2,FALSE)</f>
        <v>#N/A</v>
      </c>
      <c r="C195" s="109" t="str">
        <f>VLOOKUP($A195,ANAGRAFICA!$B$1:$G$306,3,FALSE)</f>
        <v>#N/A</v>
      </c>
      <c r="D195" s="109" t="str">
        <f>VLOOKUP($A195,ANAGRAFICA!$B$1:$G$306,4,FALSE)</f>
        <v>#N/A</v>
      </c>
      <c r="E195" s="109" t="str">
        <f>VLOOKUP($A195,ANAGRAFICA!$B$1:$G$306,5,FALSE)</f>
        <v>#N/A</v>
      </c>
      <c r="F195" s="109" t="str">
        <f>VLOOKUP($A195,ANAGRAFICA!$B$1:$G$306,6,FALSE)</f>
        <v>#N/A</v>
      </c>
      <c r="G195" s="117" t="b">
        <v>0</v>
      </c>
      <c r="H195" s="117" t="b">
        <v>0</v>
      </c>
      <c r="I195" s="117" t="b">
        <v>0</v>
      </c>
      <c r="J195" s="117"/>
    </row>
    <row r="196">
      <c r="A196" s="94"/>
      <c r="B196" s="109" t="str">
        <f>VLOOKUP($A196,ANAGRAFICA!$B$1:$G$306,2,FALSE)</f>
        <v>#N/A</v>
      </c>
      <c r="C196" s="109" t="str">
        <f>VLOOKUP($A196,ANAGRAFICA!$B$1:$G$306,3,FALSE)</f>
        <v>#N/A</v>
      </c>
      <c r="D196" s="109" t="str">
        <f>VLOOKUP($A196,ANAGRAFICA!$B$1:$G$306,4,FALSE)</f>
        <v>#N/A</v>
      </c>
      <c r="E196" s="109" t="str">
        <f>VLOOKUP($A196,ANAGRAFICA!$B$1:$G$306,5,FALSE)</f>
        <v>#N/A</v>
      </c>
      <c r="F196" s="109" t="str">
        <f>VLOOKUP($A196,ANAGRAFICA!$B$1:$G$306,6,FALSE)</f>
        <v>#N/A</v>
      </c>
      <c r="G196" s="117" t="b">
        <v>0</v>
      </c>
      <c r="H196" s="117" t="b">
        <v>0</v>
      </c>
      <c r="I196" s="117" t="b">
        <v>0</v>
      </c>
      <c r="J196" s="117"/>
    </row>
    <row r="197">
      <c r="A197" s="94"/>
      <c r="B197" s="109" t="str">
        <f>VLOOKUP($A197,ANAGRAFICA!$B$1:$G$306,2,FALSE)</f>
        <v>#N/A</v>
      </c>
      <c r="C197" s="109" t="str">
        <f>VLOOKUP($A197,ANAGRAFICA!$B$1:$G$306,3,FALSE)</f>
        <v>#N/A</v>
      </c>
      <c r="D197" s="109" t="str">
        <f>VLOOKUP($A197,ANAGRAFICA!$B$1:$G$306,4,FALSE)</f>
        <v>#N/A</v>
      </c>
      <c r="E197" s="109" t="str">
        <f>VLOOKUP($A197,ANAGRAFICA!$B$1:$G$306,5,FALSE)</f>
        <v>#N/A</v>
      </c>
      <c r="F197" s="109" t="str">
        <f>VLOOKUP($A197,ANAGRAFICA!$B$1:$G$306,6,FALSE)</f>
        <v>#N/A</v>
      </c>
      <c r="G197" s="117" t="b">
        <v>0</v>
      </c>
      <c r="H197" s="117" t="b">
        <v>0</v>
      </c>
      <c r="I197" s="117" t="b">
        <v>0</v>
      </c>
      <c r="J197" s="117"/>
    </row>
    <row r="198">
      <c r="A198" s="94"/>
      <c r="B198" s="109" t="str">
        <f>VLOOKUP($A198,ANAGRAFICA!$B$1:$G$306,2,FALSE)</f>
        <v>#N/A</v>
      </c>
      <c r="C198" s="109" t="str">
        <f>VLOOKUP($A198,ANAGRAFICA!$B$1:$G$306,3,FALSE)</f>
        <v>#N/A</v>
      </c>
      <c r="D198" s="109" t="str">
        <f>VLOOKUP($A198,ANAGRAFICA!$B$1:$G$306,4,FALSE)</f>
        <v>#N/A</v>
      </c>
      <c r="E198" s="109" t="str">
        <f>VLOOKUP($A198,ANAGRAFICA!$B$1:$G$306,5,FALSE)</f>
        <v>#N/A</v>
      </c>
      <c r="F198" s="109" t="str">
        <f>VLOOKUP($A198,ANAGRAFICA!$B$1:$G$306,6,FALSE)</f>
        <v>#N/A</v>
      </c>
      <c r="G198" s="117" t="b">
        <v>0</v>
      </c>
      <c r="H198" s="117" t="b">
        <v>0</v>
      </c>
      <c r="I198" s="117" t="b">
        <v>0</v>
      </c>
      <c r="J198" s="117"/>
    </row>
    <row r="199">
      <c r="A199" s="94"/>
      <c r="B199" s="109" t="str">
        <f>VLOOKUP($A199,ANAGRAFICA!$B$1:$G$306,2,FALSE)</f>
        <v>#N/A</v>
      </c>
      <c r="C199" s="109" t="str">
        <f>VLOOKUP($A199,ANAGRAFICA!$B$1:$G$306,3,FALSE)</f>
        <v>#N/A</v>
      </c>
      <c r="D199" s="109" t="str">
        <f>VLOOKUP($A199,ANAGRAFICA!$B$1:$G$306,4,FALSE)</f>
        <v>#N/A</v>
      </c>
      <c r="E199" s="109" t="str">
        <f>VLOOKUP($A199,ANAGRAFICA!$B$1:$G$306,5,FALSE)</f>
        <v>#N/A</v>
      </c>
      <c r="F199" s="109" t="str">
        <f>VLOOKUP($A199,ANAGRAFICA!$B$1:$G$306,6,FALSE)</f>
        <v>#N/A</v>
      </c>
      <c r="G199" s="117" t="b">
        <v>0</v>
      </c>
      <c r="H199" s="117" t="b">
        <v>0</v>
      </c>
      <c r="I199" s="117" t="b">
        <v>0</v>
      </c>
      <c r="J199" s="117"/>
    </row>
    <row r="200">
      <c r="A200" s="94"/>
      <c r="B200" s="109" t="str">
        <f>VLOOKUP($A200,ANAGRAFICA!$B$1:$G$306,2,FALSE)</f>
        <v>#N/A</v>
      </c>
      <c r="C200" s="109" t="str">
        <f>VLOOKUP($A200,ANAGRAFICA!$B$1:$G$306,3,FALSE)</f>
        <v>#N/A</v>
      </c>
      <c r="D200" s="109" t="str">
        <f>VLOOKUP($A200,ANAGRAFICA!$B$1:$G$306,4,FALSE)</f>
        <v>#N/A</v>
      </c>
      <c r="E200" s="109" t="str">
        <f>VLOOKUP($A200,ANAGRAFICA!$B$1:$G$306,5,FALSE)</f>
        <v>#N/A</v>
      </c>
      <c r="F200" s="109" t="str">
        <f>VLOOKUP($A200,ANAGRAFICA!$B$1:$G$306,6,FALSE)</f>
        <v>#N/A</v>
      </c>
      <c r="G200" s="117" t="b">
        <v>0</v>
      </c>
      <c r="H200" s="117" t="b">
        <v>0</v>
      </c>
      <c r="I200" s="117" t="b">
        <v>0</v>
      </c>
      <c r="J200" s="117"/>
    </row>
    <row r="201">
      <c r="A201" s="94"/>
      <c r="B201" s="109" t="str">
        <f>VLOOKUP($A201,ANAGRAFICA!$B$1:$G$306,2,FALSE)</f>
        <v>#N/A</v>
      </c>
      <c r="C201" s="109" t="str">
        <f>VLOOKUP($A201,ANAGRAFICA!$B$1:$G$306,3,FALSE)</f>
        <v>#N/A</v>
      </c>
      <c r="D201" s="109" t="str">
        <f>VLOOKUP($A201,ANAGRAFICA!$B$1:$G$306,4,FALSE)</f>
        <v>#N/A</v>
      </c>
      <c r="E201" s="109" t="str">
        <f>VLOOKUP($A201,ANAGRAFICA!$B$1:$G$306,5,FALSE)</f>
        <v>#N/A</v>
      </c>
      <c r="F201" s="109" t="str">
        <f>VLOOKUP($A201,ANAGRAFICA!$B$1:$G$306,6,FALSE)</f>
        <v>#N/A</v>
      </c>
      <c r="G201" s="117" t="b">
        <v>0</v>
      </c>
      <c r="H201" s="117" t="b">
        <v>0</v>
      </c>
      <c r="I201" s="117" t="b">
        <v>0</v>
      </c>
      <c r="J201" s="117"/>
    </row>
    <row r="202">
      <c r="A202" s="94"/>
      <c r="B202" s="109" t="str">
        <f>VLOOKUP($A202,ANAGRAFICA!$B$1:$G$306,2,FALSE)</f>
        <v>#N/A</v>
      </c>
      <c r="C202" s="109" t="str">
        <f>VLOOKUP($A202,ANAGRAFICA!$B$1:$G$306,3,FALSE)</f>
        <v>#N/A</v>
      </c>
      <c r="D202" s="109" t="str">
        <f>VLOOKUP($A202,ANAGRAFICA!$B$1:$G$306,4,FALSE)</f>
        <v>#N/A</v>
      </c>
      <c r="E202" s="109" t="str">
        <f>VLOOKUP($A202,ANAGRAFICA!$B$1:$G$306,5,FALSE)</f>
        <v>#N/A</v>
      </c>
      <c r="F202" s="109" t="str">
        <f>VLOOKUP($A202,ANAGRAFICA!$B$1:$G$306,6,FALSE)</f>
        <v>#N/A</v>
      </c>
      <c r="G202" s="117" t="b">
        <v>0</v>
      </c>
      <c r="H202" s="117" t="b">
        <v>0</v>
      </c>
      <c r="I202" s="117" t="b">
        <v>0</v>
      </c>
      <c r="J202" s="117"/>
    </row>
    <row r="203">
      <c r="A203" s="94"/>
      <c r="B203" s="109" t="str">
        <f>VLOOKUP($A203,ANAGRAFICA!$B$1:$G$306,2,FALSE)</f>
        <v>#N/A</v>
      </c>
      <c r="C203" s="109" t="str">
        <f>VLOOKUP($A203,ANAGRAFICA!$B$1:$G$306,3,FALSE)</f>
        <v>#N/A</v>
      </c>
      <c r="D203" s="109" t="str">
        <f>VLOOKUP($A203,ANAGRAFICA!$B$1:$G$306,4,FALSE)</f>
        <v>#N/A</v>
      </c>
      <c r="E203" s="109" t="str">
        <f>VLOOKUP($A203,ANAGRAFICA!$B$1:$G$306,5,FALSE)</f>
        <v>#N/A</v>
      </c>
      <c r="F203" s="109" t="str">
        <f>VLOOKUP($A203,ANAGRAFICA!$B$1:$G$306,6,FALSE)</f>
        <v>#N/A</v>
      </c>
      <c r="G203" s="117" t="b">
        <v>0</v>
      </c>
      <c r="H203" s="117" t="b">
        <v>0</v>
      </c>
      <c r="I203" s="117" t="b">
        <v>0</v>
      </c>
      <c r="J203" s="117"/>
    </row>
    <row r="204">
      <c r="A204" s="94"/>
      <c r="B204" s="109" t="str">
        <f>VLOOKUP($A204,ANAGRAFICA!$B$1:$G$306,2,FALSE)</f>
        <v>#N/A</v>
      </c>
      <c r="C204" s="109" t="str">
        <f>VLOOKUP($A204,ANAGRAFICA!$B$1:$G$306,3,FALSE)</f>
        <v>#N/A</v>
      </c>
      <c r="D204" s="109" t="str">
        <f>VLOOKUP($A204,ANAGRAFICA!$B$1:$G$306,4,FALSE)</f>
        <v>#N/A</v>
      </c>
      <c r="E204" s="109" t="str">
        <f>VLOOKUP($A204,ANAGRAFICA!$B$1:$G$306,5,FALSE)</f>
        <v>#N/A</v>
      </c>
      <c r="F204" s="109" t="str">
        <f>VLOOKUP($A204,ANAGRAFICA!$B$1:$G$306,6,FALSE)</f>
        <v>#N/A</v>
      </c>
      <c r="G204" s="117" t="b">
        <v>0</v>
      </c>
      <c r="H204" s="117" t="b">
        <v>0</v>
      </c>
      <c r="I204" s="117" t="b">
        <v>0</v>
      </c>
      <c r="J204" s="117"/>
    </row>
    <row r="205">
      <c r="A205" s="94"/>
      <c r="B205" s="109" t="str">
        <f>VLOOKUP($A205,ANAGRAFICA!$B$1:$G$306,2,FALSE)</f>
        <v>#N/A</v>
      </c>
      <c r="C205" s="109" t="str">
        <f>VLOOKUP($A205,ANAGRAFICA!$B$1:$G$306,3,FALSE)</f>
        <v>#N/A</v>
      </c>
      <c r="D205" s="109" t="str">
        <f>VLOOKUP($A205,ANAGRAFICA!$B$1:$G$306,4,FALSE)</f>
        <v>#N/A</v>
      </c>
      <c r="E205" s="109" t="str">
        <f>VLOOKUP($A205,ANAGRAFICA!$B$1:$G$306,5,FALSE)</f>
        <v>#N/A</v>
      </c>
      <c r="F205" s="109" t="str">
        <f>VLOOKUP($A205,ANAGRAFICA!$B$1:$G$306,6,FALSE)</f>
        <v>#N/A</v>
      </c>
      <c r="G205" s="117" t="b">
        <v>0</v>
      </c>
      <c r="H205" s="117" t="b">
        <v>0</v>
      </c>
      <c r="I205" s="117" t="b">
        <v>0</v>
      </c>
      <c r="J205" s="117"/>
    </row>
    <row r="206">
      <c r="A206" s="94"/>
      <c r="B206" s="109" t="str">
        <f>VLOOKUP($A206,ANAGRAFICA!$B$1:$G$306,2,FALSE)</f>
        <v>#N/A</v>
      </c>
      <c r="C206" s="109" t="str">
        <f>VLOOKUP($A206,ANAGRAFICA!$B$1:$G$306,3,FALSE)</f>
        <v>#N/A</v>
      </c>
      <c r="D206" s="109" t="str">
        <f>VLOOKUP($A206,ANAGRAFICA!$B$1:$G$306,4,FALSE)</f>
        <v>#N/A</v>
      </c>
      <c r="E206" s="109" t="str">
        <f>VLOOKUP($A206,ANAGRAFICA!$B$1:$G$306,5,FALSE)</f>
        <v>#N/A</v>
      </c>
      <c r="F206" s="109" t="str">
        <f>VLOOKUP($A206,ANAGRAFICA!$B$1:$G$306,6,FALSE)</f>
        <v>#N/A</v>
      </c>
      <c r="G206" s="117" t="b">
        <v>0</v>
      </c>
      <c r="H206" s="117" t="b">
        <v>0</v>
      </c>
      <c r="I206" s="117" t="b">
        <v>0</v>
      </c>
      <c r="J206" s="117"/>
    </row>
    <row r="207">
      <c r="A207" s="94"/>
      <c r="B207" s="109" t="str">
        <f>VLOOKUP($A207,ANAGRAFICA!$B$1:$G$306,2,FALSE)</f>
        <v>#N/A</v>
      </c>
      <c r="C207" s="109" t="str">
        <f>VLOOKUP($A207,ANAGRAFICA!$B$1:$G$306,3,FALSE)</f>
        <v>#N/A</v>
      </c>
      <c r="D207" s="109" t="str">
        <f>VLOOKUP($A207,ANAGRAFICA!$B$1:$G$306,4,FALSE)</f>
        <v>#N/A</v>
      </c>
      <c r="E207" s="109" t="str">
        <f>VLOOKUP($A207,ANAGRAFICA!$B$1:$G$306,5,FALSE)</f>
        <v>#N/A</v>
      </c>
      <c r="F207" s="109" t="str">
        <f>VLOOKUP($A207,ANAGRAFICA!$B$1:$G$306,6,FALSE)</f>
        <v>#N/A</v>
      </c>
      <c r="G207" s="117" t="b">
        <v>0</v>
      </c>
      <c r="H207" s="117" t="b">
        <v>0</v>
      </c>
      <c r="I207" s="117" t="b">
        <v>0</v>
      </c>
      <c r="J207" s="117"/>
    </row>
    <row r="208">
      <c r="A208" s="94"/>
      <c r="B208" s="109" t="str">
        <f>VLOOKUP($A208,ANAGRAFICA!$B$1:$G$306,2,FALSE)</f>
        <v>#N/A</v>
      </c>
      <c r="C208" s="109" t="str">
        <f>VLOOKUP($A208,ANAGRAFICA!$B$1:$G$306,3,FALSE)</f>
        <v>#N/A</v>
      </c>
      <c r="D208" s="109" t="str">
        <f>VLOOKUP($A208,ANAGRAFICA!$B$1:$G$306,4,FALSE)</f>
        <v>#N/A</v>
      </c>
      <c r="E208" s="109" t="str">
        <f>VLOOKUP($A208,ANAGRAFICA!$B$1:$G$306,5,FALSE)</f>
        <v>#N/A</v>
      </c>
      <c r="F208" s="109" t="str">
        <f>VLOOKUP($A208,ANAGRAFICA!$B$1:$G$306,6,FALSE)</f>
        <v>#N/A</v>
      </c>
      <c r="G208" s="117" t="b">
        <v>0</v>
      </c>
      <c r="H208" s="117" t="b">
        <v>0</v>
      </c>
      <c r="I208" s="117" t="b">
        <v>0</v>
      </c>
      <c r="J208" s="117"/>
    </row>
    <row r="209">
      <c r="A209" s="94"/>
      <c r="B209" s="109" t="str">
        <f>VLOOKUP($A209,ANAGRAFICA!$B$1:$G$306,2,FALSE)</f>
        <v>#N/A</v>
      </c>
      <c r="C209" s="109" t="str">
        <f>VLOOKUP($A209,ANAGRAFICA!$B$1:$G$306,3,FALSE)</f>
        <v>#N/A</v>
      </c>
      <c r="D209" s="109" t="str">
        <f>VLOOKUP($A209,ANAGRAFICA!$B$1:$G$306,4,FALSE)</f>
        <v>#N/A</v>
      </c>
      <c r="E209" s="109" t="str">
        <f>VLOOKUP($A209,ANAGRAFICA!$B$1:$G$306,5,FALSE)</f>
        <v>#N/A</v>
      </c>
      <c r="F209" s="109" t="str">
        <f>VLOOKUP($A209,ANAGRAFICA!$B$1:$G$306,6,FALSE)</f>
        <v>#N/A</v>
      </c>
      <c r="G209" s="117" t="b">
        <v>0</v>
      </c>
      <c r="H209" s="117" t="b">
        <v>0</v>
      </c>
      <c r="I209" s="117" t="b">
        <v>0</v>
      </c>
      <c r="J209" s="117"/>
    </row>
    <row r="210">
      <c r="A210" s="94"/>
      <c r="B210" s="109" t="str">
        <f>VLOOKUP($A210,ANAGRAFICA!$B$1:$G$306,2,FALSE)</f>
        <v>#N/A</v>
      </c>
      <c r="C210" s="109" t="str">
        <f>VLOOKUP($A210,ANAGRAFICA!$B$1:$G$306,3,FALSE)</f>
        <v>#N/A</v>
      </c>
      <c r="D210" s="109" t="str">
        <f>VLOOKUP($A210,ANAGRAFICA!$B$1:$G$306,4,FALSE)</f>
        <v>#N/A</v>
      </c>
      <c r="E210" s="109" t="str">
        <f>VLOOKUP($A210,ANAGRAFICA!$B$1:$G$306,5,FALSE)</f>
        <v>#N/A</v>
      </c>
      <c r="F210" s="109" t="str">
        <f>VLOOKUP($A210,ANAGRAFICA!$B$1:$G$306,6,FALSE)</f>
        <v>#N/A</v>
      </c>
      <c r="G210" s="117" t="b">
        <v>0</v>
      </c>
      <c r="H210" s="117" t="b">
        <v>0</v>
      </c>
      <c r="I210" s="117" t="b">
        <v>0</v>
      </c>
      <c r="J210" s="117"/>
    </row>
    <row r="211">
      <c r="A211" s="94"/>
      <c r="B211" s="109" t="str">
        <f>VLOOKUP($A211,ANAGRAFICA!$B$1:$G$306,2,FALSE)</f>
        <v>#N/A</v>
      </c>
      <c r="C211" s="109" t="str">
        <f>VLOOKUP($A211,ANAGRAFICA!$B$1:$G$306,3,FALSE)</f>
        <v>#N/A</v>
      </c>
      <c r="D211" s="109" t="str">
        <f>VLOOKUP($A211,ANAGRAFICA!$B$1:$G$306,4,FALSE)</f>
        <v>#N/A</v>
      </c>
      <c r="E211" s="109" t="str">
        <f>VLOOKUP($A211,ANAGRAFICA!$B$1:$G$306,5,FALSE)</f>
        <v>#N/A</v>
      </c>
      <c r="F211" s="109" t="str">
        <f>VLOOKUP($A211,ANAGRAFICA!$B$1:$G$306,6,FALSE)</f>
        <v>#N/A</v>
      </c>
      <c r="G211" s="117" t="b">
        <v>0</v>
      </c>
      <c r="H211" s="117" t="b">
        <v>0</v>
      </c>
      <c r="I211" s="117" t="b">
        <v>0</v>
      </c>
      <c r="J211" s="117"/>
    </row>
    <row r="212">
      <c r="A212" s="94"/>
      <c r="B212" s="109" t="str">
        <f>VLOOKUP($A212,ANAGRAFICA!$B$1:$G$306,2,FALSE)</f>
        <v>#N/A</v>
      </c>
      <c r="C212" s="109" t="str">
        <f>VLOOKUP($A212,ANAGRAFICA!$B$1:$G$306,3,FALSE)</f>
        <v>#N/A</v>
      </c>
      <c r="D212" s="109" t="str">
        <f>VLOOKUP($A212,ANAGRAFICA!$B$1:$G$306,4,FALSE)</f>
        <v>#N/A</v>
      </c>
      <c r="E212" s="109" t="str">
        <f>VLOOKUP($A212,ANAGRAFICA!$B$1:$G$306,5,FALSE)</f>
        <v>#N/A</v>
      </c>
      <c r="F212" s="109" t="str">
        <f>VLOOKUP($A212,ANAGRAFICA!$B$1:$G$306,6,FALSE)</f>
        <v>#N/A</v>
      </c>
      <c r="G212" s="117" t="b">
        <v>0</v>
      </c>
      <c r="H212" s="117" t="b">
        <v>0</v>
      </c>
      <c r="I212" s="117" t="b">
        <v>0</v>
      </c>
      <c r="J212" s="117"/>
    </row>
    <row r="213">
      <c r="A213" s="94"/>
      <c r="B213" s="109" t="str">
        <f>VLOOKUP($A213,ANAGRAFICA!$B$1:$G$306,2,FALSE)</f>
        <v>#N/A</v>
      </c>
      <c r="C213" s="109" t="str">
        <f>VLOOKUP($A213,ANAGRAFICA!$B$1:$G$306,3,FALSE)</f>
        <v>#N/A</v>
      </c>
      <c r="D213" s="109" t="str">
        <f>VLOOKUP($A213,ANAGRAFICA!$B$1:$G$306,4,FALSE)</f>
        <v>#N/A</v>
      </c>
      <c r="E213" s="109" t="str">
        <f>VLOOKUP($A213,ANAGRAFICA!$B$1:$G$306,5,FALSE)</f>
        <v>#N/A</v>
      </c>
      <c r="F213" s="109" t="str">
        <f>VLOOKUP($A213,ANAGRAFICA!$B$1:$G$306,6,FALSE)</f>
        <v>#N/A</v>
      </c>
      <c r="G213" s="117" t="b">
        <v>0</v>
      </c>
      <c r="H213" s="117" t="b">
        <v>0</v>
      </c>
      <c r="I213" s="117" t="b">
        <v>0</v>
      </c>
      <c r="J213" s="117"/>
    </row>
    <row r="214">
      <c r="A214" s="94"/>
      <c r="B214" s="109" t="str">
        <f>VLOOKUP($A214,ANAGRAFICA!$B$1:$G$306,2,FALSE)</f>
        <v>#N/A</v>
      </c>
      <c r="C214" s="109" t="str">
        <f>VLOOKUP($A214,ANAGRAFICA!$B$1:$G$306,3,FALSE)</f>
        <v>#N/A</v>
      </c>
      <c r="D214" s="109" t="str">
        <f>VLOOKUP($A214,ANAGRAFICA!$B$1:$G$306,4,FALSE)</f>
        <v>#N/A</v>
      </c>
      <c r="E214" s="109" t="str">
        <f>VLOOKUP($A214,ANAGRAFICA!$B$1:$G$306,5,FALSE)</f>
        <v>#N/A</v>
      </c>
      <c r="F214" s="109" t="str">
        <f>VLOOKUP($A214,ANAGRAFICA!$B$1:$G$306,6,FALSE)</f>
        <v>#N/A</v>
      </c>
      <c r="G214" s="117" t="b">
        <v>0</v>
      </c>
      <c r="H214" s="117" t="b">
        <v>0</v>
      </c>
      <c r="I214" s="117" t="b">
        <v>0</v>
      </c>
      <c r="J214" s="117"/>
    </row>
    <row r="215">
      <c r="A215" s="94"/>
      <c r="B215" s="109" t="str">
        <f>VLOOKUP($A215,ANAGRAFICA!$B$1:$G$306,2,FALSE)</f>
        <v>#N/A</v>
      </c>
      <c r="C215" s="109" t="str">
        <f>VLOOKUP($A215,ANAGRAFICA!$B$1:$G$306,3,FALSE)</f>
        <v>#N/A</v>
      </c>
      <c r="D215" s="109" t="str">
        <f>VLOOKUP($A215,ANAGRAFICA!$B$1:$G$306,4,FALSE)</f>
        <v>#N/A</v>
      </c>
      <c r="E215" s="109" t="str">
        <f>VLOOKUP($A215,ANAGRAFICA!$B$1:$G$306,5,FALSE)</f>
        <v>#N/A</v>
      </c>
      <c r="F215" s="109" t="str">
        <f>VLOOKUP($A215,ANAGRAFICA!$B$1:$G$306,6,FALSE)</f>
        <v>#N/A</v>
      </c>
      <c r="G215" s="117" t="b">
        <v>0</v>
      </c>
      <c r="H215" s="117" t="b">
        <v>0</v>
      </c>
      <c r="I215" s="117" t="b">
        <v>0</v>
      </c>
      <c r="J215" s="117"/>
    </row>
    <row r="216">
      <c r="A216" s="94"/>
      <c r="B216" s="109" t="str">
        <f>VLOOKUP($A216,ANAGRAFICA!$B$1:$G$306,2,FALSE)</f>
        <v>#N/A</v>
      </c>
      <c r="C216" s="109" t="str">
        <f>VLOOKUP($A216,ANAGRAFICA!$B$1:$G$306,3,FALSE)</f>
        <v>#N/A</v>
      </c>
      <c r="D216" s="109" t="str">
        <f>VLOOKUP($A216,ANAGRAFICA!$B$1:$G$306,4,FALSE)</f>
        <v>#N/A</v>
      </c>
      <c r="E216" s="109" t="str">
        <f>VLOOKUP($A216,ANAGRAFICA!$B$1:$G$306,5,FALSE)</f>
        <v>#N/A</v>
      </c>
      <c r="F216" s="109" t="str">
        <f>VLOOKUP($A216,ANAGRAFICA!$B$1:$G$306,6,FALSE)</f>
        <v>#N/A</v>
      </c>
      <c r="G216" s="117" t="b">
        <v>0</v>
      </c>
      <c r="H216" s="117" t="b">
        <v>0</v>
      </c>
      <c r="I216" s="117" t="b">
        <v>0</v>
      </c>
      <c r="J216" s="117"/>
    </row>
    <row r="217">
      <c r="A217" s="94"/>
      <c r="B217" s="109" t="str">
        <f>VLOOKUP($A217,ANAGRAFICA!$B$1:$G$306,2,FALSE)</f>
        <v>#N/A</v>
      </c>
      <c r="C217" s="109" t="str">
        <f>VLOOKUP($A217,ANAGRAFICA!$B$1:$G$306,3,FALSE)</f>
        <v>#N/A</v>
      </c>
      <c r="D217" s="109" t="str">
        <f>VLOOKUP($A217,ANAGRAFICA!$B$1:$G$306,4,FALSE)</f>
        <v>#N/A</v>
      </c>
      <c r="E217" s="109" t="str">
        <f>VLOOKUP($A217,ANAGRAFICA!$B$1:$G$306,5,FALSE)</f>
        <v>#N/A</v>
      </c>
      <c r="F217" s="109" t="str">
        <f>VLOOKUP($A217,ANAGRAFICA!$B$1:$G$306,6,FALSE)</f>
        <v>#N/A</v>
      </c>
      <c r="G217" s="117" t="b">
        <v>0</v>
      </c>
      <c r="H217" s="117" t="b">
        <v>0</v>
      </c>
      <c r="I217" s="117" t="b">
        <v>0</v>
      </c>
      <c r="J217" s="117"/>
    </row>
    <row r="218">
      <c r="A218" s="94"/>
      <c r="B218" s="109" t="str">
        <f>VLOOKUP($A218,ANAGRAFICA!$B$1:$G$306,2,FALSE)</f>
        <v>#N/A</v>
      </c>
      <c r="C218" s="109" t="str">
        <f>VLOOKUP($A218,ANAGRAFICA!$B$1:$G$306,3,FALSE)</f>
        <v>#N/A</v>
      </c>
      <c r="D218" s="109" t="str">
        <f>VLOOKUP($A218,ANAGRAFICA!$B$1:$G$306,4,FALSE)</f>
        <v>#N/A</v>
      </c>
      <c r="E218" s="109" t="str">
        <f>VLOOKUP($A218,ANAGRAFICA!$B$1:$G$306,5,FALSE)</f>
        <v>#N/A</v>
      </c>
      <c r="F218" s="109" t="str">
        <f>VLOOKUP($A218,ANAGRAFICA!$B$1:$G$306,6,FALSE)</f>
        <v>#N/A</v>
      </c>
      <c r="G218" s="117" t="b">
        <v>0</v>
      </c>
      <c r="H218" s="117" t="b">
        <v>0</v>
      </c>
      <c r="I218" s="117" t="b">
        <v>0</v>
      </c>
      <c r="J218" s="117"/>
    </row>
    <row r="219">
      <c r="A219" s="94"/>
      <c r="B219" s="109" t="str">
        <f>VLOOKUP($A219,ANAGRAFICA!$B$1:$G$306,2,FALSE)</f>
        <v>#N/A</v>
      </c>
      <c r="C219" s="109" t="str">
        <f>VLOOKUP($A219,ANAGRAFICA!$B$1:$G$306,3,FALSE)</f>
        <v>#N/A</v>
      </c>
      <c r="D219" s="109" t="str">
        <f>VLOOKUP($A219,ANAGRAFICA!$B$1:$G$306,4,FALSE)</f>
        <v>#N/A</v>
      </c>
      <c r="E219" s="109" t="str">
        <f>VLOOKUP($A219,ANAGRAFICA!$B$1:$G$306,5,FALSE)</f>
        <v>#N/A</v>
      </c>
      <c r="F219" s="109" t="str">
        <f>VLOOKUP($A219,ANAGRAFICA!$B$1:$G$306,6,FALSE)</f>
        <v>#N/A</v>
      </c>
      <c r="G219" s="117" t="b">
        <v>0</v>
      </c>
      <c r="H219" s="117" t="b">
        <v>0</v>
      </c>
      <c r="I219" s="117" t="b">
        <v>0</v>
      </c>
      <c r="J219" s="117"/>
    </row>
    <row r="220">
      <c r="A220" s="94"/>
      <c r="B220" s="109" t="str">
        <f>VLOOKUP($A220,ANAGRAFICA!$B$1:$G$306,2,FALSE)</f>
        <v>#N/A</v>
      </c>
      <c r="C220" s="109" t="str">
        <f>VLOOKUP($A220,ANAGRAFICA!$B$1:$G$306,3,FALSE)</f>
        <v>#N/A</v>
      </c>
      <c r="D220" s="109" t="str">
        <f>VLOOKUP($A220,ANAGRAFICA!$B$1:$G$306,4,FALSE)</f>
        <v>#N/A</v>
      </c>
      <c r="E220" s="109" t="str">
        <f>VLOOKUP($A220,ANAGRAFICA!$B$1:$G$306,5,FALSE)</f>
        <v>#N/A</v>
      </c>
      <c r="F220" s="109" t="str">
        <f>VLOOKUP($A220,ANAGRAFICA!$B$1:$G$306,6,FALSE)</f>
        <v>#N/A</v>
      </c>
      <c r="G220" s="117" t="b">
        <v>0</v>
      </c>
      <c r="H220" s="117" t="b">
        <v>0</v>
      </c>
      <c r="I220" s="117" t="b">
        <v>0</v>
      </c>
      <c r="J220" s="117"/>
    </row>
    <row r="221">
      <c r="A221" s="94"/>
      <c r="B221" s="109" t="str">
        <f>VLOOKUP($A221,ANAGRAFICA!$B$1:$G$306,2,FALSE)</f>
        <v>#N/A</v>
      </c>
      <c r="C221" s="109" t="str">
        <f>VLOOKUP($A221,ANAGRAFICA!$B$1:$G$306,3,FALSE)</f>
        <v>#N/A</v>
      </c>
      <c r="D221" s="109" t="str">
        <f>VLOOKUP($A221,ANAGRAFICA!$B$1:$G$306,4,FALSE)</f>
        <v>#N/A</v>
      </c>
      <c r="E221" s="109" t="str">
        <f>VLOOKUP($A221,ANAGRAFICA!$B$1:$G$306,5,FALSE)</f>
        <v>#N/A</v>
      </c>
      <c r="F221" s="109" t="str">
        <f>VLOOKUP($A221,ANAGRAFICA!$B$1:$G$306,6,FALSE)</f>
        <v>#N/A</v>
      </c>
      <c r="G221" s="117" t="b">
        <v>0</v>
      </c>
      <c r="H221" s="117" t="b">
        <v>0</v>
      </c>
      <c r="I221" s="117" t="b">
        <v>0</v>
      </c>
      <c r="J221" s="117"/>
    </row>
    <row r="222">
      <c r="A222" s="94"/>
      <c r="B222" s="109" t="str">
        <f>VLOOKUP($A222,ANAGRAFICA!$B$1:$G$306,2,FALSE)</f>
        <v>#N/A</v>
      </c>
      <c r="C222" s="109" t="str">
        <f>VLOOKUP($A222,ANAGRAFICA!$B$1:$G$306,3,FALSE)</f>
        <v>#N/A</v>
      </c>
      <c r="D222" s="109" t="str">
        <f>VLOOKUP($A222,ANAGRAFICA!$B$1:$G$306,4,FALSE)</f>
        <v>#N/A</v>
      </c>
      <c r="E222" s="109" t="str">
        <f>VLOOKUP($A222,ANAGRAFICA!$B$1:$G$306,5,FALSE)</f>
        <v>#N/A</v>
      </c>
      <c r="F222" s="109" t="str">
        <f>VLOOKUP($A222,ANAGRAFICA!$B$1:$G$306,6,FALSE)</f>
        <v>#N/A</v>
      </c>
      <c r="G222" s="117" t="b">
        <v>0</v>
      </c>
      <c r="H222" s="117" t="b">
        <v>0</v>
      </c>
      <c r="I222" s="117" t="b">
        <v>0</v>
      </c>
      <c r="J222" s="117"/>
    </row>
    <row r="223">
      <c r="A223" s="94"/>
      <c r="B223" s="109" t="str">
        <f>VLOOKUP($A223,ANAGRAFICA!$B$1:$G$306,2,FALSE)</f>
        <v>#N/A</v>
      </c>
      <c r="C223" s="109" t="str">
        <f>VLOOKUP($A223,ANAGRAFICA!$B$1:$G$306,3,FALSE)</f>
        <v>#N/A</v>
      </c>
      <c r="D223" s="109" t="str">
        <f>VLOOKUP($A223,ANAGRAFICA!$B$1:$G$306,4,FALSE)</f>
        <v>#N/A</v>
      </c>
      <c r="E223" s="109" t="str">
        <f>VLOOKUP($A223,ANAGRAFICA!$B$1:$G$306,5,FALSE)</f>
        <v>#N/A</v>
      </c>
      <c r="F223" s="109" t="str">
        <f>VLOOKUP($A223,ANAGRAFICA!$B$1:$G$306,6,FALSE)</f>
        <v>#N/A</v>
      </c>
      <c r="G223" s="117" t="b">
        <v>0</v>
      </c>
      <c r="H223" s="117" t="b">
        <v>0</v>
      </c>
      <c r="I223" s="117" t="b">
        <v>0</v>
      </c>
      <c r="J223" s="117"/>
    </row>
    <row r="224">
      <c r="A224" s="94"/>
      <c r="B224" s="109" t="str">
        <f>VLOOKUP($A224,ANAGRAFICA!$B$1:$G$306,2,FALSE)</f>
        <v>#N/A</v>
      </c>
      <c r="C224" s="109" t="str">
        <f>VLOOKUP($A224,ANAGRAFICA!$B$1:$G$306,3,FALSE)</f>
        <v>#N/A</v>
      </c>
      <c r="D224" s="109" t="str">
        <f>VLOOKUP($A224,ANAGRAFICA!$B$1:$G$306,4,FALSE)</f>
        <v>#N/A</v>
      </c>
      <c r="E224" s="109" t="str">
        <f>VLOOKUP($A224,ANAGRAFICA!$B$1:$G$306,5,FALSE)</f>
        <v>#N/A</v>
      </c>
      <c r="F224" s="109" t="str">
        <f>VLOOKUP($A224,ANAGRAFICA!$B$1:$G$306,6,FALSE)</f>
        <v>#N/A</v>
      </c>
      <c r="G224" s="117" t="b">
        <v>0</v>
      </c>
      <c r="H224" s="117" t="b">
        <v>0</v>
      </c>
      <c r="I224" s="117" t="b">
        <v>0</v>
      </c>
      <c r="J224" s="117"/>
    </row>
    <row r="225">
      <c r="A225" s="94"/>
      <c r="B225" s="109" t="str">
        <f>VLOOKUP($A225,ANAGRAFICA!$B$1:$G$306,2,FALSE)</f>
        <v>#N/A</v>
      </c>
      <c r="C225" s="109" t="str">
        <f>VLOOKUP($A225,ANAGRAFICA!$B$1:$G$306,3,FALSE)</f>
        <v>#N/A</v>
      </c>
      <c r="D225" s="109" t="str">
        <f>VLOOKUP($A225,ANAGRAFICA!$B$1:$G$306,4,FALSE)</f>
        <v>#N/A</v>
      </c>
      <c r="E225" s="109" t="str">
        <f>VLOOKUP($A225,ANAGRAFICA!$B$1:$G$306,5,FALSE)</f>
        <v>#N/A</v>
      </c>
      <c r="F225" s="109" t="str">
        <f>VLOOKUP($A225,ANAGRAFICA!$B$1:$G$306,6,FALSE)</f>
        <v>#N/A</v>
      </c>
      <c r="G225" s="117" t="b">
        <v>0</v>
      </c>
      <c r="H225" s="117" t="b">
        <v>0</v>
      </c>
      <c r="I225" s="117" t="b">
        <v>0</v>
      </c>
      <c r="J225" s="117"/>
    </row>
    <row r="226">
      <c r="A226" s="94"/>
      <c r="B226" s="109" t="str">
        <f>VLOOKUP($A226,ANAGRAFICA!$B$1:$G$306,2,FALSE)</f>
        <v>#N/A</v>
      </c>
      <c r="C226" s="109" t="str">
        <f>VLOOKUP($A226,ANAGRAFICA!$B$1:$G$306,3,FALSE)</f>
        <v>#N/A</v>
      </c>
      <c r="D226" s="109" t="str">
        <f>VLOOKUP($A226,ANAGRAFICA!$B$1:$G$306,4,FALSE)</f>
        <v>#N/A</v>
      </c>
      <c r="E226" s="109" t="str">
        <f>VLOOKUP($A226,ANAGRAFICA!$B$1:$G$306,5,FALSE)</f>
        <v>#N/A</v>
      </c>
      <c r="F226" s="109" t="str">
        <f>VLOOKUP($A226,ANAGRAFICA!$B$1:$G$306,6,FALSE)</f>
        <v>#N/A</v>
      </c>
      <c r="G226" s="117" t="b">
        <v>0</v>
      </c>
      <c r="H226" s="117" t="b">
        <v>0</v>
      </c>
      <c r="I226" s="117" t="b">
        <v>0</v>
      </c>
      <c r="J226" s="117"/>
    </row>
    <row r="227">
      <c r="A227" s="94"/>
      <c r="B227" s="109" t="str">
        <f>VLOOKUP($A227,ANAGRAFICA!$B$1:$G$306,2,FALSE)</f>
        <v>#N/A</v>
      </c>
      <c r="C227" s="109" t="str">
        <f>VLOOKUP($A227,ANAGRAFICA!$B$1:$G$306,3,FALSE)</f>
        <v>#N/A</v>
      </c>
      <c r="D227" s="109" t="str">
        <f>VLOOKUP($A227,ANAGRAFICA!$B$1:$G$306,4,FALSE)</f>
        <v>#N/A</v>
      </c>
      <c r="E227" s="109" t="str">
        <f>VLOOKUP($A227,ANAGRAFICA!$B$1:$G$306,5,FALSE)</f>
        <v>#N/A</v>
      </c>
      <c r="F227" s="109" t="str">
        <f>VLOOKUP($A227,ANAGRAFICA!$B$1:$G$306,6,FALSE)</f>
        <v>#N/A</v>
      </c>
      <c r="G227" s="117" t="b">
        <v>0</v>
      </c>
      <c r="H227" s="117" t="b">
        <v>0</v>
      </c>
      <c r="I227" s="117" t="b">
        <v>0</v>
      </c>
      <c r="J227" s="117"/>
    </row>
    <row r="228">
      <c r="A228" s="94"/>
      <c r="B228" s="109" t="str">
        <f>VLOOKUP($A228,ANAGRAFICA!$B$1:$G$306,2,FALSE)</f>
        <v>#N/A</v>
      </c>
      <c r="C228" s="109" t="str">
        <f>VLOOKUP($A228,ANAGRAFICA!$B$1:$G$306,3,FALSE)</f>
        <v>#N/A</v>
      </c>
      <c r="D228" s="109" t="str">
        <f>VLOOKUP($A228,ANAGRAFICA!$B$1:$G$306,4,FALSE)</f>
        <v>#N/A</v>
      </c>
      <c r="E228" s="109" t="str">
        <f>VLOOKUP($A228,ANAGRAFICA!$B$1:$G$306,5,FALSE)</f>
        <v>#N/A</v>
      </c>
      <c r="F228" s="109" t="str">
        <f>VLOOKUP($A228,ANAGRAFICA!$B$1:$G$306,6,FALSE)</f>
        <v>#N/A</v>
      </c>
      <c r="G228" s="117" t="b">
        <v>0</v>
      </c>
      <c r="H228" s="117" t="b">
        <v>0</v>
      </c>
      <c r="I228" s="117" t="b">
        <v>0</v>
      </c>
      <c r="J228" s="117"/>
    </row>
    <row r="229">
      <c r="A229" s="94"/>
      <c r="B229" s="109" t="str">
        <f>VLOOKUP($A229,ANAGRAFICA!$B$1:$G$306,2,FALSE)</f>
        <v>#N/A</v>
      </c>
      <c r="C229" s="109" t="str">
        <f>VLOOKUP($A229,ANAGRAFICA!$B$1:$G$306,3,FALSE)</f>
        <v>#N/A</v>
      </c>
      <c r="D229" s="109" t="str">
        <f>VLOOKUP($A229,ANAGRAFICA!$B$1:$G$306,4,FALSE)</f>
        <v>#N/A</v>
      </c>
      <c r="E229" s="109" t="str">
        <f>VLOOKUP($A229,ANAGRAFICA!$B$1:$G$306,5,FALSE)</f>
        <v>#N/A</v>
      </c>
      <c r="F229" s="109" t="str">
        <f>VLOOKUP($A229,ANAGRAFICA!$B$1:$G$306,6,FALSE)</f>
        <v>#N/A</v>
      </c>
      <c r="G229" s="117" t="b">
        <v>0</v>
      </c>
      <c r="H229" s="117" t="b">
        <v>0</v>
      </c>
      <c r="I229" s="117" t="b">
        <v>0</v>
      </c>
      <c r="J229" s="117"/>
    </row>
    <row r="230">
      <c r="A230" s="94"/>
      <c r="B230" s="109" t="str">
        <f>VLOOKUP($A230,ANAGRAFICA!$B$1:$G$306,2,FALSE)</f>
        <v>#N/A</v>
      </c>
      <c r="C230" s="109" t="str">
        <f>VLOOKUP($A230,ANAGRAFICA!$B$1:$G$306,3,FALSE)</f>
        <v>#N/A</v>
      </c>
      <c r="D230" s="109" t="str">
        <f>VLOOKUP($A230,ANAGRAFICA!$B$1:$G$306,4,FALSE)</f>
        <v>#N/A</v>
      </c>
      <c r="E230" s="109" t="str">
        <f>VLOOKUP($A230,ANAGRAFICA!$B$1:$G$306,5,FALSE)</f>
        <v>#N/A</v>
      </c>
      <c r="F230" s="109" t="str">
        <f>VLOOKUP($A230,ANAGRAFICA!$B$1:$G$306,6,FALSE)</f>
        <v>#N/A</v>
      </c>
      <c r="G230" s="117" t="b">
        <v>0</v>
      </c>
      <c r="H230" s="117" t="b">
        <v>0</v>
      </c>
      <c r="I230" s="117" t="b">
        <v>0</v>
      </c>
      <c r="J230" s="117"/>
    </row>
    <row r="231">
      <c r="A231" s="94"/>
      <c r="B231" s="109" t="str">
        <f>VLOOKUP($A231,ANAGRAFICA!$B$1:$G$306,2,FALSE)</f>
        <v>#N/A</v>
      </c>
      <c r="C231" s="109" t="str">
        <f>VLOOKUP($A231,ANAGRAFICA!$B$1:$G$306,3,FALSE)</f>
        <v>#N/A</v>
      </c>
      <c r="D231" s="109" t="str">
        <f>VLOOKUP($A231,ANAGRAFICA!$B$1:$G$306,4,FALSE)</f>
        <v>#N/A</v>
      </c>
      <c r="E231" s="109" t="str">
        <f>VLOOKUP($A231,ANAGRAFICA!$B$1:$G$306,5,FALSE)</f>
        <v>#N/A</v>
      </c>
      <c r="F231" s="109" t="str">
        <f>VLOOKUP($A231,ANAGRAFICA!$B$1:$G$306,6,FALSE)</f>
        <v>#N/A</v>
      </c>
      <c r="G231" s="117" t="b">
        <v>0</v>
      </c>
      <c r="H231" s="117" t="b">
        <v>0</v>
      </c>
      <c r="I231" s="117" t="b">
        <v>0</v>
      </c>
      <c r="J231" s="117"/>
    </row>
    <row r="232">
      <c r="A232" s="94"/>
      <c r="B232" s="109" t="str">
        <f>VLOOKUP($A232,ANAGRAFICA!$B$1:$G$306,2,FALSE)</f>
        <v>#N/A</v>
      </c>
      <c r="C232" s="109" t="str">
        <f>VLOOKUP($A232,ANAGRAFICA!$B$1:$G$306,3,FALSE)</f>
        <v>#N/A</v>
      </c>
      <c r="D232" s="109" t="str">
        <f>VLOOKUP($A232,ANAGRAFICA!$B$1:$G$306,4,FALSE)</f>
        <v>#N/A</v>
      </c>
      <c r="E232" s="109" t="str">
        <f>VLOOKUP($A232,ANAGRAFICA!$B$1:$G$306,5,FALSE)</f>
        <v>#N/A</v>
      </c>
      <c r="F232" s="109" t="str">
        <f>VLOOKUP($A232,ANAGRAFICA!$B$1:$G$306,6,FALSE)</f>
        <v>#N/A</v>
      </c>
      <c r="G232" s="117" t="b">
        <v>0</v>
      </c>
      <c r="H232" s="117" t="b">
        <v>0</v>
      </c>
      <c r="I232" s="117" t="b">
        <v>0</v>
      </c>
      <c r="J232" s="117"/>
    </row>
    <row r="233">
      <c r="A233" s="94"/>
      <c r="B233" s="109" t="str">
        <f>VLOOKUP($A233,ANAGRAFICA!$B$1:$G$306,2,FALSE)</f>
        <v>#N/A</v>
      </c>
      <c r="C233" s="109" t="str">
        <f>VLOOKUP($A233,ANAGRAFICA!$B$1:$G$306,3,FALSE)</f>
        <v>#N/A</v>
      </c>
      <c r="D233" s="109" t="str">
        <f>VLOOKUP($A233,ANAGRAFICA!$B$1:$G$306,4,FALSE)</f>
        <v>#N/A</v>
      </c>
      <c r="E233" s="109" t="str">
        <f>VLOOKUP($A233,ANAGRAFICA!$B$1:$G$306,5,FALSE)</f>
        <v>#N/A</v>
      </c>
      <c r="F233" s="109" t="str">
        <f>VLOOKUP($A233,ANAGRAFICA!$B$1:$G$306,6,FALSE)</f>
        <v>#N/A</v>
      </c>
      <c r="G233" s="117" t="b">
        <v>0</v>
      </c>
      <c r="H233" s="117" t="b">
        <v>0</v>
      </c>
      <c r="I233" s="117" t="b">
        <v>0</v>
      </c>
      <c r="J233" s="117"/>
    </row>
    <row r="234">
      <c r="A234" s="94"/>
      <c r="B234" s="109" t="str">
        <f>VLOOKUP($A234,ANAGRAFICA!$B$1:$G$306,2,FALSE)</f>
        <v>#N/A</v>
      </c>
      <c r="C234" s="109" t="str">
        <f>VLOOKUP($A234,ANAGRAFICA!$B$1:$G$306,3,FALSE)</f>
        <v>#N/A</v>
      </c>
      <c r="D234" s="109" t="str">
        <f>VLOOKUP($A234,ANAGRAFICA!$B$1:$G$306,4,FALSE)</f>
        <v>#N/A</v>
      </c>
      <c r="E234" s="109" t="str">
        <f>VLOOKUP($A234,ANAGRAFICA!$B$1:$G$306,5,FALSE)</f>
        <v>#N/A</v>
      </c>
      <c r="F234" s="109" t="str">
        <f>VLOOKUP($A234,ANAGRAFICA!$B$1:$G$306,6,FALSE)</f>
        <v>#N/A</v>
      </c>
      <c r="G234" s="117" t="b">
        <v>0</v>
      </c>
      <c r="H234" s="117" t="b">
        <v>0</v>
      </c>
      <c r="I234" s="117" t="b">
        <v>0</v>
      </c>
      <c r="J234" s="117"/>
    </row>
    <row r="235">
      <c r="A235" s="94"/>
      <c r="B235" s="109" t="str">
        <f>VLOOKUP($A235,ANAGRAFICA!$B$1:$G$306,2,FALSE)</f>
        <v>#N/A</v>
      </c>
      <c r="C235" s="109" t="str">
        <f>VLOOKUP($A235,ANAGRAFICA!$B$1:$G$306,3,FALSE)</f>
        <v>#N/A</v>
      </c>
      <c r="D235" s="109" t="str">
        <f>VLOOKUP($A235,ANAGRAFICA!$B$1:$G$306,4,FALSE)</f>
        <v>#N/A</v>
      </c>
      <c r="E235" s="109" t="str">
        <f>VLOOKUP($A235,ANAGRAFICA!$B$1:$G$306,5,FALSE)</f>
        <v>#N/A</v>
      </c>
      <c r="F235" s="109" t="str">
        <f>VLOOKUP($A235,ANAGRAFICA!$B$1:$G$306,6,FALSE)</f>
        <v>#N/A</v>
      </c>
      <c r="G235" s="117" t="b">
        <v>0</v>
      </c>
      <c r="H235" s="117" t="b">
        <v>0</v>
      </c>
      <c r="I235" s="117" t="b">
        <v>0</v>
      </c>
      <c r="J235" s="117"/>
    </row>
    <row r="236">
      <c r="A236" s="94"/>
      <c r="B236" s="109" t="str">
        <f>VLOOKUP($A236,ANAGRAFICA!$B$1:$G$306,2,FALSE)</f>
        <v>#N/A</v>
      </c>
      <c r="C236" s="109" t="str">
        <f>VLOOKUP($A236,ANAGRAFICA!$B$1:$G$306,3,FALSE)</f>
        <v>#N/A</v>
      </c>
      <c r="D236" s="109" t="str">
        <f>VLOOKUP($A236,ANAGRAFICA!$B$1:$G$306,4,FALSE)</f>
        <v>#N/A</v>
      </c>
      <c r="E236" s="109" t="str">
        <f>VLOOKUP($A236,ANAGRAFICA!$B$1:$G$306,5,FALSE)</f>
        <v>#N/A</v>
      </c>
      <c r="F236" s="109" t="str">
        <f>VLOOKUP($A236,ANAGRAFICA!$B$1:$G$306,6,FALSE)</f>
        <v>#N/A</v>
      </c>
      <c r="G236" s="117" t="b">
        <v>0</v>
      </c>
      <c r="H236" s="117" t="b">
        <v>0</v>
      </c>
      <c r="I236" s="117" t="b">
        <v>0</v>
      </c>
      <c r="J236" s="117"/>
    </row>
    <row r="237">
      <c r="A237" s="94"/>
      <c r="B237" s="109" t="str">
        <f>VLOOKUP($A237,ANAGRAFICA!$B$1:$G$306,2,FALSE)</f>
        <v>#N/A</v>
      </c>
      <c r="C237" s="109" t="str">
        <f>VLOOKUP($A237,ANAGRAFICA!$B$1:$G$306,3,FALSE)</f>
        <v>#N/A</v>
      </c>
      <c r="D237" s="109" t="str">
        <f>VLOOKUP($A237,ANAGRAFICA!$B$1:$G$306,4,FALSE)</f>
        <v>#N/A</v>
      </c>
      <c r="E237" s="109" t="str">
        <f>VLOOKUP($A237,ANAGRAFICA!$B$1:$G$306,5,FALSE)</f>
        <v>#N/A</v>
      </c>
      <c r="F237" s="109" t="str">
        <f>VLOOKUP($A237,ANAGRAFICA!$B$1:$G$306,6,FALSE)</f>
        <v>#N/A</v>
      </c>
      <c r="G237" s="117" t="b">
        <v>0</v>
      </c>
      <c r="H237" s="117" t="b">
        <v>0</v>
      </c>
      <c r="I237" s="117" t="b">
        <v>0</v>
      </c>
      <c r="J237" s="117"/>
    </row>
    <row r="238">
      <c r="A238" s="94"/>
      <c r="B238" s="109" t="str">
        <f>VLOOKUP($A238,ANAGRAFICA!$B$1:$G$306,2,FALSE)</f>
        <v>#N/A</v>
      </c>
      <c r="C238" s="109" t="str">
        <f>VLOOKUP($A238,ANAGRAFICA!$B$1:$G$306,3,FALSE)</f>
        <v>#N/A</v>
      </c>
      <c r="D238" s="109" t="str">
        <f>VLOOKUP($A238,ANAGRAFICA!$B$1:$G$306,4,FALSE)</f>
        <v>#N/A</v>
      </c>
      <c r="E238" s="109" t="str">
        <f>VLOOKUP($A238,ANAGRAFICA!$B$1:$G$306,5,FALSE)</f>
        <v>#N/A</v>
      </c>
      <c r="F238" s="109" t="str">
        <f>VLOOKUP($A238,ANAGRAFICA!$B$1:$G$306,6,FALSE)</f>
        <v>#N/A</v>
      </c>
      <c r="G238" s="117" t="b">
        <v>0</v>
      </c>
      <c r="H238" s="117" t="b">
        <v>0</v>
      </c>
      <c r="I238" s="117" t="b">
        <v>0</v>
      </c>
      <c r="J238" s="117"/>
    </row>
    <row r="239">
      <c r="A239" s="94"/>
      <c r="B239" s="109" t="str">
        <f>VLOOKUP($A239,ANAGRAFICA!$B$1:$G$306,2,FALSE)</f>
        <v>#N/A</v>
      </c>
      <c r="C239" s="109" t="str">
        <f>VLOOKUP($A239,ANAGRAFICA!$B$1:$G$306,3,FALSE)</f>
        <v>#N/A</v>
      </c>
      <c r="D239" s="109" t="str">
        <f>VLOOKUP($A239,ANAGRAFICA!$B$1:$G$306,4,FALSE)</f>
        <v>#N/A</v>
      </c>
      <c r="E239" s="109" t="str">
        <f>VLOOKUP($A239,ANAGRAFICA!$B$1:$G$306,5,FALSE)</f>
        <v>#N/A</v>
      </c>
      <c r="F239" s="109" t="str">
        <f>VLOOKUP($A239,ANAGRAFICA!$B$1:$G$306,6,FALSE)</f>
        <v>#N/A</v>
      </c>
      <c r="G239" s="117" t="b">
        <v>0</v>
      </c>
      <c r="H239" s="117" t="b">
        <v>0</v>
      </c>
      <c r="I239" s="117" t="b">
        <v>0</v>
      </c>
      <c r="J239" s="117"/>
    </row>
    <row r="240">
      <c r="A240" s="94"/>
      <c r="B240" s="109" t="str">
        <f>VLOOKUP($A240,ANAGRAFICA!$B$1:$G$306,2,FALSE)</f>
        <v>#N/A</v>
      </c>
      <c r="C240" s="109" t="str">
        <f>VLOOKUP($A240,ANAGRAFICA!$B$1:$G$306,3,FALSE)</f>
        <v>#N/A</v>
      </c>
      <c r="D240" s="109" t="str">
        <f>VLOOKUP($A240,ANAGRAFICA!$B$1:$G$306,4,FALSE)</f>
        <v>#N/A</v>
      </c>
      <c r="E240" s="109" t="str">
        <f>VLOOKUP($A240,ANAGRAFICA!$B$1:$G$306,5,FALSE)</f>
        <v>#N/A</v>
      </c>
      <c r="F240" s="109" t="str">
        <f>VLOOKUP($A240,ANAGRAFICA!$B$1:$G$306,6,FALSE)</f>
        <v>#N/A</v>
      </c>
      <c r="G240" s="117" t="b">
        <v>0</v>
      </c>
      <c r="H240" s="117" t="b">
        <v>0</v>
      </c>
      <c r="I240" s="117" t="b">
        <v>0</v>
      </c>
      <c r="J240" s="117"/>
    </row>
    <row r="241">
      <c r="A241" s="94"/>
      <c r="B241" s="109" t="str">
        <f>VLOOKUP($A241,ANAGRAFICA!$B$1:$G$306,2,FALSE)</f>
        <v>#N/A</v>
      </c>
      <c r="C241" s="109" t="str">
        <f>VLOOKUP($A241,ANAGRAFICA!$B$1:$G$306,3,FALSE)</f>
        <v>#N/A</v>
      </c>
      <c r="D241" s="109" t="str">
        <f>VLOOKUP($A241,ANAGRAFICA!$B$1:$G$306,4,FALSE)</f>
        <v>#N/A</v>
      </c>
      <c r="E241" s="109" t="str">
        <f>VLOOKUP($A241,ANAGRAFICA!$B$1:$G$306,5,FALSE)</f>
        <v>#N/A</v>
      </c>
      <c r="F241" s="109" t="str">
        <f>VLOOKUP($A241,ANAGRAFICA!$B$1:$G$306,6,FALSE)</f>
        <v>#N/A</v>
      </c>
      <c r="G241" s="117" t="b">
        <v>0</v>
      </c>
      <c r="H241" s="117" t="b">
        <v>0</v>
      </c>
      <c r="I241" s="117" t="b">
        <v>0</v>
      </c>
      <c r="J241" s="117"/>
    </row>
    <row r="242">
      <c r="A242" s="94"/>
      <c r="B242" s="109" t="str">
        <f>VLOOKUP($A242,ANAGRAFICA!$B$1:$G$306,2,FALSE)</f>
        <v>#N/A</v>
      </c>
      <c r="C242" s="109" t="str">
        <f>VLOOKUP($A242,ANAGRAFICA!$B$1:$G$306,3,FALSE)</f>
        <v>#N/A</v>
      </c>
      <c r="D242" s="109" t="str">
        <f>VLOOKUP($A242,ANAGRAFICA!$B$1:$G$306,4,FALSE)</f>
        <v>#N/A</v>
      </c>
      <c r="E242" s="109" t="str">
        <f>VLOOKUP($A242,ANAGRAFICA!$B$1:$G$306,5,FALSE)</f>
        <v>#N/A</v>
      </c>
      <c r="F242" s="109" t="str">
        <f>VLOOKUP($A242,ANAGRAFICA!$B$1:$G$306,6,FALSE)</f>
        <v>#N/A</v>
      </c>
      <c r="G242" s="117" t="b">
        <v>0</v>
      </c>
      <c r="H242" s="117" t="b">
        <v>0</v>
      </c>
      <c r="I242" s="117" t="b">
        <v>0</v>
      </c>
      <c r="J242" s="117"/>
    </row>
    <row r="243">
      <c r="A243" s="94"/>
      <c r="B243" s="109" t="str">
        <f>VLOOKUP($A243,ANAGRAFICA!$B$1:$G$306,2,FALSE)</f>
        <v>#N/A</v>
      </c>
      <c r="C243" s="109" t="str">
        <f>VLOOKUP($A243,ANAGRAFICA!$B$1:$G$306,3,FALSE)</f>
        <v>#N/A</v>
      </c>
      <c r="D243" s="109" t="str">
        <f>VLOOKUP($A243,ANAGRAFICA!$B$1:$G$306,4,FALSE)</f>
        <v>#N/A</v>
      </c>
      <c r="E243" s="109" t="str">
        <f>VLOOKUP($A243,ANAGRAFICA!$B$1:$G$306,5,FALSE)</f>
        <v>#N/A</v>
      </c>
      <c r="F243" s="109" t="str">
        <f>VLOOKUP($A243,ANAGRAFICA!$B$1:$G$306,6,FALSE)</f>
        <v>#N/A</v>
      </c>
      <c r="G243" s="117" t="b">
        <v>0</v>
      </c>
      <c r="H243" s="117" t="b">
        <v>0</v>
      </c>
      <c r="I243" s="117" t="b">
        <v>0</v>
      </c>
      <c r="J243" s="117"/>
    </row>
    <row r="244">
      <c r="A244" s="94"/>
      <c r="B244" s="109" t="str">
        <f>VLOOKUP($A244,ANAGRAFICA!$B$1:$G$306,2,FALSE)</f>
        <v>#N/A</v>
      </c>
      <c r="C244" s="109" t="str">
        <f>VLOOKUP($A244,ANAGRAFICA!$B$1:$G$306,3,FALSE)</f>
        <v>#N/A</v>
      </c>
      <c r="D244" s="109" t="str">
        <f>VLOOKUP($A244,ANAGRAFICA!$B$1:$G$306,4,FALSE)</f>
        <v>#N/A</v>
      </c>
      <c r="E244" s="109" t="str">
        <f>VLOOKUP($A244,ANAGRAFICA!$B$1:$G$306,5,FALSE)</f>
        <v>#N/A</v>
      </c>
      <c r="F244" s="109" t="str">
        <f>VLOOKUP($A244,ANAGRAFICA!$B$1:$G$306,6,FALSE)</f>
        <v>#N/A</v>
      </c>
      <c r="G244" s="117" t="b">
        <v>0</v>
      </c>
      <c r="H244" s="117" t="b">
        <v>0</v>
      </c>
      <c r="I244" s="117" t="b">
        <v>0</v>
      </c>
      <c r="J244" s="117"/>
    </row>
    <row r="245">
      <c r="A245" s="94"/>
      <c r="B245" s="109" t="str">
        <f>VLOOKUP($A245,ANAGRAFICA!$B$1:$G$306,2,FALSE)</f>
        <v>#N/A</v>
      </c>
      <c r="C245" s="109" t="str">
        <f>VLOOKUP($A245,ANAGRAFICA!$B$1:$G$306,3,FALSE)</f>
        <v>#N/A</v>
      </c>
      <c r="D245" s="109" t="str">
        <f>VLOOKUP($A245,ANAGRAFICA!$B$1:$G$306,4,FALSE)</f>
        <v>#N/A</v>
      </c>
      <c r="E245" s="109" t="str">
        <f>VLOOKUP($A245,ANAGRAFICA!$B$1:$G$306,5,FALSE)</f>
        <v>#N/A</v>
      </c>
      <c r="F245" s="109" t="str">
        <f>VLOOKUP($A245,ANAGRAFICA!$B$1:$G$306,6,FALSE)</f>
        <v>#N/A</v>
      </c>
      <c r="G245" s="117" t="b">
        <v>0</v>
      </c>
      <c r="H245" s="117" t="b">
        <v>0</v>
      </c>
      <c r="I245" s="117" t="b">
        <v>0</v>
      </c>
      <c r="J245" s="117"/>
    </row>
    <row r="246">
      <c r="A246" s="94"/>
      <c r="B246" s="109" t="str">
        <f>VLOOKUP($A246,ANAGRAFICA!$B$1:$G$306,2,FALSE)</f>
        <v>#N/A</v>
      </c>
      <c r="C246" s="109" t="str">
        <f>VLOOKUP($A246,ANAGRAFICA!$B$1:$G$306,3,FALSE)</f>
        <v>#N/A</v>
      </c>
      <c r="D246" s="109" t="str">
        <f>VLOOKUP($A246,ANAGRAFICA!$B$1:$G$306,4,FALSE)</f>
        <v>#N/A</v>
      </c>
      <c r="E246" s="109" t="str">
        <f>VLOOKUP($A246,ANAGRAFICA!$B$1:$G$306,5,FALSE)</f>
        <v>#N/A</v>
      </c>
      <c r="F246" s="109" t="str">
        <f>VLOOKUP($A246,ANAGRAFICA!$B$1:$G$306,6,FALSE)</f>
        <v>#N/A</v>
      </c>
      <c r="G246" s="117" t="b">
        <v>0</v>
      </c>
      <c r="H246" s="117" t="b">
        <v>0</v>
      </c>
      <c r="I246" s="117" t="b">
        <v>0</v>
      </c>
      <c r="J246" s="117"/>
    </row>
    <row r="247">
      <c r="A247" s="94"/>
      <c r="B247" s="109" t="str">
        <f>VLOOKUP($A247,ANAGRAFICA!$B$1:$G$306,2,FALSE)</f>
        <v>#N/A</v>
      </c>
      <c r="C247" s="109" t="str">
        <f>VLOOKUP($A247,ANAGRAFICA!$B$1:$G$306,3,FALSE)</f>
        <v>#N/A</v>
      </c>
      <c r="D247" s="109" t="str">
        <f>VLOOKUP($A247,ANAGRAFICA!$B$1:$G$306,4,FALSE)</f>
        <v>#N/A</v>
      </c>
      <c r="E247" s="109" t="str">
        <f>VLOOKUP($A247,ANAGRAFICA!$B$1:$G$306,5,FALSE)</f>
        <v>#N/A</v>
      </c>
      <c r="F247" s="109" t="str">
        <f>VLOOKUP($A247,ANAGRAFICA!$B$1:$G$306,6,FALSE)</f>
        <v>#N/A</v>
      </c>
      <c r="G247" s="117" t="b">
        <v>0</v>
      </c>
      <c r="H247" s="117" t="b">
        <v>0</v>
      </c>
      <c r="I247" s="117" t="b">
        <v>0</v>
      </c>
      <c r="J247" s="117"/>
    </row>
    <row r="248">
      <c r="A248" s="94"/>
      <c r="B248" s="109" t="str">
        <f>VLOOKUP($A248,ANAGRAFICA!$B$1:$G$306,2,FALSE)</f>
        <v>#N/A</v>
      </c>
      <c r="C248" s="109" t="str">
        <f>VLOOKUP($A248,ANAGRAFICA!$B$1:$G$306,3,FALSE)</f>
        <v>#N/A</v>
      </c>
      <c r="D248" s="109" t="str">
        <f>VLOOKUP($A248,ANAGRAFICA!$B$1:$G$306,4,FALSE)</f>
        <v>#N/A</v>
      </c>
      <c r="E248" s="109" t="str">
        <f>VLOOKUP($A248,ANAGRAFICA!$B$1:$G$306,5,FALSE)</f>
        <v>#N/A</v>
      </c>
      <c r="F248" s="109" t="str">
        <f>VLOOKUP($A248,ANAGRAFICA!$B$1:$G$306,6,FALSE)</f>
        <v>#N/A</v>
      </c>
      <c r="G248" s="117" t="b">
        <v>0</v>
      </c>
      <c r="H248" s="117" t="b">
        <v>0</v>
      </c>
      <c r="I248" s="117" t="b">
        <v>0</v>
      </c>
      <c r="J248" s="117"/>
    </row>
    <row r="249">
      <c r="A249" s="94"/>
      <c r="B249" s="109" t="str">
        <f>VLOOKUP($A249,ANAGRAFICA!$B$1:$G$306,2,FALSE)</f>
        <v>#N/A</v>
      </c>
      <c r="C249" s="109" t="str">
        <f>VLOOKUP($A249,ANAGRAFICA!$B$1:$G$306,3,FALSE)</f>
        <v>#N/A</v>
      </c>
      <c r="D249" s="109" t="str">
        <f>VLOOKUP($A249,ANAGRAFICA!$B$1:$G$306,4,FALSE)</f>
        <v>#N/A</v>
      </c>
      <c r="E249" s="109" t="str">
        <f>VLOOKUP($A249,ANAGRAFICA!$B$1:$G$306,5,FALSE)</f>
        <v>#N/A</v>
      </c>
      <c r="F249" s="109" t="str">
        <f>VLOOKUP($A249,ANAGRAFICA!$B$1:$G$306,6,FALSE)</f>
        <v>#N/A</v>
      </c>
      <c r="G249" s="117" t="b">
        <v>0</v>
      </c>
      <c r="H249" s="117" t="b">
        <v>0</v>
      </c>
      <c r="I249" s="117" t="b">
        <v>0</v>
      </c>
      <c r="J249" s="117"/>
    </row>
    <row r="250">
      <c r="A250" s="94"/>
      <c r="B250" s="109" t="str">
        <f>VLOOKUP($A250,ANAGRAFICA!$B$1:$G$306,2,FALSE)</f>
        <v>#N/A</v>
      </c>
      <c r="C250" s="109" t="str">
        <f>VLOOKUP($A250,ANAGRAFICA!$B$1:$G$306,3,FALSE)</f>
        <v>#N/A</v>
      </c>
      <c r="D250" s="109" t="str">
        <f>VLOOKUP($A250,ANAGRAFICA!$B$1:$G$306,4,FALSE)</f>
        <v>#N/A</v>
      </c>
      <c r="E250" s="109" t="str">
        <f>VLOOKUP($A250,ANAGRAFICA!$B$1:$G$306,5,FALSE)</f>
        <v>#N/A</v>
      </c>
      <c r="F250" s="109" t="str">
        <f>VLOOKUP($A250,ANAGRAFICA!$B$1:$G$306,6,FALSE)</f>
        <v>#N/A</v>
      </c>
      <c r="G250" s="117" t="b">
        <v>0</v>
      </c>
      <c r="H250" s="117" t="b">
        <v>0</v>
      </c>
      <c r="I250" s="117" t="b">
        <v>0</v>
      </c>
      <c r="J250" s="117"/>
    </row>
    <row r="251">
      <c r="A251" s="94"/>
      <c r="B251" s="109" t="str">
        <f>VLOOKUP($A251,ANAGRAFICA!$B$1:$G$306,2,FALSE)</f>
        <v>#N/A</v>
      </c>
      <c r="C251" s="109" t="str">
        <f>VLOOKUP($A251,ANAGRAFICA!$B$1:$G$306,3,FALSE)</f>
        <v>#N/A</v>
      </c>
      <c r="D251" s="109" t="str">
        <f>VLOOKUP($A251,ANAGRAFICA!$B$1:$G$306,4,FALSE)</f>
        <v>#N/A</v>
      </c>
      <c r="E251" s="109" t="str">
        <f>VLOOKUP($A251,ANAGRAFICA!$B$1:$G$306,5,FALSE)</f>
        <v>#N/A</v>
      </c>
      <c r="F251" s="109" t="str">
        <f>VLOOKUP($A251,ANAGRAFICA!$B$1:$G$306,6,FALSE)</f>
        <v>#N/A</v>
      </c>
      <c r="G251" s="117" t="b">
        <v>0</v>
      </c>
      <c r="H251" s="117" t="b">
        <v>0</v>
      </c>
      <c r="I251" s="117" t="b">
        <v>0</v>
      </c>
      <c r="J251" s="117"/>
    </row>
    <row r="252">
      <c r="A252" s="94"/>
      <c r="B252" s="109" t="str">
        <f>VLOOKUP($A252,ANAGRAFICA!$B$1:$G$306,2,FALSE)</f>
        <v>#N/A</v>
      </c>
      <c r="C252" s="109" t="str">
        <f>VLOOKUP($A252,ANAGRAFICA!$B$1:$G$306,3,FALSE)</f>
        <v>#N/A</v>
      </c>
      <c r="D252" s="109" t="str">
        <f>VLOOKUP($A252,ANAGRAFICA!$B$1:$G$306,4,FALSE)</f>
        <v>#N/A</v>
      </c>
      <c r="E252" s="109" t="str">
        <f>VLOOKUP($A252,ANAGRAFICA!$B$1:$G$306,5,FALSE)</f>
        <v>#N/A</v>
      </c>
      <c r="F252" s="109" t="str">
        <f>VLOOKUP($A252,ANAGRAFICA!$B$1:$G$306,6,FALSE)</f>
        <v>#N/A</v>
      </c>
      <c r="G252" s="117" t="b">
        <v>0</v>
      </c>
      <c r="H252" s="117" t="b">
        <v>0</v>
      </c>
      <c r="I252" s="117" t="b">
        <v>0</v>
      </c>
      <c r="J252" s="117"/>
    </row>
    <row r="253">
      <c r="A253" s="94"/>
      <c r="B253" s="109" t="str">
        <f>VLOOKUP($A253,ANAGRAFICA!$B$1:$G$306,2,FALSE)</f>
        <v>#N/A</v>
      </c>
      <c r="C253" s="109" t="str">
        <f>VLOOKUP($A253,ANAGRAFICA!$B$1:$G$306,3,FALSE)</f>
        <v>#N/A</v>
      </c>
      <c r="D253" s="109" t="str">
        <f>VLOOKUP($A253,ANAGRAFICA!$B$1:$G$306,4,FALSE)</f>
        <v>#N/A</v>
      </c>
      <c r="E253" s="109" t="str">
        <f>VLOOKUP($A253,ANAGRAFICA!$B$1:$G$306,5,FALSE)</f>
        <v>#N/A</v>
      </c>
      <c r="F253" s="109" t="str">
        <f>VLOOKUP($A253,ANAGRAFICA!$B$1:$G$306,6,FALSE)</f>
        <v>#N/A</v>
      </c>
      <c r="G253" s="117" t="b">
        <v>0</v>
      </c>
      <c r="H253" s="117" t="b">
        <v>0</v>
      </c>
      <c r="I253" s="117" t="b">
        <v>0</v>
      </c>
      <c r="J253" s="117"/>
    </row>
    <row r="254">
      <c r="A254" s="94"/>
      <c r="B254" s="109" t="str">
        <f>VLOOKUP($A254,ANAGRAFICA!$B$1:$G$306,2,FALSE)</f>
        <v>#N/A</v>
      </c>
      <c r="C254" s="109" t="str">
        <f>VLOOKUP($A254,ANAGRAFICA!$B$1:$G$306,3,FALSE)</f>
        <v>#N/A</v>
      </c>
      <c r="D254" s="109" t="str">
        <f>VLOOKUP($A254,ANAGRAFICA!$B$1:$G$306,4,FALSE)</f>
        <v>#N/A</v>
      </c>
      <c r="E254" s="109" t="str">
        <f>VLOOKUP($A254,ANAGRAFICA!$B$1:$G$306,5,FALSE)</f>
        <v>#N/A</v>
      </c>
      <c r="F254" s="109" t="str">
        <f>VLOOKUP($A254,ANAGRAFICA!$B$1:$G$306,6,FALSE)</f>
        <v>#N/A</v>
      </c>
      <c r="G254" s="117" t="b">
        <v>0</v>
      </c>
      <c r="H254" s="117" t="b">
        <v>0</v>
      </c>
      <c r="I254" s="117" t="b">
        <v>0</v>
      </c>
      <c r="J254" s="117"/>
    </row>
    <row r="255">
      <c r="A255" s="94"/>
      <c r="B255" s="109" t="str">
        <f>VLOOKUP($A255,ANAGRAFICA!$B$1:$G$306,2,FALSE)</f>
        <v>#N/A</v>
      </c>
      <c r="C255" s="109" t="str">
        <f>VLOOKUP($A255,ANAGRAFICA!$B$1:$G$306,3,FALSE)</f>
        <v>#N/A</v>
      </c>
      <c r="D255" s="109" t="str">
        <f>VLOOKUP($A255,ANAGRAFICA!$B$1:$G$306,4,FALSE)</f>
        <v>#N/A</v>
      </c>
      <c r="E255" s="109" t="str">
        <f>VLOOKUP($A255,ANAGRAFICA!$B$1:$G$306,5,FALSE)</f>
        <v>#N/A</v>
      </c>
      <c r="F255" s="109" t="str">
        <f>VLOOKUP($A255,ANAGRAFICA!$B$1:$G$306,6,FALSE)</f>
        <v>#N/A</v>
      </c>
      <c r="G255" s="117" t="b">
        <v>0</v>
      </c>
      <c r="H255" s="117" t="b">
        <v>0</v>
      </c>
      <c r="I255" s="117" t="b">
        <v>0</v>
      </c>
      <c r="J255" s="117"/>
    </row>
    <row r="256">
      <c r="A256" s="94"/>
      <c r="B256" s="109" t="str">
        <f>VLOOKUP($A256,ANAGRAFICA!$B$1:$G$306,2,FALSE)</f>
        <v>#N/A</v>
      </c>
      <c r="C256" s="109" t="str">
        <f>VLOOKUP($A256,ANAGRAFICA!$B$1:$G$306,3,FALSE)</f>
        <v>#N/A</v>
      </c>
      <c r="D256" s="109" t="str">
        <f>VLOOKUP($A256,ANAGRAFICA!$B$1:$G$306,4,FALSE)</f>
        <v>#N/A</v>
      </c>
      <c r="E256" s="109" t="str">
        <f>VLOOKUP($A256,ANAGRAFICA!$B$1:$G$306,5,FALSE)</f>
        <v>#N/A</v>
      </c>
      <c r="F256" s="109" t="str">
        <f>VLOOKUP($A256,ANAGRAFICA!$B$1:$G$306,6,FALSE)</f>
        <v>#N/A</v>
      </c>
      <c r="G256" s="117" t="b">
        <v>0</v>
      </c>
      <c r="H256" s="117" t="b">
        <v>0</v>
      </c>
      <c r="I256" s="117" t="b">
        <v>0</v>
      </c>
      <c r="J256" s="117"/>
    </row>
    <row r="257">
      <c r="A257" s="94"/>
      <c r="B257" s="109" t="str">
        <f>VLOOKUP($A257,ANAGRAFICA!$B$1:$G$306,2,FALSE)</f>
        <v>#N/A</v>
      </c>
      <c r="C257" s="109" t="str">
        <f>VLOOKUP($A257,ANAGRAFICA!$B$1:$G$306,3,FALSE)</f>
        <v>#N/A</v>
      </c>
      <c r="D257" s="109" t="str">
        <f>VLOOKUP($A257,ANAGRAFICA!$B$1:$G$306,4,FALSE)</f>
        <v>#N/A</v>
      </c>
      <c r="E257" s="109" t="str">
        <f>VLOOKUP($A257,ANAGRAFICA!$B$1:$G$306,5,FALSE)</f>
        <v>#N/A</v>
      </c>
      <c r="F257" s="109" t="str">
        <f>VLOOKUP($A257,ANAGRAFICA!$B$1:$G$306,6,FALSE)</f>
        <v>#N/A</v>
      </c>
      <c r="G257" s="117" t="b">
        <v>0</v>
      </c>
      <c r="H257" s="117" t="b">
        <v>0</v>
      </c>
      <c r="I257" s="117" t="b">
        <v>0</v>
      </c>
      <c r="J257" s="117"/>
    </row>
    <row r="258">
      <c r="A258" s="94"/>
      <c r="B258" s="109" t="str">
        <f>VLOOKUP($A258,ANAGRAFICA!$B$1:$G$306,2,FALSE)</f>
        <v>#N/A</v>
      </c>
      <c r="C258" s="109" t="str">
        <f>VLOOKUP($A258,ANAGRAFICA!$B$1:$G$306,3,FALSE)</f>
        <v>#N/A</v>
      </c>
      <c r="D258" s="109" t="str">
        <f>VLOOKUP($A258,ANAGRAFICA!$B$1:$G$306,4,FALSE)</f>
        <v>#N/A</v>
      </c>
      <c r="E258" s="109" t="str">
        <f>VLOOKUP($A258,ANAGRAFICA!$B$1:$G$306,5,FALSE)</f>
        <v>#N/A</v>
      </c>
      <c r="F258" s="109" t="str">
        <f>VLOOKUP($A258,ANAGRAFICA!$B$1:$G$306,6,FALSE)</f>
        <v>#N/A</v>
      </c>
      <c r="G258" s="117" t="b">
        <v>0</v>
      </c>
      <c r="H258" s="117" t="b">
        <v>0</v>
      </c>
      <c r="I258" s="117" t="b">
        <v>0</v>
      </c>
      <c r="J258" s="117"/>
    </row>
    <row r="259">
      <c r="A259" s="94"/>
      <c r="B259" s="109" t="str">
        <f>VLOOKUP($A259,ANAGRAFICA!$B$1:$G$306,2,FALSE)</f>
        <v>#N/A</v>
      </c>
      <c r="C259" s="109" t="str">
        <f>VLOOKUP($A259,ANAGRAFICA!$B$1:$G$306,3,FALSE)</f>
        <v>#N/A</v>
      </c>
      <c r="D259" s="109" t="str">
        <f>VLOOKUP($A259,ANAGRAFICA!$B$1:$G$306,4,FALSE)</f>
        <v>#N/A</v>
      </c>
      <c r="E259" s="109" t="str">
        <f>VLOOKUP($A259,ANAGRAFICA!$B$1:$G$306,5,FALSE)</f>
        <v>#N/A</v>
      </c>
      <c r="F259" s="109" t="str">
        <f>VLOOKUP($A259,ANAGRAFICA!$B$1:$G$306,6,FALSE)</f>
        <v>#N/A</v>
      </c>
      <c r="G259" s="117" t="b">
        <v>0</v>
      </c>
      <c r="H259" s="117" t="b">
        <v>0</v>
      </c>
      <c r="I259" s="117" t="b">
        <v>0</v>
      </c>
      <c r="J259" s="117"/>
    </row>
    <row r="260">
      <c r="A260" s="94"/>
      <c r="B260" s="109" t="str">
        <f>VLOOKUP($A260,ANAGRAFICA!$B$1:$G$306,2,FALSE)</f>
        <v>#N/A</v>
      </c>
      <c r="C260" s="109" t="str">
        <f>VLOOKUP($A260,ANAGRAFICA!$B$1:$G$306,3,FALSE)</f>
        <v>#N/A</v>
      </c>
      <c r="D260" s="109" t="str">
        <f>VLOOKUP($A260,ANAGRAFICA!$B$1:$G$306,4,FALSE)</f>
        <v>#N/A</v>
      </c>
      <c r="E260" s="109" t="str">
        <f>VLOOKUP($A260,ANAGRAFICA!$B$1:$G$306,5,FALSE)</f>
        <v>#N/A</v>
      </c>
      <c r="F260" s="109" t="str">
        <f>VLOOKUP($A260,ANAGRAFICA!$B$1:$G$306,6,FALSE)</f>
        <v>#N/A</v>
      </c>
      <c r="G260" s="117" t="b">
        <v>0</v>
      </c>
      <c r="H260" s="117" t="b">
        <v>0</v>
      </c>
      <c r="I260" s="117" t="b">
        <v>0</v>
      </c>
      <c r="J260" s="117"/>
    </row>
    <row r="261">
      <c r="A261" s="94"/>
      <c r="B261" s="109" t="str">
        <f>VLOOKUP($A261,ANAGRAFICA!$B$1:$G$306,2,FALSE)</f>
        <v>#N/A</v>
      </c>
      <c r="C261" s="109" t="str">
        <f>VLOOKUP($A261,ANAGRAFICA!$B$1:$G$306,3,FALSE)</f>
        <v>#N/A</v>
      </c>
      <c r="D261" s="109" t="str">
        <f>VLOOKUP($A261,ANAGRAFICA!$B$1:$G$306,4,FALSE)</f>
        <v>#N/A</v>
      </c>
      <c r="E261" s="109" t="str">
        <f>VLOOKUP($A261,ANAGRAFICA!$B$1:$G$306,5,FALSE)</f>
        <v>#N/A</v>
      </c>
      <c r="F261" s="109" t="str">
        <f>VLOOKUP($A261,ANAGRAFICA!$B$1:$G$306,6,FALSE)</f>
        <v>#N/A</v>
      </c>
      <c r="G261" s="117" t="b">
        <v>0</v>
      </c>
      <c r="H261" s="117" t="b">
        <v>0</v>
      </c>
      <c r="I261" s="117" t="b">
        <v>0</v>
      </c>
      <c r="J261" s="117"/>
    </row>
    <row r="262">
      <c r="A262" s="94"/>
      <c r="B262" s="109" t="str">
        <f>VLOOKUP($A262,ANAGRAFICA!$B$1:$G$306,2,FALSE)</f>
        <v>#N/A</v>
      </c>
      <c r="C262" s="109" t="str">
        <f>VLOOKUP($A262,ANAGRAFICA!$B$1:$G$306,3,FALSE)</f>
        <v>#N/A</v>
      </c>
      <c r="D262" s="109" t="str">
        <f>VLOOKUP($A262,ANAGRAFICA!$B$1:$G$306,4,FALSE)</f>
        <v>#N/A</v>
      </c>
      <c r="E262" s="109" t="str">
        <f>VLOOKUP($A262,ANAGRAFICA!$B$1:$G$306,5,FALSE)</f>
        <v>#N/A</v>
      </c>
      <c r="F262" s="109" t="str">
        <f>VLOOKUP($A262,ANAGRAFICA!$B$1:$G$306,6,FALSE)</f>
        <v>#N/A</v>
      </c>
      <c r="G262" s="117" t="b">
        <v>0</v>
      </c>
      <c r="H262" s="117" t="b">
        <v>0</v>
      </c>
      <c r="I262" s="117" t="b">
        <v>0</v>
      </c>
      <c r="J262" s="117"/>
    </row>
    <row r="263">
      <c r="A263" s="94"/>
      <c r="B263" s="109" t="str">
        <f>VLOOKUP($A263,ANAGRAFICA!$B$1:$G$306,2,FALSE)</f>
        <v>#N/A</v>
      </c>
      <c r="C263" s="109" t="str">
        <f>VLOOKUP($A263,ANAGRAFICA!$B$1:$G$306,3,FALSE)</f>
        <v>#N/A</v>
      </c>
      <c r="D263" s="109" t="str">
        <f>VLOOKUP($A263,ANAGRAFICA!$B$1:$G$306,4,FALSE)</f>
        <v>#N/A</v>
      </c>
      <c r="E263" s="109" t="str">
        <f>VLOOKUP($A263,ANAGRAFICA!$B$1:$G$306,5,FALSE)</f>
        <v>#N/A</v>
      </c>
      <c r="F263" s="109" t="str">
        <f>VLOOKUP($A263,ANAGRAFICA!$B$1:$G$306,6,FALSE)</f>
        <v>#N/A</v>
      </c>
      <c r="G263" s="117" t="b">
        <v>0</v>
      </c>
      <c r="H263" s="117" t="b">
        <v>0</v>
      </c>
      <c r="I263" s="117" t="b">
        <v>0</v>
      </c>
      <c r="J263" s="117"/>
    </row>
    <row r="264">
      <c r="A264" s="94"/>
      <c r="B264" s="109" t="str">
        <f>VLOOKUP($A264,ANAGRAFICA!$B$1:$G$306,2,FALSE)</f>
        <v>#N/A</v>
      </c>
      <c r="C264" s="109" t="str">
        <f>VLOOKUP($A264,ANAGRAFICA!$B$1:$G$306,3,FALSE)</f>
        <v>#N/A</v>
      </c>
      <c r="D264" s="109" t="str">
        <f>VLOOKUP($A264,ANAGRAFICA!$B$1:$G$306,4,FALSE)</f>
        <v>#N/A</v>
      </c>
      <c r="E264" s="109" t="str">
        <f>VLOOKUP($A264,ANAGRAFICA!$B$1:$G$306,5,FALSE)</f>
        <v>#N/A</v>
      </c>
      <c r="F264" s="109" t="str">
        <f>VLOOKUP($A264,ANAGRAFICA!$B$1:$G$306,6,FALSE)</f>
        <v>#N/A</v>
      </c>
      <c r="G264" s="117" t="b">
        <v>0</v>
      </c>
      <c r="H264" s="117" t="b">
        <v>0</v>
      </c>
      <c r="I264" s="117" t="b">
        <v>0</v>
      </c>
      <c r="J264" s="117"/>
    </row>
    <row r="265">
      <c r="A265" s="94"/>
      <c r="B265" s="109" t="str">
        <f>VLOOKUP($A265,ANAGRAFICA!$B$1:$G$306,2,FALSE)</f>
        <v>#N/A</v>
      </c>
      <c r="C265" s="109" t="str">
        <f>VLOOKUP($A265,ANAGRAFICA!$B$1:$G$306,3,FALSE)</f>
        <v>#N/A</v>
      </c>
      <c r="D265" s="109" t="str">
        <f>VLOOKUP($A265,ANAGRAFICA!$B$1:$G$306,4,FALSE)</f>
        <v>#N/A</v>
      </c>
      <c r="E265" s="109" t="str">
        <f>VLOOKUP($A265,ANAGRAFICA!$B$1:$G$306,5,FALSE)</f>
        <v>#N/A</v>
      </c>
      <c r="F265" s="109" t="str">
        <f>VLOOKUP($A265,ANAGRAFICA!$B$1:$G$306,6,FALSE)</f>
        <v>#N/A</v>
      </c>
      <c r="G265" s="117" t="b">
        <v>0</v>
      </c>
      <c r="H265" s="117" t="b">
        <v>0</v>
      </c>
      <c r="I265" s="117" t="b">
        <v>0</v>
      </c>
      <c r="J265" s="117"/>
    </row>
    <row r="266">
      <c r="A266" s="94"/>
      <c r="B266" s="109" t="str">
        <f>VLOOKUP($A266,ANAGRAFICA!$B$1:$G$306,2,FALSE)</f>
        <v>#N/A</v>
      </c>
      <c r="C266" s="109" t="str">
        <f>VLOOKUP($A266,ANAGRAFICA!$B$1:$G$306,3,FALSE)</f>
        <v>#N/A</v>
      </c>
      <c r="D266" s="109" t="str">
        <f>VLOOKUP($A266,ANAGRAFICA!$B$1:$G$306,4,FALSE)</f>
        <v>#N/A</v>
      </c>
      <c r="E266" s="109" t="str">
        <f>VLOOKUP($A266,ANAGRAFICA!$B$1:$G$306,5,FALSE)</f>
        <v>#N/A</v>
      </c>
      <c r="F266" s="109" t="str">
        <f>VLOOKUP($A266,ANAGRAFICA!$B$1:$G$306,6,FALSE)</f>
        <v>#N/A</v>
      </c>
      <c r="G266" s="117" t="b">
        <v>0</v>
      </c>
      <c r="H266" s="117" t="b">
        <v>0</v>
      </c>
      <c r="I266" s="117" t="b">
        <v>0</v>
      </c>
      <c r="J266" s="117"/>
    </row>
    <row r="267">
      <c r="A267" s="94"/>
      <c r="B267" s="109" t="str">
        <f>VLOOKUP($A267,ANAGRAFICA!$B$1:$G$306,2,FALSE)</f>
        <v>#N/A</v>
      </c>
      <c r="C267" s="109" t="str">
        <f>VLOOKUP($A267,ANAGRAFICA!$B$1:$G$306,3,FALSE)</f>
        <v>#N/A</v>
      </c>
      <c r="D267" s="109" t="str">
        <f>VLOOKUP($A267,ANAGRAFICA!$B$1:$G$306,4,FALSE)</f>
        <v>#N/A</v>
      </c>
      <c r="E267" s="109" t="str">
        <f>VLOOKUP($A267,ANAGRAFICA!$B$1:$G$306,5,FALSE)</f>
        <v>#N/A</v>
      </c>
      <c r="F267" s="109" t="str">
        <f>VLOOKUP($A267,ANAGRAFICA!$B$1:$G$306,6,FALSE)</f>
        <v>#N/A</v>
      </c>
      <c r="G267" s="117" t="b">
        <v>0</v>
      </c>
      <c r="H267" s="117" t="b">
        <v>0</v>
      </c>
      <c r="I267" s="117" t="b">
        <v>0</v>
      </c>
      <c r="J267" s="117"/>
    </row>
    <row r="268">
      <c r="A268" s="94"/>
      <c r="B268" s="109" t="str">
        <f>VLOOKUP($A268,ANAGRAFICA!$B$1:$G$306,2,FALSE)</f>
        <v>#N/A</v>
      </c>
      <c r="C268" s="109" t="str">
        <f>VLOOKUP($A268,ANAGRAFICA!$B$1:$G$306,3,FALSE)</f>
        <v>#N/A</v>
      </c>
      <c r="D268" s="109" t="str">
        <f>VLOOKUP($A268,ANAGRAFICA!$B$1:$G$306,4,FALSE)</f>
        <v>#N/A</v>
      </c>
      <c r="E268" s="109" t="str">
        <f>VLOOKUP($A268,ANAGRAFICA!$B$1:$G$306,5,FALSE)</f>
        <v>#N/A</v>
      </c>
      <c r="F268" s="109" t="str">
        <f>VLOOKUP($A268,ANAGRAFICA!$B$1:$G$306,6,FALSE)</f>
        <v>#N/A</v>
      </c>
      <c r="G268" s="117" t="b">
        <v>0</v>
      </c>
      <c r="H268" s="117" t="b">
        <v>0</v>
      </c>
      <c r="I268" s="117" t="b">
        <v>0</v>
      </c>
      <c r="J268" s="117"/>
    </row>
    <row r="269">
      <c r="A269" s="94"/>
      <c r="B269" s="109" t="str">
        <f>VLOOKUP($A269,ANAGRAFICA!$B$1:$G$306,2,FALSE)</f>
        <v>#N/A</v>
      </c>
      <c r="C269" s="109" t="str">
        <f>VLOOKUP($A269,ANAGRAFICA!$B$1:$G$306,3,FALSE)</f>
        <v>#N/A</v>
      </c>
      <c r="D269" s="109" t="str">
        <f>VLOOKUP($A269,ANAGRAFICA!$B$1:$G$306,4,FALSE)</f>
        <v>#N/A</v>
      </c>
      <c r="E269" s="109" t="str">
        <f>VLOOKUP($A269,ANAGRAFICA!$B$1:$G$306,5,FALSE)</f>
        <v>#N/A</v>
      </c>
      <c r="F269" s="109" t="str">
        <f>VLOOKUP($A269,ANAGRAFICA!$B$1:$G$306,6,FALSE)</f>
        <v>#N/A</v>
      </c>
      <c r="G269" s="117" t="b">
        <v>0</v>
      </c>
      <c r="H269" s="117" t="b">
        <v>0</v>
      </c>
      <c r="I269" s="117" t="b">
        <v>0</v>
      </c>
      <c r="J269" s="117"/>
    </row>
    <row r="270">
      <c r="A270" s="94"/>
      <c r="B270" s="109" t="str">
        <f>VLOOKUP($A270,ANAGRAFICA!$B$1:$G$306,2,FALSE)</f>
        <v>#N/A</v>
      </c>
      <c r="C270" s="109" t="str">
        <f>VLOOKUP($A270,ANAGRAFICA!$B$1:$G$306,3,FALSE)</f>
        <v>#N/A</v>
      </c>
      <c r="D270" s="109" t="str">
        <f>VLOOKUP($A270,ANAGRAFICA!$B$1:$G$306,4,FALSE)</f>
        <v>#N/A</v>
      </c>
      <c r="E270" s="109" t="str">
        <f>VLOOKUP($A270,ANAGRAFICA!$B$1:$G$306,5,FALSE)</f>
        <v>#N/A</v>
      </c>
      <c r="F270" s="109" t="str">
        <f>VLOOKUP($A270,ANAGRAFICA!$B$1:$G$306,6,FALSE)</f>
        <v>#N/A</v>
      </c>
      <c r="G270" s="117" t="b">
        <v>0</v>
      </c>
      <c r="H270" s="117" t="b">
        <v>0</v>
      </c>
      <c r="I270" s="117" t="b">
        <v>0</v>
      </c>
      <c r="J270" s="117"/>
    </row>
    <row r="271">
      <c r="A271" s="94"/>
      <c r="B271" s="109" t="str">
        <f>VLOOKUP($A271,ANAGRAFICA!$B$1:$G$306,2,FALSE)</f>
        <v>#N/A</v>
      </c>
      <c r="C271" s="109" t="str">
        <f>VLOOKUP($A271,ANAGRAFICA!$B$1:$G$306,3,FALSE)</f>
        <v>#N/A</v>
      </c>
      <c r="D271" s="109" t="str">
        <f>VLOOKUP($A271,ANAGRAFICA!$B$1:$G$306,4,FALSE)</f>
        <v>#N/A</v>
      </c>
      <c r="E271" s="109" t="str">
        <f>VLOOKUP($A271,ANAGRAFICA!$B$1:$G$306,5,FALSE)</f>
        <v>#N/A</v>
      </c>
      <c r="F271" s="109" t="str">
        <f>VLOOKUP($A271,ANAGRAFICA!$B$1:$G$306,6,FALSE)</f>
        <v>#N/A</v>
      </c>
      <c r="G271" s="117" t="b">
        <v>0</v>
      </c>
      <c r="H271" s="117" t="b">
        <v>0</v>
      </c>
      <c r="I271" s="117" t="b">
        <v>0</v>
      </c>
      <c r="J271" s="117"/>
    </row>
    <row r="272">
      <c r="A272" s="94"/>
      <c r="B272" s="109" t="str">
        <f>VLOOKUP($A272,ANAGRAFICA!$B$1:$G$306,2,FALSE)</f>
        <v>#N/A</v>
      </c>
      <c r="C272" s="109" t="str">
        <f>VLOOKUP($A272,ANAGRAFICA!$B$1:$G$306,3,FALSE)</f>
        <v>#N/A</v>
      </c>
      <c r="D272" s="109" t="str">
        <f>VLOOKUP($A272,ANAGRAFICA!$B$1:$G$306,4,FALSE)</f>
        <v>#N/A</v>
      </c>
      <c r="E272" s="109" t="str">
        <f>VLOOKUP($A272,ANAGRAFICA!$B$1:$G$306,5,FALSE)</f>
        <v>#N/A</v>
      </c>
      <c r="F272" s="109" t="str">
        <f>VLOOKUP($A272,ANAGRAFICA!$B$1:$G$306,6,FALSE)</f>
        <v>#N/A</v>
      </c>
      <c r="G272" s="117" t="b">
        <v>0</v>
      </c>
      <c r="H272" s="117" t="b">
        <v>0</v>
      </c>
      <c r="I272" s="117" t="b">
        <v>0</v>
      </c>
      <c r="J272" s="117"/>
    </row>
    <row r="273">
      <c r="A273" s="94"/>
      <c r="B273" s="109" t="str">
        <f>VLOOKUP($A273,ANAGRAFICA!$B$1:$G$306,2,FALSE)</f>
        <v>#N/A</v>
      </c>
      <c r="C273" s="109" t="str">
        <f>VLOOKUP($A273,ANAGRAFICA!$B$1:$G$306,3,FALSE)</f>
        <v>#N/A</v>
      </c>
      <c r="D273" s="109" t="str">
        <f>VLOOKUP($A273,ANAGRAFICA!$B$1:$G$306,4,FALSE)</f>
        <v>#N/A</v>
      </c>
      <c r="E273" s="109" t="str">
        <f>VLOOKUP($A273,ANAGRAFICA!$B$1:$G$306,5,FALSE)</f>
        <v>#N/A</v>
      </c>
      <c r="F273" s="109" t="str">
        <f>VLOOKUP($A273,ANAGRAFICA!$B$1:$G$306,6,FALSE)</f>
        <v>#N/A</v>
      </c>
      <c r="G273" s="117" t="b">
        <v>0</v>
      </c>
      <c r="H273" s="117" t="b">
        <v>0</v>
      </c>
      <c r="I273" s="117" t="b">
        <v>0</v>
      </c>
      <c r="J273" s="117"/>
    </row>
    <row r="274">
      <c r="A274" s="94"/>
      <c r="B274" s="109" t="str">
        <f>VLOOKUP($A274,ANAGRAFICA!$B$1:$G$306,2,FALSE)</f>
        <v>#N/A</v>
      </c>
      <c r="C274" s="109" t="str">
        <f>VLOOKUP($A274,ANAGRAFICA!$B$1:$G$306,3,FALSE)</f>
        <v>#N/A</v>
      </c>
      <c r="D274" s="109" t="str">
        <f>VLOOKUP($A274,ANAGRAFICA!$B$1:$G$306,4,FALSE)</f>
        <v>#N/A</v>
      </c>
      <c r="E274" s="109" t="str">
        <f>VLOOKUP($A274,ANAGRAFICA!$B$1:$G$306,5,FALSE)</f>
        <v>#N/A</v>
      </c>
      <c r="F274" s="109" t="str">
        <f>VLOOKUP($A274,ANAGRAFICA!$B$1:$G$306,6,FALSE)</f>
        <v>#N/A</v>
      </c>
      <c r="G274" s="117" t="b">
        <v>0</v>
      </c>
      <c r="H274" s="117" t="b">
        <v>0</v>
      </c>
      <c r="I274" s="117" t="b">
        <v>0</v>
      </c>
      <c r="J274" s="117"/>
    </row>
    <row r="275">
      <c r="A275" s="94"/>
      <c r="B275" s="109" t="str">
        <f>VLOOKUP($A275,ANAGRAFICA!$B$1:$G$306,2,FALSE)</f>
        <v>#N/A</v>
      </c>
      <c r="C275" s="109" t="str">
        <f>VLOOKUP($A275,ANAGRAFICA!$B$1:$G$306,3,FALSE)</f>
        <v>#N/A</v>
      </c>
      <c r="D275" s="109" t="str">
        <f>VLOOKUP($A275,ANAGRAFICA!$B$1:$G$306,4,FALSE)</f>
        <v>#N/A</v>
      </c>
      <c r="E275" s="109" t="str">
        <f>VLOOKUP($A275,ANAGRAFICA!$B$1:$G$306,5,FALSE)</f>
        <v>#N/A</v>
      </c>
      <c r="F275" s="109" t="str">
        <f>VLOOKUP($A275,ANAGRAFICA!$B$1:$G$306,6,FALSE)</f>
        <v>#N/A</v>
      </c>
      <c r="G275" s="117" t="b">
        <v>0</v>
      </c>
      <c r="H275" s="117" t="b">
        <v>0</v>
      </c>
      <c r="I275" s="117" t="b">
        <v>0</v>
      </c>
      <c r="J275" s="117"/>
    </row>
    <row r="276">
      <c r="A276" s="94"/>
      <c r="B276" s="109" t="str">
        <f>VLOOKUP($A276,ANAGRAFICA!$B$1:$G$306,2,FALSE)</f>
        <v>#N/A</v>
      </c>
      <c r="C276" s="109" t="str">
        <f>VLOOKUP($A276,ANAGRAFICA!$B$1:$G$306,3,FALSE)</f>
        <v>#N/A</v>
      </c>
      <c r="D276" s="109" t="str">
        <f>VLOOKUP($A276,ANAGRAFICA!$B$1:$G$306,4,FALSE)</f>
        <v>#N/A</v>
      </c>
      <c r="E276" s="109" t="str">
        <f>VLOOKUP($A276,ANAGRAFICA!$B$1:$G$306,5,FALSE)</f>
        <v>#N/A</v>
      </c>
      <c r="F276" s="109" t="str">
        <f>VLOOKUP($A276,ANAGRAFICA!$B$1:$G$306,6,FALSE)</f>
        <v>#N/A</v>
      </c>
      <c r="G276" s="117" t="b">
        <v>0</v>
      </c>
      <c r="H276" s="117" t="b">
        <v>0</v>
      </c>
      <c r="I276" s="117" t="b">
        <v>0</v>
      </c>
      <c r="J276" s="117"/>
    </row>
    <row r="277">
      <c r="A277" s="94"/>
      <c r="B277" s="109" t="str">
        <f>VLOOKUP($A277,ANAGRAFICA!$B$1:$G$306,2,FALSE)</f>
        <v>#N/A</v>
      </c>
      <c r="C277" s="109" t="str">
        <f>VLOOKUP($A277,ANAGRAFICA!$B$1:$G$306,3,FALSE)</f>
        <v>#N/A</v>
      </c>
      <c r="D277" s="109" t="str">
        <f>VLOOKUP($A277,ANAGRAFICA!$B$1:$G$306,4,FALSE)</f>
        <v>#N/A</v>
      </c>
      <c r="E277" s="109" t="str">
        <f>VLOOKUP($A277,ANAGRAFICA!$B$1:$G$306,5,FALSE)</f>
        <v>#N/A</v>
      </c>
      <c r="F277" s="109" t="str">
        <f>VLOOKUP($A277,ANAGRAFICA!$B$1:$G$306,6,FALSE)</f>
        <v>#N/A</v>
      </c>
      <c r="G277" s="117" t="b">
        <v>0</v>
      </c>
      <c r="H277" s="117" t="b">
        <v>0</v>
      </c>
      <c r="I277" s="117" t="b">
        <v>0</v>
      </c>
      <c r="J277" s="117"/>
    </row>
    <row r="278">
      <c r="A278" s="94"/>
      <c r="B278" s="109" t="str">
        <f>VLOOKUP($A278,ANAGRAFICA!$B$1:$G$306,2,FALSE)</f>
        <v>#N/A</v>
      </c>
      <c r="C278" s="109" t="str">
        <f>VLOOKUP($A278,ANAGRAFICA!$B$1:$G$306,3,FALSE)</f>
        <v>#N/A</v>
      </c>
      <c r="D278" s="109" t="str">
        <f>VLOOKUP($A278,ANAGRAFICA!$B$1:$G$306,4,FALSE)</f>
        <v>#N/A</v>
      </c>
      <c r="E278" s="109" t="str">
        <f>VLOOKUP($A278,ANAGRAFICA!$B$1:$G$306,5,FALSE)</f>
        <v>#N/A</v>
      </c>
      <c r="F278" s="109" t="str">
        <f>VLOOKUP($A278,ANAGRAFICA!$B$1:$G$306,6,FALSE)</f>
        <v>#N/A</v>
      </c>
      <c r="G278" s="117" t="b">
        <v>0</v>
      </c>
      <c r="H278" s="117" t="b">
        <v>0</v>
      </c>
      <c r="I278" s="117" t="b">
        <v>0</v>
      </c>
      <c r="J278" s="117"/>
    </row>
    <row r="279">
      <c r="A279" s="94"/>
      <c r="B279" s="109" t="str">
        <f>VLOOKUP($A279,ANAGRAFICA!$B$1:$G$306,2,FALSE)</f>
        <v>#N/A</v>
      </c>
      <c r="C279" s="109" t="str">
        <f>VLOOKUP($A279,ANAGRAFICA!$B$1:$G$306,3,FALSE)</f>
        <v>#N/A</v>
      </c>
      <c r="D279" s="109" t="str">
        <f>VLOOKUP($A279,ANAGRAFICA!$B$1:$G$306,4,FALSE)</f>
        <v>#N/A</v>
      </c>
      <c r="E279" s="109" t="str">
        <f>VLOOKUP($A279,ANAGRAFICA!$B$1:$G$306,5,FALSE)</f>
        <v>#N/A</v>
      </c>
      <c r="F279" s="109" t="str">
        <f>VLOOKUP($A279,ANAGRAFICA!$B$1:$G$306,6,FALSE)</f>
        <v>#N/A</v>
      </c>
      <c r="G279" s="117" t="b">
        <v>0</v>
      </c>
      <c r="H279" s="117" t="b">
        <v>0</v>
      </c>
      <c r="I279" s="117" t="b">
        <v>0</v>
      </c>
      <c r="J279" s="117"/>
    </row>
    <row r="280">
      <c r="A280" s="94"/>
      <c r="B280" s="109" t="str">
        <f>VLOOKUP($A280,ANAGRAFICA!$B$1:$G$306,2,FALSE)</f>
        <v>#N/A</v>
      </c>
      <c r="C280" s="109" t="str">
        <f>VLOOKUP($A280,ANAGRAFICA!$B$1:$G$306,3,FALSE)</f>
        <v>#N/A</v>
      </c>
      <c r="D280" s="109" t="str">
        <f>VLOOKUP($A280,ANAGRAFICA!$B$1:$G$306,4,FALSE)</f>
        <v>#N/A</v>
      </c>
      <c r="E280" s="109" t="str">
        <f>VLOOKUP($A280,ANAGRAFICA!$B$1:$G$306,5,FALSE)</f>
        <v>#N/A</v>
      </c>
      <c r="F280" s="109" t="str">
        <f>VLOOKUP($A280,ANAGRAFICA!$B$1:$G$306,6,FALSE)</f>
        <v>#N/A</v>
      </c>
      <c r="G280" s="117" t="b">
        <v>0</v>
      </c>
      <c r="H280" s="117" t="b">
        <v>0</v>
      </c>
      <c r="I280" s="117" t="b">
        <v>0</v>
      </c>
      <c r="J280" s="117"/>
    </row>
    <row r="281">
      <c r="A281" s="94"/>
      <c r="B281" s="109" t="str">
        <f>VLOOKUP($A281,ANAGRAFICA!$B$1:$G$306,2,FALSE)</f>
        <v>#N/A</v>
      </c>
      <c r="C281" s="109" t="str">
        <f>VLOOKUP($A281,ANAGRAFICA!$B$1:$G$306,3,FALSE)</f>
        <v>#N/A</v>
      </c>
      <c r="D281" s="109" t="str">
        <f>VLOOKUP($A281,ANAGRAFICA!$B$1:$G$306,4,FALSE)</f>
        <v>#N/A</v>
      </c>
      <c r="E281" s="109" t="str">
        <f>VLOOKUP($A281,ANAGRAFICA!$B$1:$G$306,5,FALSE)</f>
        <v>#N/A</v>
      </c>
      <c r="F281" s="109" t="str">
        <f>VLOOKUP($A281,ANAGRAFICA!$B$1:$G$306,6,FALSE)</f>
        <v>#N/A</v>
      </c>
      <c r="G281" s="117" t="b">
        <v>0</v>
      </c>
      <c r="H281" s="117" t="b">
        <v>0</v>
      </c>
      <c r="I281" s="117" t="b">
        <v>0</v>
      </c>
      <c r="J281" s="117"/>
    </row>
    <row r="282">
      <c r="A282" s="94"/>
      <c r="B282" s="109" t="str">
        <f>VLOOKUP($A282,ANAGRAFICA!$B$1:$G$306,2,FALSE)</f>
        <v>#N/A</v>
      </c>
      <c r="C282" s="109" t="str">
        <f>VLOOKUP($A282,ANAGRAFICA!$B$1:$G$306,3,FALSE)</f>
        <v>#N/A</v>
      </c>
      <c r="D282" s="109" t="str">
        <f>VLOOKUP($A282,ANAGRAFICA!$B$1:$G$306,4,FALSE)</f>
        <v>#N/A</v>
      </c>
      <c r="E282" s="109" t="str">
        <f>VLOOKUP($A282,ANAGRAFICA!$B$1:$G$306,5,FALSE)</f>
        <v>#N/A</v>
      </c>
      <c r="F282" s="109" t="str">
        <f>VLOOKUP($A282,ANAGRAFICA!$B$1:$G$306,6,FALSE)</f>
        <v>#N/A</v>
      </c>
      <c r="G282" s="117" t="b">
        <v>0</v>
      </c>
      <c r="H282" s="117" t="b">
        <v>0</v>
      </c>
      <c r="I282" s="117" t="b">
        <v>0</v>
      </c>
      <c r="J282" s="117"/>
    </row>
    <row r="283">
      <c r="A283" s="94"/>
      <c r="B283" s="109" t="str">
        <f>VLOOKUP($A283,ANAGRAFICA!$B$1:$G$306,2,FALSE)</f>
        <v>#N/A</v>
      </c>
      <c r="C283" s="109" t="str">
        <f>VLOOKUP($A283,ANAGRAFICA!$B$1:$G$306,3,FALSE)</f>
        <v>#N/A</v>
      </c>
      <c r="D283" s="109" t="str">
        <f>VLOOKUP($A283,ANAGRAFICA!$B$1:$G$306,4,FALSE)</f>
        <v>#N/A</v>
      </c>
      <c r="E283" s="109" t="str">
        <f>VLOOKUP($A283,ANAGRAFICA!$B$1:$G$306,5,FALSE)</f>
        <v>#N/A</v>
      </c>
      <c r="F283" s="109" t="str">
        <f>VLOOKUP($A283,ANAGRAFICA!$B$1:$G$306,6,FALSE)</f>
        <v>#N/A</v>
      </c>
      <c r="G283" s="117" t="b">
        <v>0</v>
      </c>
      <c r="H283" s="117" t="b">
        <v>0</v>
      </c>
      <c r="I283" s="117" t="b">
        <v>0</v>
      </c>
      <c r="J283" s="117"/>
    </row>
    <row r="284">
      <c r="A284" s="94"/>
      <c r="B284" s="109" t="str">
        <f>VLOOKUP($A284,ANAGRAFICA!$B$1:$G$306,2,FALSE)</f>
        <v>#N/A</v>
      </c>
      <c r="C284" s="109" t="str">
        <f>VLOOKUP($A284,ANAGRAFICA!$B$1:$G$306,3,FALSE)</f>
        <v>#N/A</v>
      </c>
      <c r="D284" s="109" t="str">
        <f>VLOOKUP($A284,ANAGRAFICA!$B$1:$G$306,4,FALSE)</f>
        <v>#N/A</v>
      </c>
      <c r="E284" s="109" t="str">
        <f>VLOOKUP($A284,ANAGRAFICA!$B$1:$G$306,5,FALSE)</f>
        <v>#N/A</v>
      </c>
      <c r="F284" s="109" t="str">
        <f>VLOOKUP($A284,ANAGRAFICA!$B$1:$G$306,6,FALSE)</f>
        <v>#N/A</v>
      </c>
      <c r="G284" s="117" t="b">
        <v>0</v>
      </c>
      <c r="H284" s="117" t="b">
        <v>0</v>
      </c>
      <c r="I284" s="117" t="b">
        <v>0</v>
      </c>
      <c r="J284" s="117"/>
    </row>
    <row r="285">
      <c r="A285" s="94"/>
      <c r="B285" s="109" t="str">
        <f>VLOOKUP($A285,ANAGRAFICA!$B$1:$G$306,2,FALSE)</f>
        <v>#N/A</v>
      </c>
      <c r="C285" s="109" t="str">
        <f>VLOOKUP($A285,ANAGRAFICA!$B$1:$G$306,3,FALSE)</f>
        <v>#N/A</v>
      </c>
      <c r="D285" s="109" t="str">
        <f>VLOOKUP($A285,ANAGRAFICA!$B$1:$G$306,4,FALSE)</f>
        <v>#N/A</v>
      </c>
      <c r="E285" s="109" t="str">
        <f>VLOOKUP($A285,ANAGRAFICA!$B$1:$G$306,5,FALSE)</f>
        <v>#N/A</v>
      </c>
      <c r="F285" s="109" t="str">
        <f>VLOOKUP($A285,ANAGRAFICA!$B$1:$G$306,6,FALSE)</f>
        <v>#N/A</v>
      </c>
      <c r="G285" s="117" t="b">
        <v>0</v>
      </c>
      <c r="H285" s="117" t="b">
        <v>0</v>
      </c>
      <c r="I285" s="117" t="b">
        <v>0</v>
      </c>
      <c r="J285" s="117"/>
    </row>
    <row r="286">
      <c r="A286" s="94"/>
      <c r="B286" s="109" t="str">
        <f>VLOOKUP($A286,ANAGRAFICA!$B$1:$G$306,2,FALSE)</f>
        <v>#N/A</v>
      </c>
      <c r="C286" s="109" t="str">
        <f>VLOOKUP($A286,ANAGRAFICA!$B$1:$G$306,3,FALSE)</f>
        <v>#N/A</v>
      </c>
      <c r="D286" s="109" t="str">
        <f>VLOOKUP($A286,ANAGRAFICA!$B$1:$G$306,4,FALSE)</f>
        <v>#N/A</v>
      </c>
      <c r="E286" s="109" t="str">
        <f>VLOOKUP($A286,ANAGRAFICA!$B$1:$G$306,5,FALSE)</f>
        <v>#N/A</v>
      </c>
      <c r="F286" s="109" t="str">
        <f>VLOOKUP($A286,ANAGRAFICA!$B$1:$G$306,6,FALSE)</f>
        <v>#N/A</v>
      </c>
      <c r="G286" s="117" t="b">
        <v>0</v>
      </c>
      <c r="H286" s="117" t="b">
        <v>0</v>
      </c>
      <c r="I286" s="117" t="b">
        <v>0</v>
      </c>
      <c r="J286" s="117"/>
    </row>
    <row r="287">
      <c r="A287" s="94"/>
      <c r="B287" s="109" t="str">
        <f>VLOOKUP($A287,ANAGRAFICA!$B$1:$G$306,2,FALSE)</f>
        <v>#N/A</v>
      </c>
      <c r="C287" s="109" t="str">
        <f>VLOOKUP($A287,ANAGRAFICA!$B$1:$G$306,3,FALSE)</f>
        <v>#N/A</v>
      </c>
      <c r="D287" s="109" t="str">
        <f>VLOOKUP($A287,ANAGRAFICA!$B$1:$G$306,4,FALSE)</f>
        <v>#N/A</v>
      </c>
      <c r="E287" s="109" t="str">
        <f>VLOOKUP($A287,ANAGRAFICA!$B$1:$G$306,5,FALSE)</f>
        <v>#N/A</v>
      </c>
      <c r="F287" s="109" t="str">
        <f>VLOOKUP($A287,ANAGRAFICA!$B$1:$G$306,6,FALSE)</f>
        <v>#N/A</v>
      </c>
      <c r="G287" s="117" t="b">
        <v>0</v>
      </c>
      <c r="H287" s="117" t="b">
        <v>0</v>
      </c>
      <c r="I287" s="117" t="b">
        <v>0</v>
      </c>
      <c r="J287" s="117"/>
    </row>
    <row r="288">
      <c r="A288" s="94"/>
      <c r="B288" s="109" t="str">
        <f>VLOOKUP($A288,ANAGRAFICA!$B$1:$G$306,2,FALSE)</f>
        <v>#N/A</v>
      </c>
      <c r="C288" s="109" t="str">
        <f>VLOOKUP($A288,ANAGRAFICA!$B$1:$G$306,3,FALSE)</f>
        <v>#N/A</v>
      </c>
      <c r="D288" s="109" t="str">
        <f>VLOOKUP($A288,ANAGRAFICA!$B$1:$G$306,4,FALSE)</f>
        <v>#N/A</v>
      </c>
      <c r="E288" s="109" t="str">
        <f>VLOOKUP($A288,ANAGRAFICA!$B$1:$G$306,5,FALSE)</f>
        <v>#N/A</v>
      </c>
      <c r="F288" s="109" t="str">
        <f>VLOOKUP($A288,ANAGRAFICA!$B$1:$G$306,6,FALSE)</f>
        <v>#N/A</v>
      </c>
      <c r="G288" s="117" t="b">
        <v>0</v>
      </c>
      <c r="H288" s="117" t="b">
        <v>0</v>
      </c>
      <c r="I288" s="117" t="b">
        <v>0</v>
      </c>
      <c r="J288" s="117"/>
    </row>
    <row r="289">
      <c r="A289" s="94"/>
      <c r="B289" s="109" t="str">
        <f>VLOOKUP($A289,ANAGRAFICA!$B$1:$G$306,2,FALSE)</f>
        <v>#N/A</v>
      </c>
      <c r="C289" s="109" t="str">
        <f>VLOOKUP($A289,ANAGRAFICA!$B$1:$G$306,3,FALSE)</f>
        <v>#N/A</v>
      </c>
      <c r="D289" s="109" t="str">
        <f>VLOOKUP($A289,ANAGRAFICA!$B$1:$G$306,4,FALSE)</f>
        <v>#N/A</v>
      </c>
      <c r="E289" s="109" t="str">
        <f>VLOOKUP($A289,ANAGRAFICA!$B$1:$G$306,5,FALSE)</f>
        <v>#N/A</v>
      </c>
      <c r="F289" s="109" t="str">
        <f>VLOOKUP($A289,ANAGRAFICA!$B$1:$G$306,6,FALSE)</f>
        <v>#N/A</v>
      </c>
      <c r="G289" s="117" t="b">
        <v>0</v>
      </c>
      <c r="H289" s="117" t="b">
        <v>0</v>
      </c>
      <c r="I289" s="117" t="b">
        <v>0</v>
      </c>
      <c r="J289" s="117"/>
    </row>
    <row r="290">
      <c r="A290" s="94"/>
      <c r="B290" s="109" t="str">
        <f>VLOOKUP($A290,ANAGRAFICA!$B$1:$G$306,2,FALSE)</f>
        <v>#N/A</v>
      </c>
      <c r="C290" s="109" t="str">
        <f>VLOOKUP($A290,ANAGRAFICA!$B$1:$G$306,3,FALSE)</f>
        <v>#N/A</v>
      </c>
      <c r="D290" s="109" t="str">
        <f>VLOOKUP($A290,ANAGRAFICA!$B$1:$G$306,4,FALSE)</f>
        <v>#N/A</v>
      </c>
      <c r="E290" s="109" t="str">
        <f>VLOOKUP($A290,ANAGRAFICA!$B$1:$G$306,5,FALSE)</f>
        <v>#N/A</v>
      </c>
      <c r="F290" s="109" t="str">
        <f>VLOOKUP($A290,ANAGRAFICA!$B$1:$G$306,6,FALSE)</f>
        <v>#N/A</v>
      </c>
      <c r="G290" s="117" t="b">
        <v>0</v>
      </c>
      <c r="H290" s="117" t="b">
        <v>0</v>
      </c>
      <c r="I290" s="117" t="b">
        <v>0</v>
      </c>
      <c r="J290" s="117"/>
    </row>
    <row r="291">
      <c r="A291" s="94"/>
      <c r="B291" s="109" t="str">
        <f>VLOOKUP($A291,ANAGRAFICA!$B$1:$G$306,2,FALSE)</f>
        <v>#N/A</v>
      </c>
      <c r="C291" s="109" t="str">
        <f>VLOOKUP($A291,ANAGRAFICA!$B$1:$G$306,3,FALSE)</f>
        <v>#N/A</v>
      </c>
      <c r="D291" s="109" t="str">
        <f>VLOOKUP($A291,ANAGRAFICA!$B$1:$G$306,4,FALSE)</f>
        <v>#N/A</v>
      </c>
      <c r="E291" s="109" t="str">
        <f>VLOOKUP($A291,ANAGRAFICA!$B$1:$G$306,5,FALSE)</f>
        <v>#N/A</v>
      </c>
      <c r="F291" s="109" t="str">
        <f>VLOOKUP($A291,ANAGRAFICA!$B$1:$G$306,6,FALSE)</f>
        <v>#N/A</v>
      </c>
      <c r="G291" s="117" t="b">
        <v>0</v>
      </c>
      <c r="H291" s="117" t="b">
        <v>0</v>
      </c>
      <c r="I291" s="117" t="b">
        <v>0</v>
      </c>
      <c r="J291" s="117"/>
    </row>
    <row r="292">
      <c r="A292" s="94"/>
      <c r="B292" s="109" t="str">
        <f>VLOOKUP($A292,ANAGRAFICA!$B$1:$G$306,2,FALSE)</f>
        <v>#N/A</v>
      </c>
      <c r="C292" s="109" t="str">
        <f>VLOOKUP($A292,ANAGRAFICA!$B$1:$G$306,3,FALSE)</f>
        <v>#N/A</v>
      </c>
      <c r="D292" s="109" t="str">
        <f>VLOOKUP($A292,ANAGRAFICA!$B$1:$G$306,4,FALSE)</f>
        <v>#N/A</v>
      </c>
      <c r="E292" s="109" t="str">
        <f>VLOOKUP($A292,ANAGRAFICA!$B$1:$G$306,5,FALSE)</f>
        <v>#N/A</v>
      </c>
      <c r="F292" s="109" t="str">
        <f>VLOOKUP($A292,ANAGRAFICA!$B$1:$G$306,6,FALSE)</f>
        <v>#N/A</v>
      </c>
      <c r="G292" s="117" t="b">
        <v>0</v>
      </c>
      <c r="H292" s="117" t="b">
        <v>0</v>
      </c>
      <c r="I292" s="117" t="b">
        <v>0</v>
      </c>
      <c r="J292" s="117"/>
    </row>
    <row r="293">
      <c r="A293" s="94"/>
      <c r="B293" s="109" t="str">
        <f>VLOOKUP($A293,ANAGRAFICA!$B$1:$G$306,2,FALSE)</f>
        <v>#N/A</v>
      </c>
      <c r="C293" s="109" t="str">
        <f>VLOOKUP($A293,ANAGRAFICA!$B$1:$G$306,3,FALSE)</f>
        <v>#N/A</v>
      </c>
      <c r="D293" s="109" t="str">
        <f>VLOOKUP($A293,ANAGRAFICA!$B$1:$G$306,4,FALSE)</f>
        <v>#N/A</v>
      </c>
      <c r="E293" s="109" t="str">
        <f>VLOOKUP($A293,ANAGRAFICA!$B$1:$G$306,5,FALSE)</f>
        <v>#N/A</v>
      </c>
      <c r="F293" s="109" t="str">
        <f>VLOOKUP($A293,ANAGRAFICA!$B$1:$G$306,6,FALSE)</f>
        <v>#N/A</v>
      </c>
      <c r="G293" s="117" t="b">
        <v>0</v>
      </c>
      <c r="H293" s="117" t="b">
        <v>0</v>
      </c>
      <c r="I293" s="117" t="b">
        <v>0</v>
      </c>
      <c r="J293" s="117"/>
    </row>
    <row r="294">
      <c r="A294" s="94"/>
      <c r="B294" s="109" t="str">
        <f>VLOOKUP($A294,ANAGRAFICA!$B$1:$G$306,2,FALSE)</f>
        <v>#N/A</v>
      </c>
      <c r="C294" s="109" t="str">
        <f>VLOOKUP($A294,ANAGRAFICA!$B$1:$G$306,3,FALSE)</f>
        <v>#N/A</v>
      </c>
      <c r="D294" s="109" t="str">
        <f>VLOOKUP($A294,ANAGRAFICA!$B$1:$G$306,4,FALSE)</f>
        <v>#N/A</v>
      </c>
      <c r="E294" s="109" t="str">
        <f>VLOOKUP($A294,ANAGRAFICA!$B$1:$G$306,5,FALSE)</f>
        <v>#N/A</v>
      </c>
      <c r="F294" s="109" t="str">
        <f>VLOOKUP($A294,ANAGRAFICA!$B$1:$G$306,6,FALSE)</f>
        <v>#N/A</v>
      </c>
      <c r="G294" s="117" t="b">
        <v>0</v>
      </c>
      <c r="H294" s="117" t="b">
        <v>0</v>
      </c>
      <c r="I294" s="117" t="b">
        <v>0</v>
      </c>
      <c r="J294" s="117"/>
    </row>
    <row r="295">
      <c r="A295" s="94"/>
      <c r="B295" s="109" t="str">
        <f>VLOOKUP($A295,ANAGRAFICA!$B$1:$G$306,2,FALSE)</f>
        <v>#N/A</v>
      </c>
      <c r="C295" s="109" t="str">
        <f>VLOOKUP($A295,ANAGRAFICA!$B$1:$G$306,3,FALSE)</f>
        <v>#N/A</v>
      </c>
      <c r="D295" s="109" t="str">
        <f>VLOOKUP($A295,ANAGRAFICA!$B$1:$G$306,4,FALSE)</f>
        <v>#N/A</v>
      </c>
      <c r="E295" s="109" t="str">
        <f>VLOOKUP($A295,ANAGRAFICA!$B$1:$G$306,5,FALSE)</f>
        <v>#N/A</v>
      </c>
      <c r="F295" s="109" t="str">
        <f>VLOOKUP($A295,ANAGRAFICA!$B$1:$G$306,6,FALSE)</f>
        <v>#N/A</v>
      </c>
      <c r="G295" s="117" t="b">
        <v>0</v>
      </c>
      <c r="H295" s="117" t="b">
        <v>0</v>
      </c>
      <c r="I295" s="117" t="b">
        <v>0</v>
      </c>
      <c r="J295" s="117"/>
    </row>
    <row r="296">
      <c r="A296" s="94"/>
      <c r="B296" s="109" t="str">
        <f>VLOOKUP($A296,ANAGRAFICA!$B$1:$G$306,2,FALSE)</f>
        <v>#N/A</v>
      </c>
      <c r="C296" s="109" t="str">
        <f>VLOOKUP($A296,ANAGRAFICA!$B$1:$G$306,3,FALSE)</f>
        <v>#N/A</v>
      </c>
      <c r="D296" s="109" t="str">
        <f>VLOOKUP($A296,ANAGRAFICA!$B$1:$G$306,4,FALSE)</f>
        <v>#N/A</v>
      </c>
      <c r="E296" s="109" t="str">
        <f>VLOOKUP($A296,ANAGRAFICA!$B$1:$G$306,5,FALSE)</f>
        <v>#N/A</v>
      </c>
      <c r="F296" s="109" t="str">
        <f>VLOOKUP($A296,ANAGRAFICA!$B$1:$G$306,6,FALSE)</f>
        <v>#N/A</v>
      </c>
      <c r="G296" s="117" t="b">
        <v>0</v>
      </c>
      <c r="H296" s="117" t="b">
        <v>0</v>
      </c>
      <c r="I296" s="117" t="b">
        <v>0</v>
      </c>
      <c r="J296" s="117"/>
    </row>
    <row r="297">
      <c r="A297" s="94"/>
      <c r="B297" s="109" t="str">
        <f>VLOOKUP($A297,ANAGRAFICA!$B$1:$G$306,2,FALSE)</f>
        <v>#N/A</v>
      </c>
      <c r="C297" s="109" t="str">
        <f>VLOOKUP($A297,ANAGRAFICA!$B$1:$G$306,3,FALSE)</f>
        <v>#N/A</v>
      </c>
      <c r="D297" s="109" t="str">
        <f>VLOOKUP($A297,ANAGRAFICA!$B$1:$G$306,4,FALSE)</f>
        <v>#N/A</v>
      </c>
      <c r="E297" s="109" t="str">
        <f>VLOOKUP($A297,ANAGRAFICA!$B$1:$G$306,5,FALSE)</f>
        <v>#N/A</v>
      </c>
      <c r="F297" s="109" t="str">
        <f>VLOOKUP($A297,ANAGRAFICA!$B$1:$G$306,6,FALSE)</f>
        <v>#N/A</v>
      </c>
      <c r="G297" s="117" t="b">
        <v>0</v>
      </c>
      <c r="H297" s="117" t="b">
        <v>0</v>
      </c>
      <c r="I297" s="117" t="b">
        <v>0</v>
      </c>
      <c r="J297" s="117"/>
    </row>
    <row r="298">
      <c r="A298" s="94"/>
      <c r="B298" s="109" t="str">
        <f>VLOOKUP($A298,ANAGRAFICA!$B$1:$G$306,2,FALSE)</f>
        <v>#N/A</v>
      </c>
      <c r="C298" s="109" t="str">
        <f>VLOOKUP($A298,ANAGRAFICA!$B$1:$G$306,3,FALSE)</f>
        <v>#N/A</v>
      </c>
      <c r="D298" s="109" t="str">
        <f>VLOOKUP($A298,ANAGRAFICA!$B$1:$G$306,4,FALSE)</f>
        <v>#N/A</v>
      </c>
      <c r="E298" s="109" t="str">
        <f>VLOOKUP($A298,ANAGRAFICA!$B$1:$G$306,5,FALSE)</f>
        <v>#N/A</v>
      </c>
      <c r="F298" s="109" t="str">
        <f>VLOOKUP($A298,ANAGRAFICA!$B$1:$G$306,6,FALSE)</f>
        <v>#N/A</v>
      </c>
      <c r="G298" s="117" t="b">
        <v>0</v>
      </c>
      <c r="H298" s="117" t="b">
        <v>0</v>
      </c>
      <c r="I298" s="117" t="b">
        <v>0</v>
      </c>
      <c r="J298" s="117"/>
    </row>
    <row r="299">
      <c r="A299" s="94"/>
      <c r="B299" s="109" t="str">
        <f>VLOOKUP($A299,ANAGRAFICA!$B$1:$G$306,2,FALSE)</f>
        <v>#N/A</v>
      </c>
      <c r="C299" s="109" t="str">
        <f>VLOOKUP($A299,ANAGRAFICA!$B$1:$G$306,3,FALSE)</f>
        <v>#N/A</v>
      </c>
      <c r="D299" s="109" t="str">
        <f>VLOOKUP($A299,ANAGRAFICA!$B$1:$G$306,4,FALSE)</f>
        <v>#N/A</v>
      </c>
      <c r="E299" s="109" t="str">
        <f>VLOOKUP($A299,ANAGRAFICA!$B$1:$G$306,5,FALSE)</f>
        <v>#N/A</v>
      </c>
      <c r="F299" s="109" t="str">
        <f>VLOOKUP($A299,ANAGRAFICA!$B$1:$G$306,6,FALSE)</f>
        <v>#N/A</v>
      </c>
      <c r="G299" s="117" t="b">
        <v>0</v>
      </c>
      <c r="H299" s="117" t="b">
        <v>0</v>
      </c>
      <c r="I299" s="117" t="b">
        <v>0</v>
      </c>
      <c r="J299" s="117"/>
    </row>
    <row r="300">
      <c r="A300" s="94"/>
      <c r="B300" s="109" t="str">
        <f>VLOOKUP($A300,ANAGRAFICA!$B$1:$G$306,2,FALSE)</f>
        <v>#N/A</v>
      </c>
      <c r="C300" s="109" t="str">
        <f>VLOOKUP($A300,ANAGRAFICA!$B$1:$G$306,3,FALSE)</f>
        <v>#N/A</v>
      </c>
      <c r="D300" s="109" t="str">
        <f>VLOOKUP($A300,ANAGRAFICA!$B$1:$G$306,4,FALSE)</f>
        <v>#N/A</v>
      </c>
      <c r="E300" s="109" t="str">
        <f>VLOOKUP($A300,ANAGRAFICA!$B$1:$G$306,5,FALSE)</f>
        <v>#N/A</v>
      </c>
      <c r="F300" s="109" t="str">
        <f>VLOOKUP($A300,ANAGRAFICA!$B$1:$G$306,6,FALSE)</f>
        <v>#N/A</v>
      </c>
      <c r="G300" s="117" t="b">
        <v>0</v>
      </c>
      <c r="H300" s="117" t="b">
        <v>0</v>
      </c>
      <c r="I300" s="117" t="b">
        <v>0</v>
      </c>
      <c r="J300" s="117"/>
    </row>
    <row r="301">
      <c r="A301" s="94"/>
      <c r="B301" s="109" t="str">
        <f>VLOOKUP($A301,ANAGRAFICA!$B$1:$G$306,2,FALSE)</f>
        <v>#N/A</v>
      </c>
      <c r="C301" s="109" t="str">
        <f>VLOOKUP($A301,ANAGRAFICA!$B$1:$G$306,3,FALSE)</f>
        <v>#N/A</v>
      </c>
      <c r="D301" s="109" t="str">
        <f>VLOOKUP($A301,ANAGRAFICA!$B$1:$G$306,4,FALSE)</f>
        <v>#N/A</v>
      </c>
      <c r="E301" s="109" t="str">
        <f>VLOOKUP($A301,ANAGRAFICA!$B$1:$G$306,5,FALSE)</f>
        <v>#N/A</v>
      </c>
      <c r="F301" s="109" t="str">
        <f>VLOOKUP($A301,ANAGRAFICA!$B$1:$G$306,6,FALSE)</f>
        <v>#N/A</v>
      </c>
      <c r="G301" s="117" t="b">
        <v>0</v>
      </c>
      <c r="H301" s="117" t="b">
        <v>0</v>
      </c>
      <c r="I301" s="117" t="b">
        <v>0</v>
      </c>
      <c r="J301" s="117"/>
    </row>
    <row r="302">
      <c r="A302" s="94"/>
      <c r="B302" s="109" t="str">
        <f>VLOOKUP($A302,ANAGRAFICA!$B$1:$G$306,2,FALSE)</f>
        <v>#N/A</v>
      </c>
      <c r="C302" s="109" t="str">
        <f>VLOOKUP($A302,ANAGRAFICA!$B$1:$G$306,3,FALSE)</f>
        <v>#N/A</v>
      </c>
      <c r="D302" s="109" t="str">
        <f>VLOOKUP($A302,ANAGRAFICA!$B$1:$G$306,4,FALSE)</f>
        <v>#N/A</v>
      </c>
      <c r="E302" s="109" t="str">
        <f>VLOOKUP($A302,ANAGRAFICA!$B$1:$G$306,5,FALSE)</f>
        <v>#N/A</v>
      </c>
      <c r="F302" s="109" t="str">
        <f>VLOOKUP($A302,ANAGRAFICA!$B$1:$G$306,6,FALSE)</f>
        <v>#N/A</v>
      </c>
      <c r="G302" s="117" t="b">
        <v>0</v>
      </c>
      <c r="H302" s="117" t="b">
        <v>0</v>
      </c>
      <c r="I302" s="117" t="b">
        <v>0</v>
      </c>
      <c r="J302" s="117"/>
    </row>
    <row r="303">
      <c r="A303" s="94"/>
      <c r="B303" s="109" t="str">
        <f>VLOOKUP($A303,ANAGRAFICA!$B$1:$G$306,2,FALSE)</f>
        <v>#N/A</v>
      </c>
      <c r="C303" s="109" t="str">
        <f>VLOOKUP($A303,ANAGRAFICA!$B$1:$G$306,3,FALSE)</f>
        <v>#N/A</v>
      </c>
      <c r="D303" s="109" t="str">
        <f>VLOOKUP($A303,ANAGRAFICA!$B$1:$G$306,4,FALSE)</f>
        <v>#N/A</v>
      </c>
      <c r="E303" s="109" t="str">
        <f>VLOOKUP($A303,ANAGRAFICA!$B$1:$G$306,5,FALSE)</f>
        <v>#N/A</v>
      </c>
      <c r="F303" s="109" t="str">
        <f>VLOOKUP($A303,ANAGRAFICA!$B$1:$G$306,6,FALSE)</f>
        <v>#N/A</v>
      </c>
      <c r="G303" s="117" t="b">
        <v>0</v>
      </c>
      <c r="H303" s="117" t="b">
        <v>0</v>
      </c>
      <c r="I303" s="117" t="b">
        <v>0</v>
      </c>
      <c r="J303" s="117"/>
    </row>
    <row r="304">
      <c r="A304" s="94"/>
      <c r="B304" s="109" t="str">
        <f>VLOOKUP($A304,ANAGRAFICA!$B$1:$G$306,2,FALSE)</f>
        <v>#N/A</v>
      </c>
      <c r="C304" s="109" t="str">
        <f>VLOOKUP($A304,ANAGRAFICA!$B$1:$G$306,3,FALSE)</f>
        <v>#N/A</v>
      </c>
      <c r="D304" s="109" t="str">
        <f>VLOOKUP($A304,ANAGRAFICA!$B$1:$G$306,4,FALSE)</f>
        <v>#N/A</v>
      </c>
      <c r="E304" s="109" t="str">
        <f>VLOOKUP($A304,ANAGRAFICA!$B$1:$G$306,5,FALSE)</f>
        <v>#N/A</v>
      </c>
      <c r="F304" s="109" t="str">
        <f>VLOOKUP($A304,ANAGRAFICA!$B$1:$G$306,6,FALSE)</f>
        <v>#N/A</v>
      </c>
      <c r="G304" s="117" t="b">
        <v>0</v>
      </c>
      <c r="H304" s="117" t="b">
        <v>0</v>
      </c>
      <c r="I304" s="117" t="b">
        <v>0</v>
      </c>
      <c r="J304" s="117"/>
    </row>
    <row r="305">
      <c r="A305" s="94"/>
      <c r="B305" s="109" t="str">
        <f>VLOOKUP($A305,ANAGRAFICA!$B$1:$G$306,2,FALSE)</f>
        <v>#N/A</v>
      </c>
      <c r="C305" s="109" t="str">
        <f>VLOOKUP($A305,ANAGRAFICA!$B$1:$G$306,3,FALSE)</f>
        <v>#N/A</v>
      </c>
      <c r="D305" s="109" t="str">
        <f>VLOOKUP($A305,ANAGRAFICA!$B$1:$G$306,4,FALSE)</f>
        <v>#N/A</v>
      </c>
      <c r="E305" s="109" t="str">
        <f>VLOOKUP($A305,ANAGRAFICA!$B$1:$G$306,5,FALSE)</f>
        <v>#N/A</v>
      </c>
      <c r="F305" s="109" t="str">
        <f>VLOOKUP($A305,ANAGRAFICA!$B$1:$G$306,6,FALSE)</f>
        <v>#N/A</v>
      </c>
      <c r="G305" s="117" t="b">
        <v>0</v>
      </c>
      <c r="H305" s="117" t="b">
        <v>0</v>
      </c>
      <c r="I305" s="117" t="b">
        <v>0</v>
      </c>
      <c r="J305" s="117"/>
    </row>
    <row r="306">
      <c r="A306" s="94"/>
      <c r="B306" s="109" t="str">
        <f>VLOOKUP($A306,ANAGRAFICA!$B$1:$G$306,2,FALSE)</f>
        <v>#N/A</v>
      </c>
      <c r="C306" s="109" t="str">
        <f>VLOOKUP($A306,ANAGRAFICA!$B$1:$G$306,3,FALSE)</f>
        <v>#N/A</v>
      </c>
      <c r="D306" s="109" t="str">
        <f>VLOOKUP($A306,ANAGRAFICA!$B$1:$G$306,4,FALSE)</f>
        <v>#N/A</v>
      </c>
      <c r="E306" s="109" t="str">
        <f>VLOOKUP($A306,ANAGRAFICA!$B$1:$G$306,5,FALSE)</f>
        <v>#N/A</v>
      </c>
      <c r="F306" s="109" t="str">
        <f>VLOOKUP($A306,ANAGRAFICA!$B$1:$G$306,6,FALSE)</f>
        <v>#N/A</v>
      </c>
      <c r="G306" s="117" t="b">
        <v>0</v>
      </c>
      <c r="H306" s="117" t="b">
        <v>0</v>
      </c>
      <c r="I306" s="117" t="b">
        <v>0</v>
      </c>
      <c r="J306" s="117"/>
    </row>
  </sheetData>
  <dataValidations>
    <dataValidation type="list" allowBlank="1" showErrorMessage="1" sqref="J2:J306">
      <formula1>"32-34,32-36,36-37.5"</formula1>
    </dataValidation>
    <dataValidation type="list" allowBlank="1" showErrorMessage="1" sqref="A2:A283">
      <formula1>ANAGRAFICA!$B$2:$B$506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75"/>
    <col customWidth="1" min="6" max="6" width="64.88"/>
    <col customWidth="1" min="7" max="7" width="22.38"/>
    <col customWidth="1" min="9" max="9" width="42.75"/>
  </cols>
  <sheetData>
    <row r="1">
      <c r="A1" s="3" t="s">
        <v>1584</v>
      </c>
      <c r="B1" s="43" t="s">
        <v>575</v>
      </c>
      <c r="C1" s="269" t="s">
        <v>1585</v>
      </c>
      <c r="D1" s="3" t="s">
        <v>1586</v>
      </c>
      <c r="E1" s="3" t="s">
        <v>1587</v>
      </c>
      <c r="F1" s="43" t="s">
        <v>1063</v>
      </c>
      <c r="G1" s="43" t="s">
        <v>1588</v>
      </c>
      <c r="H1" s="43" t="s">
        <v>1589</v>
      </c>
      <c r="I1" s="3" t="s">
        <v>1590</v>
      </c>
      <c r="J1" s="43" t="s">
        <v>1591</v>
      </c>
      <c r="K1" s="3" t="s">
        <v>1592</v>
      </c>
    </row>
    <row r="2">
      <c r="A2" s="270" t="s">
        <v>555</v>
      </c>
      <c r="B2" s="43" t="s">
        <v>1593</v>
      </c>
      <c r="C2" s="271" t="s">
        <v>620</v>
      </c>
      <c r="D2" s="272" t="s">
        <v>989</v>
      </c>
      <c r="E2" s="273" t="s">
        <v>1002</v>
      </c>
      <c r="F2" s="43" t="s">
        <v>1087</v>
      </c>
      <c r="G2" s="43" t="s">
        <v>1109</v>
      </c>
      <c r="H2" s="43" t="s">
        <v>1134</v>
      </c>
      <c r="I2" s="43" t="s">
        <v>1594</v>
      </c>
      <c r="J2" s="43" t="s">
        <v>1201</v>
      </c>
      <c r="K2" s="274" t="s">
        <v>1595</v>
      </c>
    </row>
    <row r="3">
      <c r="A3" s="270" t="s">
        <v>564</v>
      </c>
      <c r="B3" s="43" t="s">
        <v>589</v>
      </c>
      <c r="C3" s="271" t="s">
        <v>1596</v>
      </c>
      <c r="D3" s="272" t="s">
        <v>975</v>
      </c>
      <c r="E3" s="273" t="s">
        <v>1004</v>
      </c>
      <c r="F3" s="43" t="s">
        <v>1597</v>
      </c>
      <c r="G3" s="43" t="s">
        <v>1598</v>
      </c>
      <c r="H3" s="43" t="s">
        <v>1097</v>
      </c>
      <c r="I3" s="43" t="s">
        <v>1599</v>
      </c>
      <c r="J3" s="43" t="s">
        <v>1172</v>
      </c>
      <c r="K3" s="274" t="s">
        <v>1600</v>
      </c>
    </row>
    <row r="4">
      <c r="A4" s="270" t="s">
        <v>557</v>
      </c>
      <c r="B4" s="43" t="s">
        <v>1601</v>
      </c>
      <c r="C4" s="271" t="s">
        <v>681</v>
      </c>
      <c r="D4" s="272" t="s">
        <v>980</v>
      </c>
      <c r="E4" s="273" t="s">
        <v>1003</v>
      </c>
      <c r="F4" s="43" t="s">
        <v>1602</v>
      </c>
      <c r="G4" s="43" t="s">
        <v>1603</v>
      </c>
      <c r="H4" s="43" t="s">
        <v>1099</v>
      </c>
      <c r="I4" s="43" t="s">
        <v>1604</v>
      </c>
      <c r="J4" s="43" t="s">
        <v>1158</v>
      </c>
      <c r="K4" s="274" t="s">
        <v>1605</v>
      </c>
    </row>
    <row r="5">
      <c r="A5" s="270" t="s">
        <v>548</v>
      </c>
      <c r="B5" s="43" t="s">
        <v>1606</v>
      </c>
      <c r="C5" s="271" t="s">
        <v>617</v>
      </c>
      <c r="D5" s="272" t="s">
        <v>976</v>
      </c>
      <c r="E5" s="273" t="s">
        <v>1006</v>
      </c>
      <c r="F5" s="43" t="s">
        <v>1081</v>
      </c>
      <c r="G5" s="43" t="s">
        <v>1110</v>
      </c>
      <c r="H5" s="43" t="s">
        <v>1607</v>
      </c>
      <c r="I5" s="43" t="s">
        <v>1608</v>
      </c>
      <c r="J5" s="43" t="s">
        <v>1609</v>
      </c>
      <c r="K5" s="274" t="s">
        <v>1610</v>
      </c>
    </row>
    <row r="6">
      <c r="A6" s="275" t="s">
        <v>569</v>
      </c>
      <c r="B6" s="43" t="s">
        <v>592</v>
      </c>
      <c r="C6" s="271" t="s">
        <v>1611</v>
      </c>
      <c r="D6" s="272" t="s">
        <v>991</v>
      </c>
      <c r="E6" s="273" t="s">
        <v>1008</v>
      </c>
      <c r="F6" s="43" t="s">
        <v>1612</v>
      </c>
      <c r="G6" s="43" t="s">
        <v>1119</v>
      </c>
      <c r="H6" s="43" t="s">
        <v>1113</v>
      </c>
      <c r="I6" s="43" t="s">
        <v>1613</v>
      </c>
      <c r="J6" s="43" t="s">
        <v>1614</v>
      </c>
      <c r="K6" s="274" t="s">
        <v>1615</v>
      </c>
    </row>
    <row r="7">
      <c r="A7" s="275" t="s">
        <v>558</v>
      </c>
      <c r="B7" s="43" t="s">
        <v>582</v>
      </c>
      <c r="C7" s="271" t="s">
        <v>670</v>
      </c>
      <c r="D7" s="272" t="s">
        <v>981</v>
      </c>
      <c r="E7" s="273" t="s">
        <v>1005</v>
      </c>
      <c r="F7" s="43" t="s">
        <v>1089</v>
      </c>
      <c r="G7" s="43" t="s">
        <v>1101</v>
      </c>
      <c r="H7" s="43" t="s">
        <v>1105</v>
      </c>
      <c r="I7" s="43" t="s">
        <v>1616</v>
      </c>
      <c r="J7" s="43" t="s">
        <v>1617</v>
      </c>
      <c r="K7" s="274" t="s">
        <v>1618</v>
      </c>
    </row>
    <row r="8">
      <c r="A8" s="276" t="s">
        <v>553</v>
      </c>
      <c r="B8" s="43" t="s">
        <v>595</v>
      </c>
      <c r="C8" s="271" t="s">
        <v>619</v>
      </c>
      <c r="D8" s="272" t="s">
        <v>1619</v>
      </c>
      <c r="E8" s="273" t="s">
        <v>1620</v>
      </c>
      <c r="F8" s="43" t="s">
        <v>1621</v>
      </c>
      <c r="G8" s="43" t="s">
        <v>1128</v>
      </c>
      <c r="H8" s="43" t="s">
        <v>1622</v>
      </c>
      <c r="I8" s="43" t="s">
        <v>1623</v>
      </c>
      <c r="J8" s="43" t="s">
        <v>1193</v>
      </c>
      <c r="K8" s="274" t="s">
        <v>1624</v>
      </c>
    </row>
    <row r="9">
      <c r="A9" s="270" t="s">
        <v>547</v>
      </c>
      <c r="B9" s="43" t="s">
        <v>1625</v>
      </c>
      <c r="C9" s="271" t="s">
        <v>1626</v>
      </c>
      <c r="D9" s="272" t="s">
        <v>1627</v>
      </c>
      <c r="E9" s="273" t="s">
        <v>1628</v>
      </c>
      <c r="F9" s="43" t="s">
        <v>1629</v>
      </c>
      <c r="G9" s="43" t="s">
        <v>1630</v>
      </c>
      <c r="I9" s="43" t="s">
        <v>1631</v>
      </c>
      <c r="J9" s="43" t="s">
        <v>1632</v>
      </c>
      <c r="K9" s="274" t="s">
        <v>1633</v>
      </c>
    </row>
    <row r="10">
      <c r="A10" s="275" t="s">
        <v>567</v>
      </c>
      <c r="B10" s="43" t="s">
        <v>587</v>
      </c>
      <c r="C10" s="271" t="s">
        <v>678</v>
      </c>
      <c r="D10" s="272" t="s">
        <v>985</v>
      </c>
      <c r="E10" s="273" t="s">
        <v>1634</v>
      </c>
      <c r="F10" s="43" t="s">
        <v>1076</v>
      </c>
      <c r="G10" s="43" t="s">
        <v>1096</v>
      </c>
      <c r="I10" s="43" t="s">
        <v>1635</v>
      </c>
      <c r="J10" s="43" t="s">
        <v>1636</v>
      </c>
      <c r="K10" s="274" t="s">
        <v>1221</v>
      </c>
    </row>
    <row r="11">
      <c r="A11" s="275" t="s">
        <v>574</v>
      </c>
      <c r="B11" s="43" t="s">
        <v>1637</v>
      </c>
      <c r="C11" s="271" t="s">
        <v>1638</v>
      </c>
      <c r="D11" s="272" t="s">
        <v>983</v>
      </c>
      <c r="E11" s="273" t="s">
        <v>1639</v>
      </c>
      <c r="F11" s="43" t="s">
        <v>1090</v>
      </c>
      <c r="G11" s="43" t="s">
        <v>1640</v>
      </c>
      <c r="I11" s="43" t="s">
        <v>1641</v>
      </c>
      <c r="J11" s="43" t="s">
        <v>1642</v>
      </c>
      <c r="K11" s="274" t="s">
        <v>1643</v>
      </c>
    </row>
    <row r="12">
      <c r="A12" s="275" t="s">
        <v>554</v>
      </c>
      <c r="B12" s="43" t="s">
        <v>585</v>
      </c>
      <c r="C12" s="271" t="s">
        <v>615</v>
      </c>
      <c r="D12" s="272" t="s">
        <v>990</v>
      </c>
      <c r="E12" s="273" t="s">
        <v>1644</v>
      </c>
      <c r="F12" s="43" t="s">
        <v>1645</v>
      </c>
      <c r="G12" s="43" t="s">
        <v>1646</v>
      </c>
      <c r="I12" s="43" t="s">
        <v>1647</v>
      </c>
      <c r="J12" s="43" t="s">
        <v>1189</v>
      </c>
      <c r="K12" s="274" t="s">
        <v>1648</v>
      </c>
    </row>
    <row r="13">
      <c r="A13" s="270" t="s">
        <v>550</v>
      </c>
      <c r="B13" s="43" t="s">
        <v>591</v>
      </c>
      <c r="C13" s="271" t="s">
        <v>638</v>
      </c>
      <c r="D13" s="272" t="s">
        <v>978</v>
      </c>
      <c r="F13" s="43" t="s">
        <v>1086</v>
      </c>
      <c r="G13" s="43" t="s">
        <v>1117</v>
      </c>
      <c r="I13" s="43" t="s">
        <v>1649</v>
      </c>
      <c r="K13" s="274" t="s">
        <v>1650</v>
      </c>
    </row>
    <row r="14">
      <c r="A14" s="270" t="s">
        <v>566</v>
      </c>
      <c r="B14" s="43" t="s">
        <v>1651</v>
      </c>
      <c r="C14" s="271" t="s">
        <v>633</v>
      </c>
      <c r="D14" s="272" t="s">
        <v>979</v>
      </c>
      <c r="F14" s="43" t="s">
        <v>1068</v>
      </c>
      <c r="I14" s="43" t="s">
        <v>1652</v>
      </c>
      <c r="K14" s="274" t="s">
        <v>1653</v>
      </c>
    </row>
    <row r="15">
      <c r="A15" s="270" t="s">
        <v>551</v>
      </c>
      <c r="B15" s="43" t="s">
        <v>1654</v>
      </c>
      <c r="C15" s="271" t="s">
        <v>1655</v>
      </c>
      <c r="D15" s="272" t="s">
        <v>984</v>
      </c>
      <c r="F15" s="43" t="s">
        <v>1065</v>
      </c>
      <c r="I15" s="43" t="s">
        <v>1656</v>
      </c>
      <c r="K15" s="274" t="s">
        <v>1657</v>
      </c>
    </row>
    <row r="16">
      <c r="A16" s="270" t="s">
        <v>571</v>
      </c>
      <c r="B16" s="43" t="s">
        <v>1658</v>
      </c>
      <c r="C16" s="271" t="s">
        <v>1659</v>
      </c>
      <c r="D16" s="272" t="s">
        <v>986</v>
      </c>
      <c r="F16" s="43" t="s">
        <v>1660</v>
      </c>
      <c r="I16" s="43" t="s">
        <v>1661</v>
      </c>
      <c r="K16" s="274" t="s">
        <v>1662</v>
      </c>
    </row>
    <row r="17">
      <c r="A17" s="277" t="s">
        <v>556</v>
      </c>
      <c r="B17" s="43" t="s">
        <v>1663</v>
      </c>
      <c r="C17" s="271" t="s">
        <v>1664</v>
      </c>
      <c r="D17" s="272" t="s">
        <v>1665</v>
      </c>
      <c r="F17" s="43" t="s">
        <v>1070</v>
      </c>
      <c r="I17" s="43" t="s">
        <v>1666</v>
      </c>
      <c r="K17" s="274" t="s">
        <v>1667</v>
      </c>
    </row>
    <row r="18">
      <c r="A18" s="3" t="s">
        <v>560</v>
      </c>
      <c r="B18" s="43" t="s">
        <v>594</v>
      </c>
      <c r="C18" s="271" t="s">
        <v>634</v>
      </c>
      <c r="D18" s="272" t="s">
        <v>973</v>
      </c>
      <c r="F18" s="43" t="s">
        <v>1082</v>
      </c>
      <c r="I18" s="43" t="s">
        <v>1668</v>
      </c>
      <c r="K18" s="274" t="s">
        <v>1669</v>
      </c>
    </row>
    <row r="19">
      <c r="A19" s="3" t="s">
        <v>562</v>
      </c>
      <c r="B19" s="43" t="s">
        <v>1670</v>
      </c>
      <c r="C19" s="271" t="s">
        <v>605</v>
      </c>
      <c r="D19" s="272" t="s">
        <v>987</v>
      </c>
      <c r="F19" s="43" t="s">
        <v>1071</v>
      </c>
      <c r="I19" s="43" t="s">
        <v>1671</v>
      </c>
      <c r="K19" s="274" t="s">
        <v>1672</v>
      </c>
    </row>
    <row r="20">
      <c r="A20" s="3" t="s">
        <v>565</v>
      </c>
      <c r="B20" s="43" t="s">
        <v>1673</v>
      </c>
      <c r="C20" s="271" t="s">
        <v>1674</v>
      </c>
      <c r="D20" s="272" t="s">
        <v>1675</v>
      </c>
      <c r="F20" s="43" t="s">
        <v>1676</v>
      </c>
      <c r="I20" s="43" t="s">
        <v>1677</v>
      </c>
      <c r="K20" s="274" t="s">
        <v>1218</v>
      </c>
    </row>
    <row r="21">
      <c r="A21" s="3" t="s">
        <v>563</v>
      </c>
      <c r="B21" s="43" t="s">
        <v>1678</v>
      </c>
      <c r="C21" s="271" t="s">
        <v>606</v>
      </c>
      <c r="D21" s="272" t="s">
        <v>1679</v>
      </c>
      <c r="F21" s="43" t="s">
        <v>1680</v>
      </c>
      <c r="I21" s="43" t="s">
        <v>1114</v>
      </c>
      <c r="K21" s="274" t="s">
        <v>1228</v>
      </c>
    </row>
    <row r="22">
      <c r="A22" s="3" t="s">
        <v>559</v>
      </c>
      <c r="B22" s="43" t="s">
        <v>1681</v>
      </c>
      <c r="C22" s="271" t="s">
        <v>851</v>
      </c>
      <c r="D22" s="272" t="s">
        <v>1682</v>
      </c>
      <c r="F22" s="43" t="s">
        <v>1074</v>
      </c>
      <c r="I22" s="43" t="s">
        <v>1683</v>
      </c>
      <c r="K22" s="274" t="s">
        <v>1684</v>
      </c>
    </row>
    <row r="23">
      <c r="B23" s="43" t="s">
        <v>1685</v>
      </c>
      <c r="C23" s="271" t="s">
        <v>640</v>
      </c>
      <c r="D23" s="272" t="s">
        <v>1686</v>
      </c>
      <c r="F23" s="43" t="s">
        <v>1066</v>
      </c>
      <c r="I23" s="43" t="s">
        <v>1687</v>
      </c>
      <c r="K23" s="274" t="s">
        <v>1688</v>
      </c>
    </row>
    <row r="24">
      <c r="B24" s="43" t="s">
        <v>1689</v>
      </c>
      <c r="C24" s="271" t="s">
        <v>1690</v>
      </c>
      <c r="D24" s="272" t="s">
        <v>988</v>
      </c>
      <c r="F24" s="43" t="s">
        <v>1691</v>
      </c>
      <c r="I24" s="43" t="s">
        <v>1692</v>
      </c>
      <c r="K24" s="274" t="s">
        <v>1693</v>
      </c>
    </row>
    <row r="25">
      <c r="B25" s="43" t="s">
        <v>1694</v>
      </c>
      <c r="C25" s="271" t="s">
        <v>1695</v>
      </c>
      <c r="D25" s="272" t="s">
        <v>977</v>
      </c>
      <c r="F25" s="43" t="s">
        <v>1067</v>
      </c>
      <c r="I25" s="43" t="s">
        <v>1121</v>
      </c>
      <c r="K25" s="274" t="s">
        <v>1231</v>
      </c>
    </row>
    <row r="26">
      <c r="B26" s="43" t="s">
        <v>1696</v>
      </c>
      <c r="C26" s="271" t="s">
        <v>1697</v>
      </c>
      <c r="D26" s="272" t="s">
        <v>974</v>
      </c>
      <c r="F26" s="43" t="s">
        <v>1073</v>
      </c>
      <c r="I26" s="43" t="s">
        <v>1120</v>
      </c>
      <c r="K26" s="274" t="s">
        <v>1698</v>
      </c>
    </row>
    <row r="27">
      <c r="B27" s="43" t="s">
        <v>1699</v>
      </c>
      <c r="C27" s="271" t="s">
        <v>758</v>
      </c>
      <c r="F27" s="43" t="s">
        <v>1072</v>
      </c>
      <c r="I27" s="43" t="s">
        <v>1115</v>
      </c>
      <c r="K27" s="274" t="s">
        <v>1700</v>
      </c>
    </row>
    <row r="28">
      <c r="B28" s="43" t="s">
        <v>1701</v>
      </c>
      <c r="C28" s="271" t="s">
        <v>1702</v>
      </c>
      <c r="F28" s="43" t="s">
        <v>1703</v>
      </c>
      <c r="I28" s="43" t="s">
        <v>1704</v>
      </c>
      <c r="K28" s="274" t="s">
        <v>1215</v>
      </c>
    </row>
    <row r="29">
      <c r="B29" s="43" t="s">
        <v>1705</v>
      </c>
      <c r="C29" s="271" t="s">
        <v>1706</v>
      </c>
      <c r="F29" s="43" t="s">
        <v>1064</v>
      </c>
      <c r="I29" s="43" t="s">
        <v>1707</v>
      </c>
      <c r="K29" s="274" t="s">
        <v>1708</v>
      </c>
    </row>
    <row r="30">
      <c r="B30" s="43" t="s">
        <v>1709</v>
      </c>
      <c r="C30" s="271" t="s">
        <v>1710</v>
      </c>
      <c r="F30" s="43" t="s">
        <v>1078</v>
      </c>
      <c r="I30" s="43" t="s">
        <v>1711</v>
      </c>
      <c r="K30" s="274" t="s">
        <v>1712</v>
      </c>
    </row>
    <row r="31">
      <c r="B31" s="43" t="s">
        <v>1713</v>
      </c>
      <c r="C31" s="271" t="s">
        <v>662</v>
      </c>
      <c r="F31" s="43" t="s">
        <v>1714</v>
      </c>
      <c r="I31" s="43" t="s">
        <v>1715</v>
      </c>
      <c r="K31" s="274" t="s">
        <v>1716</v>
      </c>
    </row>
    <row r="32">
      <c r="B32" s="43" t="s">
        <v>1717</v>
      </c>
      <c r="C32" s="271" t="s">
        <v>1718</v>
      </c>
      <c r="F32" s="43" t="s">
        <v>1079</v>
      </c>
      <c r="I32" s="43" t="s">
        <v>1719</v>
      </c>
      <c r="K32" s="274" t="s">
        <v>1720</v>
      </c>
    </row>
    <row r="33">
      <c r="C33" s="271" t="s">
        <v>1721</v>
      </c>
      <c r="F33" s="43" t="s">
        <v>1080</v>
      </c>
      <c r="I33" s="43" t="s">
        <v>1132</v>
      </c>
      <c r="K33" s="274" t="s">
        <v>1722</v>
      </c>
    </row>
    <row r="34">
      <c r="C34" s="271" t="s">
        <v>612</v>
      </c>
      <c r="F34" s="43" t="s">
        <v>1723</v>
      </c>
      <c r="I34" s="43" t="s">
        <v>1724</v>
      </c>
      <c r="K34" s="274" t="s">
        <v>1226</v>
      </c>
    </row>
    <row r="35">
      <c r="C35" s="271" t="s">
        <v>635</v>
      </c>
      <c r="F35" s="43" t="s">
        <v>1075</v>
      </c>
      <c r="I35" s="43" t="s">
        <v>1725</v>
      </c>
    </row>
    <row r="36">
      <c r="C36" s="271" t="s">
        <v>773</v>
      </c>
      <c r="F36" s="43" t="s">
        <v>1726</v>
      </c>
      <c r="I36" s="43" t="s">
        <v>1727</v>
      </c>
    </row>
    <row r="37">
      <c r="C37" s="271" t="s">
        <v>674</v>
      </c>
      <c r="F37" s="43" t="s">
        <v>1083</v>
      </c>
      <c r="I37" s="43" t="s">
        <v>1728</v>
      </c>
    </row>
    <row r="38">
      <c r="C38" s="271" t="s">
        <v>613</v>
      </c>
      <c r="F38" s="43" t="s">
        <v>1084</v>
      </c>
      <c r="I38" s="43" t="s">
        <v>1729</v>
      </c>
    </row>
    <row r="39">
      <c r="C39" s="271" t="s">
        <v>764</v>
      </c>
      <c r="F39" s="43" t="s">
        <v>1085</v>
      </c>
      <c r="I39" s="43" t="s">
        <v>1730</v>
      </c>
    </row>
    <row r="40">
      <c r="C40" s="271" t="s">
        <v>756</v>
      </c>
      <c r="F40" s="43" t="s">
        <v>1731</v>
      </c>
      <c r="I40" s="43" t="s">
        <v>1732</v>
      </c>
    </row>
    <row r="41">
      <c r="C41" s="271" t="s">
        <v>614</v>
      </c>
      <c r="I41" s="43" t="s">
        <v>1733</v>
      </c>
    </row>
    <row r="42">
      <c r="C42" s="271" t="s">
        <v>673</v>
      </c>
      <c r="I42" s="43" t="s">
        <v>1734</v>
      </c>
    </row>
    <row r="43">
      <c r="C43" s="271" t="s">
        <v>623</v>
      </c>
      <c r="I43" s="43" t="s">
        <v>1735</v>
      </c>
    </row>
    <row r="44">
      <c r="C44" s="271" t="s">
        <v>859</v>
      </c>
      <c r="I44" s="43" t="s">
        <v>1736</v>
      </c>
    </row>
    <row r="45">
      <c r="C45" s="271" t="s">
        <v>604</v>
      </c>
      <c r="I45" s="43" t="s">
        <v>1122</v>
      </c>
    </row>
    <row r="46">
      <c r="C46" s="271" t="s">
        <v>618</v>
      </c>
      <c r="I46" s="43" t="s">
        <v>1737</v>
      </c>
    </row>
    <row r="47">
      <c r="C47" s="271" t="s">
        <v>656</v>
      </c>
      <c r="I47" s="43" t="s">
        <v>1738</v>
      </c>
    </row>
    <row r="48">
      <c r="C48" s="271" t="s">
        <v>1739</v>
      </c>
      <c r="I48" s="43" t="s">
        <v>1740</v>
      </c>
    </row>
    <row r="49">
      <c r="C49" s="271" t="s">
        <v>609</v>
      </c>
      <c r="I49" s="43" t="s">
        <v>1741</v>
      </c>
    </row>
    <row r="50">
      <c r="C50" s="271" t="s">
        <v>1742</v>
      </c>
      <c r="I50" s="43" t="s">
        <v>1104</v>
      </c>
    </row>
    <row r="51">
      <c r="C51" s="271" t="s">
        <v>603</v>
      </c>
      <c r="I51" s="43" t="s">
        <v>1743</v>
      </c>
    </row>
    <row r="52">
      <c r="C52" s="62" t="s">
        <v>648</v>
      </c>
      <c r="I52" s="43" t="s">
        <v>1111</v>
      </c>
    </row>
    <row r="53">
      <c r="C53" s="62" t="s">
        <v>645</v>
      </c>
      <c r="I53" s="43" t="s">
        <v>1744</v>
      </c>
    </row>
    <row r="54">
      <c r="C54" s="62" t="s">
        <v>646</v>
      </c>
      <c r="I54" s="43" t="s">
        <v>1745</v>
      </c>
    </row>
    <row r="55">
      <c r="C55" s="269" t="s">
        <v>607</v>
      </c>
      <c r="I55" s="43" t="s">
        <v>1746</v>
      </c>
    </row>
    <row r="56">
      <c r="C56" s="3" t="s">
        <v>610</v>
      </c>
      <c r="I56" s="43" t="s">
        <v>1098</v>
      </c>
    </row>
    <row r="57">
      <c r="C57" s="269" t="s">
        <v>624</v>
      </c>
      <c r="I57" s="43" t="s">
        <v>1747</v>
      </c>
    </row>
    <row r="58">
      <c r="C58" s="269" t="s">
        <v>625</v>
      </c>
      <c r="I58" s="43" t="s">
        <v>1748</v>
      </c>
    </row>
    <row r="59">
      <c r="C59" s="278"/>
      <c r="I59" s="43" t="s">
        <v>1126</v>
      </c>
    </row>
    <row r="60">
      <c r="C60" s="278"/>
      <c r="I60" s="43" t="s">
        <v>1749</v>
      </c>
    </row>
    <row r="61">
      <c r="C61" s="278"/>
      <c r="I61" s="43" t="s">
        <v>1750</v>
      </c>
    </row>
    <row r="62">
      <c r="C62" s="278"/>
      <c r="I62" s="43" t="s">
        <v>1751</v>
      </c>
    </row>
    <row r="63">
      <c r="C63" s="278"/>
      <c r="I63" s="43" t="s">
        <v>1123</v>
      </c>
    </row>
    <row r="64">
      <c r="C64" s="278"/>
      <c r="I64" s="43" t="s">
        <v>1752</v>
      </c>
    </row>
    <row r="65">
      <c r="C65" s="278"/>
      <c r="I65" s="43" t="s">
        <v>1753</v>
      </c>
    </row>
    <row r="66">
      <c r="C66" s="278"/>
      <c r="I66" s="43" t="s">
        <v>1754</v>
      </c>
    </row>
    <row r="67">
      <c r="C67" s="278"/>
      <c r="I67" s="43" t="s">
        <v>1755</v>
      </c>
    </row>
    <row r="68">
      <c r="C68" s="278"/>
      <c r="I68" s="43" t="s">
        <v>1756</v>
      </c>
    </row>
    <row r="69">
      <c r="C69" s="278"/>
      <c r="I69" s="43" t="s">
        <v>1106</v>
      </c>
    </row>
    <row r="70">
      <c r="C70" s="278"/>
      <c r="I70" s="43" t="s">
        <v>1757</v>
      </c>
    </row>
    <row r="71">
      <c r="C71" s="278"/>
      <c r="I71" s="43" t="s">
        <v>1758</v>
      </c>
    </row>
    <row r="72">
      <c r="C72" s="278"/>
      <c r="I72" s="43" t="s">
        <v>1759</v>
      </c>
    </row>
    <row r="73">
      <c r="C73" s="278"/>
      <c r="I73" s="43" t="s">
        <v>1760</v>
      </c>
    </row>
    <row r="74">
      <c r="C74" s="278"/>
      <c r="I74" s="43" t="s">
        <v>1761</v>
      </c>
    </row>
    <row r="75">
      <c r="C75" s="278"/>
      <c r="I75" s="43" t="s">
        <v>1762</v>
      </c>
    </row>
    <row r="76">
      <c r="C76" s="278"/>
      <c r="I76" s="43" t="s">
        <v>1763</v>
      </c>
    </row>
    <row r="77">
      <c r="C77" s="278"/>
      <c r="I77" s="43" t="s">
        <v>1764</v>
      </c>
    </row>
    <row r="78">
      <c r="C78" s="278"/>
      <c r="I78" s="43" t="s">
        <v>1124</v>
      </c>
    </row>
    <row r="79">
      <c r="C79" s="278"/>
      <c r="I79" s="43" t="s">
        <v>1130</v>
      </c>
    </row>
    <row r="80">
      <c r="C80" s="278"/>
      <c r="I80" s="43" t="s">
        <v>1765</v>
      </c>
    </row>
    <row r="81">
      <c r="C81" s="278"/>
      <c r="I81" s="43" t="s">
        <v>1766</v>
      </c>
    </row>
    <row r="82">
      <c r="C82" s="278"/>
      <c r="I82" s="43" t="s">
        <v>1767</v>
      </c>
    </row>
    <row r="83">
      <c r="C83" s="278"/>
      <c r="I83" s="43" t="s">
        <v>1768</v>
      </c>
    </row>
    <row r="84">
      <c r="C84" s="278"/>
      <c r="I84" s="43" t="s">
        <v>1769</v>
      </c>
    </row>
    <row r="85">
      <c r="C85" s="278"/>
      <c r="I85" s="43" t="s">
        <v>1770</v>
      </c>
    </row>
    <row r="86">
      <c r="C86" s="278"/>
      <c r="I86" s="43" t="s">
        <v>1771</v>
      </c>
    </row>
    <row r="87">
      <c r="C87" s="278"/>
      <c r="I87" s="43" t="s">
        <v>1772</v>
      </c>
    </row>
    <row r="88">
      <c r="C88" s="278"/>
      <c r="I88" s="43" t="s">
        <v>1773</v>
      </c>
    </row>
    <row r="89">
      <c r="C89" s="278"/>
      <c r="I89" s="43" t="s">
        <v>1774</v>
      </c>
    </row>
    <row r="90">
      <c r="C90" s="278"/>
      <c r="I90" s="43" t="s">
        <v>1116</v>
      </c>
    </row>
    <row r="91">
      <c r="C91" s="278"/>
      <c r="I91" s="43" t="s">
        <v>1775</v>
      </c>
    </row>
    <row r="92">
      <c r="C92" s="278"/>
      <c r="I92" s="43" t="s">
        <v>1776</v>
      </c>
    </row>
    <row r="93">
      <c r="C93" s="278"/>
      <c r="I93" s="43" t="s">
        <v>1777</v>
      </c>
    </row>
    <row r="94">
      <c r="C94" s="278"/>
      <c r="I94" s="43" t="s">
        <v>1778</v>
      </c>
    </row>
    <row r="95">
      <c r="C95" s="278"/>
      <c r="I95" s="43" t="s">
        <v>1779</v>
      </c>
    </row>
    <row r="96">
      <c r="C96" s="278"/>
      <c r="I96" s="43" t="s">
        <v>1780</v>
      </c>
    </row>
    <row r="97">
      <c r="C97" s="278"/>
      <c r="I97" s="43" t="s">
        <v>1781</v>
      </c>
    </row>
    <row r="98">
      <c r="C98" s="278"/>
      <c r="I98" s="43" t="s">
        <v>1782</v>
      </c>
    </row>
    <row r="99">
      <c r="C99" s="278"/>
      <c r="I99" s="43" t="s">
        <v>1783</v>
      </c>
    </row>
    <row r="100">
      <c r="C100" s="278"/>
      <c r="I100" s="43" t="s">
        <v>1784</v>
      </c>
    </row>
    <row r="101">
      <c r="C101" s="278"/>
      <c r="I101" s="43" t="s">
        <v>1785</v>
      </c>
    </row>
    <row r="102">
      <c r="C102" s="278"/>
      <c r="I102" s="43" t="s">
        <v>1786</v>
      </c>
    </row>
    <row r="103">
      <c r="C103" s="278"/>
      <c r="I103" s="43" t="s">
        <v>1787</v>
      </c>
    </row>
    <row r="104">
      <c r="C104" s="278"/>
      <c r="I104" s="43" t="s">
        <v>1788</v>
      </c>
    </row>
    <row r="105">
      <c r="C105" s="278"/>
      <c r="I105" s="43" t="s">
        <v>1789</v>
      </c>
    </row>
    <row r="106">
      <c r="C106" s="278"/>
      <c r="I106" s="43" t="s">
        <v>1790</v>
      </c>
    </row>
    <row r="107">
      <c r="C107" s="278"/>
      <c r="I107" s="43" t="s">
        <v>1791</v>
      </c>
    </row>
    <row r="108">
      <c r="C108" s="278"/>
      <c r="I108" s="43" t="s">
        <v>1792</v>
      </c>
    </row>
    <row r="109">
      <c r="C109" s="278"/>
      <c r="I109" s="43" t="s">
        <v>1793</v>
      </c>
    </row>
    <row r="110">
      <c r="C110" s="278"/>
      <c r="I110" s="43" t="s">
        <v>1794</v>
      </c>
    </row>
    <row r="111">
      <c r="C111" s="278"/>
      <c r="I111" s="43" t="s">
        <v>1795</v>
      </c>
    </row>
    <row r="112">
      <c r="C112" s="278"/>
      <c r="I112" s="43" t="s">
        <v>1796</v>
      </c>
    </row>
    <row r="113">
      <c r="C113" s="278"/>
      <c r="I113" s="43" t="s">
        <v>1129</v>
      </c>
    </row>
    <row r="114">
      <c r="C114" s="278"/>
      <c r="I114" s="43" t="s">
        <v>1797</v>
      </c>
    </row>
    <row r="115">
      <c r="C115" s="278"/>
      <c r="I115" s="43" t="s">
        <v>1108</v>
      </c>
    </row>
    <row r="116">
      <c r="C116" s="278"/>
      <c r="I116" s="43" t="s">
        <v>1798</v>
      </c>
    </row>
    <row r="117">
      <c r="C117" s="278"/>
      <c r="I117" s="43" t="s">
        <v>1799</v>
      </c>
    </row>
    <row r="118">
      <c r="C118" s="278"/>
      <c r="I118" s="43" t="s">
        <v>1800</v>
      </c>
    </row>
    <row r="119">
      <c r="C119" s="278"/>
      <c r="I119" s="43" t="s">
        <v>1801</v>
      </c>
    </row>
    <row r="120">
      <c r="C120" s="278"/>
      <c r="I120" s="43" t="s">
        <v>1802</v>
      </c>
    </row>
    <row r="121">
      <c r="C121" s="278"/>
      <c r="I121" s="43" t="s">
        <v>1803</v>
      </c>
    </row>
    <row r="122">
      <c r="C122" s="278"/>
      <c r="I122" s="43" t="s">
        <v>1804</v>
      </c>
    </row>
    <row r="123">
      <c r="C123" s="278"/>
      <c r="I123" s="43" t="s">
        <v>1805</v>
      </c>
    </row>
    <row r="124">
      <c r="C124" s="278"/>
      <c r="I124" s="43" t="s">
        <v>1806</v>
      </c>
    </row>
    <row r="125">
      <c r="C125" s="278"/>
      <c r="I125" s="43" t="s">
        <v>1807</v>
      </c>
    </row>
    <row r="126">
      <c r="C126" s="278"/>
      <c r="I126" s="43" t="s">
        <v>1808</v>
      </c>
    </row>
    <row r="127">
      <c r="C127" s="278"/>
      <c r="I127" s="43" t="s">
        <v>1809</v>
      </c>
    </row>
    <row r="128">
      <c r="C128" s="278"/>
      <c r="I128" s="43" t="s">
        <v>1107</v>
      </c>
    </row>
    <row r="129">
      <c r="C129" s="278"/>
      <c r="I129" s="43" t="s">
        <v>1810</v>
      </c>
    </row>
    <row r="130">
      <c r="C130" s="278"/>
      <c r="I130" s="43" t="s">
        <v>1811</v>
      </c>
    </row>
    <row r="131">
      <c r="C131" s="278"/>
      <c r="I131" s="43" t="s">
        <v>1812</v>
      </c>
    </row>
    <row r="132">
      <c r="C132" s="278"/>
      <c r="I132" s="43" t="s">
        <v>1100</v>
      </c>
    </row>
    <row r="133">
      <c r="C133" s="278"/>
      <c r="I133" s="43" t="s">
        <v>1813</v>
      </c>
    </row>
    <row r="134">
      <c r="C134" s="278"/>
      <c r="I134" s="43" t="s">
        <v>1112</v>
      </c>
    </row>
    <row r="135">
      <c r="C135" s="278"/>
      <c r="I135" s="43" t="s">
        <v>1814</v>
      </c>
    </row>
    <row r="136">
      <c r="C136" s="278"/>
      <c r="I136" s="43" t="s">
        <v>1815</v>
      </c>
    </row>
    <row r="137">
      <c r="C137" s="278"/>
      <c r="I137" s="43" t="s">
        <v>1816</v>
      </c>
    </row>
    <row r="138">
      <c r="C138" s="278"/>
      <c r="I138" s="43" t="s">
        <v>1817</v>
      </c>
    </row>
    <row r="139">
      <c r="C139" s="278"/>
      <c r="I139" s="43" t="s">
        <v>1818</v>
      </c>
    </row>
    <row r="140">
      <c r="C140" s="278"/>
      <c r="I140" s="43" t="s">
        <v>1135</v>
      </c>
    </row>
    <row r="141">
      <c r="C141" s="278"/>
      <c r="I141" s="43" t="s">
        <v>1819</v>
      </c>
    </row>
    <row r="142">
      <c r="C142" s="278"/>
      <c r="I142" s="43" t="s">
        <v>1118</v>
      </c>
    </row>
    <row r="143">
      <c r="C143" s="278"/>
      <c r="I143" s="43" t="s">
        <v>1820</v>
      </c>
    </row>
    <row r="144">
      <c r="C144" s="278"/>
      <c r="I144" s="43" t="s">
        <v>1102</v>
      </c>
    </row>
    <row r="145">
      <c r="C145" s="278"/>
      <c r="I145" s="43" t="s">
        <v>1821</v>
      </c>
    </row>
    <row r="146">
      <c r="C146" s="278"/>
      <c r="I146" s="43" t="s">
        <v>1822</v>
      </c>
    </row>
    <row r="147">
      <c r="C147" s="278"/>
      <c r="I147" s="43" t="s">
        <v>1823</v>
      </c>
    </row>
    <row r="148">
      <c r="C148" s="278"/>
      <c r="I148" s="43" t="s">
        <v>1824</v>
      </c>
    </row>
    <row r="149">
      <c r="C149" s="278"/>
      <c r="I149" s="43" t="s">
        <v>1125</v>
      </c>
    </row>
    <row r="150">
      <c r="C150" s="278"/>
      <c r="I150" s="43" t="s">
        <v>1825</v>
      </c>
    </row>
    <row r="151">
      <c r="C151" s="278"/>
      <c r="I151" s="43" t="s">
        <v>1826</v>
      </c>
    </row>
    <row r="152">
      <c r="C152" s="278"/>
      <c r="I152" s="43" t="s">
        <v>1827</v>
      </c>
    </row>
    <row r="153">
      <c r="C153" s="278"/>
      <c r="I153" s="43" t="s">
        <v>1828</v>
      </c>
    </row>
    <row r="154">
      <c r="C154" s="278"/>
      <c r="I154" s="43" t="s">
        <v>1829</v>
      </c>
    </row>
    <row r="155">
      <c r="C155" s="278"/>
      <c r="I155" s="43" t="s">
        <v>1830</v>
      </c>
    </row>
    <row r="156">
      <c r="C156" s="278"/>
    </row>
    <row r="157">
      <c r="C157" s="278"/>
    </row>
    <row r="158">
      <c r="C158" s="278"/>
    </row>
    <row r="159">
      <c r="C159" s="278"/>
    </row>
    <row r="160">
      <c r="C160" s="278"/>
    </row>
    <row r="161">
      <c r="C161" s="278"/>
    </row>
    <row r="162">
      <c r="C162" s="278"/>
    </row>
    <row r="163">
      <c r="C163" s="278"/>
    </row>
    <row r="164">
      <c r="C164" s="278"/>
    </row>
    <row r="165">
      <c r="C165" s="278"/>
    </row>
    <row r="166">
      <c r="C166" s="278"/>
    </row>
    <row r="167">
      <c r="C167" s="278"/>
    </row>
    <row r="168">
      <c r="C168" s="278"/>
    </row>
    <row r="169">
      <c r="C169" s="278"/>
    </row>
    <row r="170">
      <c r="C170" s="278"/>
    </row>
    <row r="171">
      <c r="C171" s="278"/>
    </row>
    <row r="172">
      <c r="C172" s="278"/>
    </row>
    <row r="173">
      <c r="C173" s="278"/>
    </row>
    <row r="174">
      <c r="C174" s="278"/>
    </row>
    <row r="175">
      <c r="C175" s="278"/>
    </row>
    <row r="176">
      <c r="C176" s="278"/>
    </row>
    <row r="177">
      <c r="C177" s="278"/>
    </row>
    <row r="178">
      <c r="C178" s="278"/>
    </row>
    <row r="179">
      <c r="C179" s="278"/>
    </row>
    <row r="180">
      <c r="C180" s="278"/>
    </row>
    <row r="181">
      <c r="C181" s="278"/>
    </row>
    <row r="182">
      <c r="C182" s="278"/>
    </row>
    <row r="183">
      <c r="C183" s="278"/>
    </row>
    <row r="184">
      <c r="C184" s="278"/>
    </row>
    <row r="185">
      <c r="C185" s="278"/>
    </row>
    <row r="186">
      <c r="C186" s="278"/>
    </row>
    <row r="187">
      <c r="C187" s="278"/>
    </row>
    <row r="188">
      <c r="C188" s="278"/>
    </row>
    <row r="189">
      <c r="C189" s="278"/>
    </row>
    <row r="190">
      <c r="C190" s="278"/>
    </row>
    <row r="191">
      <c r="C191" s="278"/>
    </row>
    <row r="192">
      <c r="C192" s="278"/>
    </row>
    <row r="193">
      <c r="C193" s="278"/>
    </row>
    <row r="194">
      <c r="C194" s="278"/>
    </row>
    <row r="195">
      <c r="C195" s="278"/>
    </row>
    <row r="196">
      <c r="C196" s="278"/>
    </row>
    <row r="197">
      <c r="C197" s="278"/>
    </row>
    <row r="198">
      <c r="C198" s="278"/>
    </row>
    <row r="199">
      <c r="C199" s="278"/>
    </row>
    <row r="200">
      <c r="C200" s="278"/>
    </row>
    <row r="201">
      <c r="C201" s="278"/>
    </row>
    <row r="202">
      <c r="C202" s="278"/>
    </row>
    <row r="203">
      <c r="C203" s="278"/>
    </row>
    <row r="204">
      <c r="C204" s="278"/>
    </row>
    <row r="205">
      <c r="C205" s="278"/>
    </row>
    <row r="206">
      <c r="C206" s="278"/>
    </row>
    <row r="207">
      <c r="C207" s="278"/>
    </row>
    <row r="208">
      <c r="C208" s="278"/>
    </row>
    <row r="209">
      <c r="C209" s="278"/>
    </row>
    <row r="210">
      <c r="C210" s="278"/>
    </row>
    <row r="211">
      <c r="C211" s="278"/>
    </row>
    <row r="212">
      <c r="C212" s="278"/>
    </row>
    <row r="213">
      <c r="C213" s="278"/>
    </row>
    <row r="214">
      <c r="C214" s="278"/>
    </row>
    <row r="215">
      <c r="C215" s="278"/>
    </row>
    <row r="216">
      <c r="C216" s="278"/>
    </row>
    <row r="217">
      <c r="C217" s="278"/>
    </row>
    <row r="218">
      <c r="C218" s="278"/>
    </row>
    <row r="219">
      <c r="C219" s="278"/>
    </row>
    <row r="220">
      <c r="C220" s="278"/>
    </row>
    <row r="221">
      <c r="C221" s="278"/>
    </row>
    <row r="222">
      <c r="C222" s="278"/>
    </row>
    <row r="223">
      <c r="C223" s="278"/>
    </row>
    <row r="224">
      <c r="C224" s="278"/>
    </row>
    <row r="225">
      <c r="C225" s="278"/>
    </row>
    <row r="226">
      <c r="C226" s="278"/>
    </row>
    <row r="227">
      <c r="C227" s="278"/>
    </row>
    <row r="228">
      <c r="C228" s="278"/>
    </row>
    <row r="229">
      <c r="C229" s="278"/>
    </row>
    <row r="230">
      <c r="C230" s="278"/>
    </row>
    <row r="231">
      <c r="C231" s="278"/>
    </row>
    <row r="232">
      <c r="C232" s="278"/>
    </row>
    <row r="233">
      <c r="C233" s="278"/>
    </row>
    <row r="234">
      <c r="C234" s="278"/>
    </row>
    <row r="235">
      <c r="C235" s="278"/>
    </row>
    <row r="236">
      <c r="C236" s="278"/>
    </row>
    <row r="237">
      <c r="C237" s="278"/>
    </row>
    <row r="238">
      <c r="C238" s="278"/>
    </row>
    <row r="239">
      <c r="C239" s="278"/>
    </row>
    <row r="240">
      <c r="C240" s="278"/>
    </row>
    <row r="241">
      <c r="C241" s="278"/>
    </row>
    <row r="242">
      <c r="C242" s="278"/>
    </row>
    <row r="243">
      <c r="C243" s="278"/>
    </row>
    <row r="244">
      <c r="C244" s="278"/>
    </row>
    <row r="245">
      <c r="C245" s="278"/>
    </row>
    <row r="246">
      <c r="C246" s="278"/>
    </row>
    <row r="247">
      <c r="C247" s="278"/>
    </row>
    <row r="248">
      <c r="C248" s="278"/>
    </row>
    <row r="249">
      <c r="C249" s="278"/>
    </row>
    <row r="250">
      <c r="C250" s="278"/>
    </row>
    <row r="251">
      <c r="C251" s="278"/>
    </row>
    <row r="252">
      <c r="C252" s="278"/>
    </row>
    <row r="253">
      <c r="C253" s="278"/>
    </row>
    <row r="254">
      <c r="C254" s="278"/>
    </row>
    <row r="255">
      <c r="C255" s="278"/>
    </row>
    <row r="256">
      <c r="C256" s="278"/>
    </row>
    <row r="257">
      <c r="C257" s="278"/>
    </row>
    <row r="258">
      <c r="C258" s="278"/>
    </row>
    <row r="259">
      <c r="C259" s="278"/>
    </row>
    <row r="260">
      <c r="C260" s="278"/>
    </row>
    <row r="261">
      <c r="C261" s="278"/>
    </row>
    <row r="262">
      <c r="C262" s="278"/>
    </row>
    <row r="263">
      <c r="C263" s="278"/>
    </row>
    <row r="264">
      <c r="C264" s="278"/>
    </row>
    <row r="265">
      <c r="C265" s="278"/>
    </row>
    <row r="266">
      <c r="C266" s="278"/>
    </row>
    <row r="267">
      <c r="C267" s="278"/>
    </row>
    <row r="268">
      <c r="C268" s="278"/>
    </row>
    <row r="269">
      <c r="C269" s="278"/>
    </row>
    <row r="270">
      <c r="C270" s="278"/>
    </row>
    <row r="271">
      <c r="C271" s="278"/>
    </row>
    <row r="272">
      <c r="C272" s="278"/>
    </row>
    <row r="273">
      <c r="C273" s="278"/>
    </row>
    <row r="274">
      <c r="C274" s="278"/>
    </row>
    <row r="275">
      <c r="C275" s="278"/>
    </row>
    <row r="276">
      <c r="C276" s="278"/>
    </row>
    <row r="277">
      <c r="C277" s="278"/>
    </row>
    <row r="278">
      <c r="C278" s="278"/>
    </row>
    <row r="279">
      <c r="C279" s="278"/>
    </row>
    <row r="280">
      <c r="C280" s="278"/>
    </row>
    <row r="281">
      <c r="C281" s="278"/>
    </row>
    <row r="282">
      <c r="C282" s="278"/>
    </row>
    <row r="283">
      <c r="C283" s="278"/>
    </row>
    <row r="284">
      <c r="C284" s="278"/>
    </row>
    <row r="285">
      <c r="C285" s="278"/>
    </row>
    <row r="286">
      <c r="C286" s="278"/>
    </row>
    <row r="287">
      <c r="C287" s="278"/>
    </row>
    <row r="288">
      <c r="C288" s="278"/>
    </row>
    <row r="289">
      <c r="C289" s="278"/>
    </row>
    <row r="290">
      <c r="C290" s="278"/>
    </row>
    <row r="291">
      <c r="C291" s="278"/>
    </row>
    <row r="292">
      <c r="C292" s="278"/>
    </row>
    <row r="293">
      <c r="C293" s="278"/>
    </row>
    <row r="294">
      <c r="C294" s="278"/>
    </row>
    <row r="295">
      <c r="C295" s="278"/>
    </row>
    <row r="296">
      <c r="C296" s="278"/>
    </row>
    <row r="297">
      <c r="C297" s="278"/>
    </row>
    <row r="298">
      <c r="C298" s="278"/>
    </row>
    <row r="299">
      <c r="C299" s="278"/>
    </row>
    <row r="300">
      <c r="C300" s="278"/>
    </row>
    <row r="301">
      <c r="C301" s="278"/>
    </row>
    <row r="302">
      <c r="C302" s="278"/>
    </row>
    <row r="303">
      <c r="C303" s="278"/>
    </row>
    <row r="304">
      <c r="C304" s="278"/>
    </row>
    <row r="305">
      <c r="C305" s="278"/>
    </row>
    <row r="306">
      <c r="C306" s="278"/>
    </row>
    <row r="307">
      <c r="C307" s="278"/>
    </row>
    <row r="308">
      <c r="C308" s="278"/>
    </row>
    <row r="309">
      <c r="C309" s="278"/>
    </row>
    <row r="310">
      <c r="C310" s="278"/>
    </row>
    <row r="311">
      <c r="C311" s="278"/>
    </row>
    <row r="312">
      <c r="C312" s="278"/>
    </row>
    <row r="313">
      <c r="C313" s="278"/>
    </row>
    <row r="314">
      <c r="C314" s="278"/>
    </row>
    <row r="315">
      <c r="C315" s="278"/>
    </row>
    <row r="316">
      <c r="C316" s="278"/>
    </row>
    <row r="317">
      <c r="C317" s="278"/>
    </row>
    <row r="318">
      <c r="C318" s="278"/>
    </row>
    <row r="319">
      <c r="C319" s="278"/>
    </row>
    <row r="320">
      <c r="C320" s="278"/>
    </row>
    <row r="321">
      <c r="C321" s="278"/>
    </row>
    <row r="322">
      <c r="C322" s="278"/>
    </row>
    <row r="323">
      <c r="C323" s="278"/>
    </row>
    <row r="324">
      <c r="C324" s="278"/>
    </row>
    <row r="325">
      <c r="C325" s="278"/>
    </row>
    <row r="326">
      <c r="C326" s="278"/>
    </row>
    <row r="327">
      <c r="C327" s="278"/>
    </row>
    <row r="328">
      <c r="C328" s="278"/>
    </row>
    <row r="329">
      <c r="C329" s="278"/>
    </row>
    <row r="330">
      <c r="C330" s="278"/>
    </row>
    <row r="331">
      <c r="C331" s="278"/>
    </row>
    <row r="332">
      <c r="C332" s="278"/>
    </row>
    <row r="333">
      <c r="C333" s="278"/>
    </row>
    <row r="334">
      <c r="C334" s="278"/>
    </row>
    <row r="335">
      <c r="C335" s="278"/>
    </row>
    <row r="336">
      <c r="C336" s="278"/>
    </row>
    <row r="337">
      <c r="C337" s="278"/>
    </row>
    <row r="338">
      <c r="C338" s="278"/>
    </row>
    <row r="339">
      <c r="C339" s="278"/>
    </row>
    <row r="340">
      <c r="C340" s="278"/>
    </row>
    <row r="341">
      <c r="C341" s="278"/>
    </row>
    <row r="342">
      <c r="C342" s="278"/>
    </row>
    <row r="343">
      <c r="C343" s="278"/>
    </row>
    <row r="344">
      <c r="C344" s="278"/>
    </row>
    <row r="345">
      <c r="C345" s="278"/>
    </row>
    <row r="346">
      <c r="C346" s="278"/>
    </row>
    <row r="347">
      <c r="C347" s="278"/>
    </row>
    <row r="348">
      <c r="C348" s="278"/>
    </row>
    <row r="349">
      <c r="C349" s="278"/>
    </row>
    <row r="350">
      <c r="C350" s="278"/>
    </row>
    <row r="351">
      <c r="C351" s="278"/>
    </row>
    <row r="352">
      <c r="C352" s="278"/>
    </row>
    <row r="353">
      <c r="C353" s="278"/>
    </row>
    <row r="354">
      <c r="C354" s="278"/>
    </row>
    <row r="355">
      <c r="C355" s="278"/>
    </row>
    <row r="356">
      <c r="C356" s="278"/>
    </row>
    <row r="357">
      <c r="C357" s="278"/>
    </row>
    <row r="358">
      <c r="C358" s="278"/>
    </row>
    <row r="359">
      <c r="C359" s="278"/>
    </row>
    <row r="360">
      <c r="C360" s="278"/>
    </row>
    <row r="361">
      <c r="C361" s="278"/>
    </row>
    <row r="362">
      <c r="C362" s="278"/>
    </row>
    <row r="363">
      <c r="C363" s="278"/>
    </row>
    <row r="364">
      <c r="C364" s="278"/>
    </row>
    <row r="365">
      <c r="C365" s="278"/>
    </row>
    <row r="366">
      <c r="C366" s="278"/>
    </row>
    <row r="367">
      <c r="C367" s="278"/>
    </row>
    <row r="368">
      <c r="C368" s="278"/>
    </row>
    <row r="369">
      <c r="C369" s="278"/>
    </row>
    <row r="370">
      <c r="C370" s="278"/>
    </row>
    <row r="371">
      <c r="C371" s="278"/>
    </row>
    <row r="372">
      <c r="C372" s="278"/>
    </row>
    <row r="373">
      <c r="C373" s="278"/>
    </row>
    <row r="374">
      <c r="C374" s="278"/>
    </row>
    <row r="375">
      <c r="C375" s="278"/>
    </row>
    <row r="376">
      <c r="C376" s="278"/>
    </row>
    <row r="377">
      <c r="C377" s="278"/>
    </row>
    <row r="378">
      <c r="C378" s="278"/>
    </row>
    <row r="379">
      <c r="C379" s="278"/>
    </row>
    <row r="380">
      <c r="C380" s="278"/>
    </row>
    <row r="381">
      <c r="C381" s="278"/>
    </row>
    <row r="382">
      <c r="C382" s="278"/>
    </row>
    <row r="383">
      <c r="C383" s="278"/>
    </row>
    <row r="384">
      <c r="C384" s="278"/>
    </row>
    <row r="385">
      <c r="C385" s="278"/>
    </row>
    <row r="386">
      <c r="C386" s="278"/>
    </row>
    <row r="387">
      <c r="C387" s="278"/>
    </row>
    <row r="388">
      <c r="C388" s="278"/>
    </row>
    <row r="389">
      <c r="C389" s="278"/>
    </row>
    <row r="390">
      <c r="C390" s="278"/>
    </row>
    <row r="391">
      <c r="C391" s="278"/>
    </row>
    <row r="392">
      <c r="C392" s="278"/>
    </row>
    <row r="393">
      <c r="C393" s="278"/>
    </row>
    <row r="394">
      <c r="C394" s="278"/>
    </row>
    <row r="395">
      <c r="C395" s="278"/>
    </row>
    <row r="396">
      <c r="C396" s="278"/>
    </row>
    <row r="397">
      <c r="C397" s="278"/>
    </row>
    <row r="398">
      <c r="C398" s="278"/>
    </row>
    <row r="399">
      <c r="C399" s="278"/>
    </row>
    <row r="400">
      <c r="C400" s="278"/>
    </row>
    <row r="401">
      <c r="C401" s="278"/>
    </row>
    <row r="402">
      <c r="C402" s="278"/>
    </row>
    <row r="403">
      <c r="C403" s="278"/>
    </row>
    <row r="404">
      <c r="C404" s="278"/>
    </row>
    <row r="405">
      <c r="C405" s="278"/>
    </row>
    <row r="406">
      <c r="C406" s="278"/>
    </row>
    <row r="407">
      <c r="C407" s="278"/>
    </row>
    <row r="408">
      <c r="C408" s="278"/>
    </row>
    <row r="409">
      <c r="C409" s="278"/>
    </row>
    <row r="410">
      <c r="C410" s="278"/>
    </row>
    <row r="411">
      <c r="C411" s="278"/>
    </row>
    <row r="412">
      <c r="C412" s="278"/>
    </row>
    <row r="413">
      <c r="C413" s="278"/>
    </row>
    <row r="414">
      <c r="C414" s="278"/>
    </row>
    <row r="415">
      <c r="C415" s="278"/>
    </row>
    <row r="416">
      <c r="C416" s="278"/>
    </row>
    <row r="417">
      <c r="C417" s="278"/>
    </row>
    <row r="418">
      <c r="C418" s="278"/>
    </row>
    <row r="419">
      <c r="C419" s="278"/>
    </row>
    <row r="420">
      <c r="C420" s="278"/>
    </row>
    <row r="421">
      <c r="C421" s="278"/>
    </row>
    <row r="422">
      <c r="C422" s="278"/>
    </row>
    <row r="423">
      <c r="C423" s="278"/>
    </row>
    <row r="424">
      <c r="C424" s="278"/>
    </row>
    <row r="425">
      <c r="C425" s="278"/>
    </row>
    <row r="426">
      <c r="C426" s="278"/>
    </row>
    <row r="427">
      <c r="C427" s="278"/>
    </row>
    <row r="428">
      <c r="C428" s="278"/>
    </row>
    <row r="429">
      <c r="C429" s="278"/>
    </row>
    <row r="430">
      <c r="C430" s="278"/>
    </row>
    <row r="431">
      <c r="C431" s="278"/>
    </row>
    <row r="432">
      <c r="C432" s="278"/>
    </row>
    <row r="433">
      <c r="C433" s="278"/>
    </row>
    <row r="434">
      <c r="C434" s="278"/>
    </row>
    <row r="435">
      <c r="C435" s="278"/>
    </row>
    <row r="436">
      <c r="C436" s="278"/>
    </row>
    <row r="437">
      <c r="C437" s="278"/>
    </row>
    <row r="438">
      <c r="C438" s="278"/>
    </row>
    <row r="439">
      <c r="C439" s="278"/>
    </row>
    <row r="440">
      <c r="C440" s="278"/>
    </row>
    <row r="441">
      <c r="C441" s="278"/>
    </row>
    <row r="442">
      <c r="C442" s="278"/>
    </row>
    <row r="443">
      <c r="C443" s="278"/>
    </row>
    <row r="444">
      <c r="C444" s="278"/>
    </row>
    <row r="445">
      <c r="C445" s="278"/>
    </row>
    <row r="446">
      <c r="C446" s="278"/>
    </row>
    <row r="447">
      <c r="C447" s="278"/>
    </row>
    <row r="448">
      <c r="C448" s="278"/>
    </row>
    <row r="449">
      <c r="C449" s="278"/>
    </row>
    <row r="450">
      <c r="C450" s="278"/>
    </row>
    <row r="451">
      <c r="C451" s="278"/>
    </row>
    <row r="452">
      <c r="C452" s="278"/>
    </row>
    <row r="453">
      <c r="C453" s="278"/>
    </row>
    <row r="454">
      <c r="C454" s="278"/>
    </row>
    <row r="455">
      <c r="C455" s="278"/>
    </row>
    <row r="456">
      <c r="C456" s="278"/>
    </row>
    <row r="457">
      <c r="C457" s="278"/>
    </row>
    <row r="458">
      <c r="C458" s="278"/>
    </row>
    <row r="459">
      <c r="C459" s="278"/>
    </row>
    <row r="460">
      <c r="C460" s="278"/>
    </row>
    <row r="461">
      <c r="C461" s="278"/>
    </row>
    <row r="462">
      <c r="C462" s="278"/>
    </row>
    <row r="463">
      <c r="C463" s="278"/>
    </row>
    <row r="464">
      <c r="C464" s="278"/>
    </row>
    <row r="465">
      <c r="C465" s="278"/>
    </row>
    <row r="466">
      <c r="C466" s="278"/>
    </row>
    <row r="467">
      <c r="C467" s="278"/>
    </row>
    <row r="468">
      <c r="C468" s="278"/>
    </row>
    <row r="469">
      <c r="C469" s="278"/>
    </row>
    <row r="470">
      <c r="C470" s="278"/>
    </row>
    <row r="471">
      <c r="C471" s="278"/>
    </row>
    <row r="472">
      <c r="C472" s="278"/>
    </row>
    <row r="473">
      <c r="C473" s="278"/>
    </row>
    <row r="474">
      <c r="C474" s="278"/>
    </row>
    <row r="475">
      <c r="C475" s="278"/>
    </row>
    <row r="476">
      <c r="C476" s="278"/>
    </row>
    <row r="477">
      <c r="C477" s="278"/>
    </row>
    <row r="478">
      <c r="C478" s="278"/>
    </row>
    <row r="479">
      <c r="C479" s="278"/>
    </row>
    <row r="480">
      <c r="C480" s="278"/>
    </row>
    <row r="481">
      <c r="C481" s="278"/>
    </row>
    <row r="482">
      <c r="C482" s="278"/>
    </row>
    <row r="483">
      <c r="C483" s="278"/>
    </row>
    <row r="484">
      <c r="C484" s="278"/>
    </row>
    <row r="485">
      <c r="C485" s="278"/>
    </row>
    <row r="486">
      <c r="C486" s="278"/>
    </row>
    <row r="487">
      <c r="C487" s="278"/>
    </row>
    <row r="488">
      <c r="C488" s="278"/>
    </row>
    <row r="489">
      <c r="C489" s="278"/>
    </row>
    <row r="490">
      <c r="C490" s="278"/>
    </row>
    <row r="491">
      <c r="C491" s="278"/>
    </row>
    <row r="492">
      <c r="C492" s="278"/>
    </row>
    <row r="493">
      <c r="C493" s="278"/>
    </row>
    <row r="494">
      <c r="C494" s="278"/>
    </row>
    <row r="495">
      <c r="C495" s="278"/>
    </row>
    <row r="496">
      <c r="C496" s="278"/>
    </row>
    <row r="497">
      <c r="C497" s="278"/>
    </row>
    <row r="498">
      <c r="C498" s="278"/>
    </row>
    <row r="499">
      <c r="C499" s="278"/>
    </row>
    <row r="500">
      <c r="C500" s="278"/>
    </row>
    <row r="501">
      <c r="C501" s="278"/>
    </row>
    <row r="502">
      <c r="C502" s="278"/>
    </row>
    <row r="503">
      <c r="C503" s="278"/>
    </row>
    <row r="504">
      <c r="C504" s="278"/>
    </row>
    <row r="505">
      <c r="C505" s="278"/>
    </row>
    <row r="506">
      <c r="C506" s="278"/>
    </row>
    <row r="507">
      <c r="C507" s="278"/>
    </row>
    <row r="508">
      <c r="C508" s="278"/>
    </row>
    <row r="509">
      <c r="C509" s="278"/>
    </row>
    <row r="510">
      <c r="C510" s="278"/>
    </row>
    <row r="511">
      <c r="C511" s="278"/>
    </row>
    <row r="512">
      <c r="C512" s="278"/>
    </row>
    <row r="513">
      <c r="C513" s="278"/>
    </row>
    <row r="514">
      <c r="C514" s="278"/>
    </row>
    <row r="515">
      <c r="C515" s="278"/>
    </row>
    <row r="516">
      <c r="C516" s="278"/>
    </row>
    <row r="517">
      <c r="C517" s="278"/>
    </row>
    <row r="518">
      <c r="C518" s="278"/>
    </row>
    <row r="519">
      <c r="C519" s="278"/>
    </row>
    <row r="520">
      <c r="C520" s="278"/>
    </row>
    <row r="521">
      <c r="C521" s="278"/>
    </row>
    <row r="522">
      <c r="C522" s="278"/>
    </row>
    <row r="523">
      <c r="C523" s="278"/>
    </row>
    <row r="524">
      <c r="C524" s="278"/>
    </row>
    <row r="525">
      <c r="C525" s="278"/>
    </row>
    <row r="526">
      <c r="C526" s="278"/>
    </row>
    <row r="527">
      <c r="C527" s="278"/>
    </row>
    <row r="528">
      <c r="C528" s="278"/>
    </row>
    <row r="529">
      <c r="C529" s="278"/>
    </row>
    <row r="530">
      <c r="C530" s="278"/>
    </row>
    <row r="531">
      <c r="C531" s="278"/>
    </row>
    <row r="532">
      <c r="C532" s="278"/>
    </row>
    <row r="533">
      <c r="C533" s="278"/>
    </row>
    <row r="534">
      <c r="C534" s="278"/>
    </row>
    <row r="535">
      <c r="C535" s="278"/>
    </row>
    <row r="536">
      <c r="C536" s="278"/>
    </row>
    <row r="537">
      <c r="C537" s="278"/>
    </row>
    <row r="538">
      <c r="C538" s="278"/>
    </row>
    <row r="539">
      <c r="C539" s="278"/>
    </row>
    <row r="540">
      <c r="C540" s="278"/>
    </row>
    <row r="541">
      <c r="C541" s="278"/>
    </row>
    <row r="542">
      <c r="C542" s="278"/>
    </row>
    <row r="543">
      <c r="C543" s="278"/>
    </row>
    <row r="544">
      <c r="C544" s="278"/>
    </row>
    <row r="545">
      <c r="C545" s="278"/>
    </row>
    <row r="546">
      <c r="C546" s="278"/>
    </row>
    <row r="547">
      <c r="C547" s="278"/>
    </row>
    <row r="548">
      <c r="C548" s="278"/>
    </row>
    <row r="549">
      <c r="C549" s="278"/>
    </row>
    <row r="550">
      <c r="C550" s="278"/>
    </row>
    <row r="551">
      <c r="C551" s="278"/>
    </row>
    <row r="552">
      <c r="C552" s="278"/>
    </row>
    <row r="553">
      <c r="C553" s="278"/>
    </row>
    <row r="554">
      <c r="C554" s="278"/>
    </row>
    <row r="555">
      <c r="C555" s="278"/>
    </row>
    <row r="556">
      <c r="C556" s="278"/>
    </row>
    <row r="557">
      <c r="C557" s="278"/>
    </row>
    <row r="558">
      <c r="C558" s="278"/>
    </row>
    <row r="559">
      <c r="C559" s="278"/>
    </row>
    <row r="560">
      <c r="C560" s="278"/>
    </row>
    <row r="561">
      <c r="C561" s="278"/>
    </row>
    <row r="562">
      <c r="C562" s="278"/>
    </row>
    <row r="563">
      <c r="C563" s="278"/>
    </row>
    <row r="564">
      <c r="C564" s="278"/>
    </row>
    <row r="565">
      <c r="C565" s="278"/>
    </row>
    <row r="566">
      <c r="C566" s="278"/>
    </row>
    <row r="567">
      <c r="C567" s="278"/>
    </row>
    <row r="568">
      <c r="C568" s="278"/>
    </row>
    <row r="569">
      <c r="C569" s="278"/>
    </row>
    <row r="570">
      <c r="C570" s="278"/>
    </row>
    <row r="571">
      <c r="C571" s="278"/>
    </row>
    <row r="572">
      <c r="C572" s="278"/>
    </row>
    <row r="573">
      <c r="C573" s="278"/>
    </row>
    <row r="574">
      <c r="C574" s="278"/>
    </row>
    <row r="575">
      <c r="C575" s="278"/>
    </row>
    <row r="576">
      <c r="C576" s="278"/>
    </row>
    <row r="577">
      <c r="C577" s="278"/>
    </row>
    <row r="578">
      <c r="C578" s="278"/>
    </row>
    <row r="579">
      <c r="C579" s="278"/>
    </row>
    <row r="580">
      <c r="C580" s="278"/>
    </row>
    <row r="581">
      <c r="C581" s="278"/>
    </row>
    <row r="582">
      <c r="C582" s="278"/>
    </row>
    <row r="583">
      <c r="C583" s="278"/>
    </row>
    <row r="584">
      <c r="C584" s="278"/>
    </row>
    <row r="585">
      <c r="C585" s="278"/>
    </row>
    <row r="586">
      <c r="C586" s="278"/>
    </row>
    <row r="587">
      <c r="C587" s="278"/>
    </row>
    <row r="588">
      <c r="C588" s="278"/>
    </row>
    <row r="589">
      <c r="C589" s="278"/>
    </row>
    <row r="590">
      <c r="C590" s="278"/>
    </row>
    <row r="591">
      <c r="C591" s="278"/>
    </row>
    <row r="592">
      <c r="C592" s="278"/>
    </row>
    <row r="593">
      <c r="C593" s="278"/>
    </row>
    <row r="594">
      <c r="C594" s="278"/>
    </row>
    <row r="595">
      <c r="C595" s="278"/>
    </row>
    <row r="596">
      <c r="C596" s="278"/>
    </row>
    <row r="597">
      <c r="C597" s="278"/>
    </row>
    <row r="598">
      <c r="C598" s="278"/>
    </row>
    <row r="599">
      <c r="C599" s="278"/>
    </row>
    <row r="600">
      <c r="C600" s="278"/>
    </row>
    <row r="601">
      <c r="C601" s="278"/>
    </row>
    <row r="602">
      <c r="C602" s="278"/>
    </row>
    <row r="603">
      <c r="C603" s="278"/>
    </row>
    <row r="604">
      <c r="C604" s="278"/>
    </row>
    <row r="605">
      <c r="C605" s="278"/>
    </row>
    <row r="606">
      <c r="C606" s="278"/>
    </row>
    <row r="607">
      <c r="C607" s="278"/>
    </row>
    <row r="608">
      <c r="C608" s="278"/>
    </row>
    <row r="609">
      <c r="C609" s="278"/>
    </row>
    <row r="610">
      <c r="C610" s="278"/>
    </row>
    <row r="611">
      <c r="C611" s="278"/>
    </row>
    <row r="612">
      <c r="C612" s="278"/>
    </row>
    <row r="613">
      <c r="C613" s="278"/>
    </row>
    <row r="614">
      <c r="C614" s="278"/>
    </row>
    <row r="615">
      <c r="C615" s="278"/>
    </row>
    <row r="616">
      <c r="C616" s="278"/>
    </row>
    <row r="617">
      <c r="C617" s="278"/>
    </row>
    <row r="618">
      <c r="C618" s="278"/>
    </row>
    <row r="619">
      <c r="C619" s="278"/>
    </row>
    <row r="620">
      <c r="C620" s="278"/>
    </row>
    <row r="621">
      <c r="C621" s="278"/>
    </row>
    <row r="622">
      <c r="C622" s="278"/>
    </row>
    <row r="623">
      <c r="C623" s="278"/>
    </row>
    <row r="624">
      <c r="C624" s="278"/>
    </row>
    <row r="625">
      <c r="C625" s="278"/>
    </row>
    <row r="626">
      <c r="C626" s="278"/>
    </row>
    <row r="627">
      <c r="C627" s="278"/>
    </row>
    <row r="628">
      <c r="C628" s="278"/>
    </row>
    <row r="629">
      <c r="C629" s="278"/>
    </row>
    <row r="630">
      <c r="C630" s="278"/>
    </row>
    <row r="631">
      <c r="C631" s="278"/>
    </row>
    <row r="632">
      <c r="C632" s="278"/>
    </row>
    <row r="633">
      <c r="C633" s="278"/>
    </row>
    <row r="634">
      <c r="C634" s="278"/>
    </row>
    <row r="635">
      <c r="C635" s="278"/>
    </row>
    <row r="636">
      <c r="C636" s="278"/>
    </row>
    <row r="637">
      <c r="C637" s="278"/>
    </row>
    <row r="638">
      <c r="C638" s="278"/>
    </row>
    <row r="639">
      <c r="C639" s="278"/>
    </row>
    <row r="640">
      <c r="C640" s="278"/>
    </row>
    <row r="641">
      <c r="C641" s="278"/>
    </row>
    <row r="642">
      <c r="C642" s="278"/>
    </row>
    <row r="643">
      <c r="C643" s="278"/>
    </row>
    <row r="644">
      <c r="C644" s="278"/>
    </row>
    <row r="645">
      <c r="C645" s="278"/>
    </row>
    <row r="646">
      <c r="C646" s="278"/>
    </row>
    <row r="647">
      <c r="C647" s="278"/>
    </row>
    <row r="648">
      <c r="C648" s="278"/>
    </row>
    <row r="649">
      <c r="C649" s="278"/>
    </row>
    <row r="650">
      <c r="C650" s="278"/>
    </row>
    <row r="651">
      <c r="C651" s="278"/>
    </row>
    <row r="652">
      <c r="C652" s="278"/>
    </row>
    <row r="653">
      <c r="C653" s="278"/>
    </row>
    <row r="654">
      <c r="C654" s="278"/>
    </row>
    <row r="655">
      <c r="C655" s="278"/>
    </row>
    <row r="656">
      <c r="C656" s="278"/>
    </row>
    <row r="657">
      <c r="C657" s="278"/>
    </row>
    <row r="658">
      <c r="C658" s="278"/>
    </row>
    <row r="659">
      <c r="C659" s="278"/>
    </row>
    <row r="660">
      <c r="C660" s="278"/>
    </row>
    <row r="661">
      <c r="C661" s="278"/>
    </row>
    <row r="662">
      <c r="C662" s="278"/>
    </row>
    <row r="663">
      <c r="C663" s="278"/>
    </row>
    <row r="664">
      <c r="C664" s="278"/>
    </row>
    <row r="665">
      <c r="C665" s="278"/>
    </row>
    <row r="666">
      <c r="C666" s="278"/>
    </row>
    <row r="667">
      <c r="C667" s="278"/>
    </row>
    <row r="668">
      <c r="C668" s="278"/>
    </row>
    <row r="669">
      <c r="C669" s="278"/>
    </row>
    <row r="670">
      <c r="C670" s="278"/>
    </row>
    <row r="671">
      <c r="C671" s="278"/>
    </row>
    <row r="672">
      <c r="C672" s="278"/>
    </row>
    <row r="673">
      <c r="C673" s="278"/>
    </row>
    <row r="674">
      <c r="C674" s="278"/>
    </row>
    <row r="675">
      <c r="C675" s="278"/>
    </row>
    <row r="676">
      <c r="C676" s="278"/>
    </row>
    <row r="677">
      <c r="C677" s="278"/>
    </row>
    <row r="678">
      <c r="C678" s="278"/>
    </row>
    <row r="679">
      <c r="C679" s="278"/>
    </row>
    <row r="680">
      <c r="C680" s="278"/>
    </row>
    <row r="681">
      <c r="C681" s="278"/>
    </row>
    <row r="682">
      <c r="C682" s="278"/>
    </row>
    <row r="683">
      <c r="C683" s="278"/>
    </row>
    <row r="684">
      <c r="C684" s="278"/>
    </row>
    <row r="685">
      <c r="C685" s="278"/>
    </row>
    <row r="686">
      <c r="C686" s="278"/>
    </row>
    <row r="687">
      <c r="C687" s="278"/>
    </row>
    <row r="688">
      <c r="C688" s="278"/>
    </row>
    <row r="689">
      <c r="C689" s="278"/>
    </row>
    <row r="690">
      <c r="C690" s="278"/>
    </row>
    <row r="691">
      <c r="C691" s="278"/>
    </row>
    <row r="692">
      <c r="C692" s="278"/>
    </row>
    <row r="693">
      <c r="C693" s="278"/>
    </row>
    <row r="694">
      <c r="C694" s="278"/>
    </row>
    <row r="695">
      <c r="C695" s="278"/>
    </row>
    <row r="696">
      <c r="C696" s="278"/>
    </row>
    <row r="697">
      <c r="C697" s="278"/>
    </row>
    <row r="698">
      <c r="C698" s="278"/>
    </row>
    <row r="699">
      <c r="C699" s="278"/>
    </row>
    <row r="700">
      <c r="C700" s="278"/>
    </row>
    <row r="701">
      <c r="C701" s="278"/>
    </row>
    <row r="702">
      <c r="C702" s="278"/>
    </row>
    <row r="703">
      <c r="C703" s="278"/>
    </row>
    <row r="704">
      <c r="C704" s="278"/>
    </row>
    <row r="705">
      <c r="C705" s="278"/>
    </row>
    <row r="706">
      <c r="C706" s="278"/>
    </row>
    <row r="707">
      <c r="C707" s="278"/>
    </row>
    <row r="708">
      <c r="C708" s="278"/>
    </row>
    <row r="709">
      <c r="C709" s="278"/>
    </row>
    <row r="710">
      <c r="C710" s="278"/>
    </row>
    <row r="711">
      <c r="C711" s="278"/>
    </row>
    <row r="712">
      <c r="C712" s="278"/>
    </row>
    <row r="713">
      <c r="C713" s="278"/>
    </row>
    <row r="714">
      <c r="C714" s="278"/>
    </row>
    <row r="715">
      <c r="C715" s="278"/>
    </row>
    <row r="716">
      <c r="C716" s="278"/>
    </row>
    <row r="717">
      <c r="C717" s="278"/>
    </row>
    <row r="718">
      <c r="C718" s="278"/>
    </row>
    <row r="719">
      <c r="C719" s="278"/>
    </row>
    <row r="720">
      <c r="C720" s="278"/>
    </row>
    <row r="721">
      <c r="C721" s="278"/>
    </row>
    <row r="722">
      <c r="C722" s="278"/>
    </row>
    <row r="723">
      <c r="C723" s="278"/>
    </row>
    <row r="724">
      <c r="C724" s="278"/>
    </row>
    <row r="725">
      <c r="C725" s="278"/>
    </row>
    <row r="726">
      <c r="C726" s="278"/>
    </row>
    <row r="727">
      <c r="C727" s="278"/>
    </row>
    <row r="728">
      <c r="C728" s="278"/>
    </row>
    <row r="729">
      <c r="C729" s="278"/>
    </row>
    <row r="730">
      <c r="C730" s="278"/>
    </row>
    <row r="731">
      <c r="C731" s="278"/>
    </row>
    <row r="732">
      <c r="C732" s="278"/>
    </row>
    <row r="733">
      <c r="C733" s="278"/>
    </row>
    <row r="734">
      <c r="C734" s="278"/>
    </row>
    <row r="735">
      <c r="C735" s="278"/>
    </row>
    <row r="736">
      <c r="C736" s="278"/>
    </row>
    <row r="737">
      <c r="C737" s="278"/>
    </row>
    <row r="738">
      <c r="C738" s="278"/>
    </row>
    <row r="739">
      <c r="C739" s="278"/>
    </row>
    <row r="740">
      <c r="C740" s="278"/>
    </row>
    <row r="741">
      <c r="C741" s="278"/>
    </row>
    <row r="742">
      <c r="C742" s="278"/>
    </row>
    <row r="743">
      <c r="C743" s="278"/>
    </row>
    <row r="744">
      <c r="C744" s="278"/>
    </row>
    <row r="745">
      <c r="C745" s="278"/>
    </row>
    <row r="746">
      <c r="C746" s="278"/>
    </row>
    <row r="747">
      <c r="C747" s="278"/>
    </row>
    <row r="748">
      <c r="C748" s="278"/>
    </row>
    <row r="749">
      <c r="C749" s="278"/>
    </row>
    <row r="750">
      <c r="C750" s="278"/>
    </row>
    <row r="751">
      <c r="C751" s="278"/>
    </row>
    <row r="752">
      <c r="C752" s="278"/>
    </row>
    <row r="753">
      <c r="C753" s="278"/>
    </row>
    <row r="754">
      <c r="C754" s="278"/>
    </row>
    <row r="755">
      <c r="C755" s="278"/>
    </row>
    <row r="756">
      <c r="C756" s="278"/>
    </row>
    <row r="757">
      <c r="C757" s="278"/>
    </row>
    <row r="758">
      <c r="C758" s="278"/>
    </row>
    <row r="759">
      <c r="C759" s="278"/>
    </row>
    <row r="760">
      <c r="C760" s="278"/>
    </row>
    <row r="761">
      <c r="C761" s="278"/>
    </row>
    <row r="762">
      <c r="C762" s="278"/>
    </row>
    <row r="763">
      <c r="C763" s="278"/>
    </row>
    <row r="764">
      <c r="C764" s="278"/>
    </row>
    <row r="765">
      <c r="C765" s="278"/>
    </row>
    <row r="766">
      <c r="C766" s="278"/>
    </row>
    <row r="767">
      <c r="C767" s="278"/>
    </row>
    <row r="768">
      <c r="C768" s="278"/>
    </row>
    <row r="769">
      <c r="C769" s="278"/>
    </row>
    <row r="770">
      <c r="C770" s="278"/>
    </row>
    <row r="771">
      <c r="C771" s="278"/>
    </row>
    <row r="772">
      <c r="C772" s="278"/>
    </row>
    <row r="773">
      <c r="C773" s="278"/>
    </row>
    <row r="774">
      <c r="C774" s="278"/>
    </row>
    <row r="775">
      <c r="C775" s="278"/>
    </row>
    <row r="776">
      <c r="C776" s="278"/>
    </row>
    <row r="777">
      <c r="C777" s="278"/>
    </row>
    <row r="778">
      <c r="C778" s="278"/>
    </row>
    <row r="779">
      <c r="C779" s="278"/>
    </row>
    <row r="780">
      <c r="C780" s="278"/>
    </row>
    <row r="781">
      <c r="C781" s="278"/>
    </row>
    <row r="782">
      <c r="C782" s="278"/>
    </row>
    <row r="783">
      <c r="C783" s="278"/>
    </row>
    <row r="784">
      <c r="C784" s="278"/>
    </row>
    <row r="785">
      <c r="C785" s="278"/>
    </row>
    <row r="786">
      <c r="C786" s="278"/>
    </row>
    <row r="787">
      <c r="C787" s="278"/>
    </row>
    <row r="788">
      <c r="C788" s="278"/>
    </row>
    <row r="789">
      <c r="C789" s="278"/>
    </row>
    <row r="790">
      <c r="C790" s="278"/>
    </row>
    <row r="791">
      <c r="C791" s="278"/>
    </row>
    <row r="792">
      <c r="C792" s="278"/>
    </row>
    <row r="793">
      <c r="C793" s="278"/>
    </row>
    <row r="794">
      <c r="C794" s="278"/>
    </row>
    <row r="795">
      <c r="C795" s="278"/>
    </row>
    <row r="796">
      <c r="C796" s="278"/>
    </row>
    <row r="797">
      <c r="C797" s="278"/>
    </row>
    <row r="798">
      <c r="C798" s="278"/>
    </row>
    <row r="799">
      <c r="C799" s="278"/>
    </row>
    <row r="800">
      <c r="C800" s="278"/>
    </row>
    <row r="801">
      <c r="C801" s="278"/>
    </row>
    <row r="802">
      <c r="C802" s="278"/>
    </row>
    <row r="803">
      <c r="C803" s="278"/>
    </row>
    <row r="804">
      <c r="C804" s="278"/>
    </row>
    <row r="805">
      <c r="C805" s="278"/>
    </row>
    <row r="806">
      <c r="C806" s="278"/>
    </row>
    <row r="807">
      <c r="C807" s="278"/>
    </row>
    <row r="808">
      <c r="C808" s="278"/>
    </row>
    <row r="809">
      <c r="C809" s="278"/>
    </row>
    <row r="810">
      <c r="C810" s="278"/>
    </row>
    <row r="811">
      <c r="C811" s="278"/>
    </row>
    <row r="812">
      <c r="C812" s="278"/>
    </row>
    <row r="813">
      <c r="C813" s="278"/>
    </row>
    <row r="814">
      <c r="C814" s="278"/>
    </row>
    <row r="815">
      <c r="C815" s="278"/>
    </row>
    <row r="816">
      <c r="C816" s="278"/>
    </row>
    <row r="817">
      <c r="C817" s="278"/>
    </row>
    <row r="818">
      <c r="C818" s="278"/>
    </row>
    <row r="819">
      <c r="C819" s="278"/>
    </row>
    <row r="820">
      <c r="C820" s="278"/>
    </row>
    <row r="821">
      <c r="C821" s="278"/>
    </row>
    <row r="822">
      <c r="C822" s="278"/>
    </row>
    <row r="823">
      <c r="C823" s="278"/>
    </row>
    <row r="824">
      <c r="C824" s="278"/>
    </row>
    <row r="825">
      <c r="C825" s="278"/>
    </row>
    <row r="826">
      <c r="C826" s="278"/>
    </row>
    <row r="827">
      <c r="C827" s="278"/>
    </row>
    <row r="828">
      <c r="C828" s="278"/>
    </row>
    <row r="829">
      <c r="C829" s="278"/>
    </row>
    <row r="830">
      <c r="C830" s="278"/>
    </row>
    <row r="831">
      <c r="C831" s="278"/>
    </row>
    <row r="832">
      <c r="C832" s="278"/>
    </row>
    <row r="833">
      <c r="C833" s="278"/>
    </row>
    <row r="834">
      <c r="C834" s="278"/>
    </row>
    <row r="835">
      <c r="C835" s="278"/>
    </row>
    <row r="836">
      <c r="C836" s="278"/>
    </row>
    <row r="837">
      <c r="C837" s="278"/>
    </row>
    <row r="838">
      <c r="C838" s="278"/>
    </row>
    <row r="839">
      <c r="C839" s="278"/>
    </row>
    <row r="840">
      <c r="C840" s="278"/>
    </row>
    <row r="841">
      <c r="C841" s="278"/>
    </row>
    <row r="842">
      <c r="C842" s="278"/>
    </row>
    <row r="843">
      <c r="C843" s="278"/>
    </row>
    <row r="844">
      <c r="C844" s="278"/>
    </row>
    <row r="845">
      <c r="C845" s="278"/>
    </row>
    <row r="846">
      <c r="C846" s="278"/>
    </row>
    <row r="847">
      <c r="C847" s="278"/>
    </row>
    <row r="848">
      <c r="C848" s="278"/>
    </row>
    <row r="849">
      <c r="C849" s="278"/>
    </row>
    <row r="850">
      <c r="C850" s="278"/>
    </row>
    <row r="851">
      <c r="C851" s="278"/>
    </row>
    <row r="852">
      <c r="C852" s="278"/>
    </row>
    <row r="853">
      <c r="C853" s="278"/>
    </row>
    <row r="854">
      <c r="C854" s="278"/>
    </row>
    <row r="855">
      <c r="C855" s="278"/>
    </row>
    <row r="856">
      <c r="C856" s="278"/>
    </row>
    <row r="857">
      <c r="C857" s="278"/>
    </row>
    <row r="858">
      <c r="C858" s="278"/>
    </row>
    <row r="859">
      <c r="C859" s="278"/>
    </row>
    <row r="860">
      <c r="C860" s="278"/>
    </row>
    <row r="861">
      <c r="C861" s="278"/>
    </row>
    <row r="862">
      <c r="C862" s="278"/>
    </row>
    <row r="863">
      <c r="C863" s="278"/>
    </row>
    <row r="864">
      <c r="C864" s="278"/>
    </row>
    <row r="865">
      <c r="C865" s="278"/>
    </row>
    <row r="866">
      <c r="C866" s="278"/>
    </row>
    <row r="867">
      <c r="C867" s="278"/>
    </row>
    <row r="868">
      <c r="C868" s="278"/>
    </row>
    <row r="869">
      <c r="C869" s="278"/>
    </row>
    <row r="870">
      <c r="C870" s="278"/>
    </row>
    <row r="871">
      <c r="C871" s="278"/>
    </row>
    <row r="872">
      <c r="C872" s="278"/>
    </row>
    <row r="873">
      <c r="C873" s="278"/>
    </row>
    <row r="874">
      <c r="C874" s="278"/>
    </row>
    <row r="875">
      <c r="C875" s="278"/>
    </row>
    <row r="876">
      <c r="C876" s="278"/>
    </row>
    <row r="877">
      <c r="C877" s="278"/>
    </row>
    <row r="878">
      <c r="C878" s="278"/>
    </row>
    <row r="879">
      <c r="C879" s="278"/>
    </row>
    <row r="880">
      <c r="C880" s="278"/>
    </row>
    <row r="881">
      <c r="C881" s="278"/>
    </row>
    <row r="882">
      <c r="C882" s="278"/>
    </row>
    <row r="883">
      <c r="C883" s="278"/>
    </row>
    <row r="884">
      <c r="C884" s="278"/>
    </row>
    <row r="885">
      <c r="C885" s="278"/>
    </row>
    <row r="886">
      <c r="C886" s="278"/>
    </row>
    <row r="887">
      <c r="C887" s="278"/>
    </row>
    <row r="888">
      <c r="C888" s="278"/>
    </row>
    <row r="889">
      <c r="C889" s="278"/>
    </row>
    <row r="890">
      <c r="C890" s="278"/>
    </row>
    <row r="891">
      <c r="C891" s="278"/>
    </row>
    <row r="892">
      <c r="C892" s="278"/>
    </row>
    <row r="893">
      <c r="C893" s="278"/>
    </row>
    <row r="894">
      <c r="C894" s="278"/>
    </row>
    <row r="895">
      <c r="C895" s="278"/>
    </row>
    <row r="896">
      <c r="C896" s="278"/>
    </row>
    <row r="897">
      <c r="C897" s="278"/>
    </row>
    <row r="898">
      <c r="C898" s="278"/>
    </row>
    <row r="899">
      <c r="C899" s="278"/>
    </row>
    <row r="900">
      <c r="C900" s="278"/>
    </row>
    <row r="901">
      <c r="C901" s="278"/>
    </row>
    <row r="902">
      <c r="C902" s="278"/>
    </row>
    <row r="903">
      <c r="C903" s="278"/>
    </row>
    <row r="904">
      <c r="C904" s="278"/>
    </row>
    <row r="905">
      <c r="C905" s="278"/>
    </row>
    <row r="906">
      <c r="C906" s="278"/>
    </row>
    <row r="907">
      <c r="C907" s="278"/>
    </row>
    <row r="908">
      <c r="C908" s="278"/>
    </row>
    <row r="909">
      <c r="C909" s="278"/>
    </row>
    <row r="910">
      <c r="C910" s="278"/>
    </row>
    <row r="911">
      <c r="C911" s="278"/>
    </row>
    <row r="912">
      <c r="C912" s="278"/>
    </row>
    <row r="913">
      <c r="C913" s="278"/>
    </row>
    <row r="914">
      <c r="C914" s="278"/>
    </row>
    <row r="915">
      <c r="C915" s="278"/>
    </row>
    <row r="916">
      <c r="C916" s="278"/>
    </row>
    <row r="917">
      <c r="C917" s="278"/>
    </row>
    <row r="918">
      <c r="C918" s="278"/>
    </row>
    <row r="919">
      <c r="C919" s="278"/>
    </row>
    <row r="920">
      <c r="C920" s="278"/>
    </row>
    <row r="921">
      <c r="C921" s="278"/>
    </row>
    <row r="922">
      <c r="C922" s="278"/>
    </row>
    <row r="923">
      <c r="C923" s="278"/>
    </row>
    <row r="924">
      <c r="C924" s="278"/>
    </row>
    <row r="925">
      <c r="C925" s="278"/>
    </row>
    <row r="926">
      <c r="C926" s="278"/>
    </row>
    <row r="927">
      <c r="C927" s="278"/>
    </row>
    <row r="928">
      <c r="C928" s="278"/>
    </row>
    <row r="929">
      <c r="C929" s="278"/>
    </row>
    <row r="930">
      <c r="C930" s="278"/>
    </row>
    <row r="931">
      <c r="C931" s="278"/>
    </row>
    <row r="932">
      <c r="C932" s="278"/>
    </row>
    <row r="933">
      <c r="C933" s="278"/>
    </row>
    <row r="934">
      <c r="C934" s="278"/>
    </row>
    <row r="935">
      <c r="C935" s="278"/>
    </row>
    <row r="936">
      <c r="C936" s="278"/>
    </row>
    <row r="937">
      <c r="C937" s="278"/>
    </row>
    <row r="938">
      <c r="C938" s="278"/>
    </row>
    <row r="939">
      <c r="C939" s="278"/>
    </row>
    <row r="940">
      <c r="C940" s="278"/>
    </row>
    <row r="941">
      <c r="C941" s="278"/>
    </row>
    <row r="942">
      <c r="C942" s="278"/>
    </row>
    <row r="943">
      <c r="C943" s="278"/>
    </row>
    <row r="944">
      <c r="C944" s="278"/>
    </row>
    <row r="945">
      <c r="C945" s="278"/>
    </row>
    <row r="946">
      <c r="C946" s="278"/>
    </row>
    <row r="947">
      <c r="C947" s="278"/>
    </row>
    <row r="948">
      <c r="C948" s="278"/>
    </row>
    <row r="949">
      <c r="C949" s="278"/>
    </row>
    <row r="950">
      <c r="C950" s="278"/>
    </row>
    <row r="951">
      <c r="C951" s="278"/>
    </row>
    <row r="952">
      <c r="C952" s="278"/>
    </row>
    <row r="953">
      <c r="C953" s="278"/>
    </row>
    <row r="954">
      <c r="C954" s="278"/>
    </row>
    <row r="955">
      <c r="C955" s="278"/>
    </row>
    <row r="956">
      <c r="C956" s="278"/>
    </row>
    <row r="957">
      <c r="C957" s="278"/>
    </row>
    <row r="958">
      <c r="C958" s="278"/>
    </row>
    <row r="959">
      <c r="C959" s="278"/>
    </row>
    <row r="960">
      <c r="C960" s="278"/>
    </row>
    <row r="961">
      <c r="C961" s="278"/>
    </row>
    <row r="962">
      <c r="C962" s="278"/>
    </row>
    <row r="963">
      <c r="C963" s="278"/>
    </row>
    <row r="964">
      <c r="C964" s="278"/>
    </row>
    <row r="965">
      <c r="C965" s="278"/>
    </row>
    <row r="966">
      <c r="C966" s="278"/>
    </row>
    <row r="967">
      <c r="C967" s="278"/>
    </row>
    <row r="968">
      <c r="C968" s="278"/>
    </row>
    <row r="969">
      <c r="C969" s="278"/>
    </row>
    <row r="970">
      <c r="C970" s="278"/>
    </row>
    <row r="971">
      <c r="C971" s="278"/>
    </row>
    <row r="972">
      <c r="C972" s="278"/>
    </row>
    <row r="973">
      <c r="C973" s="278"/>
    </row>
    <row r="974">
      <c r="C974" s="278"/>
    </row>
    <row r="975">
      <c r="C975" s="278"/>
    </row>
    <row r="976">
      <c r="C976" s="278"/>
    </row>
    <row r="977">
      <c r="C977" s="278"/>
    </row>
    <row r="978">
      <c r="C978" s="278"/>
    </row>
    <row r="979">
      <c r="C979" s="278"/>
    </row>
    <row r="980">
      <c r="C980" s="278"/>
    </row>
    <row r="981">
      <c r="C981" s="278"/>
    </row>
    <row r="982">
      <c r="C982" s="278"/>
    </row>
    <row r="983">
      <c r="C983" s="278"/>
    </row>
    <row r="984">
      <c r="C984" s="278"/>
    </row>
    <row r="985">
      <c r="C985" s="278"/>
    </row>
    <row r="986">
      <c r="C986" s="278"/>
    </row>
    <row r="987">
      <c r="C987" s="278"/>
    </row>
    <row r="988">
      <c r="C988" s="278"/>
    </row>
    <row r="989">
      <c r="C989" s="278"/>
    </row>
    <row r="990">
      <c r="C990" s="278"/>
    </row>
    <row r="991">
      <c r="C991" s="278"/>
    </row>
    <row r="992">
      <c r="C992" s="278"/>
    </row>
    <row r="993">
      <c r="C993" s="278"/>
    </row>
    <row r="994">
      <c r="C994" s="278"/>
    </row>
    <row r="995">
      <c r="C995" s="278"/>
    </row>
    <row r="996">
      <c r="C996" s="278"/>
    </row>
    <row r="997">
      <c r="C997" s="278"/>
    </row>
    <row r="998">
      <c r="C998" s="278"/>
    </row>
    <row r="999">
      <c r="C999" s="278"/>
    </row>
    <row r="1000">
      <c r="C1000" s="278"/>
    </row>
  </sheetData>
  <drawing r:id="rId1"/>
</worksheet>
</file>